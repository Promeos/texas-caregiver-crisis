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24226"/>
  <mc:AlternateContent xmlns:mc="http://schemas.openxmlformats.org/markup-compatibility/2006">
    <mc:Choice Requires="x15">
      <x15ac:absPath xmlns:x15ac="http://schemas.microsoft.com/office/spreadsheetml/2010/11/ac" url="https://txhhs.sharepoint.com/sites/pf/ltss/Attendant Wage Calculator/_SFY 2026-2027 Attendant Wages Calculator/Attendant Wage Calculator 26-27 (February 2025 Update)/"/>
    </mc:Choice>
  </mc:AlternateContent>
  <xr:revisionPtr revIDLastSave="0" documentId="8_{58A037DF-9FE3-4759-87F5-F88C2759FD2A}" xr6:coauthVersionLast="47" xr6:coauthVersionMax="47" xr10:uidLastSave="{00000000-0000-0000-0000-000000000000}"/>
  <workbookProtection workbookAlgorithmName="SHA-512" workbookHashValue="Y/kvnr78vPzQ9LnKjJpJOObOdw4gqVjl3vyPwx8br78plZTVJmLFM72u0XiqvrU/q+XJSnz0vyw7mO73Vz/TsQ==" workbookSaltValue="w7AhV8blVKlHu5k+LLdkMQ==" workbookSpinCount="100000" lockStructure="1"/>
  <bookViews>
    <workbookView xWindow="-108" yWindow="-108" windowWidth="23256" windowHeight="12456" tabRatio="901" xr2:uid="{B43BAE1B-CF46-484A-BAF7-FC6ECCA4E4DE}"/>
  </bookViews>
  <sheets>
    <sheet name="Fiscal by Program" sheetId="166" r:id="rId1"/>
    <sheet name="Fiscal Calculation" sheetId="190" state="hidden" r:id="rId2"/>
    <sheet name="Rate Table Service Desc XWalk" sheetId="191" state="hidden" r:id="rId3"/>
    <sheet name="All Trends" sheetId="196" state="hidden" r:id="rId4"/>
    <sheet name="FFS Trends" sheetId="194" state="hidden" r:id="rId5"/>
    <sheet name="SP &amp; SK Trends" sheetId="195" state="hidden" r:id="rId6"/>
    <sheet name="FMAP as of 4-24" sheetId="197"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 localSheetId="3">#REF!</definedName>
    <definedName name="\0" localSheetId="4">#REF!</definedName>
    <definedName name="\0" localSheetId="6">#REF!</definedName>
    <definedName name="\0" localSheetId="5">#REF!</definedName>
    <definedName name="\0">#REF!</definedName>
    <definedName name="_xlnm._FilterDatabase" localSheetId="3" hidden="1">'All Trends'!$A$1:$J$30</definedName>
    <definedName name="_xlnm._FilterDatabase" localSheetId="0" hidden="1">'Fiscal by Program'!$A$18:$I$127</definedName>
    <definedName name="_xlnm._FilterDatabase" localSheetId="1" hidden="1">'Fiscal Calculation'!$A$2:$AR$356</definedName>
    <definedName name="_xlnm._FilterDatabase" localSheetId="2" hidden="1">'Rate Table Service Desc XWalk'!$A$1:$F$360</definedName>
    <definedName name="_FY2018" localSheetId="3">#REF!</definedName>
    <definedName name="_FY2018" localSheetId="4">#REF!</definedName>
    <definedName name="_FY2018" localSheetId="6">#REF!</definedName>
    <definedName name="_FY2018" localSheetId="5">#REF!</definedName>
    <definedName name="_FY2018">#REF!</definedName>
    <definedName name="_FY2019" localSheetId="3">#REF!</definedName>
    <definedName name="_FY2019" localSheetId="4">#REF!</definedName>
    <definedName name="_FY2019" localSheetId="6">#REF!</definedName>
    <definedName name="_FY2019" localSheetId="5">#REF!</definedName>
    <definedName name="_FY2019">#REF!</definedName>
    <definedName name="_FY2020" localSheetId="3">#REF!</definedName>
    <definedName name="_FY2020" localSheetId="4">#REF!</definedName>
    <definedName name="_FY2020" localSheetId="6">#REF!</definedName>
    <definedName name="_FY2020" localSheetId="5">#REF!</definedName>
    <definedName name="_FY2020">#REF!</definedName>
    <definedName name="_FY2021">#REF!</definedName>
    <definedName name="Adjustment">'[1]Do not Edit'!$D$4:$D$6</definedName>
    <definedName name="Admin">'[2]MC Assumptions'!$B$5</definedName>
    <definedName name="alldata" localSheetId="3">#REF!</definedName>
    <definedName name="alldata" localSheetId="4">#REF!</definedName>
    <definedName name="alldata" localSheetId="6">#REF!</definedName>
    <definedName name="alldata" localSheetId="5">#REF!</definedName>
    <definedName name="alldata">#REF!</definedName>
    <definedName name="alled" localSheetId="3">#REF!</definedName>
    <definedName name="alled" localSheetId="4">#REF!</definedName>
    <definedName name="alled" localSheetId="6">#REF!</definedName>
    <definedName name="alled" localSheetId="5">#REF!</definedName>
    <definedName name="alled">#REF!</definedName>
    <definedName name="allstem" localSheetId="3">#REF!</definedName>
    <definedName name="allstem" localSheetId="4">#REF!</definedName>
    <definedName name="allstem" localSheetId="6">#REF!</definedName>
    <definedName name="allstem" localSheetId="5">#REF!</definedName>
    <definedName name="allstem">#REF!</definedName>
    <definedName name="HARDCOPY">#REF!</definedName>
    <definedName name="Modifier">'[1]Do not Edit'!$J$4:$J$46</definedName>
    <definedName name="Modifier1">'[1]Do not Edit'!$G$4:$G$5</definedName>
    <definedName name="Modifier3">'[1]Do not Edit'!$I$4:$I$8</definedName>
    <definedName name="OffsetValue" localSheetId="3">#REF!</definedName>
    <definedName name="OffsetValue" localSheetId="4">#REF!</definedName>
    <definedName name="OffsetValue" localSheetId="1">#REF!</definedName>
    <definedName name="OffsetValue" localSheetId="6">#REF!</definedName>
    <definedName name="OffsetValue" localSheetId="5">#REF!</definedName>
    <definedName name="OffsetValue">#REF!</definedName>
    <definedName name="Place">'[3]Do not Edit'!$J$2:$J$9</definedName>
    <definedName name="PremiumTax">'[2]MC Assumptions'!$B$4</definedName>
    <definedName name="_xlnm.Print_Area" localSheetId="4">'FFS Trends'!$A$1:$R$3</definedName>
    <definedName name="_xlnm.Print_Area" localSheetId="0">'Fiscal by Program'!$A$1:$I$127</definedName>
    <definedName name="_xlnm.Print_Area" localSheetId="6">'FMAP as of 4-24'!$A$1:$Z$54</definedName>
    <definedName name="_xlnm.Print_Titles" localSheetId="4">'FFS Trends'!$1:$3</definedName>
    <definedName name="_xlnm.Print_Titles" localSheetId="0">'Fiscal by Program'!#REF!</definedName>
    <definedName name="_xlnm.Print_Titles" localSheetId="6">'FMAP as of 4-24'!$A:$B</definedName>
    <definedName name="RiskMargin">'[2]MC Assumptions'!$B$3</definedName>
    <definedName name="sheet1" localSheetId="3">#REF!</definedName>
    <definedName name="sheet1" localSheetId="4">#REF!</definedName>
    <definedName name="sheet1" localSheetId="6">#REF!</definedName>
    <definedName name="sheet1" localSheetId="5">#REF!</definedName>
    <definedName name="sheet1">#REF!</definedName>
    <definedName name="UP" localSheetId="1">#REF!</definedName>
    <definedName name="UP" localSheetId="6">#REF!</definedName>
    <definedName name="UP">#REF!</definedName>
    <definedName name="UPDATE">#REF!</definedName>
  </definedNames>
  <calcPr calcId="191028"/>
  <customWorkbookViews>
    <customWorkbookView name="Andrew Wolfe - Personal View" guid="{36D4A0CD-EBA6-402A-B953-00FEE4F0CB78}" mergeInterval="0" personalView="1" maximized="1" xWindow="1" yWindow="1" windowWidth="1280" windowHeight="741" activeSheetId="1" showComments="commIndAndComment"/>
  </customWorkbookViews>
  <webPublishing targetScreenSize="1024x768"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20" i="190" l="1"/>
  <c r="T322" i="190"/>
  <c r="T323" i="190"/>
  <c r="T324" i="190"/>
  <c r="T325" i="190"/>
  <c r="T326" i="190"/>
  <c r="T332" i="190"/>
  <c r="T333" i="190"/>
  <c r="T334" i="190"/>
  <c r="T335" i="190"/>
  <c r="T336" i="190"/>
  <c r="T337" i="190"/>
  <c r="T338" i="190"/>
  <c r="T339" i="190"/>
  <c r="T340" i="190"/>
  <c r="T341" i="190"/>
  <c r="T342" i="190"/>
  <c r="R289" i="190" l="1"/>
  <c r="R203" i="190"/>
  <c r="AG20" i="190" l="1"/>
  <c r="AH20" i="190"/>
  <c r="AG21" i="190"/>
  <c r="AH21" i="190"/>
  <c r="AG22" i="190"/>
  <c r="AH22" i="190"/>
  <c r="AG23" i="190"/>
  <c r="AH23" i="190"/>
  <c r="AG24" i="190"/>
  <c r="AH24" i="190"/>
  <c r="AG25" i="190"/>
  <c r="AH25" i="190"/>
  <c r="AG26" i="190"/>
  <c r="AH26" i="190"/>
  <c r="AG27" i="190"/>
  <c r="AH27" i="190"/>
  <c r="AG28" i="190"/>
  <c r="AH28" i="190"/>
  <c r="AG29" i="190"/>
  <c r="AH29" i="190"/>
  <c r="AG30" i="190"/>
  <c r="AH30" i="190"/>
  <c r="AG8" i="190"/>
  <c r="AH8" i="190"/>
  <c r="AG9" i="190"/>
  <c r="AH9" i="190"/>
  <c r="AG10" i="190"/>
  <c r="AH10" i="190"/>
  <c r="AG38" i="190"/>
  <c r="AH38" i="190"/>
  <c r="AG39" i="190"/>
  <c r="AH39" i="190"/>
  <c r="AG40" i="190"/>
  <c r="AH40" i="190"/>
  <c r="AG41" i="190"/>
  <c r="AH41" i="190"/>
  <c r="AG42" i="190"/>
  <c r="AH42" i="190"/>
  <c r="AG43" i="190"/>
  <c r="AH43" i="190"/>
  <c r="AG44" i="190"/>
  <c r="AH44" i="190"/>
  <c r="AG45" i="190"/>
  <c r="AH45" i="190"/>
  <c r="AG46" i="190"/>
  <c r="AH46" i="190"/>
  <c r="AG47" i="190"/>
  <c r="AH47" i="190"/>
  <c r="AG48" i="190"/>
  <c r="AH48" i="190"/>
  <c r="AG49" i="190"/>
  <c r="AH49" i="190"/>
  <c r="AG50" i="190"/>
  <c r="AH50" i="190"/>
  <c r="AG51" i="190"/>
  <c r="AH51" i="190"/>
  <c r="AG52" i="190"/>
  <c r="AH52" i="190"/>
  <c r="AG53" i="190"/>
  <c r="AH53" i="190"/>
  <c r="AG54" i="190"/>
  <c r="AH54" i="190"/>
  <c r="AG55" i="190"/>
  <c r="AH55" i="190"/>
  <c r="AG11" i="190"/>
  <c r="AH11" i="190"/>
  <c r="AG12" i="190"/>
  <c r="AH12" i="190"/>
  <c r="AG56" i="190"/>
  <c r="AH56" i="190"/>
  <c r="AG57" i="190"/>
  <c r="AH57" i="190"/>
  <c r="AG58" i="190"/>
  <c r="AH58" i="190"/>
  <c r="AG59" i="190"/>
  <c r="AH59" i="190"/>
  <c r="AG60" i="190"/>
  <c r="AH60" i="190"/>
  <c r="AG61" i="190"/>
  <c r="AH61" i="190"/>
  <c r="AG62" i="190"/>
  <c r="AH62" i="190"/>
  <c r="AG63" i="190"/>
  <c r="AH63" i="190"/>
  <c r="AG64" i="190"/>
  <c r="AH64" i="190"/>
  <c r="AG65" i="190"/>
  <c r="AH65" i="190"/>
  <c r="AG66" i="190"/>
  <c r="AH66" i="190"/>
  <c r="AG67" i="190"/>
  <c r="AH67" i="190"/>
  <c r="AG68" i="190"/>
  <c r="AH68" i="190"/>
  <c r="AG69" i="190"/>
  <c r="AH69" i="190"/>
  <c r="AG70" i="190"/>
  <c r="AH70" i="190"/>
  <c r="AG71" i="190"/>
  <c r="AH71" i="190"/>
  <c r="AG72" i="190"/>
  <c r="AH72" i="190"/>
  <c r="AG73" i="190"/>
  <c r="AH73" i="190"/>
  <c r="AG74" i="190"/>
  <c r="AH74" i="190"/>
  <c r="AG75" i="190"/>
  <c r="AH75" i="190"/>
  <c r="AG76" i="190"/>
  <c r="AH76" i="190"/>
  <c r="AG77" i="190"/>
  <c r="AH77" i="190"/>
  <c r="AG78" i="190"/>
  <c r="AH78" i="190"/>
  <c r="AG79" i="190"/>
  <c r="AH79" i="190"/>
  <c r="AG80" i="190"/>
  <c r="AH80" i="190"/>
  <c r="AG81" i="190"/>
  <c r="AH81" i="190"/>
  <c r="AG82" i="190"/>
  <c r="AH82" i="190"/>
  <c r="AG83" i="190"/>
  <c r="AH83" i="190"/>
  <c r="AG84" i="190"/>
  <c r="AH84" i="190"/>
  <c r="AG85" i="190"/>
  <c r="AH85" i="190"/>
  <c r="AG86" i="190"/>
  <c r="AH86" i="190"/>
  <c r="AG87" i="190"/>
  <c r="AH87" i="190"/>
  <c r="AG88" i="190"/>
  <c r="AH88" i="190"/>
  <c r="AG89" i="190"/>
  <c r="AH89" i="190"/>
  <c r="AG90" i="190"/>
  <c r="AH90" i="190"/>
  <c r="AG91" i="190"/>
  <c r="AH91" i="190"/>
  <c r="AG92" i="190"/>
  <c r="AH92" i="190"/>
  <c r="AG93" i="190"/>
  <c r="AH93" i="190"/>
  <c r="AG94" i="190"/>
  <c r="AH94" i="190"/>
  <c r="AG95" i="190"/>
  <c r="AH95" i="190"/>
  <c r="AG96" i="190"/>
  <c r="AH96" i="190"/>
  <c r="AG97" i="190"/>
  <c r="AH97" i="190"/>
  <c r="AG98" i="190"/>
  <c r="AH98" i="190"/>
  <c r="AG99" i="190"/>
  <c r="AH99" i="190"/>
  <c r="AG100" i="190"/>
  <c r="AH100" i="190"/>
  <c r="AG320" i="190"/>
  <c r="AH320" i="190"/>
  <c r="AG321" i="190"/>
  <c r="AH321" i="190"/>
  <c r="AG322" i="190"/>
  <c r="AH322" i="190"/>
  <c r="AG323" i="190"/>
  <c r="AH323" i="190"/>
  <c r="AG324" i="190"/>
  <c r="AH324" i="190"/>
  <c r="AG325" i="190"/>
  <c r="AH325" i="190"/>
  <c r="AG326" i="190"/>
  <c r="AH326" i="190"/>
  <c r="AG327" i="190"/>
  <c r="AH327" i="190"/>
  <c r="AG328" i="190"/>
  <c r="AH328" i="190"/>
  <c r="AG329" i="190"/>
  <c r="AH329" i="190"/>
  <c r="AG330" i="190"/>
  <c r="AH330" i="190"/>
  <c r="AG331" i="190"/>
  <c r="AH331" i="190"/>
  <c r="AG332" i="190"/>
  <c r="AH332" i="190"/>
  <c r="AG333" i="190"/>
  <c r="AH333" i="190"/>
  <c r="AG334" i="190"/>
  <c r="AH334" i="190"/>
  <c r="AG335" i="190"/>
  <c r="AH335" i="190"/>
  <c r="AG336" i="190"/>
  <c r="AH336" i="190"/>
  <c r="AG337" i="190"/>
  <c r="AH337" i="190"/>
  <c r="AG338" i="190"/>
  <c r="AH338" i="190"/>
  <c r="AG339" i="190"/>
  <c r="AH339" i="190"/>
  <c r="AG340" i="190"/>
  <c r="AH340" i="190"/>
  <c r="AG341" i="190"/>
  <c r="AH341" i="190"/>
  <c r="AG342" i="190"/>
  <c r="AH342" i="190"/>
  <c r="AG343" i="190"/>
  <c r="AH343" i="190"/>
  <c r="AG344" i="190"/>
  <c r="AH344" i="190"/>
  <c r="AG345" i="190"/>
  <c r="AH345" i="190"/>
  <c r="AG346" i="190"/>
  <c r="AH346" i="190"/>
  <c r="AG347" i="190"/>
  <c r="AH347" i="190"/>
  <c r="AG348" i="190"/>
  <c r="AH348" i="190"/>
  <c r="AG349" i="190"/>
  <c r="AH349" i="190"/>
  <c r="AG350" i="190"/>
  <c r="AH350" i="190"/>
  <c r="AG351" i="190"/>
  <c r="AH351" i="190"/>
  <c r="AG352" i="190"/>
  <c r="AH352" i="190"/>
  <c r="AG353" i="190"/>
  <c r="AH353" i="190"/>
  <c r="AG354" i="190"/>
  <c r="AH354" i="190"/>
  <c r="AG355" i="190"/>
  <c r="AH355" i="190"/>
  <c r="AG356" i="190"/>
  <c r="AH356" i="190"/>
  <c r="AG13" i="190"/>
  <c r="AH13" i="190"/>
  <c r="AG14" i="190"/>
  <c r="AH14" i="190"/>
  <c r="AG15" i="190"/>
  <c r="AH15" i="190"/>
  <c r="AG16" i="190"/>
  <c r="AH16" i="190"/>
  <c r="AG101" i="190"/>
  <c r="AH101" i="190"/>
  <c r="AG102" i="190"/>
  <c r="AH102" i="190"/>
  <c r="AG103" i="190"/>
  <c r="AH103" i="190"/>
  <c r="AG104" i="190"/>
  <c r="AH104" i="190"/>
  <c r="AG105" i="190"/>
  <c r="AH105" i="190"/>
  <c r="AG106" i="190"/>
  <c r="AH106" i="190"/>
  <c r="AG107" i="190"/>
  <c r="AH107" i="190"/>
  <c r="AG108" i="190"/>
  <c r="AH108" i="190"/>
  <c r="AG109" i="190"/>
  <c r="AH109" i="190"/>
  <c r="AG110" i="190"/>
  <c r="AH110" i="190"/>
  <c r="AG111" i="190"/>
  <c r="AH111" i="190"/>
  <c r="AG112" i="190"/>
  <c r="AH112" i="190"/>
  <c r="AG113" i="190"/>
  <c r="AH113" i="190"/>
  <c r="AG114" i="190"/>
  <c r="AH114" i="190"/>
  <c r="AG115" i="190"/>
  <c r="AH115" i="190"/>
  <c r="AG31" i="190"/>
  <c r="AH31" i="190"/>
  <c r="AG32" i="190"/>
  <c r="AH32" i="190"/>
  <c r="AG33" i="190"/>
  <c r="AH33" i="190"/>
  <c r="AG34" i="190"/>
  <c r="AH34" i="190"/>
  <c r="AG3" i="190"/>
  <c r="AH3" i="190"/>
  <c r="AG4" i="190"/>
  <c r="AH4" i="190"/>
  <c r="AG5" i="190"/>
  <c r="AH5" i="190"/>
  <c r="AG6" i="190"/>
  <c r="AH6" i="190"/>
  <c r="AG7" i="190"/>
  <c r="AH7" i="190"/>
  <c r="AG125" i="190"/>
  <c r="AH125" i="190"/>
  <c r="AG126" i="190"/>
  <c r="AH126" i="190"/>
  <c r="AG127" i="190"/>
  <c r="AH127" i="190"/>
  <c r="AG128" i="190"/>
  <c r="AH128" i="190"/>
  <c r="AG129" i="190"/>
  <c r="AH129" i="190"/>
  <c r="AG130" i="190"/>
  <c r="AH130" i="190"/>
  <c r="AG17" i="190"/>
  <c r="AH17" i="190"/>
  <c r="AG18" i="190"/>
  <c r="AH18" i="190"/>
  <c r="AG256" i="190"/>
  <c r="AH256" i="190"/>
  <c r="AG238" i="190"/>
  <c r="AH238" i="190"/>
  <c r="AG239" i="190"/>
  <c r="AH239" i="190"/>
  <c r="AG257" i="190"/>
  <c r="AH257" i="190"/>
  <c r="AG258" i="190"/>
  <c r="AH258" i="190"/>
  <c r="AG259" i="190"/>
  <c r="AH259" i="190"/>
  <c r="AG260" i="190"/>
  <c r="AH260" i="190"/>
  <c r="AG261" i="190"/>
  <c r="AH261" i="190"/>
  <c r="AG262" i="190"/>
  <c r="AH262" i="190"/>
  <c r="AG263" i="190"/>
  <c r="AH263" i="190"/>
  <c r="AG264" i="190"/>
  <c r="AH264" i="190"/>
  <c r="AG240" i="190"/>
  <c r="AH240" i="190"/>
  <c r="AG241" i="190"/>
  <c r="AH241" i="190"/>
  <c r="AG242" i="190"/>
  <c r="AH242" i="190"/>
  <c r="AG243" i="190"/>
  <c r="AH243" i="190"/>
  <c r="AG244" i="190"/>
  <c r="AH244" i="190"/>
  <c r="AG265" i="190"/>
  <c r="AH265" i="190"/>
  <c r="AG266" i="190"/>
  <c r="AH266" i="190"/>
  <c r="AG267" i="190"/>
  <c r="AH267" i="190"/>
  <c r="AG268" i="190"/>
  <c r="AH268" i="190"/>
  <c r="AG269" i="190"/>
  <c r="AH269" i="190"/>
  <c r="AG270" i="190"/>
  <c r="AH270" i="190"/>
  <c r="AG271" i="190"/>
  <c r="AH271" i="190"/>
  <c r="AG272" i="190"/>
  <c r="AH272" i="190"/>
  <c r="AG273" i="190"/>
  <c r="AH273" i="190"/>
  <c r="AG245" i="190"/>
  <c r="AH245" i="190"/>
  <c r="AG246" i="190"/>
  <c r="AH246" i="190"/>
  <c r="AG247" i="190"/>
  <c r="AH247" i="190"/>
  <c r="AG248" i="190"/>
  <c r="AH248" i="190"/>
  <c r="AG249" i="190"/>
  <c r="AH249" i="190"/>
  <c r="AG250" i="190"/>
  <c r="AH250" i="190"/>
  <c r="AG274" i="190"/>
  <c r="AH274" i="190"/>
  <c r="AG275" i="190"/>
  <c r="AH275" i="190"/>
  <c r="AG276" i="190"/>
  <c r="AH276" i="190"/>
  <c r="AG140" i="190"/>
  <c r="AH140" i="190"/>
  <c r="AG141" i="190"/>
  <c r="AH141" i="190"/>
  <c r="AG277" i="190"/>
  <c r="AH277" i="190"/>
  <c r="AG278" i="190"/>
  <c r="AH278" i="190"/>
  <c r="AG279" i="190"/>
  <c r="AH279" i="190"/>
  <c r="AG280" i="190"/>
  <c r="AH280" i="190"/>
  <c r="AG281" i="190"/>
  <c r="AH281" i="190"/>
  <c r="AG282" i="190"/>
  <c r="AH282" i="190"/>
  <c r="AG251" i="190"/>
  <c r="AH251" i="190"/>
  <c r="AG252" i="190"/>
  <c r="AH252" i="190"/>
  <c r="AG283" i="190"/>
  <c r="AH283" i="190"/>
  <c r="AG284" i="190"/>
  <c r="AH284" i="190"/>
  <c r="AG285" i="190"/>
  <c r="AH285" i="190"/>
  <c r="AG253" i="190"/>
  <c r="AH253" i="190"/>
  <c r="AG254" i="190"/>
  <c r="AH254" i="190"/>
  <c r="AG255" i="190"/>
  <c r="AH255" i="190"/>
  <c r="AG286" i="190"/>
  <c r="AH286" i="190"/>
  <c r="AG287" i="190"/>
  <c r="AH287" i="190"/>
  <c r="AG288" i="190"/>
  <c r="AH288" i="190"/>
  <c r="AG289" i="190"/>
  <c r="AH289" i="190"/>
  <c r="AG290" i="190"/>
  <c r="AH290" i="190"/>
  <c r="AG291" i="190"/>
  <c r="AH291" i="190"/>
  <c r="AG292" i="190"/>
  <c r="AH292" i="190"/>
  <c r="AG293" i="190"/>
  <c r="AH293" i="190"/>
  <c r="AG294" i="190"/>
  <c r="AH294" i="190"/>
  <c r="AG295" i="190"/>
  <c r="AH295" i="190"/>
  <c r="AG296" i="190"/>
  <c r="AH296" i="190"/>
  <c r="AG297" i="190"/>
  <c r="AH297" i="190"/>
  <c r="AG298" i="190"/>
  <c r="AH298" i="190"/>
  <c r="AG299" i="190"/>
  <c r="AH299" i="190"/>
  <c r="AG300" i="190"/>
  <c r="AH300" i="190"/>
  <c r="AG301" i="190"/>
  <c r="AH301" i="190"/>
  <c r="AG302" i="190"/>
  <c r="AH302" i="190"/>
  <c r="AG303" i="190"/>
  <c r="AH303" i="190"/>
  <c r="AG304" i="190"/>
  <c r="AH304" i="190"/>
  <c r="AG305" i="190"/>
  <c r="AH305" i="190"/>
  <c r="AG306" i="190"/>
  <c r="AH306" i="190"/>
  <c r="AG307" i="190"/>
  <c r="AH307" i="190"/>
  <c r="AG308" i="190"/>
  <c r="AH308" i="190"/>
  <c r="AG309" i="190"/>
  <c r="AH309" i="190"/>
  <c r="AG310" i="190"/>
  <c r="AH310" i="190"/>
  <c r="AG311" i="190"/>
  <c r="AH311" i="190"/>
  <c r="AG312" i="190"/>
  <c r="AH312" i="190"/>
  <c r="AG313" i="190"/>
  <c r="AH313" i="190"/>
  <c r="AG314" i="190"/>
  <c r="AH314" i="190"/>
  <c r="AG315" i="190"/>
  <c r="AH315" i="190"/>
  <c r="AG316" i="190"/>
  <c r="AH316" i="190"/>
  <c r="AG317" i="190"/>
  <c r="AH317" i="190"/>
  <c r="AG318" i="190"/>
  <c r="AH318" i="190"/>
  <c r="AG319" i="190"/>
  <c r="AH319" i="190"/>
  <c r="AG143" i="190"/>
  <c r="AH143" i="190"/>
  <c r="AG144" i="190"/>
  <c r="AH144" i="190"/>
  <c r="AG203" i="190"/>
  <c r="AH203" i="190"/>
  <c r="AG204" i="190"/>
  <c r="AH204" i="190"/>
  <c r="AG205" i="190"/>
  <c r="AH205" i="190"/>
  <c r="AG206" i="190"/>
  <c r="AH206" i="190"/>
  <c r="AG207" i="190"/>
  <c r="AH207" i="190"/>
  <c r="AG208" i="190"/>
  <c r="AH208" i="190"/>
  <c r="AG209" i="190"/>
  <c r="AH209" i="190"/>
  <c r="AG210" i="190"/>
  <c r="AH210" i="190"/>
  <c r="AG211" i="190"/>
  <c r="AH211" i="190"/>
  <c r="AG212" i="190"/>
  <c r="AH212" i="190"/>
  <c r="AG213" i="190"/>
  <c r="AH213" i="190"/>
  <c r="AG214" i="190"/>
  <c r="AH214" i="190"/>
  <c r="AG215" i="190"/>
  <c r="AH215" i="190"/>
  <c r="AG216" i="190"/>
  <c r="AH216" i="190"/>
  <c r="AG217" i="190"/>
  <c r="AH217" i="190"/>
  <c r="AG218" i="190"/>
  <c r="AH218" i="190"/>
  <c r="AG219" i="190"/>
  <c r="AH219" i="190"/>
  <c r="AG220" i="190"/>
  <c r="AH220" i="190"/>
  <c r="AG221" i="190"/>
  <c r="AH221" i="190"/>
  <c r="AG222" i="190"/>
  <c r="AH222" i="190"/>
  <c r="AG145" i="190"/>
  <c r="AH145" i="190"/>
  <c r="AG146" i="190"/>
  <c r="AH146" i="190"/>
  <c r="AG147" i="190"/>
  <c r="AH147" i="190"/>
  <c r="AG148" i="190"/>
  <c r="AH148" i="190"/>
  <c r="AG149" i="190"/>
  <c r="AH149" i="190"/>
  <c r="AG150" i="190"/>
  <c r="AH150" i="190"/>
  <c r="AG151" i="190"/>
  <c r="AH151" i="190"/>
  <c r="AG152" i="190"/>
  <c r="AH152" i="190"/>
  <c r="AG153" i="190"/>
  <c r="AH153" i="190"/>
  <c r="AG154" i="190"/>
  <c r="AH154" i="190"/>
  <c r="AG155" i="190"/>
  <c r="AH155" i="190"/>
  <c r="AG156" i="190"/>
  <c r="AH156" i="190"/>
  <c r="AG157" i="190"/>
  <c r="AH157" i="190"/>
  <c r="AG158" i="190"/>
  <c r="AH158" i="190"/>
  <c r="AG159" i="190"/>
  <c r="AH159" i="190"/>
  <c r="AG223" i="190"/>
  <c r="AH223" i="190"/>
  <c r="AG224" i="190"/>
  <c r="AH224" i="190"/>
  <c r="AG225" i="190"/>
  <c r="AH225" i="190"/>
  <c r="AG226" i="190"/>
  <c r="AH226" i="190"/>
  <c r="AG160" i="190"/>
  <c r="AH160" i="190"/>
  <c r="AG161" i="190"/>
  <c r="AH161" i="190"/>
  <c r="AG162" i="190"/>
  <c r="AH162" i="190"/>
  <c r="AG163" i="190"/>
  <c r="AH163" i="190"/>
  <c r="AG164" i="190"/>
  <c r="AH164" i="190"/>
  <c r="AG165" i="190"/>
  <c r="AH165" i="190"/>
  <c r="AG166" i="190"/>
  <c r="AH166" i="190"/>
  <c r="AG167" i="190"/>
  <c r="AH167" i="190"/>
  <c r="AG227" i="190"/>
  <c r="AH227" i="190"/>
  <c r="AG228" i="190"/>
  <c r="AH228" i="190"/>
  <c r="AG229" i="190"/>
  <c r="AH229" i="190"/>
  <c r="AG230" i="190"/>
  <c r="AH230" i="190"/>
  <c r="AG231" i="190"/>
  <c r="AH231" i="190"/>
  <c r="AG168" i="190"/>
  <c r="AH168" i="190"/>
  <c r="AG169" i="190"/>
  <c r="AH169" i="190"/>
  <c r="AG170" i="190"/>
  <c r="AH170" i="190"/>
  <c r="AG171" i="190"/>
  <c r="AH171" i="190"/>
  <c r="AG172" i="190"/>
  <c r="AH172" i="190"/>
  <c r="AG173" i="190"/>
  <c r="AH173" i="190"/>
  <c r="AG174" i="190"/>
  <c r="AH174" i="190"/>
  <c r="AG175" i="190"/>
  <c r="AH175" i="190"/>
  <c r="AG176" i="190"/>
  <c r="AH176" i="190"/>
  <c r="AG177" i="190"/>
  <c r="AH177" i="190"/>
  <c r="AG178" i="190"/>
  <c r="AH178" i="190"/>
  <c r="AG179" i="190"/>
  <c r="AH179" i="190"/>
  <c r="AG180" i="190"/>
  <c r="AH180" i="190"/>
  <c r="AG181" i="190"/>
  <c r="AH181" i="190"/>
  <c r="AG182" i="190"/>
  <c r="AH182" i="190"/>
  <c r="AG183" i="190"/>
  <c r="AH183" i="190"/>
  <c r="AG184" i="190"/>
  <c r="AH184" i="190"/>
  <c r="AG185" i="190"/>
  <c r="AH185" i="190"/>
  <c r="AG186" i="190"/>
  <c r="AH186" i="190"/>
  <c r="AG187" i="190"/>
  <c r="AH187" i="190"/>
  <c r="AG188" i="190"/>
  <c r="AH188" i="190"/>
  <c r="AG189" i="190"/>
  <c r="AH189" i="190"/>
  <c r="AG190" i="190"/>
  <c r="AH190" i="190"/>
  <c r="AG191" i="190"/>
  <c r="AH191" i="190"/>
  <c r="AG192" i="190"/>
  <c r="AH192" i="190"/>
  <c r="AG193" i="190"/>
  <c r="AH193" i="190"/>
  <c r="AG232" i="190"/>
  <c r="AH232" i="190"/>
  <c r="AG233" i="190"/>
  <c r="AH233" i="190"/>
  <c r="AG234" i="190"/>
  <c r="AH234" i="190"/>
  <c r="AG194" i="190"/>
  <c r="AH194" i="190"/>
  <c r="AG195" i="190"/>
  <c r="AH195" i="190"/>
  <c r="AG196" i="190"/>
  <c r="AH196" i="190"/>
  <c r="AG197" i="190"/>
  <c r="AH197" i="190"/>
  <c r="AG198" i="190"/>
  <c r="AH198" i="190"/>
  <c r="AG199" i="190"/>
  <c r="AH199" i="190"/>
  <c r="AG200" i="190"/>
  <c r="AH200" i="190"/>
  <c r="AG201" i="190"/>
  <c r="AH201" i="190"/>
  <c r="AG202" i="190"/>
  <c r="AH202" i="190"/>
  <c r="AG235" i="190"/>
  <c r="AH235" i="190"/>
  <c r="AG236" i="190"/>
  <c r="AH236" i="190"/>
  <c r="AG237" i="190"/>
  <c r="AH237" i="190"/>
  <c r="AG142" i="190"/>
  <c r="AH142" i="190"/>
  <c r="AG131" i="190"/>
  <c r="AH131" i="190"/>
  <c r="AG132" i="190"/>
  <c r="AH132" i="190"/>
  <c r="AG133" i="190"/>
  <c r="AH133" i="190"/>
  <c r="AG134" i="190"/>
  <c r="AH134" i="190"/>
  <c r="AG135" i="190"/>
  <c r="AH135" i="190"/>
  <c r="AG136" i="190"/>
  <c r="AH136" i="190"/>
  <c r="AG137" i="190"/>
  <c r="AH137" i="190"/>
  <c r="AG138" i="190"/>
  <c r="AH138" i="190"/>
  <c r="AG139" i="190"/>
  <c r="AH139" i="190"/>
  <c r="AG116" i="190"/>
  <c r="AH116" i="190"/>
  <c r="AG117" i="190"/>
  <c r="AH117" i="190"/>
  <c r="AG118" i="190"/>
  <c r="AH118" i="190"/>
  <c r="AG119" i="190"/>
  <c r="AH119" i="190"/>
  <c r="AG120" i="190"/>
  <c r="AH120" i="190"/>
  <c r="AG121" i="190"/>
  <c r="AH121" i="190"/>
  <c r="AG122" i="190"/>
  <c r="AH122" i="190"/>
  <c r="AG123" i="190"/>
  <c r="AH123" i="190"/>
  <c r="AG124" i="190"/>
  <c r="AH124" i="190"/>
  <c r="AG35" i="190"/>
  <c r="AH35" i="190"/>
  <c r="AG36" i="190"/>
  <c r="AH36" i="190"/>
  <c r="AG37" i="190"/>
  <c r="AH37" i="190"/>
  <c r="AG19" i="190"/>
  <c r="AH19" i="190"/>
  <c r="AI19" i="190" l="1"/>
  <c r="AI20" i="190"/>
  <c r="AI21" i="190"/>
  <c r="AI22" i="190"/>
  <c r="AI23" i="190"/>
  <c r="AI24" i="190"/>
  <c r="AI25" i="190"/>
  <c r="AI26" i="190"/>
  <c r="AI27" i="190"/>
  <c r="AI28" i="190"/>
  <c r="AI29" i="190"/>
  <c r="AI30" i="190"/>
  <c r="AI8" i="190"/>
  <c r="AI9" i="190"/>
  <c r="AI10" i="190"/>
  <c r="AI38" i="190"/>
  <c r="AI39" i="190"/>
  <c r="AI40" i="190"/>
  <c r="AK20" i="190" l="1"/>
  <c r="AK21" i="190"/>
  <c r="AK22" i="190"/>
  <c r="AK23" i="190"/>
  <c r="AK24" i="190"/>
  <c r="AK25" i="190"/>
  <c r="AK26" i="190"/>
  <c r="AK27" i="190"/>
  <c r="AK28" i="190"/>
  <c r="AK29" i="190"/>
  <c r="AK30" i="190"/>
  <c r="AK8" i="190"/>
  <c r="AK9" i="190"/>
  <c r="AK10" i="190"/>
  <c r="AK38" i="190"/>
  <c r="AK39" i="190"/>
  <c r="AK40" i="190"/>
  <c r="AK41" i="190"/>
  <c r="AK42" i="190"/>
  <c r="AK43" i="190"/>
  <c r="AK44" i="190"/>
  <c r="AK45" i="190"/>
  <c r="AK46" i="190"/>
  <c r="AK47" i="190"/>
  <c r="AK48" i="190"/>
  <c r="AK49" i="190"/>
  <c r="AK50" i="190"/>
  <c r="AK51" i="190"/>
  <c r="AK52" i="190"/>
  <c r="AK53" i="190"/>
  <c r="AK54" i="190"/>
  <c r="AK55" i="190"/>
  <c r="AK11" i="190"/>
  <c r="AK12" i="190"/>
  <c r="AK56" i="190"/>
  <c r="AK57" i="190"/>
  <c r="AK58" i="190"/>
  <c r="AK59" i="190"/>
  <c r="AK60" i="190"/>
  <c r="AK61" i="190"/>
  <c r="AK62" i="190"/>
  <c r="AK63" i="190"/>
  <c r="AK64" i="190"/>
  <c r="AK65" i="190"/>
  <c r="AK66" i="190"/>
  <c r="AK67" i="190"/>
  <c r="AK68" i="190"/>
  <c r="AK69" i="190"/>
  <c r="AK70" i="190"/>
  <c r="AK71" i="190"/>
  <c r="AK72" i="190"/>
  <c r="AK73" i="190"/>
  <c r="AK74" i="190"/>
  <c r="AK75" i="190"/>
  <c r="AK76" i="190"/>
  <c r="AK77" i="190"/>
  <c r="AK78" i="190"/>
  <c r="AK79" i="190"/>
  <c r="AK80" i="190"/>
  <c r="AK81" i="190"/>
  <c r="AK82" i="190"/>
  <c r="AK83" i="190"/>
  <c r="AK84" i="190"/>
  <c r="AK85" i="190"/>
  <c r="AK86" i="190"/>
  <c r="AK87" i="190"/>
  <c r="AK88" i="190"/>
  <c r="AK89" i="190"/>
  <c r="AK90" i="190"/>
  <c r="AK91" i="190"/>
  <c r="AK92" i="190"/>
  <c r="AK93" i="190"/>
  <c r="AK94" i="190"/>
  <c r="AK95" i="190"/>
  <c r="AK96" i="190"/>
  <c r="AK97" i="190"/>
  <c r="AK98" i="190"/>
  <c r="AK99" i="190"/>
  <c r="AK100" i="190"/>
  <c r="AK320" i="190"/>
  <c r="AK321" i="190"/>
  <c r="AK322" i="190"/>
  <c r="AK323" i="190"/>
  <c r="AK324" i="190"/>
  <c r="AK325" i="190"/>
  <c r="AK326" i="190"/>
  <c r="AK327" i="190"/>
  <c r="AK328" i="190"/>
  <c r="AK329" i="190"/>
  <c r="AK330" i="190"/>
  <c r="AK331" i="190"/>
  <c r="AK332" i="190"/>
  <c r="AK333" i="190"/>
  <c r="AK334" i="190"/>
  <c r="AK335" i="190"/>
  <c r="AK336" i="190"/>
  <c r="AK337" i="190"/>
  <c r="AK338" i="190"/>
  <c r="AK339" i="190"/>
  <c r="AK340" i="190"/>
  <c r="AK341" i="190"/>
  <c r="AK342" i="190"/>
  <c r="AK343" i="190"/>
  <c r="AK344" i="190"/>
  <c r="AK345" i="190"/>
  <c r="AK346" i="190"/>
  <c r="AK347" i="190"/>
  <c r="AK348" i="190"/>
  <c r="AK349" i="190"/>
  <c r="AK350" i="190"/>
  <c r="AK351" i="190"/>
  <c r="AK352" i="190"/>
  <c r="AK353" i="190"/>
  <c r="AK354" i="190"/>
  <c r="AK355" i="190"/>
  <c r="AK356" i="190"/>
  <c r="AK13" i="190"/>
  <c r="AK14" i="190"/>
  <c r="AK15" i="190"/>
  <c r="AK16" i="190"/>
  <c r="AK101" i="190"/>
  <c r="AK102" i="190"/>
  <c r="AK103" i="190"/>
  <c r="AK104" i="190"/>
  <c r="AK105" i="190"/>
  <c r="AK106" i="190"/>
  <c r="AK107" i="190"/>
  <c r="AK108" i="190"/>
  <c r="AK109" i="190"/>
  <c r="AK110" i="190"/>
  <c r="AK111" i="190"/>
  <c r="AK112" i="190"/>
  <c r="AK113" i="190"/>
  <c r="AK114" i="190"/>
  <c r="AK115" i="190"/>
  <c r="AK31" i="190"/>
  <c r="AK32" i="190"/>
  <c r="AK33" i="190"/>
  <c r="AK34" i="190"/>
  <c r="AK3" i="190"/>
  <c r="AK4" i="190"/>
  <c r="AK5" i="190"/>
  <c r="AK6" i="190"/>
  <c r="AK7" i="190"/>
  <c r="AK125" i="190"/>
  <c r="AK126" i="190"/>
  <c r="AK127" i="190"/>
  <c r="AK128" i="190"/>
  <c r="AK129" i="190"/>
  <c r="AK130" i="190"/>
  <c r="AK17" i="190"/>
  <c r="AK18" i="190"/>
  <c r="AK256" i="190"/>
  <c r="AK238" i="190"/>
  <c r="AK239" i="190"/>
  <c r="AK257" i="190"/>
  <c r="AK258" i="190"/>
  <c r="AK259" i="190"/>
  <c r="AK260" i="190"/>
  <c r="AK261" i="190"/>
  <c r="AK262" i="190"/>
  <c r="AK263" i="190"/>
  <c r="AK264" i="190"/>
  <c r="AK240" i="190"/>
  <c r="AK241" i="190"/>
  <c r="AK242" i="190"/>
  <c r="AK243" i="190"/>
  <c r="AK244" i="190"/>
  <c r="AK265" i="190"/>
  <c r="AK266" i="190"/>
  <c r="AK267" i="190"/>
  <c r="AK268" i="190"/>
  <c r="AK269" i="190"/>
  <c r="AK270" i="190"/>
  <c r="AK271" i="190"/>
  <c r="AK272" i="190"/>
  <c r="AK273" i="190"/>
  <c r="AK245" i="190"/>
  <c r="AK246" i="190"/>
  <c r="AK247" i="190"/>
  <c r="AK248" i="190"/>
  <c r="AK249" i="190"/>
  <c r="AK250" i="190"/>
  <c r="AK274" i="190"/>
  <c r="AK275" i="190"/>
  <c r="AK276" i="190"/>
  <c r="AK140" i="190"/>
  <c r="AK141" i="190"/>
  <c r="AK277" i="190"/>
  <c r="AK278" i="190"/>
  <c r="AK279" i="190"/>
  <c r="AK280" i="190"/>
  <c r="AK281" i="190"/>
  <c r="AK282" i="190"/>
  <c r="AK251" i="190"/>
  <c r="AK252" i="190"/>
  <c r="AK283" i="190"/>
  <c r="AK284" i="190"/>
  <c r="AK285" i="190"/>
  <c r="AK253" i="190"/>
  <c r="AK254" i="190"/>
  <c r="AK255" i="190"/>
  <c r="AK286" i="190"/>
  <c r="AK287" i="190"/>
  <c r="AK288" i="190"/>
  <c r="AK289" i="190"/>
  <c r="AK290" i="190"/>
  <c r="AK291" i="190"/>
  <c r="AK292" i="190"/>
  <c r="AK293" i="190"/>
  <c r="AK294" i="190"/>
  <c r="AK295" i="190"/>
  <c r="AK296" i="190"/>
  <c r="AK297" i="190"/>
  <c r="AK298" i="190"/>
  <c r="AK299" i="190"/>
  <c r="AK300" i="190"/>
  <c r="AK301" i="190"/>
  <c r="AK302" i="190"/>
  <c r="AK303" i="190"/>
  <c r="AK304" i="190"/>
  <c r="AK305" i="190"/>
  <c r="AK306" i="190"/>
  <c r="AK307" i="190"/>
  <c r="AK308" i="190"/>
  <c r="AK309" i="190"/>
  <c r="AK310" i="190"/>
  <c r="AK311" i="190"/>
  <c r="AK312" i="190"/>
  <c r="AK313" i="190"/>
  <c r="AK314" i="190"/>
  <c r="AK315" i="190"/>
  <c r="AK316" i="190"/>
  <c r="AK317" i="190"/>
  <c r="AK318" i="190"/>
  <c r="AK319" i="190"/>
  <c r="AK143" i="190"/>
  <c r="AK144" i="190"/>
  <c r="AK203" i="190"/>
  <c r="AK204" i="190"/>
  <c r="AK205" i="190"/>
  <c r="AK206" i="190"/>
  <c r="AK207" i="190"/>
  <c r="AK208" i="190"/>
  <c r="AK209" i="190"/>
  <c r="AK210" i="190"/>
  <c r="AK211" i="190"/>
  <c r="AK212" i="190"/>
  <c r="AK213" i="190"/>
  <c r="AK214" i="190"/>
  <c r="AK215" i="190"/>
  <c r="AK216" i="190"/>
  <c r="AK217" i="190"/>
  <c r="AK218" i="190"/>
  <c r="AK219" i="190"/>
  <c r="AK220" i="190"/>
  <c r="AK221" i="190"/>
  <c r="AK222" i="190"/>
  <c r="AK145" i="190"/>
  <c r="AK146" i="190"/>
  <c r="AK147" i="190"/>
  <c r="AK148" i="190"/>
  <c r="AK149" i="190"/>
  <c r="AK150" i="190"/>
  <c r="AK151" i="190"/>
  <c r="AK152" i="190"/>
  <c r="AK153" i="190"/>
  <c r="AK154" i="190"/>
  <c r="AK155" i="190"/>
  <c r="AK156" i="190"/>
  <c r="AK157" i="190"/>
  <c r="AK158" i="190"/>
  <c r="AK159" i="190"/>
  <c r="AK223" i="190"/>
  <c r="AK224" i="190"/>
  <c r="AK225" i="190"/>
  <c r="AK226" i="190"/>
  <c r="AK160" i="190"/>
  <c r="AK161" i="190"/>
  <c r="AK162" i="190"/>
  <c r="AK163" i="190"/>
  <c r="AK164" i="190"/>
  <c r="AK165" i="190"/>
  <c r="AK166" i="190"/>
  <c r="AK167" i="190"/>
  <c r="AK227" i="190"/>
  <c r="AK228" i="190"/>
  <c r="AK229" i="190"/>
  <c r="AK230" i="190"/>
  <c r="AK231" i="190"/>
  <c r="AK168" i="190"/>
  <c r="AK169" i="190"/>
  <c r="AK170" i="190"/>
  <c r="AK171" i="190"/>
  <c r="AK172" i="190"/>
  <c r="AK173" i="190"/>
  <c r="AK174" i="190"/>
  <c r="AK175" i="190"/>
  <c r="AK176" i="190"/>
  <c r="AK177" i="190"/>
  <c r="AK178" i="190"/>
  <c r="AK179" i="190"/>
  <c r="AK180" i="190"/>
  <c r="AK181" i="190"/>
  <c r="AK182" i="190"/>
  <c r="AK183" i="190"/>
  <c r="AK184" i="190"/>
  <c r="AK185" i="190"/>
  <c r="AK186" i="190"/>
  <c r="AK187" i="190"/>
  <c r="AK188" i="190"/>
  <c r="AK189" i="190"/>
  <c r="AK190" i="190"/>
  <c r="AK191" i="190"/>
  <c r="AK192" i="190"/>
  <c r="AK193" i="190"/>
  <c r="AK232" i="190"/>
  <c r="AK233" i="190"/>
  <c r="AK234" i="190"/>
  <c r="AK194" i="190"/>
  <c r="AK195" i="190"/>
  <c r="AK196" i="190"/>
  <c r="AK197" i="190"/>
  <c r="AK198" i="190"/>
  <c r="AK199" i="190"/>
  <c r="AK200" i="190"/>
  <c r="AK201" i="190"/>
  <c r="AK202" i="190"/>
  <c r="AK235" i="190"/>
  <c r="AK236" i="190"/>
  <c r="AK237" i="190"/>
  <c r="AK142" i="190"/>
  <c r="AK131" i="190"/>
  <c r="AK132" i="190"/>
  <c r="AK133" i="190"/>
  <c r="AK134" i="190"/>
  <c r="AK135" i="190"/>
  <c r="AK136" i="190"/>
  <c r="AK137" i="190"/>
  <c r="AK138" i="190"/>
  <c r="AK139" i="190"/>
  <c r="AK116" i="190"/>
  <c r="AK117" i="190"/>
  <c r="AK118" i="190"/>
  <c r="AK119" i="190"/>
  <c r="AK120" i="190"/>
  <c r="AK121" i="190"/>
  <c r="AK122" i="190"/>
  <c r="AK123" i="190"/>
  <c r="AK124" i="190"/>
  <c r="AK35" i="190"/>
  <c r="AK36" i="190"/>
  <c r="AK37" i="190"/>
  <c r="AK19" i="190"/>
  <c r="B58" i="195"/>
  <c r="B59" i="195"/>
  <c r="B57" i="195"/>
  <c r="B34" i="195"/>
  <c r="H30" i="196" l="1"/>
  <c r="B37" i="194"/>
  <c r="C37" i="194"/>
  <c r="D37" i="194"/>
  <c r="E37" i="194"/>
  <c r="F37" i="194"/>
  <c r="G37" i="194"/>
  <c r="H37" i="194"/>
  <c r="I37" i="194"/>
  <c r="J37" i="194"/>
  <c r="K37" i="194"/>
  <c r="L37" i="194"/>
  <c r="M37" i="194"/>
  <c r="N37" i="194"/>
  <c r="B36" i="194"/>
  <c r="V37" i="190" a="1"/>
  <c r="V37" i="190" s="1"/>
  <c r="U37" i="190" s="1"/>
  <c r="V36" i="190" a="1"/>
  <c r="V36" i="190" s="1"/>
  <c r="V35" i="190" a="1"/>
  <c r="V35" i="190" s="1"/>
  <c r="U35" i="190" s="1"/>
  <c r="V124" i="190" a="1"/>
  <c r="V124" i="190" s="1"/>
  <c r="U124" i="190" s="1"/>
  <c r="V123" i="190" a="1"/>
  <c r="V123" i="190" s="1"/>
  <c r="U123" i="190" s="1"/>
  <c r="V122" i="190" a="1"/>
  <c r="V122" i="190" s="1"/>
  <c r="V121" i="190" a="1"/>
  <c r="V121" i="190" s="1"/>
  <c r="U121" i="190" s="1"/>
  <c r="V120" i="190" a="1"/>
  <c r="V120" i="190" s="1"/>
  <c r="U120" i="190" s="1"/>
  <c r="V119" i="190" a="1"/>
  <c r="V119" i="190" s="1"/>
  <c r="U119" i="190" s="1"/>
  <c r="V118" i="190" a="1"/>
  <c r="V118" i="190" s="1"/>
  <c r="U118" i="190" s="1"/>
  <c r="V117" i="190" a="1"/>
  <c r="V117" i="190" s="1"/>
  <c r="U117" i="190" s="1"/>
  <c r="V116" i="190" a="1"/>
  <c r="V116" i="190" s="1"/>
  <c r="U116" i="190" s="1"/>
  <c r="V139" i="190" a="1"/>
  <c r="V139" i="190" s="1"/>
  <c r="U139" i="190" s="1"/>
  <c r="V138" i="190" a="1"/>
  <c r="V138" i="190" s="1"/>
  <c r="U138" i="190" s="1"/>
  <c r="V137" i="190" a="1"/>
  <c r="V137" i="190" s="1"/>
  <c r="U137" i="190" s="1"/>
  <c r="V136" i="190" a="1"/>
  <c r="V136" i="190" s="1"/>
  <c r="V135" i="190" a="1"/>
  <c r="V135" i="190" s="1"/>
  <c r="U135" i="190" s="1"/>
  <c r="V134" i="190" a="1"/>
  <c r="V134" i="190" s="1"/>
  <c r="U134" i="190" s="1"/>
  <c r="V133" i="190" a="1"/>
  <c r="V133" i="190" s="1"/>
  <c r="U133" i="190" s="1"/>
  <c r="V132" i="190" a="1"/>
  <c r="V132" i="190" s="1"/>
  <c r="U132" i="190" s="1"/>
  <c r="V131" i="190" a="1"/>
  <c r="V131" i="190" s="1"/>
  <c r="U131" i="190" s="1"/>
  <c r="V142" i="190" a="1"/>
  <c r="V142" i="190" s="1"/>
  <c r="U142" i="190" s="1"/>
  <c r="V237" i="190" a="1"/>
  <c r="V237" i="190" s="1"/>
  <c r="V236" i="190" a="1"/>
  <c r="V236" i="190" s="1"/>
  <c r="V235" i="190" a="1"/>
  <c r="V235" i="190" s="1"/>
  <c r="U235" i="190" s="1"/>
  <c r="V202" i="190" a="1"/>
  <c r="V202" i="190" s="1"/>
  <c r="U202" i="190" s="1"/>
  <c r="V201" i="190" a="1"/>
  <c r="V201" i="190" s="1"/>
  <c r="U201" i="190" s="1"/>
  <c r="V200" i="190" a="1"/>
  <c r="V200" i="190" s="1"/>
  <c r="U200" i="190" s="1"/>
  <c r="V199" i="190" a="1"/>
  <c r="V199" i="190" s="1"/>
  <c r="U199" i="190" s="1"/>
  <c r="V198" i="190" a="1"/>
  <c r="V198" i="190" s="1"/>
  <c r="U198" i="190" s="1"/>
  <c r="V197" i="190" a="1"/>
  <c r="V197" i="190" s="1"/>
  <c r="U197" i="190" s="1"/>
  <c r="V196" i="190" a="1"/>
  <c r="V196" i="190" s="1"/>
  <c r="U196" i="190" s="1"/>
  <c r="V195" i="190" a="1"/>
  <c r="V195" i="190" s="1"/>
  <c r="V194" i="190" a="1"/>
  <c r="V194" i="190" s="1"/>
  <c r="U194" i="190" s="1"/>
  <c r="V234" i="190" a="1"/>
  <c r="V234" i="190" s="1"/>
  <c r="U234" i="190" s="1"/>
  <c r="V233" i="190" a="1"/>
  <c r="V233" i="190" s="1"/>
  <c r="U233" i="190" s="1"/>
  <c r="V232" i="190" a="1"/>
  <c r="V232" i="190" s="1"/>
  <c r="U232" i="190" s="1"/>
  <c r="V193" i="190" a="1"/>
  <c r="V193" i="190" s="1"/>
  <c r="U193" i="190" s="1"/>
  <c r="V192" i="190" a="1"/>
  <c r="V192" i="190" s="1"/>
  <c r="U192" i="190" s="1"/>
  <c r="V191" i="190" a="1"/>
  <c r="V191" i="190" s="1"/>
  <c r="U191" i="190" s="1"/>
  <c r="V190" i="190" a="1"/>
  <c r="V190" i="190" s="1"/>
  <c r="U190" i="190" s="1"/>
  <c r="V189" i="190" a="1"/>
  <c r="V189" i="190" s="1"/>
  <c r="U189" i="190" s="1"/>
  <c r="V188" i="190" a="1"/>
  <c r="V188" i="190" s="1"/>
  <c r="U188" i="190" s="1"/>
  <c r="V187" i="190" a="1"/>
  <c r="V187" i="190" s="1"/>
  <c r="V186" i="190" a="1"/>
  <c r="V186" i="190" s="1"/>
  <c r="V185" i="190" a="1"/>
  <c r="V185" i="190" s="1"/>
  <c r="U185" i="190" s="1"/>
  <c r="V184" i="190" a="1"/>
  <c r="V184" i="190" s="1"/>
  <c r="U184" i="190" s="1"/>
  <c r="V183" i="190" a="1"/>
  <c r="V183" i="190" s="1"/>
  <c r="U183" i="190" s="1"/>
  <c r="V182" i="190" a="1"/>
  <c r="V182" i="190" s="1"/>
  <c r="U182" i="190" s="1"/>
  <c r="V181" i="190" a="1"/>
  <c r="V181" i="190" s="1"/>
  <c r="U181" i="190" s="1"/>
  <c r="V180" i="190" a="1"/>
  <c r="V180" i="190" s="1"/>
  <c r="U180" i="190" s="1"/>
  <c r="V179" i="190" a="1"/>
  <c r="V179" i="190" s="1"/>
  <c r="U179" i="190" s="1"/>
  <c r="V178" i="190" a="1"/>
  <c r="V178" i="190" s="1"/>
  <c r="U178" i="190" s="1"/>
  <c r="V177" i="190" a="1"/>
  <c r="V177" i="190" s="1"/>
  <c r="V176" i="190" a="1"/>
  <c r="V176" i="190" s="1"/>
  <c r="V175" i="190" a="1"/>
  <c r="V175" i="190" s="1"/>
  <c r="U175" i="190" s="1"/>
  <c r="V174" i="190" a="1"/>
  <c r="V174" i="190" s="1"/>
  <c r="U174" i="190" s="1"/>
  <c r="V173" i="190" a="1"/>
  <c r="V173" i="190" s="1"/>
  <c r="U173" i="190" s="1"/>
  <c r="V172" i="190" a="1"/>
  <c r="V172" i="190" s="1"/>
  <c r="U172" i="190" s="1"/>
  <c r="V171" i="190" a="1"/>
  <c r="V171" i="190" s="1"/>
  <c r="U171" i="190" s="1"/>
  <c r="V170" i="190" a="1"/>
  <c r="V170" i="190" s="1"/>
  <c r="U170" i="190" s="1"/>
  <c r="V169" i="190" a="1"/>
  <c r="V169" i="190" s="1"/>
  <c r="U169" i="190" s="1"/>
  <c r="V168" i="190" a="1"/>
  <c r="V168" i="190" s="1"/>
  <c r="U168" i="190" s="1"/>
  <c r="V231" i="190" a="1"/>
  <c r="V231" i="190" s="1"/>
  <c r="U231" i="190" s="1"/>
  <c r="V230" i="190" a="1"/>
  <c r="V230" i="190" s="1"/>
  <c r="V229" i="190" a="1"/>
  <c r="V229" i="190" s="1"/>
  <c r="V228" i="190" a="1"/>
  <c r="V228" i="190" s="1"/>
  <c r="U228" i="190" s="1"/>
  <c r="V227" i="190" a="1"/>
  <c r="V227" i="190" s="1"/>
  <c r="U227" i="190" s="1"/>
  <c r="V167" i="190" a="1"/>
  <c r="V167" i="190" s="1"/>
  <c r="V166" i="190" a="1"/>
  <c r="V166" i="190" s="1"/>
  <c r="U166" i="190" s="1"/>
  <c r="V165" i="190" a="1"/>
  <c r="V165" i="190" s="1"/>
  <c r="U165" i="190" s="1"/>
  <c r="V164" i="190" a="1"/>
  <c r="V164" i="190" s="1"/>
  <c r="U164" i="190" s="1"/>
  <c r="V163" i="190" a="1"/>
  <c r="V163" i="190" s="1"/>
  <c r="U163" i="190" s="1"/>
  <c r="V162" i="190" a="1"/>
  <c r="V162" i="190" s="1"/>
  <c r="V161" i="190" a="1"/>
  <c r="V161" i="190" s="1"/>
  <c r="V160" i="190" a="1"/>
  <c r="V160" i="190" s="1"/>
  <c r="U160" i="190" s="1"/>
  <c r="V226" i="190" a="1"/>
  <c r="V226" i="190" s="1"/>
  <c r="U226" i="190" s="1"/>
  <c r="V225" i="190" a="1"/>
  <c r="V225" i="190" s="1"/>
  <c r="V224" i="190" a="1"/>
  <c r="V224" i="190" s="1"/>
  <c r="U224" i="190" s="1"/>
  <c r="V223" i="190" a="1"/>
  <c r="V223" i="190" s="1"/>
  <c r="U223" i="190" s="1"/>
  <c r="V159" i="190" a="1"/>
  <c r="V159" i="190" s="1"/>
  <c r="U159" i="190" s="1"/>
  <c r="V158" i="190" a="1"/>
  <c r="V158" i="190" s="1"/>
  <c r="U158" i="190" s="1"/>
  <c r="V157" i="190" a="1"/>
  <c r="V157" i="190" s="1"/>
  <c r="U157" i="190" s="1"/>
  <c r="V156" i="190" a="1"/>
  <c r="V156" i="190" s="1"/>
  <c r="V155" i="190" a="1"/>
  <c r="V155" i="190" s="1"/>
  <c r="U155" i="190" s="1"/>
  <c r="V154" i="190" a="1"/>
  <c r="V154" i="190" s="1"/>
  <c r="U154" i="190" s="1"/>
  <c r="V153" i="190" a="1"/>
  <c r="V153" i="190" s="1"/>
  <c r="U153" i="190" s="1"/>
  <c r="V152" i="190" a="1"/>
  <c r="V152" i="190" s="1"/>
  <c r="U152" i="190" s="1"/>
  <c r="V151" i="190" a="1"/>
  <c r="V151" i="190" s="1"/>
  <c r="U151" i="190" s="1"/>
  <c r="V150" i="190" a="1"/>
  <c r="V150" i="190" s="1"/>
  <c r="U150" i="190" s="1"/>
  <c r="V149" i="190" a="1"/>
  <c r="V149" i="190" s="1"/>
  <c r="U149" i="190" s="1"/>
  <c r="V148" i="190" a="1"/>
  <c r="V148" i="190" s="1"/>
  <c r="U148" i="190" s="1"/>
  <c r="V147" i="190" a="1"/>
  <c r="V147" i="190" s="1"/>
  <c r="U147" i="190" s="1"/>
  <c r="V146" i="190" a="1"/>
  <c r="V146" i="190" s="1"/>
  <c r="U146" i="190" s="1"/>
  <c r="V145" i="190" a="1"/>
  <c r="V145" i="190" s="1"/>
  <c r="U145" i="190" s="1"/>
  <c r="V222" i="190" a="1"/>
  <c r="V222" i="190" s="1"/>
  <c r="V221" i="190" a="1"/>
  <c r="V221" i="190" s="1"/>
  <c r="U221" i="190" s="1"/>
  <c r="V220" i="190" a="1"/>
  <c r="V220" i="190" s="1"/>
  <c r="U220" i="190" s="1"/>
  <c r="V219" i="190" a="1"/>
  <c r="V219" i="190" s="1"/>
  <c r="U219" i="190" s="1"/>
  <c r="V218" i="190" a="1"/>
  <c r="V218" i="190" s="1"/>
  <c r="U218" i="190" s="1"/>
  <c r="V217" i="190" a="1"/>
  <c r="V217" i="190" s="1"/>
  <c r="U217" i="190" s="1"/>
  <c r="V216" i="190" a="1"/>
  <c r="V216" i="190" s="1"/>
  <c r="U216" i="190" s="1"/>
  <c r="V215" i="190" a="1"/>
  <c r="V215" i="190" s="1"/>
  <c r="U215" i="190" s="1"/>
  <c r="V214" i="190" a="1"/>
  <c r="V214" i="190" s="1"/>
  <c r="U214" i="190" s="1"/>
  <c r="V213" i="190" a="1"/>
  <c r="V213" i="190" s="1"/>
  <c r="U213" i="190" s="1"/>
  <c r="V212" i="190" a="1"/>
  <c r="V212" i="190" s="1"/>
  <c r="U212" i="190" s="1"/>
  <c r="V211" i="190" a="1"/>
  <c r="V211" i="190" s="1"/>
  <c r="U211" i="190" s="1"/>
  <c r="V210" i="190" a="1"/>
  <c r="V210" i="190" s="1"/>
  <c r="V209" i="190" a="1"/>
  <c r="V209" i="190" s="1"/>
  <c r="U209" i="190" s="1"/>
  <c r="V208" i="190" a="1"/>
  <c r="V208" i="190" s="1"/>
  <c r="U208" i="190" s="1"/>
  <c r="V207" i="190" a="1"/>
  <c r="V207" i="190" s="1"/>
  <c r="U207" i="190" s="1"/>
  <c r="V206" i="190" a="1"/>
  <c r="V206" i="190" s="1"/>
  <c r="U206" i="190" s="1"/>
  <c r="V205" i="190" a="1"/>
  <c r="V205" i="190" s="1"/>
  <c r="U205" i="190" s="1"/>
  <c r="V204" i="190" a="1"/>
  <c r="V204" i="190" s="1"/>
  <c r="U204" i="190" s="1"/>
  <c r="V203" i="190" a="1"/>
  <c r="V203" i="190" s="1"/>
  <c r="U203" i="190" s="1"/>
  <c r="V144" i="190" a="1"/>
  <c r="V144" i="190" s="1"/>
  <c r="U144" i="190" s="1"/>
  <c r="V143" i="190" a="1"/>
  <c r="V143" i="190" s="1"/>
  <c r="U143" i="190" s="1"/>
  <c r="V319" i="190" a="1"/>
  <c r="V319" i="190" s="1"/>
  <c r="U319" i="190" s="1"/>
  <c r="V318" i="190" a="1"/>
  <c r="V318" i="190" s="1"/>
  <c r="U318" i="190" s="1"/>
  <c r="V317" i="190" a="1"/>
  <c r="V317" i="190" s="1"/>
  <c r="V316" i="190" a="1"/>
  <c r="V316" i="190" s="1"/>
  <c r="U316" i="190" s="1"/>
  <c r="V315" i="190" a="1"/>
  <c r="V315" i="190" s="1"/>
  <c r="U315" i="190" s="1"/>
  <c r="V314" i="190" a="1"/>
  <c r="V314" i="190" s="1"/>
  <c r="U314" i="190" s="1"/>
  <c r="V313" i="190" a="1"/>
  <c r="V313" i="190" s="1"/>
  <c r="U313" i="190" s="1"/>
  <c r="V312" i="190" a="1"/>
  <c r="V312" i="190" s="1"/>
  <c r="U312" i="190" s="1"/>
  <c r="V311" i="190" a="1"/>
  <c r="V311" i="190" s="1"/>
  <c r="U311" i="190" s="1"/>
  <c r="V310" i="190" a="1"/>
  <c r="V310" i="190" s="1"/>
  <c r="U310" i="190" s="1"/>
  <c r="V309" i="190" a="1"/>
  <c r="V309" i="190" s="1"/>
  <c r="U309" i="190" s="1"/>
  <c r="V308" i="190" a="1"/>
  <c r="V308" i="190" s="1"/>
  <c r="U308" i="190" s="1"/>
  <c r="V307" i="190" a="1"/>
  <c r="V307" i="190" s="1"/>
  <c r="U307" i="190" s="1"/>
  <c r="V306" i="190" a="1"/>
  <c r="V306" i="190" s="1"/>
  <c r="U306" i="190" s="1"/>
  <c r="V305" i="190" a="1"/>
  <c r="V305" i="190" s="1"/>
  <c r="V304" i="190" a="1"/>
  <c r="V304" i="190" s="1"/>
  <c r="U304" i="190" s="1"/>
  <c r="V303" i="190" a="1"/>
  <c r="V303" i="190" s="1"/>
  <c r="U303" i="190" s="1"/>
  <c r="V302" i="190" a="1"/>
  <c r="V302" i="190" s="1"/>
  <c r="U302" i="190" s="1"/>
  <c r="V301" i="190" a="1"/>
  <c r="V301" i="190" s="1"/>
  <c r="U301" i="190" s="1"/>
  <c r="V300" i="190" a="1"/>
  <c r="V300" i="190" s="1"/>
  <c r="U300" i="190" s="1"/>
  <c r="V299" i="190" a="1"/>
  <c r="V299" i="190" s="1"/>
  <c r="U299" i="190" s="1"/>
  <c r="V298" i="190" a="1"/>
  <c r="V298" i="190" s="1"/>
  <c r="U298" i="190" s="1"/>
  <c r="V297" i="190" a="1"/>
  <c r="V297" i="190" s="1"/>
  <c r="U297" i="190" s="1"/>
  <c r="V296" i="190" a="1"/>
  <c r="V296" i="190" s="1"/>
  <c r="U296" i="190" s="1"/>
  <c r="V295" i="190" a="1"/>
  <c r="V295" i="190" s="1"/>
  <c r="U295" i="190" s="1"/>
  <c r="V294" i="190" a="1"/>
  <c r="V294" i="190" s="1"/>
  <c r="V293" i="190" a="1"/>
  <c r="V293" i="190" s="1"/>
  <c r="V292" i="190" a="1"/>
  <c r="V292" i="190" s="1"/>
  <c r="U292" i="190" s="1"/>
  <c r="V291" i="190" a="1"/>
  <c r="V291" i="190" s="1"/>
  <c r="U291" i="190" s="1"/>
  <c r="V290" i="190" a="1"/>
  <c r="V290" i="190" s="1"/>
  <c r="U290" i="190" s="1"/>
  <c r="V289" i="190" a="1"/>
  <c r="V289" i="190" s="1"/>
  <c r="U289" i="190" s="1"/>
  <c r="V288" i="190" a="1"/>
  <c r="V288" i="190" s="1"/>
  <c r="U288" i="190" s="1"/>
  <c r="V287" i="190" a="1"/>
  <c r="V287" i="190" s="1"/>
  <c r="U287" i="190" s="1"/>
  <c r="V286" i="190" a="1"/>
  <c r="V286" i="190" s="1"/>
  <c r="U286" i="190" s="1"/>
  <c r="V254" i="190" a="1"/>
  <c r="V254" i="190" s="1"/>
  <c r="U254" i="190" s="1"/>
  <c r="V284" i="190" a="1"/>
  <c r="V284" i="190" s="1"/>
  <c r="U284" i="190" s="1"/>
  <c r="V252" i="190" a="1"/>
  <c r="V252" i="190" s="1"/>
  <c r="V251" i="190" a="1"/>
  <c r="V251" i="190" s="1"/>
  <c r="V282" i="190" a="1"/>
  <c r="V282" i="190" s="1"/>
  <c r="U282" i="190" s="1"/>
  <c r="V281" i="190" a="1"/>
  <c r="V281" i="190" s="1"/>
  <c r="U281" i="190" s="1"/>
  <c r="V280" i="190" a="1"/>
  <c r="V280" i="190" s="1"/>
  <c r="U280" i="190" s="1"/>
  <c r="V279" i="190" a="1"/>
  <c r="V279" i="190" s="1"/>
  <c r="U279" i="190" s="1"/>
  <c r="V278" i="190" a="1"/>
  <c r="V278" i="190" s="1"/>
  <c r="U278" i="190" s="1"/>
  <c r="V277" i="190" a="1"/>
  <c r="V277" i="190" s="1"/>
  <c r="U277" i="190" s="1"/>
  <c r="V141" i="190" a="1"/>
  <c r="V141" i="190" s="1"/>
  <c r="U141" i="190" s="1"/>
  <c r="V140" i="190" a="1"/>
  <c r="V140" i="190" s="1"/>
  <c r="U140" i="190" s="1"/>
  <c r="V276" i="190" a="1"/>
  <c r="V276" i="190" s="1"/>
  <c r="U276" i="190" s="1"/>
  <c r="V275" i="190" a="1"/>
  <c r="V275" i="190" s="1"/>
  <c r="U275" i="190" s="1"/>
  <c r="V274" i="190" a="1"/>
  <c r="V274" i="190" s="1"/>
  <c r="V249" i="190" a="1"/>
  <c r="V249" i="190" s="1"/>
  <c r="U249" i="190" s="1"/>
  <c r="V247" i="190" a="1"/>
  <c r="V247" i="190" s="1"/>
  <c r="U247" i="190" s="1"/>
  <c r="V272" i="190" a="1"/>
  <c r="V272" i="190" s="1"/>
  <c r="U272" i="190" s="1"/>
  <c r="V270" i="190" a="1"/>
  <c r="V270" i="190" s="1"/>
  <c r="U270" i="190" s="1"/>
  <c r="V267" i="190" a="1"/>
  <c r="V267" i="190" s="1"/>
  <c r="U267" i="190" s="1"/>
  <c r="V243" i="190" a="1"/>
  <c r="V243" i="190" s="1"/>
  <c r="U243" i="190" s="1"/>
  <c r="V242" i="190" a="1"/>
  <c r="V242" i="190" s="1"/>
  <c r="U242" i="190" s="1"/>
  <c r="V263" i="190" a="1"/>
  <c r="V263" i="190" s="1"/>
  <c r="U263" i="190" s="1"/>
  <c r="V261" i="190" a="1"/>
  <c r="V261" i="190" s="1"/>
  <c r="U261" i="190" s="1"/>
  <c r="V259" i="190" a="1"/>
  <c r="V259" i="190" s="1"/>
  <c r="V239" i="190" a="1"/>
  <c r="V239" i="190" s="1"/>
  <c r="V238" i="190" a="1"/>
  <c r="V238" i="190" s="1"/>
  <c r="U238" i="190" s="1"/>
  <c r="V256" i="190" a="1"/>
  <c r="V256" i="190" s="1"/>
  <c r="U256" i="190" s="1"/>
  <c r="V18" i="190" a="1"/>
  <c r="V18" i="190" s="1"/>
  <c r="U18" i="190" s="1"/>
  <c r="V17" i="190" a="1"/>
  <c r="V17" i="190" s="1"/>
  <c r="U17" i="190" s="1"/>
  <c r="V130" i="190" a="1"/>
  <c r="V130" i="190" s="1"/>
  <c r="U130" i="190" s="1"/>
  <c r="V129" i="190" a="1"/>
  <c r="V129" i="190" s="1"/>
  <c r="U129" i="190" s="1"/>
  <c r="V128" i="190" a="1"/>
  <c r="V128" i="190" s="1"/>
  <c r="U128" i="190" s="1"/>
  <c r="V127" i="190" a="1"/>
  <c r="V127" i="190" s="1"/>
  <c r="U127" i="190" s="1"/>
  <c r="V7" i="190" a="1"/>
  <c r="V7" i="190" s="1"/>
  <c r="U7" i="190" s="1"/>
  <c r="V6" i="190" a="1"/>
  <c r="V6" i="190" s="1"/>
  <c r="U6" i="190" s="1"/>
  <c r="V5" i="190" a="1"/>
  <c r="V5" i="190" s="1"/>
  <c r="V34" i="190" a="1"/>
  <c r="V34" i="190" s="1"/>
  <c r="V33" i="190" a="1"/>
  <c r="V33" i="190" s="1"/>
  <c r="U33" i="190" s="1"/>
  <c r="V115" i="190" a="1"/>
  <c r="V115" i="190" s="1"/>
  <c r="U115" i="190" s="1"/>
  <c r="V114" i="190" a="1"/>
  <c r="V114" i="190" s="1"/>
  <c r="U114" i="190" s="1"/>
  <c r="V113" i="190" a="1"/>
  <c r="V113" i="190" s="1"/>
  <c r="U113" i="190" s="1"/>
  <c r="V112" i="190" a="1"/>
  <c r="V112" i="190" s="1"/>
  <c r="U112" i="190" s="1"/>
  <c r="V111" i="190" a="1"/>
  <c r="V111" i="190" s="1"/>
  <c r="U111" i="190" s="1"/>
  <c r="V110" i="190" a="1"/>
  <c r="V110" i="190" s="1"/>
  <c r="U110" i="190" s="1"/>
  <c r="V109" i="190" a="1"/>
  <c r="V109" i="190" s="1"/>
  <c r="U109" i="190" s="1"/>
  <c r="V108" i="190" a="1"/>
  <c r="V108" i="190" s="1"/>
  <c r="U108" i="190" s="1"/>
  <c r="V107" i="190" a="1"/>
  <c r="V107" i="190" s="1"/>
  <c r="U107" i="190" s="1"/>
  <c r="V106" i="190" a="1"/>
  <c r="V106" i="190" s="1"/>
  <c r="U106" i="190" s="1"/>
  <c r="V105" i="190" a="1"/>
  <c r="V105" i="190" s="1"/>
  <c r="U105" i="190" s="1"/>
  <c r="V104" i="190" a="1"/>
  <c r="V104" i="190" s="1"/>
  <c r="U104" i="190" s="1"/>
  <c r="V103" i="190" a="1"/>
  <c r="V103" i="190" s="1"/>
  <c r="U103" i="190" s="1"/>
  <c r="V102" i="190" a="1"/>
  <c r="V102" i="190" s="1"/>
  <c r="V101" i="190" a="1"/>
  <c r="V101" i="190" s="1"/>
  <c r="U101" i="190" s="1"/>
  <c r="V16" i="190" a="1"/>
  <c r="V16" i="190" s="1"/>
  <c r="U16" i="190" s="1"/>
  <c r="V14" i="190" a="1"/>
  <c r="V14" i="190" s="1"/>
  <c r="U14" i="190" s="1"/>
  <c r="V356" i="190" a="1"/>
  <c r="V356" i="190" s="1"/>
  <c r="U356" i="190" s="1"/>
  <c r="V354" i="190" a="1"/>
  <c r="V354" i="190" s="1"/>
  <c r="U354" i="190" s="1"/>
  <c r="V352" i="190" a="1"/>
  <c r="V352" i="190" s="1"/>
  <c r="V350" i="190" a="1"/>
  <c r="V350" i="190" s="1"/>
  <c r="V349" i="190" a="1"/>
  <c r="V349" i="190" s="1"/>
  <c r="V348" i="190" a="1"/>
  <c r="V348" i="190" s="1"/>
  <c r="U348" i="190" s="1"/>
  <c r="V347" i="190" a="1"/>
  <c r="V347" i="190" s="1"/>
  <c r="U347" i="190" s="1"/>
  <c r="V346" i="190" a="1"/>
  <c r="V346" i="190" s="1"/>
  <c r="U346" i="190" s="1"/>
  <c r="V345" i="190" a="1"/>
  <c r="V345" i="190" s="1"/>
  <c r="U345" i="190" s="1"/>
  <c r="V344" i="190" a="1"/>
  <c r="V344" i="190" s="1"/>
  <c r="U344" i="190" s="1"/>
  <c r="V343" i="190" a="1"/>
  <c r="V343" i="190" s="1"/>
  <c r="U343" i="190" s="1"/>
  <c r="V331" i="190" a="1"/>
  <c r="V331" i="190" s="1"/>
  <c r="U331" i="190" s="1"/>
  <c r="V330" i="190" a="1"/>
  <c r="V330" i="190" s="1"/>
  <c r="U330" i="190" s="1"/>
  <c r="V329" i="190" a="1"/>
  <c r="V329" i="190" s="1"/>
  <c r="U329" i="190" s="1"/>
  <c r="V328" i="190" a="1"/>
  <c r="V328" i="190" s="1"/>
  <c r="U328" i="190" s="1"/>
  <c r="V327" i="190" a="1"/>
  <c r="V327" i="190" s="1"/>
  <c r="V321" i="190" a="1"/>
  <c r="V321" i="190" s="1"/>
  <c r="V100" i="190" a="1"/>
  <c r="V100" i="190" s="1"/>
  <c r="U100" i="190" s="1"/>
  <c r="V97" i="190" a="1"/>
  <c r="V97" i="190" s="1"/>
  <c r="U97" i="190" s="1"/>
  <c r="V96" i="190" a="1"/>
  <c r="V96" i="190" s="1"/>
  <c r="U96" i="190" s="1"/>
  <c r="V83" i="190" a="1"/>
  <c r="V83" i="190" s="1"/>
  <c r="U83" i="190" s="1"/>
  <c r="V12" i="190" a="1"/>
  <c r="V12" i="190" s="1"/>
  <c r="U12" i="190" s="1"/>
  <c r="V11" i="190" a="1"/>
  <c r="V11" i="190" s="1"/>
  <c r="V55" i="190" a="1"/>
  <c r="V55" i="190" s="1"/>
  <c r="U55" i="190" s="1"/>
  <c r="V54" i="190" a="1"/>
  <c r="V54" i="190" s="1"/>
  <c r="U54" i="190" s="1"/>
  <c r="V53" i="190" a="1"/>
  <c r="V53" i="190" s="1"/>
  <c r="U53" i="190" s="1"/>
  <c r="V52" i="190" a="1"/>
  <c r="V52" i="190" s="1"/>
  <c r="U52" i="190" s="1"/>
  <c r="V51" i="190" a="1"/>
  <c r="V51" i="190" s="1"/>
  <c r="V50" i="190" a="1"/>
  <c r="V50" i="190" s="1"/>
  <c r="V41" i="190" a="1"/>
  <c r="V41" i="190" s="1"/>
  <c r="U41" i="190" s="1"/>
  <c r="V40" i="190" a="1"/>
  <c r="V40" i="190" s="1"/>
  <c r="U40" i="190" s="1"/>
  <c r="V10" i="190" a="1"/>
  <c r="V10" i="190" s="1"/>
  <c r="U10" i="190" s="1"/>
  <c r="V30" i="190" a="1"/>
  <c r="V30" i="190" s="1"/>
  <c r="U30" i="190" s="1"/>
  <c r="V29" i="190" a="1"/>
  <c r="V29" i="190" s="1"/>
  <c r="V28" i="190" a="1"/>
  <c r="V28" i="190" s="1"/>
  <c r="V27" i="190" a="1"/>
  <c r="V27" i="190" s="1"/>
  <c r="U27" i="190" s="1"/>
  <c r="V23" i="190" a="1"/>
  <c r="V23" i="190" s="1"/>
  <c r="U23" i="190" s="1"/>
  <c r="V22" i="190" a="1"/>
  <c r="V22" i="190" s="1"/>
  <c r="U22" i="190" s="1"/>
  <c r="V21" i="190" a="1"/>
  <c r="V21" i="190" s="1"/>
  <c r="U21" i="190" s="1"/>
  <c r="V20" i="190" a="1"/>
  <c r="V20" i="190" s="1"/>
  <c r="U20" i="190" s="1"/>
  <c r="V19" i="190" a="1"/>
  <c r="V19" i="190" s="1"/>
  <c r="X8" i="190"/>
  <c r="X9" i="190"/>
  <c r="X10" i="190"/>
  <c r="X38" i="190"/>
  <c r="X39" i="190"/>
  <c r="X40" i="190"/>
  <c r="X41" i="190"/>
  <c r="X42" i="190"/>
  <c r="X43" i="190"/>
  <c r="X44" i="190"/>
  <c r="X45" i="190"/>
  <c r="X46" i="190"/>
  <c r="X47" i="190"/>
  <c r="X48" i="190"/>
  <c r="X49" i="190"/>
  <c r="X50" i="190"/>
  <c r="X51" i="190"/>
  <c r="X52" i="190"/>
  <c r="X53" i="190"/>
  <c r="X54" i="190"/>
  <c r="X55" i="190"/>
  <c r="X11" i="190"/>
  <c r="X12" i="190"/>
  <c r="X56" i="190"/>
  <c r="X57" i="190"/>
  <c r="X58" i="190"/>
  <c r="X59" i="190"/>
  <c r="X60" i="190"/>
  <c r="X61" i="190"/>
  <c r="X62" i="190"/>
  <c r="X63" i="190"/>
  <c r="X64" i="190"/>
  <c r="X65" i="190"/>
  <c r="X66" i="190"/>
  <c r="X67" i="190"/>
  <c r="X68" i="190"/>
  <c r="X69" i="190"/>
  <c r="X70" i="190"/>
  <c r="X71" i="190"/>
  <c r="X72" i="190"/>
  <c r="X73" i="190"/>
  <c r="X74" i="190"/>
  <c r="X75" i="190"/>
  <c r="X76" i="190"/>
  <c r="X77" i="190"/>
  <c r="X78" i="190"/>
  <c r="X79" i="190"/>
  <c r="X80" i="190"/>
  <c r="X81" i="190"/>
  <c r="X82" i="190"/>
  <c r="X83" i="190"/>
  <c r="X84" i="190"/>
  <c r="X85" i="190"/>
  <c r="X86" i="190"/>
  <c r="X87" i="190"/>
  <c r="X88" i="190"/>
  <c r="X89" i="190"/>
  <c r="X90" i="190"/>
  <c r="X91" i="190"/>
  <c r="X92" i="190"/>
  <c r="X93" i="190"/>
  <c r="X94" i="190"/>
  <c r="X95" i="190"/>
  <c r="X96" i="190"/>
  <c r="X97" i="190"/>
  <c r="X98" i="190"/>
  <c r="X99" i="190"/>
  <c r="X100" i="190"/>
  <c r="X320" i="190"/>
  <c r="X321" i="190"/>
  <c r="X322" i="190"/>
  <c r="X323" i="190"/>
  <c r="X324" i="190"/>
  <c r="X325" i="190"/>
  <c r="X326" i="190"/>
  <c r="X327" i="190"/>
  <c r="X328" i="190"/>
  <c r="X329" i="190"/>
  <c r="X330" i="190"/>
  <c r="X331" i="190"/>
  <c r="X332" i="190"/>
  <c r="X333" i="190"/>
  <c r="X334" i="190"/>
  <c r="X335" i="190"/>
  <c r="X336" i="190"/>
  <c r="X337" i="190"/>
  <c r="X338" i="190"/>
  <c r="X339" i="190"/>
  <c r="X340" i="190"/>
  <c r="X341" i="190"/>
  <c r="X342" i="190"/>
  <c r="X343" i="190"/>
  <c r="X344" i="190"/>
  <c r="X345" i="190"/>
  <c r="X346" i="190"/>
  <c r="X347" i="190"/>
  <c r="X348" i="190"/>
  <c r="X349" i="190"/>
  <c r="X350" i="190"/>
  <c r="X351" i="190"/>
  <c r="X352" i="190"/>
  <c r="X353" i="190"/>
  <c r="X354" i="190"/>
  <c r="X355" i="190"/>
  <c r="X356" i="190"/>
  <c r="X13" i="190"/>
  <c r="X14" i="190"/>
  <c r="X15" i="190"/>
  <c r="X16" i="190"/>
  <c r="X101" i="190"/>
  <c r="X102" i="190"/>
  <c r="X103" i="190"/>
  <c r="X104" i="190"/>
  <c r="X105" i="190"/>
  <c r="X106" i="190"/>
  <c r="X107" i="190"/>
  <c r="X108" i="190"/>
  <c r="X109" i="190"/>
  <c r="X110" i="190"/>
  <c r="X111" i="190"/>
  <c r="X112" i="190"/>
  <c r="X113" i="190"/>
  <c r="X114" i="190"/>
  <c r="X115" i="190"/>
  <c r="X31" i="190"/>
  <c r="X32" i="190"/>
  <c r="X33" i="190"/>
  <c r="X34" i="190"/>
  <c r="X3" i="190"/>
  <c r="X4" i="190"/>
  <c r="X5" i="190"/>
  <c r="X6" i="190"/>
  <c r="X7" i="190"/>
  <c r="X125" i="190"/>
  <c r="X126" i="190"/>
  <c r="X127" i="190"/>
  <c r="X128" i="190"/>
  <c r="X129" i="190"/>
  <c r="X130" i="190"/>
  <c r="X17" i="190"/>
  <c r="X18" i="190"/>
  <c r="X256" i="190"/>
  <c r="X238" i="190"/>
  <c r="X239" i="190"/>
  <c r="X274" i="190"/>
  <c r="X275" i="190"/>
  <c r="X276" i="190"/>
  <c r="X280" i="190"/>
  <c r="X281" i="190"/>
  <c r="X282" i="190"/>
  <c r="X251" i="190"/>
  <c r="X252" i="190"/>
  <c r="X286" i="190"/>
  <c r="X287" i="190"/>
  <c r="X288" i="190"/>
  <c r="X289" i="190"/>
  <c r="X143" i="190"/>
  <c r="X144" i="190"/>
  <c r="X145" i="190"/>
  <c r="X146" i="190"/>
  <c r="X147" i="190"/>
  <c r="X148" i="190"/>
  <c r="X149" i="190"/>
  <c r="X150" i="190"/>
  <c r="X151" i="190"/>
  <c r="X152" i="190"/>
  <c r="X168" i="190"/>
  <c r="X169" i="190"/>
  <c r="X170" i="190"/>
  <c r="X171" i="190"/>
  <c r="X172" i="190"/>
  <c r="X173" i="190"/>
  <c r="X174" i="190"/>
  <c r="X175" i="190"/>
  <c r="X176" i="190"/>
  <c r="X177" i="190"/>
  <c r="X178" i="190"/>
  <c r="X179" i="190"/>
  <c r="X180" i="190"/>
  <c r="X181" i="190"/>
  <c r="X182" i="190"/>
  <c r="X183" i="190"/>
  <c r="X184" i="190"/>
  <c r="X185" i="190"/>
  <c r="X186" i="190"/>
  <c r="X187" i="190"/>
  <c r="X188" i="190"/>
  <c r="X189" i="190"/>
  <c r="X190" i="190"/>
  <c r="X191" i="190"/>
  <c r="X192" i="190"/>
  <c r="X193" i="190"/>
  <c r="X232" i="190"/>
  <c r="X233" i="190"/>
  <c r="X234" i="190"/>
  <c r="X194" i="190"/>
  <c r="X195" i="190"/>
  <c r="X196" i="190"/>
  <c r="X197" i="190"/>
  <c r="X198" i="190"/>
  <c r="X199" i="190"/>
  <c r="X200" i="190"/>
  <c r="X201" i="190"/>
  <c r="X202" i="190"/>
  <c r="X235" i="190"/>
  <c r="X236" i="190"/>
  <c r="X237" i="190"/>
  <c r="X142" i="190"/>
  <c r="X131" i="190"/>
  <c r="X132" i="190"/>
  <c r="X133" i="190"/>
  <c r="X134" i="190"/>
  <c r="X135" i="190"/>
  <c r="X136" i="190"/>
  <c r="X137" i="190"/>
  <c r="X138" i="190"/>
  <c r="X139" i="190"/>
  <c r="X116" i="190"/>
  <c r="X117" i="190"/>
  <c r="X118" i="190"/>
  <c r="X119" i="190"/>
  <c r="X120" i="190"/>
  <c r="X121" i="190"/>
  <c r="X122" i="190"/>
  <c r="X123" i="190"/>
  <c r="X124" i="190"/>
  <c r="X20" i="190"/>
  <c r="X21" i="190"/>
  <c r="X22" i="190"/>
  <c r="X23" i="190"/>
  <c r="X24" i="190"/>
  <c r="X25" i="190"/>
  <c r="X26" i="190"/>
  <c r="X27" i="190"/>
  <c r="X28" i="190"/>
  <c r="X29" i="190"/>
  <c r="X30" i="190"/>
  <c r="X19" i="190"/>
  <c r="U11" i="190" l="1"/>
  <c r="W11" i="190"/>
  <c r="U195" i="190"/>
  <c r="U210" i="190"/>
  <c r="U176" i="190"/>
  <c r="U161" i="190"/>
  <c r="U177" i="190"/>
  <c r="U251" i="190"/>
  <c r="U34" i="190"/>
  <c r="U274" i="190"/>
  <c r="U305" i="190"/>
  <c r="U222" i="190"/>
  <c r="U28" i="190"/>
  <c r="U349" i="190"/>
  <c r="U122" i="190"/>
  <c r="U327" i="190"/>
  <c r="U136" i="190"/>
  <c r="U36" i="190"/>
  <c r="U229" i="190"/>
  <c r="U294" i="190"/>
  <c r="U50" i="190"/>
  <c r="U5" i="190"/>
  <c r="U51" i="190"/>
  <c r="U167" i="190"/>
  <c r="U102" i="190"/>
  <c r="U187" i="190"/>
  <c r="U230" i="190"/>
  <c r="U293" i="190"/>
  <c r="U162" i="190"/>
  <c r="U239" i="190"/>
  <c r="U252" i="190"/>
  <c r="U317" i="190"/>
  <c r="U156" i="190"/>
  <c r="U259" i="190"/>
  <c r="U29" i="190"/>
  <c r="U225" i="190"/>
  <c r="U236" i="190"/>
  <c r="U321" i="190"/>
  <c r="U350" i="190"/>
  <c r="U186" i="190"/>
  <c r="U237" i="190"/>
  <c r="U352" i="190"/>
  <c r="U19" i="190"/>
  <c r="E18" i="196"/>
  <c r="F18" i="196"/>
  <c r="G18" i="196"/>
  <c r="AJ264" i="190" s="1"/>
  <c r="E19" i="196"/>
  <c r="F19" i="196"/>
  <c r="G19" i="196"/>
  <c r="AJ240" i="190" s="1"/>
  <c r="E20" i="196"/>
  <c r="F20" i="196"/>
  <c r="G20" i="196"/>
  <c r="E21" i="196"/>
  <c r="F21" i="196"/>
  <c r="G21" i="196"/>
  <c r="AJ206" i="190" s="1"/>
  <c r="E22" i="196"/>
  <c r="F22" i="196"/>
  <c r="G22" i="196"/>
  <c r="AJ144" i="190" s="1"/>
  <c r="E23" i="196"/>
  <c r="F23" i="196"/>
  <c r="G23" i="196"/>
  <c r="E24" i="196"/>
  <c r="F24" i="196"/>
  <c r="G24" i="196"/>
  <c r="AJ211" i="190" s="1"/>
  <c r="E25" i="196"/>
  <c r="F25" i="196"/>
  <c r="G25" i="196"/>
  <c r="E26" i="196"/>
  <c r="F26" i="196"/>
  <c r="G26" i="196"/>
  <c r="AJ218" i="190" s="1"/>
  <c r="E27" i="196"/>
  <c r="F27" i="196"/>
  <c r="G27" i="196"/>
  <c r="E28" i="196"/>
  <c r="F28" i="196"/>
  <c r="G28" i="196"/>
  <c r="AJ212" i="190" s="1"/>
  <c r="D19" i="196"/>
  <c r="D20" i="196"/>
  <c r="D21" i="196"/>
  <c r="D22" i="196"/>
  <c r="D23" i="196"/>
  <c r="D24" i="196"/>
  <c r="D25" i="196"/>
  <c r="D26" i="196"/>
  <c r="D27" i="196"/>
  <c r="D28" i="196"/>
  <c r="D18" i="196"/>
  <c r="E5" i="196"/>
  <c r="F5" i="196"/>
  <c r="G5" i="196"/>
  <c r="E6" i="196"/>
  <c r="F6" i="196"/>
  <c r="G6" i="196"/>
  <c r="E7" i="196"/>
  <c r="F7" i="196"/>
  <c r="G7" i="196"/>
  <c r="E8" i="196"/>
  <c r="F8" i="196"/>
  <c r="G8" i="196"/>
  <c r="E9" i="196"/>
  <c r="F9" i="196"/>
  <c r="G9" i="196"/>
  <c r="AJ4" i="190" s="1"/>
  <c r="E10" i="196"/>
  <c r="F10" i="196"/>
  <c r="G10" i="196"/>
  <c r="E11" i="196"/>
  <c r="F11" i="196"/>
  <c r="G11" i="196"/>
  <c r="E12" i="196"/>
  <c r="F12" i="196"/>
  <c r="G12" i="196"/>
  <c r="E13" i="196"/>
  <c r="F13" i="196"/>
  <c r="G13" i="196"/>
  <c r="AJ22" i="190" s="1"/>
  <c r="E14" i="196"/>
  <c r="F14" i="196"/>
  <c r="G14" i="196"/>
  <c r="AJ321" i="190" s="1"/>
  <c r="E15" i="196"/>
  <c r="F15" i="196"/>
  <c r="G15" i="196"/>
  <c r="E16" i="196"/>
  <c r="F16" i="196"/>
  <c r="G16" i="196"/>
  <c r="E17" i="196"/>
  <c r="F17" i="196"/>
  <c r="G17" i="196"/>
  <c r="AJ109" i="190" s="1"/>
  <c r="D7" i="196"/>
  <c r="D8" i="196"/>
  <c r="D9" i="196"/>
  <c r="D10" i="196"/>
  <c r="D11" i="196"/>
  <c r="D12" i="196"/>
  <c r="D13" i="196"/>
  <c r="D14" i="196"/>
  <c r="D15" i="196"/>
  <c r="D16" i="196"/>
  <c r="D17" i="196"/>
  <c r="D6" i="196"/>
  <c r="D5" i="196"/>
  <c r="AA276" i="190"/>
  <c r="AJ20" i="190"/>
  <c r="AJ21" i="190"/>
  <c r="AJ29" i="190"/>
  <c r="AJ30" i="190"/>
  <c r="AJ8" i="190"/>
  <c r="AJ9" i="190"/>
  <c r="AJ10" i="190"/>
  <c r="AJ38" i="190"/>
  <c r="AJ39" i="190"/>
  <c r="AJ40" i="190"/>
  <c r="AJ41" i="190"/>
  <c r="AJ42" i="190"/>
  <c r="AJ43" i="190"/>
  <c r="AJ44" i="190"/>
  <c r="AJ45" i="190"/>
  <c r="AJ46" i="190"/>
  <c r="AJ47" i="190"/>
  <c r="AJ48" i="190"/>
  <c r="AJ49" i="190"/>
  <c r="AJ50" i="190"/>
  <c r="AJ51" i="190"/>
  <c r="AJ52" i="190"/>
  <c r="AJ53" i="190"/>
  <c r="AJ54" i="190"/>
  <c r="AJ55" i="190"/>
  <c r="AJ11" i="190"/>
  <c r="AJ12" i="190"/>
  <c r="AJ56" i="190"/>
  <c r="AJ57" i="190"/>
  <c r="AJ58" i="190"/>
  <c r="AJ59" i="190"/>
  <c r="AJ60" i="190"/>
  <c r="AJ61" i="190"/>
  <c r="AJ62" i="190"/>
  <c r="AJ63" i="190"/>
  <c r="AJ64" i="190"/>
  <c r="AJ65" i="190"/>
  <c r="AJ66" i="190"/>
  <c r="AJ67" i="190"/>
  <c r="AJ68" i="190"/>
  <c r="AJ69" i="190"/>
  <c r="AJ70" i="190"/>
  <c r="AJ71" i="190"/>
  <c r="AJ72" i="190"/>
  <c r="AJ73" i="190"/>
  <c r="AJ74" i="190"/>
  <c r="AJ75" i="190"/>
  <c r="AJ76" i="190"/>
  <c r="AJ77" i="190"/>
  <c r="AJ78" i="190"/>
  <c r="AJ79" i="190"/>
  <c r="AJ80" i="190"/>
  <c r="AJ81" i="190"/>
  <c r="AJ82" i="190"/>
  <c r="AJ83" i="190"/>
  <c r="AJ84" i="190"/>
  <c r="AJ85" i="190"/>
  <c r="AJ86" i="190"/>
  <c r="AJ87" i="190"/>
  <c r="AJ88" i="190"/>
  <c r="AJ89" i="190"/>
  <c r="AJ90" i="190"/>
  <c r="AJ91" i="190"/>
  <c r="AJ92" i="190"/>
  <c r="AJ93" i="190"/>
  <c r="AJ94" i="190"/>
  <c r="AJ95" i="190"/>
  <c r="AJ96" i="190"/>
  <c r="AJ97" i="190"/>
  <c r="AJ98" i="190"/>
  <c r="AJ99" i="190"/>
  <c r="AJ100" i="190"/>
  <c r="AJ320" i="190"/>
  <c r="AJ331" i="190"/>
  <c r="AJ332" i="190"/>
  <c r="AJ343" i="190"/>
  <c r="AJ344" i="190"/>
  <c r="AJ355" i="190"/>
  <c r="AJ356" i="190"/>
  <c r="AJ13" i="190"/>
  <c r="AJ14" i="190"/>
  <c r="AJ15" i="190"/>
  <c r="AJ16" i="190"/>
  <c r="AJ104" i="190"/>
  <c r="AJ105" i="190"/>
  <c r="AJ106" i="190"/>
  <c r="AJ107" i="190"/>
  <c r="AJ108" i="190"/>
  <c r="AJ31" i="190"/>
  <c r="AJ32" i="190"/>
  <c r="AJ33" i="190"/>
  <c r="AJ34" i="190"/>
  <c r="AJ3" i="190"/>
  <c r="AJ125" i="190"/>
  <c r="AJ126" i="190"/>
  <c r="AJ127" i="190"/>
  <c r="AJ128" i="190"/>
  <c r="AJ129" i="190"/>
  <c r="AJ130" i="190"/>
  <c r="AJ17" i="190"/>
  <c r="AJ18" i="190"/>
  <c r="AJ238" i="190"/>
  <c r="AJ239" i="190"/>
  <c r="AJ241" i="190"/>
  <c r="AJ242" i="190"/>
  <c r="AJ243" i="190"/>
  <c r="AJ244" i="190"/>
  <c r="AJ245" i="190"/>
  <c r="AJ246" i="190"/>
  <c r="AJ247" i="190"/>
  <c r="AJ248" i="190"/>
  <c r="AJ249" i="190"/>
  <c r="AJ250" i="190"/>
  <c r="AJ140" i="190"/>
  <c r="AJ141" i="190"/>
  <c r="AJ251" i="190"/>
  <c r="AJ252" i="190"/>
  <c r="AJ254" i="190"/>
  <c r="AJ255" i="190"/>
  <c r="AJ205" i="190"/>
  <c r="AJ213" i="190"/>
  <c r="AJ217" i="190"/>
  <c r="AJ219" i="190"/>
  <c r="AJ220" i="190"/>
  <c r="AJ145" i="190"/>
  <c r="AJ146" i="190"/>
  <c r="AJ147" i="190"/>
  <c r="AJ148" i="190"/>
  <c r="AJ149" i="190"/>
  <c r="AJ150" i="190"/>
  <c r="AJ151" i="190"/>
  <c r="AJ152" i="190"/>
  <c r="AJ153" i="190"/>
  <c r="AJ154" i="190"/>
  <c r="AJ155" i="190"/>
  <c r="AJ156" i="190"/>
  <c r="AJ157" i="190"/>
  <c r="AJ158" i="190"/>
  <c r="AJ159" i="190"/>
  <c r="AJ223" i="190"/>
  <c r="AJ224" i="190"/>
  <c r="AJ225" i="190"/>
  <c r="AJ226" i="190"/>
  <c r="AJ160" i="190"/>
  <c r="AJ161" i="190"/>
  <c r="AJ162" i="190"/>
  <c r="AJ163" i="190"/>
  <c r="AJ164" i="190"/>
  <c r="AJ165" i="190"/>
  <c r="AJ166" i="190"/>
  <c r="AJ167" i="190"/>
  <c r="AJ227" i="190"/>
  <c r="AJ228" i="190"/>
  <c r="AJ229" i="190"/>
  <c r="AJ230" i="190"/>
  <c r="AJ231" i="190"/>
  <c r="AJ168" i="190"/>
  <c r="AJ169" i="190"/>
  <c r="AJ170" i="190"/>
  <c r="AJ171" i="190"/>
  <c r="AJ172" i="190"/>
  <c r="AJ173" i="190"/>
  <c r="AJ174" i="190"/>
  <c r="AJ175" i="190"/>
  <c r="AJ176" i="190"/>
  <c r="AJ177" i="190"/>
  <c r="AJ178" i="190"/>
  <c r="AJ179" i="190"/>
  <c r="AJ180" i="190"/>
  <c r="AJ181" i="190"/>
  <c r="AJ182" i="190"/>
  <c r="AJ183" i="190"/>
  <c r="AJ184" i="190"/>
  <c r="AJ185" i="190"/>
  <c r="AJ186" i="190"/>
  <c r="AJ187" i="190"/>
  <c r="AJ188" i="190"/>
  <c r="AJ189" i="190"/>
  <c r="AJ190" i="190"/>
  <c r="AJ191" i="190"/>
  <c r="AJ192" i="190"/>
  <c r="AJ193" i="190"/>
  <c r="AJ232" i="190"/>
  <c r="AJ233" i="190"/>
  <c r="AJ234" i="190"/>
  <c r="AJ194" i="190"/>
  <c r="AJ195" i="190"/>
  <c r="AJ196" i="190"/>
  <c r="AJ197" i="190"/>
  <c r="AJ198" i="190"/>
  <c r="AJ199" i="190"/>
  <c r="AJ200" i="190"/>
  <c r="AJ201" i="190"/>
  <c r="AJ202" i="190"/>
  <c r="AJ235" i="190"/>
  <c r="AJ236" i="190"/>
  <c r="AJ237" i="190"/>
  <c r="AJ142" i="190"/>
  <c r="AJ131" i="190"/>
  <c r="AJ132" i="190"/>
  <c r="AJ133" i="190"/>
  <c r="AJ134" i="190"/>
  <c r="AJ135" i="190"/>
  <c r="AJ136" i="190"/>
  <c r="AJ137" i="190"/>
  <c r="AJ138" i="190"/>
  <c r="AJ139" i="190"/>
  <c r="AJ116" i="190"/>
  <c r="AJ117" i="190"/>
  <c r="AJ118" i="190"/>
  <c r="AJ119" i="190"/>
  <c r="AJ120" i="190"/>
  <c r="AJ121" i="190"/>
  <c r="AJ122" i="190"/>
  <c r="AJ123" i="190"/>
  <c r="AJ124" i="190"/>
  <c r="AJ35" i="190"/>
  <c r="AJ36" i="190"/>
  <c r="AJ37" i="190"/>
  <c r="O20" i="190"/>
  <c r="O21" i="190"/>
  <c r="O22" i="190"/>
  <c r="O23" i="190"/>
  <c r="O24" i="190"/>
  <c r="O25" i="190"/>
  <c r="O26" i="190"/>
  <c r="O27" i="190"/>
  <c r="O28" i="190"/>
  <c r="O29" i="190"/>
  <c r="O30" i="190"/>
  <c r="O8" i="190"/>
  <c r="N8" i="190" s="1"/>
  <c r="O9" i="190"/>
  <c r="O10" i="190"/>
  <c r="O38" i="190"/>
  <c r="O39" i="190"/>
  <c r="O40" i="190"/>
  <c r="O41" i="190"/>
  <c r="O42" i="190"/>
  <c r="O43" i="190"/>
  <c r="O44" i="190"/>
  <c r="O45" i="190"/>
  <c r="O46" i="190"/>
  <c r="O47" i="190"/>
  <c r="O48" i="190"/>
  <c r="O49" i="190"/>
  <c r="O50" i="190"/>
  <c r="O51" i="190"/>
  <c r="O52" i="190"/>
  <c r="O53" i="190"/>
  <c r="O54" i="190"/>
  <c r="O55" i="190"/>
  <c r="O11" i="190"/>
  <c r="O12" i="190"/>
  <c r="O56" i="190"/>
  <c r="O57" i="190"/>
  <c r="O58" i="190"/>
  <c r="O59" i="190"/>
  <c r="O60" i="190"/>
  <c r="O61" i="190"/>
  <c r="O62" i="190"/>
  <c r="O63" i="190"/>
  <c r="O64" i="190"/>
  <c r="O65" i="190"/>
  <c r="O66" i="190"/>
  <c r="O67" i="190"/>
  <c r="O68" i="190"/>
  <c r="O69" i="190"/>
  <c r="O70" i="190"/>
  <c r="O71" i="190"/>
  <c r="O72" i="190"/>
  <c r="O73" i="190"/>
  <c r="O74" i="190"/>
  <c r="O75" i="190"/>
  <c r="O76" i="190"/>
  <c r="O77" i="190"/>
  <c r="O78" i="190"/>
  <c r="O79" i="190"/>
  <c r="O80" i="190"/>
  <c r="O81" i="190"/>
  <c r="O82" i="190"/>
  <c r="O83" i="190"/>
  <c r="O84" i="190"/>
  <c r="O85" i="190"/>
  <c r="O86" i="190"/>
  <c r="O87" i="190"/>
  <c r="O88" i="190"/>
  <c r="O89" i="190"/>
  <c r="O90" i="190"/>
  <c r="O91" i="190"/>
  <c r="O92" i="190"/>
  <c r="O93" i="190"/>
  <c r="O94" i="190"/>
  <c r="O95" i="190"/>
  <c r="O96" i="190"/>
  <c r="O97" i="190"/>
  <c r="O98" i="190"/>
  <c r="O99" i="190"/>
  <c r="O100" i="190"/>
  <c r="O320" i="190"/>
  <c r="O321" i="190"/>
  <c r="O322" i="190"/>
  <c r="O323" i="190"/>
  <c r="O324" i="190"/>
  <c r="O325" i="190"/>
  <c r="O326" i="190"/>
  <c r="O327" i="190"/>
  <c r="O328" i="190"/>
  <c r="O329" i="190"/>
  <c r="O330" i="190"/>
  <c r="O331" i="190"/>
  <c r="O332" i="190"/>
  <c r="O333" i="190"/>
  <c r="O334" i="190"/>
  <c r="O335" i="190"/>
  <c r="O336" i="190"/>
  <c r="O337" i="190"/>
  <c r="O338" i="190"/>
  <c r="O339" i="190"/>
  <c r="O340" i="190"/>
  <c r="O341" i="190"/>
  <c r="O342" i="190"/>
  <c r="O343" i="190"/>
  <c r="O344" i="190"/>
  <c r="O345" i="190"/>
  <c r="O346" i="190"/>
  <c r="O347" i="190"/>
  <c r="O348" i="190"/>
  <c r="O349" i="190"/>
  <c r="O350" i="190"/>
  <c r="O351" i="190"/>
  <c r="O352" i="190"/>
  <c r="O353" i="190"/>
  <c r="O354" i="190"/>
  <c r="O355" i="190"/>
  <c r="O356" i="190"/>
  <c r="O13" i="190"/>
  <c r="O14" i="190"/>
  <c r="O15" i="190"/>
  <c r="O16" i="190"/>
  <c r="O101" i="190"/>
  <c r="O102" i="190"/>
  <c r="O103" i="190"/>
  <c r="O104" i="190"/>
  <c r="O105" i="190"/>
  <c r="O106" i="190"/>
  <c r="O107" i="190"/>
  <c r="O108" i="190"/>
  <c r="O109" i="190"/>
  <c r="O110" i="190"/>
  <c r="O111" i="190"/>
  <c r="O112" i="190"/>
  <c r="O113" i="190"/>
  <c r="O114" i="190"/>
  <c r="O115" i="190"/>
  <c r="O31" i="190"/>
  <c r="O32" i="190"/>
  <c r="O33" i="190"/>
  <c r="O34" i="190"/>
  <c r="O3" i="190"/>
  <c r="O4" i="190"/>
  <c r="O5" i="190"/>
  <c r="O6" i="190"/>
  <c r="O7" i="190"/>
  <c r="O125" i="190"/>
  <c r="O126" i="190"/>
  <c r="O127" i="190"/>
  <c r="O128" i="190"/>
  <c r="O129" i="190"/>
  <c r="O130" i="190"/>
  <c r="O17" i="190"/>
  <c r="O18" i="190"/>
  <c r="O256" i="190"/>
  <c r="O238" i="190"/>
  <c r="O239" i="190"/>
  <c r="O257" i="190"/>
  <c r="O258" i="190"/>
  <c r="O259" i="190"/>
  <c r="O260" i="190"/>
  <c r="O261" i="190"/>
  <c r="O262" i="190"/>
  <c r="O263" i="190"/>
  <c r="O264" i="190"/>
  <c r="O240" i="190"/>
  <c r="O241" i="190"/>
  <c r="O242" i="190"/>
  <c r="O243" i="190"/>
  <c r="O244" i="190"/>
  <c r="O265" i="190"/>
  <c r="O266" i="190"/>
  <c r="O267" i="190"/>
  <c r="O268" i="190"/>
  <c r="O269" i="190"/>
  <c r="O270" i="190"/>
  <c r="O271" i="190"/>
  <c r="O272" i="190"/>
  <c r="O273" i="190"/>
  <c r="O245" i="190"/>
  <c r="O246" i="190"/>
  <c r="O247" i="190"/>
  <c r="O248" i="190"/>
  <c r="O249" i="190"/>
  <c r="O250" i="190"/>
  <c r="O274" i="190"/>
  <c r="O275" i="190"/>
  <c r="O276" i="190"/>
  <c r="O140" i="190"/>
  <c r="O141" i="190"/>
  <c r="O277" i="190"/>
  <c r="O278" i="190"/>
  <c r="O279" i="190"/>
  <c r="O280" i="190"/>
  <c r="O281" i="190"/>
  <c r="O282" i="190"/>
  <c r="O251" i="190"/>
  <c r="O252" i="190"/>
  <c r="O283" i="190"/>
  <c r="O284" i="190"/>
  <c r="O285" i="190"/>
  <c r="O253" i="190"/>
  <c r="O254" i="190"/>
  <c r="O255" i="190"/>
  <c r="O286" i="190"/>
  <c r="O287" i="190"/>
  <c r="O288" i="190"/>
  <c r="O289" i="190"/>
  <c r="O290" i="190"/>
  <c r="O291" i="190"/>
  <c r="O292" i="190"/>
  <c r="O293" i="190"/>
  <c r="O294" i="190"/>
  <c r="O295" i="190"/>
  <c r="O296" i="190"/>
  <c r="O297" i="190"/>
  <c r="O298" i="190"/>
  <c r="O299" i="190"/>
  <c r="O300" i="190"/>
  <c r="O301" i="190"/>
  <c r="O302" i="190"/>
  <c r="O303" i="190"/>
  <c r="O304" i="190"/>
  <c r="O305" i="190"/>
  <c r="O306" i="190"/>
  <c r="O307" i="190"/>
  <c r="O308" i="190"/>
  <c r="O309" i="190"/>
  <c r="O310" i="190"/>
  <c r="O311" i="190"/>
  <c r="O312" i="190"/>
  <c r="O313" i="190"/>
  <c r="O314" i="190"/>
  <c r="O315" i="190"/>
  <c r="O316" i="190"/>
  <c r="O317" i="190"/>
  <c r="O318" i="190"/>
  <c r="O319" i="190"/>
  <c r="O143" i="190"/>
  <c r="O144" i="190"/>
  <c r="O203" i="190"/>
  <c r="O206" i="190"/>
  <c r="O207" i="190"/>
  <c r="O208" i="190"/>
  <c r="O209" i="190"/>
  <c r="O210" i="190"/>
  <c r="O211" i="190"/>
  <c r="O212" i="190"/>
  <c r="O213" i="190"/>
  <c r="O214" i="190"/>
  <c r="O215" i="190"/>
  <c r="O216" i="190"/>
  <c r="O217" i="190"/>
  <c r="O219" i="190"/>
  <c r="O220" i="190"/>
  <c r="O221" i="190"/>
  <c r="O222" i="190"/>
  <c r="O145" i="190"/>
  <c r="O146" i="190"/>
  <c r="O147" i="190"/>
  <c r="O148" i="190"/>
  <c r="O149" i="190"/>
  <c r="O150" i="190"/>
  <c r="O151" i="190"/>
  <c r="O152" i="190"/>
  <c r="O153" i="190"/>
  <c r="O154" i="190"/>
  <c r="O155" i="190"/>
  <c r="O156" i="190"/>
  <c r="O157" i="190"/>
  <c r="O158" i="190"/>
  <c r="O159" i="190"/>
  <c r="O223" i="190"/>
  <c r="O224" i="190"/>
  <c r="O225" i="190"/>
  <c r="O226" i="190"/>
  <c r="O160" i="190"/>
  <c r="O161" i="190"/>
  <c r="O162" i="190"/>
  <c r="O163" i="190"/>
  <c r="O164" i="190"/>
  <c r="O165" i="190"/>
  <c r="O166" i="190"/>
  <c r="O167" i="190"/>
  <c r="O227" i="190"/>
  <c r="O228" i="190"/>
  <c r="O229" i="190"/>
  <c r="O230" i="190"/>
  <c r="O231" i="190"/>
  <c r="O168" i="190"/>
  <c r="O169" i="190"/>
  <c r="O170" i="190"/>
  <c r="O171" i="190"/>
  <c r="O172" i="190"/>
  <c r="O173" i="190"/>
  <c r="O174" i="190"/>
  <c r="O175" i="190"/>
  <c r="O176" i="190"/>
  <c r="O177" i="190"/>
  <c r="O178" i="190"/>
  <c r="O179" i="190"/>
  <c r="O180" i="190"/>
  <c r="O181" i="190"/>
  <c r="O182" i="190"/>
  <c r="O183" i="190"/>
  <c r="O184" i="190"/>
  <c r="O185" i="190"/>
  <c r="O186" i="190"/>
  <c r="O187" i="190"/>
  <c r="O188" i="190"/>
  <c r="O189" i="190"/>
  <c r="O190" i="190"/>
  <c r="O191" i="190"/>
  <c r="O192" i="190"/>
  <c r="O193" i="190"/>
  <c r="O232" i="190"/>
  <c r="O233" i="190"/>
  <c r="O234" i="190"/>
  <c r="O194" i="190"/>
  <c r="O195" i="190"/>
  <c r="O196" i="190"/>
  <c r="O197" i="190"/>
  <c r="O198" i="190"/>
  <c r="O199" i="190"/>
  <c r="O200" i="190"/>
  <c r="O201" i="190"/>
  <c r="O202" i="190"/>
  <c r="O235" i="190"/>
  <c r="O236" i="190"/>
  <c r="O237" i="190"/>
  <c r="O142" i="190"/>
  <c r="O131" i="190"/>
  <c r="O132" i="190"/>
  <c r="O133" i="190"/>
  <c r="O134" i="190"/>
  <c r="O135" i="190"/>
  <c r="O136" i="190"/>
  <c r="O137" i="190"/>
  <c r="O138" i="190"/>
  <c r="O139" i="190"/>
  <c r="O116" i="190"/>
  <c r="O117" i="190"/>
  <c r="O118" i="190"/>
  <c r="O119" i="190"/>
  <c r="O120" i="190"/>
  <c r="O121" i="190"/>
  <c r="O122" i="190"/>
  <c r="O123" i="190"/>
  <c r="O124" i="190"/>
  <c r="O19" i="190"/>
  <c r="M143" i="190"/>
  <c r="M144" i="190"/>
  <c r="M203" i="190"/>
  <c r="M206" i="190"/>
  <c r="M207" i="190"/>
  <c r="M208" i="190"/>
  <c r="M209" i="190"/>
  <c r="M210" i="190"/>
  <c r="M211" i="190"/>
  <c r="M212" i="190"/>
  <c r="M213" i="190"/>
  <c r="M214" i="190"/>
  <c r="M215" i="190"/>
  <c r="M216" i="190"/>
  <c r="M217" i="190"/>
  <c r="M219" i="190"/>
  <c r="M220" i="190"/>
  <c r="M221" i="190"/>
  <c r="M222" i="190"/>
  <c r="M145" i="190"/>
  <c r="M146" i="190"/>
  <c r="M147" i="190"/>
  <c r="M148" i="190"/>
  <c r="M149" i="190"/>
  <c r="M150" i="190"/>
  <c r="M151" i="190"/>
  <c r="M152" i="190"/>
  <c r="M153" i="190"/>
  <c r="M154" i="190"/>
  <c r="M155" i="190"/>
  <c r="M156" i="190"/>
  <c r="M157" i="190"/>
  <c r="M158" i="190"/>
  <c r="M159" i="190"/>
  <c r="M223" i="190"/>
  <c r="M224" i="190"/>
  <c r="M225" i="190"/>
  <c r="M226" i="190"/>
  <c r="M160" i="190"/>
  <c r="M161" i="190"/>
  <c r="M162" i="190"/>
  <c r="M163" i="190"/>
  <c r="M164" i="190"/>
  <c r="M165" i="190"/>
  <c r="M166" i="190"/>
  <c r="M167" i="190"/>
  <c r="M227" i="190"/>
  <c r="M228" i="190"/>
  <c r="M229" i="190"/>
  <c r="M230" i="190"/>
  <c r="M231" i="190"/>
  <c r="M168" i="190"/>
  <c r="M169" i="190"/>
  <c r="M170" i="190"/>
  <c r="M171" i="190"/>
  <c r="M172" i="190"/>
  <c r="M173" i="190"/>
  <c r="M174" i="190"/>
  <c r="M175" i="190"/>
  <c r="M176" i="190"/>
  <c r="M177" i="190"/>
  <c r="M178" i="190"/>
  <c r="M179" i="190"/>
  <c r="M180" i="190"/>
  <c r="M181" i="190"/>
  <c r="M182" i="190"/>
  <c r="M183" i="190"/>
  <c r="M184" i="190"/>
  <c r="M185" i="190"/>
  <c r="M186" i="190"/>
  <c r="M187" i="190"/>
  <c r="M188" i="190"/>
  <c r="M189" i="190"/>
  <c r="M190" i="190"/>
  <c r="M191" i="190"/>
  <c r="M192" i="190"/>
  <c r="M193" i="190"/>
  <c r="M232" i="190"/>
  <c r="M233" i="190"/>
  <c r="M234" i="190"/>
  <c r="M194" i="190"/>
  <c r="M195" i="190"/>
  <c r="M196" i="190"/>
  <c r="M197" i="190"/>
  <c r="M198" i="190"/>
  <c r="M199" i="190"/>
  <c r="M200" i="190"/>
  <c r="M201" i="190"/>
  <c r="M202" i="190"/>
  <c r="M235" i="190"/>
  <c r="M236" i="190"/>
  <c r="M237" i="190"/>
  <c r="M142" i="190"/>
  <c r="M131" i="190"/>
  <c r="M132" i="190"/>
  <c r="M133" i="190"/>
  <c r="M134" i="190"/>
  <c r="M135" i="190"/>
  <c r="M136" i="190"/>
  <c r="M137" i="190"/>
  <c r="M138" i="190"/>
  <c r="M139" i="190"/>
  <c r="M116" i="190"/>
  <c r="M117" i="190"/>
  <c r="M118" i="190"/>
  <c r="M119" i="190"/>
  <c r="M120" i="190"/>
  <c r="M121" i="190"/>
  <c r="M122" i="190"/>
  <c r="M123" i="190"/>
  <c r="M124" i="190"/>
  <c r="M302" i="190"/>
  <c r="M303" i="190"/>
  <c r="M304" i="190"/>
  <c r="M305" i="190"/>
  <c r="M306" i="190"/>
  <c r="M307" i="190"/>
  <c r="M308" i="190"/>
  <c r="M309" i="190"/>
  <c r="M310" i="190"/>
  <c r="M311" i="190"/>
  <c r="M312" i="190"/>
  <c r="M313" i="190"/>
  <c r="M314" i="190"/>
  <c r="M315" i="190"/>
  <c r="M316" i="190"/>
  <c r="M317" i="190"/>
  <c r="M318" i="190"/>
  <c r="M319" i="190"/>
  <c r="M282" i="190"/>
  <c r="M251" i="190"/>
  <c r="M252" i="190"/>
  <c r="M283" i="190"/>
  <c r="M284" i="190"/>
  <c r="M285" i="190"/>
  <c r="M253" i="190"/>
  <c r="M254" i="190"/>
  <c r="M255" i="190"/>
  <c r="M286" i="190"/>
  <c r="M287" i="190"/>
  <c r="M288" i="190"/>
  <c r="M289" i="190"/>
  <c r="M290" i="190"/>
  <c r="M291" i="190"/>
  <c r="M292" i="190"/>
  <c r="M293" i="190"/>
  <c r="M294" i="190"/>
  <c r="M295" i="190"/>
  <c r="M296" i="190"/>
  <c r="M297" i="190"/>
  <c r="M298" i="190"/>
  <c r="M299" i="190"/>
  <c r="M300" i="190"/>
  <c r="M301" i="190"/>
  <c r="M269" i="190"/>
  <c r="M270" i="190"/>
  <c r="M271" i="190"/>
  <c r="M272" i="190"/>
  <c r="M273" i="190"/>
  <c r="M245" i="190"/>
  <c r="M246" i="190"/>
  <c r="M247" i="190"/>
  <c r="M248" i="190"/>
  <c r="M249" i="190"/>
  <c r="M250" i="190"/>
  <c r="M274" i="190"/>
  <c r="M275" i="190"/>
  <c r="M276" i="190"/>
  <c r="M140" i="190"/>
  <c r="M141" i="190"/>
  <c r="M277" i="190"/>
  <c r="M278" i="190"/>
  <c r="M279" i="190"/>
  <c r="M280" i="190"/>
  <c r="M281" i="190"/>
  <c r="M130" i="190"/>
  <c r="M17" i="190"/>
  <c r="M18" i="190"/>
  <c r="M256" i="190"/>
  <c r="M238" i="190"/>
  <c r="M239" i="190"/>
  <c r="M257" i="190"/>
  <c r="M258" i="190"/>
  <c r="M259" i="190"/>
  <c r="M260" i="190"/>
  <c r="M261" i="190"/>
  <c r="M262" i="190"/>
  <c r="M263" i="190"/>
  <c r="M264" i="190"/>
  <c r="M240" i="190"/>
  <c r="M241" i="190"/>
  <c r="M242" i="190"/>
  <c r="M243" i="190"/>
  <c r="M244" i="190"/>
  <c r="M265" i="190"/>
  <c r="M266" i="190"/>
  <c r="M267" i="190"/>
  <c r="M268" i="190"/>
  <c r="M31" i="190"/>
  <c r="M32" i="190"/>
  <c r="M33" i="190"/>
  <c r="M34" i="190"/>
  <c r="M3" i="190"/>
  <c r="M4" i="190"/>
  <c r="M5" i="190"/>
  <c r="M6" i="190"/>
  <c r="M7" i="190"/>
  <c r="M125" i="190"/>
  <c r="M126" i="190"/>
  <c r="M127" i="190"/>
  <c r="M128" i="190"/>
  <c r="M129" i="190"/>
  <c r="M14" i="190"/>
  <c r="M15" i="190"/>
  <c r="M16" i="190"/>
  <c r="M101" i="190"/>
  <c r="M102" i="190"/>
  <c r="M103" i="190"/>
  <c r="M104" i="190"/>
  <c r="M105" i="190"/>
  <c r="M106" i="190"/>
  <c r="M107" i="190"/>
  <c r="M108" i="190"/>
  <c r="M109" i="190"/>
  <c r="M110" i="190"/>
  <c r="M111" i="190"/>
  <c r="M112" i="190"/>
  <c r="M113" i="190"/>
  <c r="M114" i="190"/>
  <c r="M115" i="190"/>
  <c r="M339" i="190"/>
  <c r="M340" i="190"/>
  <c r="M341" i="190"/>
  <c r="M342" i="190"/>
  <c r="M343" i="190"/>
  <c r="M344" i="190"/>
  <c r="M345" i="190"/>
  <c r="M346" i="190"/>
  <c r="M347" i="190"/>
  <c r="M348" i="190"/>
  <c r="M349" i="190"/>
  <c r="M350" i="190"/>
  <c r="M351" i="190"/>
  <c r="M352" i="190"/>
  <c r="M353" i="190"/>
  <c r="M354" i="190"/>
  <c r="M355" i="190"/>
  <c r="M356" i="190"/>
  <c r="M13" i="190"/>
  <c r="M320" i="190"/>
  <c r="M321" i="190"/>
  <c r="M322" i="190"/>
  <c r="M323" i="190"/>
  <c r="M324" i="190"/>
  <c r="M325" i="190"/>
  <c r="M326" i="190"/>
  <c r="M327" i="190"/>
  <c r="M328" i="190"/>
  <c r="M329" i="190"/>
  <c r="M330" i="190"/>
  <c r="M331" i="190"/>
  <c r="M332" i="190"/>
  <c r="M333" i="190"/>
  <c r="M334" i="190"/>
  <c r="M335" i="190"/>
  <c r="M336" i="190"/>
  <c r="M337" i="190"/>
  <c r="M338" i="190"/>
  <c r="M20" i="190"/>
  <c r="M21" i="190"/>
  <c r="M22" i="190"/>
  <c r="M23" i="190"/>
  <c r="M24" i="190"/>
  <c r="M25" i="190"/>
  <c r="M26" i="190"/>
  <c r="M27" i="190"/>
  <c r="M28" i="190"/>
  <c r="M29" i="190"/>
  <c r="M30" i="190"/>
  <c r="M8" i="190"/>
  <c r="M9" i="190"/>
  <c r="M10" i="190"/>
  <c r="M38" i="190"/>
  <c r="M39" i="190"/>
  <c r="M40" i="190"/>
  <c r="M41" i="190"/>
  <c r="M42" i="190"/>
  <c r="M43" i="190"/>
  <c r="M44" i="190"/>
  <c r="M45" i="190"/>
  <c r="M46" i="190"/>
  <c r="M47" i="190"/>
  <c r="M48" i="190"/>
  <c r="M49" i="190"/>
  <c r="M50" i="190"/>
  <c r="M51" i="190"/>
  <c r="M52" i="190"/>
  <c r="M53" i="190"/>
  <c r="M54" i="190"/>
  <c r="M55" i="190"/>
  <c r="M11" i="190"/>
  <c r="M12" i="190"/>
  <c r="M56" i="190"/>
  <c r="M57" i="190"/>
  <c r="M58" i="190"/>
  <c r="M59" i="190"/>
  <c r="M60" i="190"/>
  <c r="M61" i="190"/>
  <c r="M62" i="190"/>
  <c r="M63" i="190"/>
  <c r="M64" i="190"/>
  <c r="M65" i="190"/>
  <c r="M66" i="190"/>
  <c r="M67" i="190"/>
  <c r="M68" i="190"/>
  <c r="M69" i="190"/>
  <c r="M70" i="190"/>
  <c r="M71" i="190"/>
  <c r="M72" i="190"/>
  <c r="M73" i="190"/>
  <c r="M74" i="190"/>
  <c r="M75" i="190"/>
  <c r="M76" i="190"/>
  <c r="M77" i="190"/>
  <c r="M78" i="190"/>
  <c r="M79" i="190"/>
  <c r="M80" i="190"/>
  <c r="M81" i="190"/>
  <c r="M82" i="190"/>
  <c r="M83" i="190"/>
  <c r="M84" i="190"/>
  <c r="M85" i="190"/>
  <c r="M86" i="190"/>
  <c r="M87" i="190"/>
  <c r="M88" i="190"/>
  <c r="M89" i="190"/>
  <c r="M90" i="190"/>
  <c r="M91" i="190"/>
  <c r="M92" i="190"/>
  <c r="M93" i="190"/>
  <c r="M94" i="190"/>
  <c r="M95" i="190"/>
  <c r="M96" i="190"/>
  <c r="M97" i="190"/>
  <c r="M98" i="190"/>
  <c r="M99" i="190"/>
  <c r="M100" i="190"/>
  <c r="M19" i="190"/>
  <c r="AA274" i="190"/>
  <c r="AA275" i="190"/>
  <c r="AA19" i="190"/>
  <c r="N33" i="194"/>
  <c r="E33" i="194"/>
  <c r="J62" i="166" a="1"/>
  <c r="J62" i="166" s="1"/>
  <c r="J65" i="166" a="1"/>
  <c r="J65" i="166" s="1"/>
  <c r="J42" i="166" a="1"/>
  <c r="J42" i="166" s="1"/>
  <c r="J46" i="166" a="1"/>
  <c r="J46" i="166" s="1"/>
  <c r="J44" i="166" a="1"/>
  <c r="J44" i="166" s="1"/>
  <c r="J53" i="166" a="1"/>
  <c r="J53" i="166" s="1"/>
  <c r="J45" i="166" a="1"/>
  <c r="J45" i="166" s="1"/>
  <c r="J50" i="166" a="1"/>
  <c r="J50" i="166" s="1"/>
  <c r="J48" i="166" a="1"/>
  <c r="J48" i="166" s="1"/>
  <c r="J49" i="166" a="1"/>
  <c r="J49" i="166" s="1"/>
  <c r="J41" i="166" a="1"/>
  <c r="J41" i="166" s="1"/>
  <c r="J43" i="166" a="1"/>
  <c r="J43" i="166" s="1"/>
  <c r="J47" i="166" a="1"/>
  <c r="J47" i="166" s="1"/>
  <c r="J38" i="166" a="1"/>
  <c r="J38" i="166" s="1"/>
  <c r="J28" i="166" a="1"/>
  <c r="J28" i="166" s="1"/>
  <c r="J35" i="166" a="1"/>
  <c r="J35" i="166" s="1"/>
  <c r="J29" i="166" a="1"/>
  <c r="J29" i="166" s="1"/>
  <c r="J37" i="166" a="1"/>
  <c r="J37" i="166" s="1"/>
  <c r="J27" i="166" a="1"/>
  <c r="J27" i="166" s="1"/>
  <c r="J33" i="166" a="1"/>
  <c r="J33" i="166" s="1"/>
  <c r="J34" i="166" a="1"/>
  <c r="J34" i="166" s="1"/>
  <c r="J25" i="166" a="1"/>
  <c r="J25" i="166" s="1"/>
  <c r="J26" i="166" a="1"/>
  <c r="J26" i="166" s="1"/>
  <c r="J36" i="166" a="1"/>
  <c r="J36" i="166" s="1"/>
  <c r="J22" i="166" a="1"/>
  <c r="J22" i="166" s="1"/>
  <c r="J24" i="166" a="1"/>
  <c r="J24" i="166" s="1"/>
  <c r="J23" i="166" a="1"/>
  <c r="J23" i="166" s="1"/>
  <c r="J57" i="166" a="1"/>
  <c r="J57" i="166" s="1"/>
  <c r="J58" i="166" a="1"/>
  <c r="J58" i="166" s="1"/>
  <c r="J56" i="166" a="1"/>
  <c r="J56" i="166" s="1"/>
  <c r="J54" i="166" a="1"/>
  <c r="J54" i="166" s="1"/>
  <c r="J55" i="166" a="1"/>
  <c r="J55" i="166" s="1"/>
  <c r="J59" i="166" a="1"/>
  <c r="J59" i="166" s="1"/>
  <c r="J61" i="166" a="1"/>
  <c r="J61" i="166" s="1"/>
  <c r="J60" i="166" a="1"/>
  <c r="J60" i="166" s="1"/>
  <c r="J98" i="166" a="1"/>
  <c r="J98" i="166" s="1"/>
  <c r="J97" i="166" a="1"/>
  <c r="J97" i="166" s="1"/>
  <c r="J104" i="166" a="1"/>
  <c r="J104" i="166" s="1"/>
  <c r="J106" i="166" a="1"/>
  <c r="J106" i="166" s="1"/>
  <c r="J101" i="166" a="1"/>
  <c r="J101" i="166" s="1"/>
  <c r="J102" i="166" a="1"/>
  <c r="J102" i="166" s="1"/>
  <c r="J91" i="166" a="1"/>
  <c r="J91" i="166" s="1"/>
  <c r="J90" i="166" a="1"/>
  <c r="J90" i="166" s="1"/>
  <c r="J86" i="166" a="1"/>
  <c r="J86" i="166" s="1"/>
  <c r="J82" i="166" a="1"/>
  <c r="J82" i="166" s="1"/>
  <c r="J87" i="166" a="1"/>
  <c r="J87" i="166" s="1"/>
  <c r="J85" i="166" a="1"/>
  <c r="J85" i="166" s="1"/>
  <c r="J94" i="166" a="1"/>
  <c r="J94" i="166" s="1"/>
  <c r="J84" i="166" a="1"/>
  <c r="J84" i="166" s="1"/>
  <c r="J83" i="166" a="1"/>
  <c r="J83" i="166" s="1"/>
  <c r="J96" i="166" a="1"/>
  <c r="J96" i="166" s="1"/>
  <c r="J95" i="166" a="1"/>
  <c r="J95" i="166" s="1"/>
  <c r="J72" i="166" a="1"/>
  <c r="J72" i="166" s="1"/>
  <c r="J77" i="166" a="1"/>
  <c r="J77" i="166" s="1"/>
  <c r="J68" i="166" a="1"/>
  <c r="J68" i="166" s="1"/>
  <c r="J69" i="166" a="1"/>
  <c r="J69" i="166" s="1"/>
  <c r="J79" i="166" a="1"/>
  <c r="J79" i="166" s="1"/>
  <c r="J76" i="166" a="1"/>
  <c r="J76" i="166" s="1"/>
  <c r="J71" i="166" a="1"/>
  <c r="J71" i="166" s="1"/>
  <c r="J75" i="166" a="1"/>
  <c r="J75" i="166" s="1"/>
  <c r="J78" i="166" a="1"/>
  <c r="J78" i="166" s="1"/>
  <c r="J67" i="166" a="1"/>
  <c r="J67" i="166" s="1"/>
  <c r="J70" i="166" a="1"/>
  <c r="J70" i="166" s="1"/>
  <c r="J66" i="166" a="1"/>
  <c r="J66" i="166" s="1"/>
  <c r="Z25" i="190"/>
  <c r="Z24" i="190"/>
  <c r="T24" i="190"/>
  <c r="T25" i="190"/>
  <c r="T26" i="190"/>
  <c r="Y11" i="190" l="1"/>
  <c r="AJ221" i="190"/>
  <c r="AJ280" i="190"/>
  <c r="AJ317" i="190"/>
  <c r="AJ303" i="190"/>
  <c r="AJ289" i="190"/>
  <c r="AJ283" i="190"/>
  <c r="AJ258" i="190"/>
  <c r="AJ101" i="190"/>
  <c r="AJ337" i="190"/>
  <c r="AJ26" i="190"/>
  <c r="AJ309" i="190"/>
  <c r="AJ293" i="190"/>
  <c r="AJ274" i="190"/>
  <c r="AJ266" i="190"/>
  <c r="AJ257" i="190"/>
  <c r="AJ7" i="190"/>
  <c r="AJ112" i="190"/>
  <c r="AJ348" i="190"/>
  <c r="AJ336" i="190"/>
  <c r="AJ324" i="190"/>
  <c r="AJ25" i="190"/>
  <c r="AJ316" i="190"/>
  <c r="AJ279" i="190"/>
  <c r="AJ315" i="190"/>
  <c r="AJ278" i="190"/>
  <c r="AJ354" i="190"/>
  <c r="AJ330" i="190"/>
  <c r="AJ300" i="190"/>
  <c r="AJ273" i="190"/>
  <c r="AJ341" i="190"/>
  <c r="AJ299" i="190"/>
  <c r="AJ270" i="190"/>
  <c r="AJ328" i="190"/>
  <c r="AJ260" i="190"/>
  <c r="AJ103" i="190"/>
  <c r="AJ327" i="190"/>
  <c r="AJ28" i="190"/>
  <c r="AJ214" i="190"/>
  <c r="AJ284" i="190"/>
  <c r="AJ268" i="190"/>
  <c r="AJ114" i="190"/>
  <c r="AJ338" i="190"/>
  <c r="AJ27" i="190"/>
  <c r="AJ296" i="190"/>
  <c r="AJ204" i="190"/>
  <c r="AJ308" i="190"/>
  <c r="AJ292" i="190"/>
  <c r="AJ265" i="190"/>
  <c r="AJ6" i="190"/>
  <c r="AJ111" i="190"/>
  <c r="AJ347" i="190"/>
  <c r="AJ335" i="190"/>
  <c r="AJ323" i="190"/>
  <c r="AJ24" i="190"/>
  <c r="AJ302" i="190"/>
  <c r="AJ287" i="190"/>
  <c r="AJ263" i="190"/>
  <c r="AJ286" i="190"/>
  <c r="AJ262" i="190"/>
  <c r="AJ329" i="190"/>
  <c r="AJ313" i="190"/>
  <c r="AJ261" i="190"/>
  <c r="AJ340" i="190"/>
  <c r="AJ216" i="190"/>
  <c r="AJ298" i="190"/>
  <c r="AJ269" i="190"/>
  <c r="AJ115" i="190"/>
  <c r="AJ339" i="190"/>
  <c r="AJ311" i="190"/>
  <c r="AJ276" i="190"/>
  <c r="AJ350" i="190"/>
  <c r="AJ326" i="190"/>
  <c r="AJ275" i="190"/>
  <c r="AJ113" i="190"/>
  <c r="AJ325" i="190"/>
  <c r="AJ305" i="190"/>
  <c r="AJ291" i="190"/>
  <c r="AJ282" i="190"/>
  <c r="AJ5" i="190"/>
  <c r="AJ110" i="190"/>
  <c r="AJ346" i="190"/>
  <c r="AJ334" i="190"/>
  <c r="AJ322" i="190"/>
  <c r="AJ23" i="190"/>
  <c r="AJ288" i="190"/>
  <c r="AJ301" i="190"/>
  <c r="AJ342" i="190"/>
  <c r="AJ314" i="190"/>
  <c r="AJ277" i="190"/>
  <c r="AJ353" i="190"/>
  <c r="AJ352" i="190"/>
  <c r="AJ312" i="190"/>
  <c r="AJ351" i="190"/>
  <c r="AJ297" i="190"/>
  <c r="AJ259" i="190"/>
  <c r="AJ102" i="190"/>
  <c r="AJ310" i="190"/>
  <c r="AJ267" i="190"/>
  <c r="AJ349" i="190"/>
  <c r="AJ143" i="190"/>
  <c r="AJ304" i="190"/>
  <c r="AJ290" i="190"/>
  <c r="AJ281" i="190"/>
  <c r="AJ256" i="190"/>
  <c r="AJ345" i="190"/>
  <c r="AJ333" i="190"/>
  <c r="V26" i="190" a="1"/>
  <c r="V26" i="190" s="1"/>
  <c r="V25" i="190" a="1"/>
  <c r="V25" i="190" s="1"/>
  <c r="V24" i="190" a="1"/>
  <c r="V24" i="190" s="1"/>
  <c r="W19" i="190"/>
  <c r="AJ319" i="190"/>
  <c r="AJ307" i="190"/>
  <c r="AJ295" i="190"/>
  <c r="AJ253" i="190"/>
  <c r="AJ272" i="190"/>
  <c r="AJ203" i="190"/>
  <c r="AJ318" i="190"/>
  <c r="AJ306" i="190"/>
  <c r="AJ294" i="190"/>
  <c r="AJ285" i="190"/>
  <c r="AJ271" i="190"/>
  <c r="AJ222" i="190"/>
  <c r="AJ210" i="190"/>
  <c r="AJ209" i="190"/>
  <c r="AJ208" i="190"/>
  <c r="AJ215" i="190"/>
  <c r="AJ207" i="190"/>
  <c r="N19" i="190"/>
  <c r="AM19" i="190" l="1"/>
  <c r="Y19" i="190"/>
  <c r="U24" i="190"/>
  <c r="U25" i="190"/>
  <c r="U26" i="190"/>
  <c r="V85" i="190" a="1"/>
  <c r="V85" i="190" s="1"/>
  <c r="V87" i="190" a="1"/>
  <c r="V87" i="190" s="1"/>
  <c r="V84" i="190" a="1"/>
  <c r="V84" i="190" s="1"/>
  <c r="V92" i="190" a="1"/>
  <c r="V92" i="190" s="1"/>
  <c r="V91" i="190" a="1"/>
  <c r="V91" i="190" s="1"/>
  <c r="V90" i="190" a="1"/>
  <c r="V90" i="190" s="1"/>
  <c r="V89" i="190" a="1"/>
  <c r="V89" i="190" s="1"/>
  <c r="V88" i="190" a="1"/>
  <c r="V88" i="190" s="1"/>
  <c r="V86" i="190" a="1"/>
  <c r="V86" i="190" s="1"/>
  <c r="V93" i="190" a="1"/>
  <c r="V93" i="190" s="1"/>
  <c r="P7" i="190"/>
  <c r="U84" i="190" l="1"/>
  <c r="U90" i="190"/>
  <c r="U91" i="190"/>
  <c r="U92" i="190"/>
  <c r="U87" i="190"/>
  <c r="U85" i="190"/>
  <c r="U93" i="190"/>
  <c r="U86" i="190"/>
  <c r="U88" i="190"/>
  <c r="U89" i="190"/>
  <c r="R264" i="190"/>
  <c r="S264" i="190" s="1"/>
  <c r="S20" i="190"/>
  <c r="S21" i="190"/>
  <c r="S22" i="190"/>
  <c r="S23" i="190"/>
  <c r="S24" i="190"/>
  <c r="S25" i="190"/>
  <c r="S26" i="190"/>
  <c r="S27" i="190"/>
  <c r="S28" i="190"/>
  <c r="S29" i="190"/>
  <c r="S30" i="190"/>
  <c r="S8" i="190"/>
  <c r="S9" i="190"/>
  <c r="S10" i="190"/>
  <c r="S38" i="190"/>
  <c r="S39" i="190"/>
  <c r="S40" i="190"/>
  <c r="S41" i="190"/>
  <c r="S42" i="190"/>
  <c r="S43" i="190"/>
  <c r="S44" i="190"/>
  <c r="S45" i="190"/>
  <c r="S46" i="190"/>
  <c r="S47" i="190"/>
  <c r="S48" i="190"/>
  <c r="S49" i="190"/>
  <c r="S50" i="190"/>
  <c r="S51" i="190"/>
  <c r="S52" i="190"/>
  <c r="S53" i="190"/>
  <c r="S54" i="190"/>
  <c r="S55" i="190"/>
  <c r="S11" i="190"/>
  <c r="S12" i="190"/>
  <c r="S56" i="190"/>
  <c r="S57" i="190"/>
  <c r="S58" i="190"/>
  <c r="S59" i="190"/>
  <c r="S60" i="190"/>
  <c r="S61" i="190"/>
  <c r="S62" i="190"/>
  <c r="S63" i="190"/>
  <c r="S64" i="190"/>
  <c r="S65" i="190"/>
  <c r="S66" i="190"/>
  <c r="S67" i="190"/>
  <c r="S68" i="190"/>
  <c r="S69" i="190"/>
  <c r="S70" i="190"/>
  <c r="S71" i="190"/>
  <c r="S72" i="190"/>
  <c r="S73" i="190"/>
  <c r="S74" i="190"/>
  <c r="S75" i="190"/>
  <c r="S76" i="190"/>
  <c r="S77" i="190"/>
  <c r="S78" i="190"/>
  <c r="S79" i="190"/>
  <c r="S80" i="190"/>
  <c r="S81" i="190"/>
  <c r="S82" i="190"/>
  <c r="S83" i="190"/>
  <c r="S84" i="190"/>
  <c r="S85" i="190"/>
  <c r="S86" i="190"/>
  <c r="S87" i="190"/>
  <c r="S88" i="190"/>
  <c r="S89" i="190"/>
  <c r="S90" i="190"/>
  <c r="S91" i="190"/>
  <c r="S92" i="190"/>
  <c r="S93" i="190"/>
  <c r="S94" i="190"/>
  <c r="S95" i="190"/>
  <c r="S96" i="190"/>
  <c r="S97" i="190"/>
  <c r="S98" i="190"/>
  <c r="S99" i="190"/>
  <c r="S100" i="190"/>
  <c r="S320" i="190"/>
  <c r="S321" i="190"/>
  <c r="S322" i="190"/>
  <c r="S323" i="190"/>
  <c r="S324" i="190"/>
  <c r="S325" i="190"/>
  <c r="S326" i="190"/>
  <c r="S327" i="190"/>
  <c r="S328" i="190"/>
  <c r="S329" i="190"/>
  <c r="S330" i="190"/>
  <c r="S331" i="190"/>
  <c r="S332" i="190"/>
  <c r="S333" i="190"/>
  <c r="S334" i="190"/>
  <c r="S335" i="190"/>
  <c r="S336" i="190"/>
  <c r="S337" i="190"/>
  <c r="S338" i="190"/>
  <c r="S339" i="190"/>
  <c r="S340" i="190"/>
  <c r="S341" i="190"/>
  <c r="S342" i="190"/>
  <c r="S343" i="190"/>
  <c r="S344" i="190"/>
  <c r="S345" i="190"/>
  <c r="S346" i="190"/>
  <c r="S347" i="190"/>
  <c r="S348" i="190"/>
  <c r="S349" i="190"/>
  <c r="S350" i="190"/>
  <c r="S351" i="190"/>
  <c r="S352" i="190"/>
  <c r="S353" i="190"/>
  <c r="S354" i="190"/>
  <c r="S355" i="190"/>
  <c r="S356" i="190"/>
  <c r="S13" i="190"/>
  <c r="S14" i="190"/>
  <c r="S15" i="190"/>
  <c r="S16" i="190"/>
  <c r="S101" i="190"/>
  <c r="S102" i="190"/>
  <c r="S103" i="190"/>
  <c r="S104" i="190"/>
  <c r="S105" i="190"/>
  <c r="S106" i="190"/>
  <c r="S107" i="190"/>
  <c r="S108" i="190"/>
  <c r="S109" i="190"/>
  <c r="S110" i="190"/>
  <c r="S111" i="190"/>
  <c r="S112" i="190"/>
  <c r="S113" i="190"/>
  <c r="S114" i="190"/>
  <c r="S115" i="190"/>
  <c r="S31" i="190"/>
  <c r="S32" i="190"/>
  <c r="S33" i="190"/>
  <c r="S34" i="190"/>
  <c r="S3" i="190"/>
  <c r="S4" i="190"/>
  <c r="S5" i="190"/>
  <c r="S6" i="190"/>
  <c r="S7" i="190"/>
  <c r="S125" i="190"/>
  <c r="S126" i="190"/>
  <c r="S127" i="190"/>
  <c r="S128" i="190"/>
  <c r="S129" i="190"/>
  <c r="S130" i="190"/>
  <c r="S17" i="190"/>
  <c r="S18" i="190"/>
  <c r="S256" i="190"/>
  <c r="S238" i="190"/>
  <c r="S239" i="190"/>
  <c r="S274" i="190"/>
  <c r="S275" i="190"/>
  <c r="S276" i="190"/>
  <c r="S280" i="190"/>
  <c r="S281" i="190"/>
  <c r="S282" i="190"/>
  <c r="S251" i="190"/>
  <c r="S252" i="190"/>
  <c r="S286" i="190"/>
  <c r="S287" i="190"/>
  <c r="S288" i="190"/>
  <c r="S145" i="190"/>
  <c r="S146" i="190"/>
  <c r="S147" i="190"/>
  <c r="S148" i="190"/>
  <c r="S149" i="190"/>
  <c r="S150" i="190"/>
  <c r="S151" i="190"/>
  <c r="S152" i="190"/>
  <c r="S168" i="190"/>
  <c r="S169" i="190"/>
  <c r="S170" i="190"/>
  <c r="S171" i="190"/>
  <c r="S172" i="190"/>
  <c r="S173" i="190"/>
  <c r="S174" i="190"/>
  <c r="S175" i="190"/>
  <c r="S176" i="190"/>
  <c r="S177" i="190"/>
  <c r="S178" i="190"/>
  <c r="S179" i="190"/>
  <c r="S180" i="190"/>
  <c r="S181" i="190"/>
  <c r="S182" i="190"/>
  <c r="S183" i="190"/>
  <c r="S184" i="190"/>
  <c r="S185" i="190"/>
  <c r="S186" i="190"/>
  <c r="S187" i="190"/>
  <c r="S188" i="190"/>
  <c r="S189" i="190"/>
  <c r="S190" i="190"/>
  <c r="S191" i="190"/>
  <c r="S192" i="190"/>
  <c r="S193" i="190"/>
  <c r="S232" i="190"/>
  <c r="S233" i="190"/>
  <c r="S234" i="190"/>
  <c r="S194" i="190"/>
  <c r="S195" i="190"/>
  <c r="S196" i="190"/>
  <c r="S197" i="190"/>
  <c r="S198" i="190"/>
  <c r="S199" i="190"/>
  <c r="S200" i="190"/>
  <c r="S201" i="190"/>
  <c r="S202" i="190"/>
  <c r="S235" i="190"/>
  <c r="S236" i="190"/>
  <c r="S237" i="190"/>
  <c r="S142" i="190"/>
  <c r="S131" i="190"/>
  <c r="S132" i="190"/>
  <c r="S133" i="190"/>
  <c r="S134" i="190"/>
  <c r="S135" i="190"/>
  <c r="S136" i="190"/>
  <c r="S137" i="190"/>
  <c r="S138" i="190"/>
  <c r="S139" i="190"/>
  <c r="S116" i="190"/>
  <c r="S117" i="190"/>
  <c r="S118" i="190"/>
  <c r="S119" i="190"/>
  <c r="S120" i="190"/>
  <c r="S121" i="190"/>
  <c r="S122" i="190"/>
  <c r="S123" i="190"/>
  <c r="S124" i="190"/>
  <c r="S19" i="190"/>
  <c r="X264" i="190" l="1"/>
  <c r="F15" i="191"/>
  <c r="G17" i="190"/>
  <c r="J17" i="190" s="1" a="1"/>
  <c r="J17" i="190" s="1"/>
  <c r="J32" i="166" l="1" a="1"/>
  <c r="J32" i="166" s="1"/>
  <c r="AI35" i="190"/>
  <c r="AI36" i="190"/>
  <c r="AI37" i="190"/>
  <c r="R247" i="190" l="1"/>
  <c r="R242" i="190"/>
  <c r="AA35" i="190"/>
  <c r="R37" i="190"/>
  <c r="R36" i="190"/>
  <c r="X36" i="190" l="1"/>
  <c r="X37" i="190"/>
  <c r="X242" i="190"/>
  <c r="X247" i="190"/>
  <c r="S242" i="190"/>
  <c r="S247" i="190"/>
  <c r="S36" i="190"/>
  <c r="S37" i="190"/>
  <c r="AA36" i="190"/>
  <c r="AA37" i="190"/>
  <c r="W36" i="190" l="1"/>
  <c r="W37" i="190"/>
  <c r="AI31" i="190"/>
  <c r="AI32" i="190"/>
  <c r="AI33" i="190"/>
  <c r="AI34" i="190"/>
  <c r="AI129" i="190"/>
  <c r="AI130" i="190"/>
  <c r="AI17" i="190"/>
  <c r="AI145" i="190"/>
  <c r="AI146" i="190"/>
  <c r="AI147" i="190"/>
  <c r="AI148" i="190"/>
  <c r="AI149" i="190"/>
  <c r="AI150" i="190"/>
  <c r="AI151" i="190"/>
  <c r="AI152" i="190"/>
  <c r="AI153" i="190"/>
  <c r="AI154" i="190"/>
  <c r="AI155" i="190"/>
  <c r="AI156" i="190"/>
  <c r="AI157" i="190"/>
  <c r="AI158" i="190"/>
  <c r="AI159" i="190"/>
  <c r="AI223" i="190"/>
  <c r="AI224" i="190"/>
  <c r="AI225" i="190"/>
  <c r="AI226" i="190"/>
  <c r="AI160" i="190"/>
  <c r="AI161" i="190"/>
  <c r="AI162" i="190"/>
  <c r="AI163" i="190"/>
  <c r="AI164" i="190"/>
  <c r="AI165" i="190"/>
  <c r="AI166" i="190"/>
  <c r="AI167" i="190"/>
  <c r="AI227" i="190"/>
  <c r="AI228" i="190"/>
  <c r="AI229" i="190"/>
  <c r="AI230" i="190"/>
  <c r="AI231" i="190"/>
  <c r="AI168" i="190"/>
  <c r="AI169" i="190"/>
  <c r="AI170" i="190"/>
  <c r="AI171" i="190"/>
  <c r="AI172" i="190"/>
  <c r="AI173" i="190"/>
  <c r="AI174" i="190"/>
  <c r="AI175" i="190"/>
  <c r="AI176" i="190"/>
  <c r="AI177" i="190"/>
  <c r="AI178" i="190"/>
  <c r="AI179" i="190"/>
  <c r="AI180" i="190"/>
  <c r="AI181" i="190"/>
  <c r="AI182" i="190"/>
  <c r="AI183" i="190"/>
  <c r="AI184" i="190"/>
  <c r="AI185" i="190"/>
  <c r="AI186" i="190"/>
  <c r="AI187" i="190"/>
  <c r="AI188" i="190"/>
  <c r="AI189" i="190"/>
  <c r="AI190" i="190"/>
  <c r="AI191" i="190"/>
  <c r="AI192" i="190"/>
  <c r="AI193" i="190"/>
  <c r="AI232" i="190"/>
  <c r="AI233" i="190"/>
  <c r="AI234" i="190"/>
  <c r="AI194" i="190"/>
  <c r="AI195" i="190"/>
  <c r="AI196" i="190"/>
  <c r="AI197" i="190"/>
  <c r="AI198" i="190"/>
  <c r="AI199" i="190"/>
  <c r="AI200" i="190"/>
  <c r="AI201" i="190"/>
  <c r="AI202" i="190"/>
  <c r="AI235" i="190"/>
  <c r="AI236" i="190"/>
  <c r="AI237" i="190"/>
  <c r="AI142" i="190"/>
  <c r="AI131" i="190"/>
  <c r="AI132" i="190"/>
  <c r="AI133" i="190"/>
  <c r="AI134" i="190"/>
  <c r="AI135" i="190"/>
  <c r="AI136" i="190"/>
  <c r="AI137" i="190"/>
  <c r="AI138" i="190"/>
  <c r="AI139" i="190"/>
  <c r="AI116" i="190"/>
  <c r="AI117" i="190"/>
  <c r="AI118" i="190"/>
  <c r="AI119" i="190"/>
  <c r="AI120" i="190"/>
  <c r="AI121" i="190"/>
  <c r="AI122" i="190"/>
  <c r="AI123" i="190"/>
  <c r="AI124" i="190"/>
  <c r="AI140" i="190"/>
  <c r="AI212" i="190"/>
  <c r="AI213" i="190"/>
  <c r="AI218" i="190"/>
  <c r="AI144" i="190"/>
  <c r="AI210" i="190"/>
  <c r="AI240" i="190"/>
  <c r="AI263" i="190"/>
  <c r="AI106" i="190"/>
  <c r="AI41" i="190"/>
  <c r="AI330" i="190"/>
  <c r="AJ19" i="190"/>
  <c r="AN19" i="190" s="1"/>
  <c r="AI11" i="190"/>
  <c r="AI18" i="190"/>
  <c r="AI3" i="190"/>
  <c r="AI125" i="190"/>
  <c r="L33" i="195"/>
  <c r="L34" i="195" s="1"/>
  <c r="L35" i="195" s="1"/>
  <c r="L36" i="195" s="1"/>
  <c r="L37" i="195" s="1"/>
  <c r="K33" i="195"/>
  <c r="K34" i="195" s="1"/>
  <c r="K35" i="195" s="1"/>
  <c r="K36" i="195" s="1"/>
  <c r="K37" i="195" s="1"/>
  <c r="J33" i="195"/>
  <c r="J34" i="195" s="1"/>
  <c r="J35" i="195" s="1"/>
  <c r="J36" i="195" s="1"/>
  <c r="J37" i="195" s="1"/>
  <c r="I33" i="195"/>
  <c r="I34" i="195" s="1"/>
  <c r="I35" i="195" s="1"/>
  <c r="I36" i="195" s="1"/>
  <c r="I37" i="195" s="1"/>
  <c r="H33" i="195"/>
  <c r="H34" i="195" s="1"/>
  <c r="H35" i="195" s="1"/>
  <c r="H36" i="195" s="1"/>
  <c r="H37" i="195" s="1"/>
  <c r="G33" i="195"/>
  <c r="G34" i="195" s="1"/>
  <c r="G35" i="195" s="1"/>
  <c r="G36" i="195" s="1"/>
  <c r="G37" i="195" s="1"/>
  <c r="F33" i="195"/>
  <c r="F34" i="195" s="1"/>
  <c r="F35" i="195" s="1"/>
  <c r="F36" i="195" s="1"/>
  <c r="F37" i="195" s="1"/>
  <c r="E33" i="195"/>
  <c r="E34" i="195" s="1"/>
  <c r="E35" i="195" s="1"/>
  <c r="E36" i="195" s="1"/>
  <c r="E37" i="195" s="1"/>
  <c r="D33" i="195"/>
  <c r="D34" i="195" s="1"/>
  <c r="D35" i="195" s="1"/>
  <c r="D36" i="195" s="1"/>
  <c r="D37" i="195" s="1"/>
  <c r="C33" i="195"/>
  <c r="C34" i="195" s="1"/>
  <c r="C35" i="195" s="1"/>
  <c r="C36" i="195" s="1"/>
  <c r="C37" i="195" s="1"/>
  <c r="B33" i="195"/>
  <c r="B35" i="195" s="1"/>
  <c r="B36" i="195" s="1"/>
  <c r="B37" i="195" s="1"/>
  <c r="N34" i="194"/>
  <c r="N35" i="194" s="1"/>
  <c r="N36" i="194" s="1"/>
  <c r="M33" i="194"/>
  <c r="M34" i="194" s="1"/>
  <c r="M35" i="194" s="1"/>
  <c r="M36" i="194" s="1"/>
  <c r="L33" i="194"/>
  <c r="L34" i="194" s="1"/>
  <c r="L35" i="194" s="1"/>
  <c r="L36" i="194" s="1"/>
  <c r="K33" i="194"/>
  <c r="K34" i="194" s="1"/>
  <c r="K35" i="194" s="1"/>
  <c r="K36" i="194" s="1"/>
  <c r="J33" i="194"/>
  <c r="J34" i="194" s="1"/>
  <c r="J35" i="194" s="1"/>
  <c r="J36" i="194" s="1"/>
  <c r="I33" i="194"/>
  <c r="I34" i="194" s="1"/>
  <c r="I35" i="194" s="1"/>
  <c r="I36" i="194" s="1"/>
  <c r="H33" i="194"/>
  <c r="H34" i="194" s="1"/>
  <c r="H35" i="194" s="1"/>
  <c r="H36" i="194" s="1"/>
  <c r="G33" i="194"/>
  <c r="G34" i="194" s="1"/>
  <c r="G35" i="194" s="1"/>
  <c r="G36" i="194" s="1"/>
  <c r="F33" i="194"/>
  <c r="F34" i="194" s="1"/>
  <c r="F35" i="194" s="1"/>
  <c r="F36" i="194" s="1"/>
  <c r="E34" i="194"/>
  <c r="E35" i="194" s="1"/>
  <c r="E36" i="194" s="1"/>
  <c r="D33" i="194"/>
  <c r="D34" i="194" s="1"/>
  <c r="D35" i="194" s="1"/>
  <c r="D36" i="194" s="1"/>
  <c r="C33" i="194"/>
  <c r="C34" i="194" s="1"/>
  <c r="C35" i="194" s="1"/>
  <c r="C36" i="194" s="1"/>
  <c r="B33" i="194"/>
  <c r="B34" i="194" s="1"/>
  <c r="B35" i="194" s="1"/>
  <c r="BC155" i="190" l="1"/>
  <c r="BC154" i="190"/>
  <c r="AQ19" i="190"/>
  <c r="Y37" i="190"/>
  <c r="Y36" i="190"/>
  <c r="AI211" i="190"/>
  <c r="AI291" i="190"/>
  <c r="AI252" i="190"/>
  <c r="AI104" i="190"/>
  <c r="AI274" i="190"/>
  <c r="AI352" i="190"/>
  <c r="AI268" i="190"/>
  <c r="AI340" i="190"/>
  <c r="AI261" i="190"/>
  <c r="AI328" i="190"/>
  <c r="AI97" i="190"/>
  <c r="AI85" i="190"/>
  <c r="AI73" i="190"/>
  <c r="AI220" i="190"/>
  <c r="AI128" i="190"/>
  <c r="AI61" i="190"/>
  <c r="AI208" i="190"/>
  <c r="AI51" i="190"/>
  <c r="AI315" i="190"/>
  <c r="AI303" i="190"/>
  <c r="AI221" i="190"/>
  <c r="AI209" i="190"/>
  <c r="AI316" i="190"/>
  <c r="AI304" i="190"/>
  <c r="AI292" i="190"/>
  <c r="AI283" i="190"/>
  <c r="AI275" i="190"/>
  <c r="AI269" i="190"/>
  <c r="AI262" i="190"/>
  <c r="AI105" i="190"/>
  <c r="AI353" i="190"/>
  <c r="AI341" i="190"/>
  <c r="AI329" i="190"/>
  <c r="AI98" i="190"/>
  <c r="AI86" i="190"/>
  <c r="AI74" i="190"/>
  <c r="AI62" i="190"/>
  <c r="AI52" i="190"/>
  <c r="AI219" i="190"/>
  <c r="AI207" i="190"/>
  <c r="AI314" i="190"/>
  <c r="AI302" i="190"/>
  <c r="AI290" i="190"/>
  <c r="AI251" i="190"/>
  <c r="AI250" i="190"/>
  <c r="AI267" i="190"/>
  <c r="AI260" i="190"/>
  <c r="AI127" i="190"/>
  <c r="AI115" i="190"/>
  <c r="AI103" i="190"/>
  <c r="AI351" i="190"/>
  <c r="AI339" i="190"/>
  <c r="AI327" i="190"/>
  <c r="AI96" i="190"/>
  <c r="AI84" i="190"/>
  <c r="AI72" i="190"/>
  <c r="AI60" i="190"/>
  <c r="AI50" i="190"/>
  <c r="AI206" i="190"/>
  <c r="AI313" i="190"/>
  <c r="AI301" i="190"/>
  <c r="AI289" i="190"/>
  <c r="AI282" i="190"/>
  <c r="AI249" i="190"/>
  <c r="AI266" i="190"/>
  <c r="AI259" i="190"/>
  <c r="AI126" i="190"/>
  <c r="AI114" i="190"/>
  <c r="AI102" i="190"/>
  <c r="AI350" i="190"/>
  <c r="AI338" i="190"/>
  <c r="AI326" i="190"/>
  <c r="AI95" i="190"/>
  <c r="AI83" i="190"/>
  <c r="AI71" i="190"/>
  <c r="AI59" i="190"/>
  <c r="AI49" i="190"/>
  <c r="AI217" i="190"/>
  <c r="AI205" i="190"/>
  <c r="AI312" i="190"/>
  <c r="AI300" i="190"/>
  <c r="AI288" i="190"/>
  <c r="AI281" i="190"/>
  <c r="AI248" i="190"/>
  <c r="AI265" i="190"/>
  <c r="AI258" i="190"/>
  <c r="AI113" i="190"/>
  <c r="AI101" i="190"/>
  <c r="AI349" i="190"/>
  <c r="AI337" i="190"/>
  <c r="AI325" i="190"/>
  <c r="AI94" i="190"/>
  <c r="AI82" i="190"/>
  <c r="AI70" i="190"/>
  <c r="AI58" i="190"/>
  <c r="AI48" i="190"/>
  <c r="AI216" i="190"/>
  <c r="AI204" i="190"/>
  <c r="AI311" i="190"/>
  <c r="AI299" i="190"/>
  <c r="AI287" i="190"/>
  <c r="AI280" i="190"/>
  <c r="AI247" i="190"/>
  <c r="AI244" i="190"/>
  <c r="AI257" i="190"/>
  <c r="AI7" i="190"/>
  <c r="AI112" i="190"/>
  <c r="AI16" i="190"/>
  <c r="AI348" i="190"/>
  <c r="AI336" i="190"/>
  <c r="AI324" i="190"/>
  <c r="AI93" i="190"/>
  <c r="AI81" i="190"/>
  <c r="AI69" i="190"/>
  <c r="AI57" i="190"/>
  <c r="AI47" i="190"/>
  <c r="AI215" i="190"/>
  <c r="AI203" i="190"/>
  <c r="AI310" i="190"/>
  <c r="AI298" i="190"/>
  <c r="AI286" i="190"/>
  <c r="AI279" i="190"/>
  <c r="AI246" i="190"/>
  <c r="AI243" i="190"/>
  <c r="AI239" i="190"/>
  <c r="BC158" i="190" s="1"/>
  <c r="AI6" i="190"/>
  <c r="AI111" i="190"/>
  <c r="AI15" i="190"/>
  <c r="AI347" i="190"/>
  <c r="AI335" i="190"/>
  <c r="AI323" i="190"/>
  <c r="AI92" i="190"/>
  <c r="AI80" i="190"/>
  <c r="AI68" i="190"/>
  <c r="AI56" i="190"/>
  <c r="AI46" i="190"/>
  <c r="AI214" i="190"/>
  <c r="AI309" i="190"/>
  <c r="AI297" i="190"/>
  <c r="AI255" i="190"/>
  <c r="AI278" i="190"/>
  <c r="AI245" i="190"/>
  <c r="AI242" i="190"/>
  <c r="AI238" i="190"/>
  <c r="BC157" i="190" s="1"/>
  <c r="AI5" i="190"/>
  <c r="AI110" i="190"/>
  <c r="AI14" i="190"/>
  <c r="AI346" i="190"/>
  <c r="AI334" i="190"/>
  <c r="AI322" i="190"/>
  <c r="AI91" i="190"/>
  <c r="AI79" i="190"/>
  <c r="AI67" i="190"/>
  <c r="AI12" i="190"/>
  <c r="AI45" i="190"/>
  <c r="AI143" i="190"/>
  <c r="BC240" i="190" s="1"/>
  <c r="AI308" i="190"/>
  <c r="AI296" i="190"/>
  <c r="AI254" i="190"/>
  <c r="AI277" i="190"/>
  <c r="AI273" i="190"/>
  <c r="AI241" i="190"/>
  <c r="BC241" i="190" s="1"/>
  <c r="AI256" i="190"/>
  <c r="AI4" i="190"/>
  <c r="AI109" i="190"/>
  <c r="AI13" i="190"/>
  <c r="AI345" i="190"/>
  <c r="AI333" i="190"/>
  <c r="AI321" i="190"/>
  <c r="AI90" i="190"/>
  <c r="AI78" i="190"/>
  <c r="AI66" i="190"/>
  <c r="AI44" i="190"/>
  <c r="AI319" i="190"/>
  <c r="AI307" i="190"/>
  <c r="AI295" i="190"/>
  <c r="AI253" i="190"/>
  <c r="AI141" i="190"/>
  <c r="AI272" i="190"/>
  <c r="AI108" i="190"/>
  <c r="AI356" i="190"/>
  <c r="AI344" i="190"/>
  <c r="AI332" i="190"/>
  <c r="AI320" i="190"/>
  <c r="AI89" i="190"/>
  <c r="AI77" i="190"/>
  <c r="AI65" i="190"/>
  <c r="AI55" i="190"/>
  <c r="AI43" i="190"/>
  <c r="AI318" i="190"/>
  <c r="AI306" i="190"/>
  <c r="AI294" i="190"/>
  <c r="AI285" i="190"/>
  <c r="AI271" i="190"/>
  <c r="AI264" i="190"/>
  <c r="AI107" i="190"/>
  <c r="AI355" i="190"/>
  <c r="AI343" i="190"/>
  <c r="AI331" i="190"/>
  <c r="AI100" i="190"/>
  <c r="AI88" i="190"/>
  <c r="AI76" i="190"/>
  <c r="AI64" i="190"/>
  <c r="AI54" i="190"/>
  <c r="AI42" i="190"/>
  <c r="AI222" i="190"/>
  <c r="AI317" i="190"/>
  <c r="AI305" i="190"/>
  <c r="AI293" i="190"/>
  <c r="AI284" i="190"/>
  <c r="AI276" i="190"/>
  <c r="AI270" i="190"/>
  <c r="AI354" i="190"/>
  <c r="AI342" i="190"/>
  <c r="AI99" i="190"/>
  <c r="AI87" i="190"/>
  <c r="AI75" i="190"/>
  <c r="AI63" i="190"/>
  <c r="AI53" i="190"/>
  <c r="R231" i="190"/>
  <c r="X231" i="190" s="1"/>
  <c r="R230" i="190"/>
  <c r="X230" i="190" s="1"/>
  <c r="R229" i="190"/>
  <c r="X229" i="190" s="1"/>
  <c r="R228" i="190"/>
  <c r="X228" i="190" s="1"/>
  <c r="R227" i="190"/>
  <c r="R167" i="190"/>
  <c r="X167" i="190" s="1"/>
  <c r="R166" i="190"/>
  <c r="X166" i="190" s="1"/>
  <c r="R165" i="190"/>
  <c r="X165" i="190" s="1"/>
  <c r="R164" i="190"/>
  <c r="X164" i="190" s="1"/>
  <c r="R163" i="190"/>
  <c r="X163" i="190" s="1"/>
  <c r="R162" i="190"/>
  <c r="R161" i="190"/>
  <c r="X161" i="190" s="1"/>
  <c r="R160" i="190"/>
  <c r="R226" i="190"/>
  <c r="X226" i="190" s="1"/>
  <c r="R225" i="190"/>
  <c r="X225" i="190" s="1"/>
  <c r="R224" i="190"/>
  <c r="X224" i="190" s="1"/>
  <c r="R223" i="190"/>
  <c r="R159" i="190"/>
  <c r="X159" i="190" s="1"/>
  <c r="R158" i="190"/>
  <c r="X158" i="190" s="1"/>
  <c r="R157" i="190"/>
  <c r="X157" i="190" s="1"/>
  <c r="R156" i="190"/>
  <c r="X156" i="190" s="1"/>
  <c r="R155" i="190"/>
  <c r="X155" i="190" s="1"/>
  <c r="R154" i="190"/>
  <c r="X154" i="190" s="1"/>
  <c r="R153" i="190"/>
  <c r="R222" i="190"/>
  <c r="X222" i="190" s="1"/>
  <c r="R221" i="190"/>
  <c r="X221" i="190" s="1"/>
  <c r="R220" i="190"/>
  <c r="X220" i="190" s="1"/>
  <c r="R219" i="190"/>
  <c r="X219" i="190" s="1"/>
  <c r="R217" i="190"/>
  <c r="R215" i="190"/>
  <c r="X215" i="190" s="1"/>
  <c r="R213" i="190"/>
  <c r="X213" i="190" s="1"/>
  <c r="R212" i="190"/>
  <c r="X212" i="190" s="1"/>
  <c r="R211" i="190"/>
  <c r="R210" i="190"/>
  <c r="R208" i="190"/>
  <c r="R207" i="190"/>
  <c r="R206" i="190"/>
  <c r="X206" i="190" s="1"/>
  <c r="R255" i="190"/>
  <c r="R254" i="190"/>
  <c r="R253" i="190"/>
  <c r="R285" i="190"/>
  <c r="R284" i="190"/>
  <c r="R283" i="190"/>
  <c r="R279" i="190"/>
  <c r="R278" i="190"/>
  <c r="R277" i="190"/>
  <c r="R141" i="190"/>
  <c r="R140" i="190"/>
  <c r="R250" i="190"/>
  <c r="R249" i="190"/>
  <c r="R248" i="190"/>
  <c r="R246" i="190"/>
  <c r="R245" i="190"/>
  <c r="R273" i="190"/>
  <c r="R272" i="190"/>
  <c r="R271" i="190"/>
  <c r="R270" i="190"/>
  <c r="R269" i="190"/>
  <c r="R268" i="190"/>
  <c r="R267" i="190"/>
  <c r="R266" i="190"/>
  <c r="R265" i="190"/>
  <c r="R244" i="190"/>
  <c r="R243" i="190"/>
  <c r="R241" i="190"/>
  <c r="R240" i="190"/>
  <c r="R263" i="190"/>
  <c r="R262" i="190"/>
  <c r="R261" i="190"/>
  <c r="R260" i="190"/>
  <c r="R259" i="190"/>
  <c r="R258" i="190"/>
  <c r="R257" i="190"/>
  <c r="R218" i="190"/>
  <c r="X218" i="190" s="1"/>
  <c r="R216" i="190"/>
  <c r="R214" i="190"/>
  <c r="X214" i="190" s="1"/>
  <c r="R209" i="190"/>
  <c r="R205" i="190"/>
  <c r="X205" i="190" s="1"/>
  <c r="R204" i="190"/>
  <c r="AR19" i="190" l="1"/>
  <c r="X210" i="190"/>
  <c r="X268" i="190"/>
  <c r="X261" i="190"/>
  <c r="X270" i="190"/>
  <c r="X278" i="190"/>
  <c r="X262" i="190"/>
  <c r="X271" i="190"/>
  <c r="X279" i="190"/>
  <c r="X211" i="190"/>
  <c r="X263" i="190"/>
  <c r="X272" i="190"/>
  <c r="X283" i="190"/>
  <c r="X240" i="190"/>
  <c r="X245" i="190"/>
  <c r="X243" i="190"/>
  <c r="X246" i="190"/>
  <c r="X253" i="190"/>
  <c r="X217" i="190"/>
  <c r="X223" i="190"/>
  <c r="X227" i="190"/>
  <c r="X216" i="190"/>
  <c r="X244" i="190"/>
  <c r="X248" i="190"/>
  <c r="X254" i="190"/>
  <c r="X265" i="190"/>
  <c r="X257" i="190"/>
  <c r="X266" i="190"/>
  <c r="X250" i="190"/>
  <c r="X203" i="190"/>
  <c r="X284" i="190"/>
  <c r="X267" i="190"/>
  <c r="X204" i="190"/>
  <c r="X273" i="190"/>
  <c r="X209" i="190"/>
  <c r="X241" i="190"/>
  <c r="X285" i="190"/>
  <c r="X249" i="190"/>
  <c r="X255" i="190"/>
  <c r="X258" i="190"/>
  <c r="X140" i="190"/>
  <c r="X160" i="190"/>
  <c r="X259" i="190"/>
  <c r="X141" i="190"/>
  <c r="X207" i="190"/>
  <c r="X153" i="190"/>
  <c r="X260" i="190"/>
  <c r="X269" i="190"/>
  <c r="X277" i="190"/>
  <c r="X208" i="190"/>
  <c r="X162" i="190"/>
  <c r="S244" i="190"/>
  <c r="S240" i="190"/>
  <c r="S284" i="190"/>
  <c r="S209" i="190"/>
  <c r="S245" i="190"/>
  <c r="S159" i="190"/>
  <c r="S229" i="190"/>
  <c r="S213" i="190"/>
  <c r="S285" i="190"/>
  <c r="S246" i="190"/>
  <c r="S227" i="190"/>
  <c r="S216" i="190"/>
  <c r="S226" i="190"/>
  <c r="S205" i="190"/>
  <c r="S215" i="190"/>
  <c r="S217" i="190"/>
  <c r="S243" i="190"/>
  <c r="S249" i="190"/>
  <c r="S230" i="190"/>
  <c r="S259" i="190"/>
  <c r="S153" i="190"/>
  <c r="S161" i="190"/>
  <c r="S241" i="190"/>
  <c r="S253" i="190"/>
  <c r="S223" i="190"/>
  <c r="S254" i="190"/>
  <c r="S224" i="190"/>
  <c r="S255" i="190"/>
  <c r="S257" i="190"/>
  <c r="S258" i="190"/>
  <c r="S206" i="190"/>
  <c r="S269" i="190"/>
  <c r="S162" i="190"/>
  <c r="S265" i="190"/>
  <c r="S250" i="190"/>
  <c r="S267" i="190"/>
  <c r="S160" i="190"/>
  <c r="S268" i="190"/>
  <c r="S277" i="190"/>
  <c r="S270" i="190"/>
  <c r="S210" i="190"/>
  <c r="S163" i="190"/>
  <c r="S166" i="190"/>
  <c r="S167" i="190"/>
  <c r="S220" i="190"/>
  <c r="S222" i="190"/>
  <c r="S207" i="190"/>
  <c r="S208" i="190"/>
  <c r="S164" i="190"/>
  <c r="S273" i="190"/>
  <c r="S158" i="190"/>
  <c r="S214" i="190"/>
  <c r="S248" i="190"/>
  <c r="S219" i="190"/>
  <c r="S228" i="190"/>
  <c r="S218" i="190"/>
  <c r="S225" i="190"/>
  <c r="S266" i="190"/>
  <c r="S221" i="190"/>
  <c r="S140" i="190"/>
  <c r="S231" i="190"/>
  <c r="S141" i="190"/>
  <c r="S260" i="190"/>
  <c r="S154" i="190"/>
  <c r="S261" i="190"/>
  <c r="S278" i="190"/>
  <c r="S155" i="190"/>
  <c r="S262" i="190"/>
  <c r="S271" i="190"/>
  <c r="S279" i="190"/>
  <c r="S211" i="190"/>
  <c r="S156" i="190"/>
  <c r="S204" i="190"/>
  <c r="S263" i="190"/>
  <c r="S272" i="190"/>
  <c r="S283" i="190"/>
  <c r="S212" i="190"/>
  <c r="S157" i="190"/>
  <c r="S165" i="190"/>
  <c r="N35" i="190"/>
  <c r="N36" i="190"/>
  <c r="N37" i="190"/>
  <c r="F86" i="191"/>
  <c r="F87" i="191"/>
  <c r="F85" i="191"/>
  <c r="AN37" i="190" l="1"/>
  <c r="AM37" i="190"/>
  <c r="AM36" i="190"/>
  <c r="AN36" i="190"/>
  <c r="AN35" i="190"/>
  <c r="AM35" i="190"/>
  <c r="AO36" i="190"/>
  <c r="AP36" i="190" s="1"/>
  <c r="AQ36" i="190"/>
  <c r="AR36" i="190" s="1"/>
  <c r="AO37" i="190"/>
  <c r="AP37" i="190" s="1"/>
  <c r="AQ37" i="190"/>
  <c r="AR37" i="190" s="1"/>
  <c r="G57" i="190"/>
  <c r="T244" i="190" l="1"/>
  <c r="T241" i="190"/>
  <c r="T240" i="190"/>
  <c r="T264" i="190"/>
  <c r="T262" i="190"/>
  <c r="T260" i="190"/>
  <c r="T258" i="190"/>
  <c r="T257" i="190"/>
  <c r="T283" i="190"/>
  <c r="T250" i="190"/>
  <c r="T245" i="190"/>
  <c r="T273" i="190"/>
  <c r="T268" i="190"/>
  <c r="T266" i="190"/>
  <c r="T265" i="190"/>
  <c r="T4" i="190"/>
  <c r="T3" i="190"/>
  <c r="AA250" i="190" l="1"/>
  <c r="V250" i="190" a="1"/>
  <c r="V250" i="190" s="1"/>
  <c r="V4" i="190" a="1"/>
  <c r="V4" i="190" s="1"/>
  <c r="V273" i="190" a="1"/>
  <c r="V273" i="190" s="1"/>
  <c r="V257" i="190" a="1"/>
  <c r="V257" i="190" s="1"/>
  <c r="V3" i="190" a="1"/>
  <c r="V3" i="190" s="1"/>
  <c r="V265" i="190" a="1"/>
  <c r="V265" i="190" s="1"/>
  <c r="V240" i="190" a="1"/>
  <c r="V240" i="190" s="1"/>
  <c r="V245" i="190" a="1"/>
  <c r="V245" i="190" s="1"/>
  <c r="V258" i="190" a="1"/>
  <c r="V258" i="190" s="1"/>
  <c r="V266" i="190" a="1"/>
  <c r="V266" i="190" s="1"/>
  <c r="V241" i="190" a="1"/>
  <c r="V241" i="190" s="1"/>
  <c r="V283" i="190" a="1"/>
  <c r="V283" i="190" s="1"/>
  <c r="V260" i="190" a="1"/>
  <c r="V260" i="190" s="1"/>
  <c r="V262" i="190" a="1"/>
  <c r="V262" i="190" s="1"/>
  <c r="V264" i="190" a="1"/>
  <c r="V264" i="190" s="1"/>
  <c r="V268" i="190" a="1"/>
  <c r="V268" i="190" s="1"/>
  <c r="V244" i="190" a="1"/>
  <c r="V244" i="190" s="1"/>
  <c r="T248" i="190"/>
  <c r="T269" i="190"/>
  <c r="T253" i="190"/>
  <c r="T255" i="190"/>
  <c r="T271" i="190"/>
  <c r="T285" i="190"/>
  <c r="T246" i="190"/>
  <c r="U250" i="190" l="1"/>
  <c r="U258" i="190"/>
  <c r="U240" i="190"/>
  <c r="U260" i="190"/>
  <c r="U241" i="190"/>
  <c r="U245" i="190"/>
  <c r="U265" i="190"/>
  <c r="U244" i="190"/>
  <c r="U3" i="190"/>
  <c r="U268" i="190"/>
  <c r="U257" i="190"/>
  <c r="U283" i="190"/>
  <c r="U266" i="190"/>
  <c r="U264" i="190"/>
  <c r="U273" i="190"/>
  <c r="U262" i="190"/>
  <c r="U4" i="190"/>
  <c r="V285" i="190" a="1"/>
  <c r="V285" i="190" s="1"/>
  <c r="V269" i="190" a="1"/>
  <c r="V269" i="190" s="1"/>
  <c r="V271" i="190" a="1"/>
  <c r="V271" i="190" s="1"/>
  <c r="V248" i="190" a="1"/>
  <c r="V248" i="190" s="1"/>
  <c r="V253" i="190" a="1"/>
  <c r="V253" i="190" s="1"/>
  <c r="V246" i="190" a="1"/>
  <c r="V246" i="190" s="1"/>
  <c r="V255" i="190" a="1"/>
  <c r="V255" i="190" s="1"/>
  <c r="AA20" i="190"/>
  <c r="AA21" i="190"/>
  <c r="AA22" i="190"/>
  <c r="AA23" i="190"/>
  <c r="AA24" i="190"/>
  <c r="AA25" i="190"/>
  <c r="AA26" i="190"/>
  <c r="AA27" i="190"/>
  <c r="AA28" i="190"/>
  <c r="AA29" i="190"/>
  <c r="AA30" i="190"/>
  <c r="AA101" i="190"/>
  <c r="AA102" i="190"/>
  <c r="AA103" i="190"/>
  <c r="AA104" i="190"/>
  <c r="AA105" i="190"/>
  <c r="AA106" i="190"/>
  <c r="AA107" i="190"/>
  <c r="AA108" i="190"/>
  <c r="AA109" i="190"/>
  <c r="AA110" i="190"/>
  <c r="AA111" i="190"/>
  <c r="AA112" i="190"/>
  <c r="AA113" i="190"/>
  <c r="AA114" i="190"/>
  <c r="AA115" i="190"/>
  <c r="AA3" i="190"/>
  <c r="AA4" i="190"/>
  <c r="AA5" i="190"/>
  <c r="AA6" i="190"/>
  <c r="AA7" i="190"/>
  <c r="AA129" i="190"/>
  <c r="AA130" i="190"/>
  <c r="AA17" i="190"/>
  <c r="AA18" i="190"/>
  <c r="AA256" i="190"/>
  <c r="AA238" i="190"/>
  <c r="AA239" i="190"/>
  <c r="AA257" i="190"/>
  <c r="AA258" i="190"/>
  <c r="AA259" i="190"/>
  <c r="AA260" i="190"/>
  <c r="AA261" i="190"/>
  <c r="AA262" i="190"/>
  <c r="AA263" i="190"/>
  <c r="AA264" i="190"/>
  <c r="AA240" i="190"/>
  <c r="AA241" i="190"/>
  <c r="AA242" i="190"/>
  <c r="AA243" i="190"/>
  <c r="AA244" i="190"/>
  <c r="AA265" i="190"/>
  <c r="AA266" i="190"/>
  <c r="AA267" i="190"/>
  <c r="AA268" i="190"/>
  <c r="AA269" i="190"/>
  <c r="AA270" i="190"/>
  <c r="AA271" i="190"/>
  <c r="AA272" i="190"/>
  <c r="AA273" i="190"/>
  <c r="AA245" i="190"/>
  <c r="AA246" i="190"/>
  <c r="AA247" i="190"/>
  <c r="AA248" i="190"/>
  <c r="AA249" i="190"/>
  <c r="AA140" i="190"/>
  <c r="AA141" i="190"/>
  <c r="AA277" i="190"/>
  <c r="AA278" i="190"/>
  <c r="AA279" i="190"/>
  <c r="AA280" i="190"/>
  <c r="AA281" i="190"/>
  <c r="AA282" i="190"/>
  <c r="AA251" i="190"/>
  <c r="AA252" i="190"/>
  <c r="AA283" i="190"/>
  <c r="AA284" i="190"/>
  <c r="AA285" i="190"/>
  <c r="AA253" i="190"/>
  <c r="AA254" i="190"/>
  <c r="AA255" i="190"/>
  <c r="AA286" i="190"/>
  <c r="AA287" i="190"/>
  <c r="AA288" i="190"/>
  <c r="AA289" i="190"/>
  <c r="AA290" i="190"/>
  <c r="AA291" i="190"/>
  <c r="AA292" i="190"/>
  <c r="AA293" i="190"/>
  <c r="AA294" i="190"/>
  <c r="AA295" i="190"/>
  <c r="AA296" i="190"/>
  <c r="AA297" i="190"/>
  <c r="AA298" i="190"/>
  <c r="AA299" i="190"/>
  <c r="AA300" i="190"/>
  <c r="AA301" i="190"/>
  <c r="AA302" i="190"/>
  <c r="AA303" i="190"/>
  <c r="AA304" i="190"/>
  <c r="AA305" i="190"/>
  <c r="AA306" i="190"/>
  <c r="AA307" i="190"/>
  <c r="AA308" i="190"/>
  <c r="AA309" i="190"/>
  <c r="AA310" i="190"/>
  <c r="AA311" i="190"/>
  <c r="AA312" i="190"/>
  <c r="AA313" i="190"/>
  <c r="AA314" i="190"/>
  <c r="AA315" i="190"/>
  <c r="AA316" i="190"/>
  <c r="AA317" i="190"/>
  <c r="AA318" i="190"/>
  <c r="AA319" i="190"/>
  <c r="AA143" i="190"/>
  <c r="AA144" i="190"/>
  <c r="AA203" i="190"/>
  <c r="AA204" i="190"/>
  <c r="AA205" i="190"/>
  <c r="AA206" i="190"/>
  <c r="AA207" i="190"/>
  <c r="AA208" i="190"/>
  <c r="AA209" i="190"/>
  <c r="AA210" i="190"/>
  <c r="AA211" i="190"/>
  <c r="AA212" i="190"/>
  <c r="AA213" i="190"/>
  <c r="AA214" i="190"/>
  <c r="AA215" i="190"/>
  <c r="AA216" i="190"/>
  <c r="AA217" i="190"/>
  <c r="AA218" i="190"/>
  <c r="AA219" i="190"/>
  <c r="AA220" i="190"/>
  <c r="AA221" i="190"/>
  <c r="AA222" i="190"/>
  <c r="AA145" i="190"/>
  <c r="AA146" i="190"/>
  <c r="AA147" i="190"/>
  <c r="AA148" i="190"/>
  <c r="AA149" i="190"/>
  <c r="AA150" i="190"/>
  <c r="AA151" i="190"/>
  <c r="AA152" i="190"/>
  <c r="AA153" i="190"/>
  <c r="AA154" i="190"/>
  <c r="AA155" i="190"/>
  <c r="AA156" i="190"/>
  <c r="AA157" i="190"/>
  <c r="AA158" i="190"/>
  <c r="AA159" i="190"/>
  <c r="AA223" i="190"/>
  <c r="AA224" i="190"/>
  <c r="AA225" i="190"/>
  <c r="AA226" i="190"/>
  <c r="AA160" i="190"/>
  <c r="AA161" i="190"/>
  <c r="AA162" i="190"/>
  <c r="AA163" i="190"/>
  <c r="AA164" i="190"/>
  <c r="AA165" i="190"/>
  <c r="AA166" i="190"/>
  <c r="AA167" i="190"/>
  <c r="AA227" i="190"/>
  <c r="AA228" i="190"/>
  <c r="AA229" i="190"/>
  <c r="AA230" i="190"/>
  <c r="AA231" i="190"/>
  <c r="AA168" i="190"/>
  <c r="AA169" i="190"/>
  <c r="AA170" i="190"/>
  <c r="AA171" i="190"/>
  <c r="AA172" i="190"/>
  <c r="AA173" i="190"/>
  <c r="AA174" i="190"/>
  <c r="AA175" i="190"/>
  <c r="AA176" i="190"/>
  <c r="AA177" i="190"/>
  <c r="AA178" i="190"/>
  <c r="AA179" i="190"/>
  <c r="AA180" i="190"/>
  <c r="AA181" i="190"/>
  <c r="AA182" i="190"/>
  <c r="AA183" i="190"/>
  <c r="AA184" i="190"/>
  <c r="AA185" i="190"/>
  <c r="AA186" i="190"/>
  <c r="AA187" i="190"/>
  <c r="AA188" i="190"/>
  <c r="AA189" i="190"/>
  <c r="AA190" i="190"/>
  <c r="AA191" i="190"/>
  <c r="AA192" i="190"/>
  <c r="AA193" i="190"/>
  <c r="AA232" i="190"/>
  <c r="AA233" i="190"/>
  <c r="AA234" i="190"/>
  <c r="AA194" i="190"/>
  <c r="AA195" i="190"/>
  <c r="AA196" i="190"/>
  <c r="AA197" i="190"/>
  <c r="AA198" i="190"/>
  <c r="AA199" i="190"/>
  <c r="AA200" i="190"/>
  <c r="AA201" i="190"/>
  <c r="AA202" i="190"/>
  <c r="AA235" i="190"/>
  <c r="AA236" i="190"/>
  <c r="AA237" i="190"/>
  <c r="AA142" i="190"/>
  <c r="AA131" i="190"/>
  <c r="AA132" i="190"/>
  <c r="AA133" i="190"/>
  <c r="AA134" i="190"/>
  <c r="AA135" i="190"/>
  <c r="AA136" i="190"/>
  <c r="AA137" i="190"/>
  <c r="AA138" i="190"/>
  <c r="AA139" i="190"/>
  <c r="AA116" i="190"/>
  <c r="AA117" i="190"/>
  <c r="AA118" i="190"/>
  <c r="AA119" i="190"/>
  <c r="AA120" i="190"/>
  <c r="AA121" i="190"/>
  <c r="AA122" i="190"/>
  <c r="AA123" i="190"/>
  <c r="AA124" i="190"/>
  <c r="AA128" i="190"/>
  <c r="AA127" i="190"/>
  <c r="T126" i="190"/>
  <c r="T125" i="190"/>
  <c r="AA34" i="190"/>
  <c r="AA33" i="190"/>
  <c r="T32" i="190"/>
  <c r="T31" i="190"/>
  <c r="AA16" i="190"/>
  <c r="T15" i="190"/>
  <c r="AA14" i="190"/>
  <c r="T13" i="190"/>
  <c r="AA12" i="190"/>
  <c r="AA11" i="190"/>
  <c r="AA10" i="190"/>
  <c r="T9" i="190"/>
  <c r="T8" i="190"/>
  <c r="AA356" i="190"/>
  <c r="T355" i="190"/>
  <c r="AA354" i="190"/>
  <c r="T353" i="190"/>
  <c r="AA352" i="190"/>
  <c r="T351" i="190"/>
  <c r="AA350" i="190"/>
  <c r="AA349" i="190"/>
  <c r="AA348" i="190"/>
  <c r="AA347" i="190"/>
  <c r="AA346" i="190"/>
  <c r="AA345" i="190"/>
  <c r="AA344" i="190"/>
  <c r="AA343" i="190"/>
  <c r="AA331" i="190"/>
  <c r="AA330" i="190"/>
  <c r="AA329" i="190"/>
  <c r="AA328" i="190"/>
  <c r="AA327" i="190"/>
  <c r="AA321" i="190"/>
  <c r="AA100" i="190"/>
  <c r="T99" i="190"/>
  <c r="T98" i="190"/>
  <c r="AA97" i="190"/>
  <c r="AA96" i="190"/>
  <c r="T95" i="190"/>
  <c r="T94" i="190"/>
  <c r="AA93" i="190"/>
  <c r="AA92" i="190"/>
  <c r="AA91" i="190"/>
  <c r="AA90" i="190"/>
  <c r="AA89" i="190"/>
  <c r="AA88" i="190"/>
  <c r="AA87" i="190"/>
  <c r="AA86" i="190"/>
  <c r="AA85" i="190"/>
  <c r="AA84" i="190"/>
  <c r="AA83" i="190"/>
  <c r="T82" i="190"/>
  <c r="T81" i="190"/>
  <c r="T80" i="190"/>
  <c r="T79" i="190"/>
  <c r="T78" i="190"/>
  <c r="T77" i="190"/>
  <c r="T76" i="190"/>
  <c r="T75" i="190"/>
  <c r="T74" i="190"/>
  <c r="T73" i="190"/>
  <c r="T72" i="190"/>
  <c r="T71" i="190"/>
  <c r="T70" i="190"/>
  <c r="T69" i="190"/>
  <c r="AA55" i="190"/>
  <c r="AA54" i="190"/>
  <c r="AA53" i="190"/>
  <c r="AA52" i="190"/>
  <c r="AA51" i="190"/>
  <c r="AA50" i="190"/>
  <c r="AA41" i="190"/>
  <c r="AA40" i="190"/>
  <c r="U285" i="190" l="1"/>
  <c r="U246" i="190"/>
  <c r="U253" i="190"/>
  <c r="U248" i="190"/>
  <c r="U269" i="190"/>
  <c r="U255" i="190"/>
  <c r="U271" i="190"/>
  <c r="AA75" i="190"/>
  <c r="V75" i="190" a="1"/>
  <c r="V75" i="190" s="1"/>
  <c r="AA64" i="190"/>
  <c r="V64" i="190" a="1"/>
  <c r="V64" i="190" s="1"/>
  <c r="AA320" i="190"/>
  <c r="V320" i="190" a="1"/>
  <c r="V320" i="190" s="1"/>
  <c r="AA69" i="190"/>
  <c r="V69" i="190" a="1"/>
  <c r="V69" i="190" s="1"/>
  <c r="AA81" i="190"/>
  <c r="V81" i="190" a="1"/>
  <c r="V81" i="190" s="1"/>
  <c r="AA324" i="190"/>
  <c r="V324" i="190" a="1"/>
  <c r="V324" i="190" s="1"/>
  <c r="AA336" i="190"/>
  <c r="V336" i="190" a="1"/>
  <c r="V336" i="190" s="1"/>
  <c r="AA39" i="190"/>
  <c r="V39" i="190" a="1"/>
  <c r="V39" i="190" s="1"/>
  <c r="AA31" i="190"/>
  <c r="V31" i="190" a="1"/>
  <c r="V31" i="190" s="1"/>
  <c r="W31" i="190" s="1"/>
  <c r="AA32" i="190"/>
  <c r="V32" i="190" a="1"/>
  <c r="V32" i="190" s="1"/>
  <c r="AA332" i="190"/>
  <c r="V332" i="190" a="1"/>
  <c r="V332" i="190" s="1"/>
  <c r="AA78" i="190"/>
  <c r="V78" i="190" a="1"/>
  <c r="V78" i="190" s="1"/>
  <c r="AN8" i="190"/>
  <c r="V8" i="190" a="1"/>
  <c r="V8" i="190" s="1"/>
  <c r="AM8" i="190"/>
  <c r="AA43" i="190"/>
  <c r="V43" i="190" a="1"/>
  <c r="V43" i="190" s="1"/>
  <c r="AA125" i="190"/>
  <c r="V125" i="190" a="1"/>
  <c r="V125" i="190" s="1"/>
  <c r="AA44" i="190"/>
  <c r="V44" i="190" a="1"/>
  <c r="V44" i="190" s="1"/>
  <c r="AA56" i="190"/>
  <c r="V56" i="190" a="1"/>
  <c r="V56" i="190" s="1"/>
  <c r="AA335" i="190"/>
  <c r="V335" i="190" a="1"/>
  <c r="V335" i="190" s="1"/>
  <c r="AA45" i="190"/>
  <c r="V45" i="190" a="1"/>
  <c r="V45" i="190" s="1"/>
  <c r="AA57" i="190"/>
  <c r="V57" i="190" a="1"/>
  <c r="V57" i="190" s="1"/>
  <c r="AA46" i="190"/>
  <c r="V46" i="190" a="1"/>
  <c r="V46" i="190" s="1"/>
  <c r="AA58" i="190"/>
  <c r="V58" i="190" a="1"/>
  <c r="V58" i="190" s="1"/>
  <c r="AA70" i="190"/>
  <c r="V70" i="190" a="1"/>
  <c r="V70" i="190" s="1"/>
  <c r="AA82" i="190"/>
  <c r="V82" i="190" a="1"/>
  <c r="V82" i="190" s="1"/>
  <c r="AA94" i="190"/>
  <c r="V94" i="190" a="1"/>
  <c r="V94" i="190" s="1"/>
  <c r="AA325" i="190"/>
  <c r="V325" i="190" a="1"/>
  <c r="V325" i="190" s="1"/>
  <c r="AA337" i="190"/>
  <c r="V337" i="190" a="1"/>
  <c r="V337" i="190" s="1"/>
  <c r="AA342" i="190"/>
  <c r="V342" i="190" a="1"/>
  <c r="V342" i="190" s="1"/>
  <c r="AA66" i="190"/>
  <c r="V66" i="190" a="1"/>
  <c r="V66" i="190" s="1"/>
  <c r="AA79" i="190"/>
  <c r="V79" i="190" a="1"/>
  <c r="V79" i="190" s="1"/>
  <c r="AA47" i="190"/>
  <c r="V47" i="190" a="1"/>
  <c r="V47" i="190" s="1"/>
  <c r="AA326" i="190"/>
  <c r="V326" i="190" a="1"/>
  <c r="V326" i="190" s="1"/>
  <c r="AA355" i="190"/>
  <c r="V355" i="190" a="1"/>
  <c r="V355" i="190" s="1"/>
  <c r="AA42" i="190"/>
  <c r="V42" i="190" a="1"/>
  <c r="V42" i="190" s="1"/>
  <c r="AA322" i="190"/>
  <c r="V322" i="190" a="1"/>
  <c r="V322" i="190" s="1"/>
  <c r="AA80" i="190"/>
  <c r="V80" i="190" a="1"/>
  <c r="V80" i="190" s="1"/>
  <c r="AA59" i="190"/>
  <c r="V59" i="190" a="1"/>
  <c r="V59" i="190" s="1"/>
  <c r="AA95" i="190"/>
  <c r="V95" i="190" a="1"/>
  <c r="V95" i="190" s="1"/>
  <c r="AA338" i="190"/>
  <c r="V338" i="190" a="1"/>
  <c r="V338" i="190" s="1"/>
  <c r="AA13" i="190"/>
  <c r="V13" i="190" a="1"/>
  <c r="V13" i="190" s="1"/>
  <c r="AA48" i="190"/>
  <c r="V48" i="190" a="1"/>
  <c r="V48" i="190" s="1"/>
  <c r="AA60" i="190"/>
  <c r="V60" i="190" a="1"/>
  <c r="V60" i="190" s="1"/>
  <c r="AA72" i="190"/>
  <c r="V72" i="190" a="1"/>
  <c r="V72" i="190" s="1"/>
  <c r="AA339" i="190"/>
  <c r="V339" i="190" a="1"/>
  <c r="V339" i="190" s="1"/>
  <c r="AA351" i="190"/>
  <c r="V351" i="190" a="1"/>
  <c r="V351" i="190" s="1"/>
  <c r="AA63" i="190"/>
  <c r="V63" i="190" a="1"/>
  <c r="V63" i="190" s="1"/>
  <c r="AA76" i="190"/>
  <c r="V76" i="190" a="1"/>
  <c r="V76" i="190" s="1"/>
  <c r="AA65" i="190"/>
  <c r="V65" i="190" a="1"/>
  <c r="V65" i="190" s="1"/>
  <c r="AA333" i="190"/>
  <c r="V333" i="190" a="1"/>
  <c r="V333" i="190" s="1"/>
  <c r="AA67" i="190"/>
  <c r="V67" i="190" a="1"/>
  <c r="V67" i="190" s="1"/>
  <c r="V9" i="190" a="1"/>
  <c r="V9" i="190" s="1"/>
  <c r="AA68" i="190"/>
  <c r="V68" i="190" a="1"/>
  <c r="V68" i="190" s="1"/>
  <c r="AA126" i="190"/>
  <c r="V126" i="190" a="1"/>
  <c r="V126" i="190" s="1"/>
  <c r="AA71" i="190"/>
  <c r="V71" i="190" a="1"/>
  <c r="V71" i="190" s="1"/>
  <c r="AA61" i="190"/>
  <c r="V61" i="190" a="1"/>
  <c r="V61" i="190" s="1"/>
  <c r="AA340" i="190"/>
  <c r="V340" i="190" a="1"/>
  <c r="V340" i="190" s="1"/>
  <c r="AA15" i="190"/>
  <c r="V15" i="190" a="1"/>
  <c r="V15" i="190" s="1"/>
  <c r="W15" i="190" s="1"/>
  <c r="AA99" i="190"/>
  <c r="V99" i="190" a="1"/>
  <c r="V99" i="190" s="1"/>
  <c r="AA77" i="190"/>
  <c r="V77" i="190" a="1"/>
  <c r="V77" i="190" s="1"/>
  <c r="AA334" i="190"/>
  <c r="V334" i="190" a="1"/>
  <c r="V334" i="190" s="1"/>
  <c r="AA323" i="190"/>
  <c r="V323" i="190" a="1"/>
  <c r="V323" i="190" s="1"/>
  <c r="AA49" i="190"/>
  <c r="V49" i="190" a="1"/>
  <c r="V49" i="190" s="1"/>
  <c r="AA73" i="190"/>
  <c r="V73" i="190" a="1"/>
  <c r="V73" i="190" s="1"/>
  <c r="AA38" i="190"/>
  <c r="V38" i="190" a="1"/>
  <c r="V38" i="190" s="1"/>
  <c r="AA62" i="190"/>
  <c r="V62" i="190" a="1"/>
  <c r="V62" i="190" s="1"/>
  <c r="AA74" i="190"/>
  <c r="V74" i="190" a="1"/>
  <c r="V74" i="190" s="1"/>
  <c r="AA98" i="190"/>
  <c r="V98" i="190" a="1"/>
  <c r="V98" i="190" s="1"/>
  <c r="AA341" i="190"/>
  <c r="V341" i="190" a="1"/>
  <c r="V341" i="190" s="1"/>
  <c r="AA353" i="190"/>
  <c r="V353" i="190" a="1"/>
  <c r="V353" i="190" s="1"/>
  <c r="W139" i="190"/>
  <c r="W232" i="190"/>
  <c r="W170" i="190"/>
  <c r="W155" i="190"/>
  <c r="W209" i="190"/>
  <c r="W283" i="190"/>
  <c r="W266" i="190"/>
  <c r="W259" i="190"/>
  <c r="W138" i="190"/>
  <c r="W181" i="190"/>
  <c r="W169" i="190"/>
  <c r="W162" i="190"/>
  <c r="W220" i="190"/>
  <c r="W208" i="190"/>
  <c r="W252" i="190"/>
  <c r="W248" i="190"/>
  <c r="W4" i="190"/>
  <c r="W201" i="190"/>
  <c r="W251" i="190"/>
  <c r="W124" i="190"/>
  <c r="W191" i="190"/>
  <c r="W152" i="190"/>
  <c r="W246" i="190"/>
  <c r="W14" i="190"/>
  <c r="W123" i="190"/>
  <c r="W135" i="190"/>
  <c r="W199" i="190"/>
  <c r="W190" i="190"/>
  <c r="W178" i="190"/>
  <c r="W230" i="190"/>
  <c r="W226" i="190"/>
  <c r="W151" i="190"/>
  <c r="W217" i="190"/>
  <c r="W205" i="190"/>
  <c r="W288" i="190"/>
  <c r="W281" i="190"/>
  <c r="W245" i="190"/>
  <c r="W242" i="190"/>
  <c r="W238" i="190"/>
  <c r="W114" i="190"/>
  <c r="W102" i="190"/>
  <c r="W352" i="190"/>
  <c r="W122" i="190"/>
  <c r="W134" i="190"/>
  <c r="W198" i="190"/>
  <c r="W189" i="190"/>
  <c r="W177" i="190"/>
  <c r="W229" i="190"/>
  <c r="W225" i="190"/>
  <c r="W150" i="190"/>
  <c r="W216" i="190"/>
  <c r="W204" i="190"/>
  <c r="W287" i="190"/>
  <c r="W280" i="190"/>
  <c r="W273" i="190"/>
  <c r="W241" i="190"/>
  <c r="W256" i="190"/>
  <c r="W113" i="190"/>
  <c r="W101" i="190"/>
  <c r="W236" i="190"/>
  <c r="W235" i="190"/>
  <c r="W163" i="190"/>
  <c r="W106" i="190"/>
  <c r="W136" i="190"/>
  <c r="W179" i="190"/>
  <c r="W218" i="190"/>
  <c r="W282" i="190"/>
  <c r="W243" i="190"/>
  <c r="W115" i="190"/>
  <c r="W228" i="190"/>
  <c r="W240" i="190"/>
  <c r="W278" i="190"/>
  <c r="W183" i="190"/>
  <c r="W164" i="190"/>
  <c r="W222" i="190"/>
  <c r="W284" i="190"/>
  <c r="W6" i="190"/>
  <c r="W127" i="190"/>
  <c r="W258" i="190"/>
  <c r="W137" i="190"/>
  <c r="W168" i="190"/>
  <c r="W247" i="190"/>
  <c r="W3" i="190"/>
  <c r="W133" i="190"/>
  <c r="W149" i="190"/>
  <c r="W203" i="190"/>
  <c r="W286" i="190"/>
  <c r="W279" i="190"/>
  <c r="W272" i="190"/>
  <c r="W132" i="190"/>
  <c r="W227" i="190"/>
  <c r="W119" i="190"/>
  <c r="W131" i="190"/>
  <c r="W195" i="190"/>
  <c r="W186" i="190"/>
  <c r="W174" i="190"/>
  <c r="W167" i="190"/>
  <c r="W159" i="190"/>
  <c r="W147" i="190"/>
  <c r="W213" i="190"/>
  <c r="W143" i="190"/>
  <c r="W254" i="190"/>
  <c r="W277" i="190"/>
  <c r="W270" i="190"/>
  <c r="W263" i="190"/>
  <c r="W130" i="190"/>
  <c r="W110" i="190"/>
  <c r="W260" i="190"/>
  <c r="W107" i="190"/>
  <c r="W182" i="190"/>
  <c r="W249" i="190"/>
  <c r="W5" i="190"/>
  <c r="W193" i="190"/>
  <c r="W154" i="190"/>
  <c r="W105" i="190"/>
  <c r="W219" i="190"/>
  <c r="W200" i="190"/>
  <c r="W160" i="190"/>
  <c r="W206" i="190"/>
  <c r="W289" i="190"/>
  <c r="W239" i="190"/>
  <c r="W103" i="190"/>
  <c r="W176" i="190"/>
  <c r="W112" i="190"/>
  <c r="W354" i="190"/>
  <c r="W196" i="190"/>
  <c r="W175" i="190"/>
  <c r="W223" i="190"/>
  <c r="W214" i="190"/>
  <c r="W144" i="190"/>
  <c r="W255" i="190"/>
  <c r="W271" i="190"/>
  <c r="W264" i="190"/>
  <c r="W17" i="190"/>
  <c r="W111" i="190"/>
  <c r="W356" i="190"/>
  <c r="W33" i="190"/>
  <c r="W118" i="190"/>
  <c r="W142" i="190"/>
  <c r="W194" i="190"/>
  <c r="W185" i="190"/>
  <c r="W173" i="190"/>
  <c r="W166" i="190"/>
  <c r="W158" i="190"/>
  <c r="W146" i="190"/>
  <c r="W212" i="190"/>
  <c r="W253" i="190"/>
  <c r="W141" i="190"/>
  <c r="W269" i="190"/>
  <c r="W262" i="190"/>
  <c r="W129" i="190"/>
  <c r="W109" i="190"/>
  <c r="W116" i="190"/>
  <c r="W233" i="190"/>
  <c r="W171" i="190"/>
  <c r="W156" i="190"/>
  <c r="W210" i="190"/>
  <c r="W267" i="190"/>
  <c r="W221" i="190"/>
  <c r="W202" i="190"/>
  <c r="W265" i="190"/>
  <c r="W128" i="190"/>
  <c r="W192" i="190"/>
  <c r="W180" i="190"/>
  <c r="W153" i="190"/>
  <c r="W207" i="190"/>
  <c r="W244" i="190"/>
  <c r="W257" i="190"/>
  <c r="W104" i="190"/>
  <c r="W231" i="190"/>
  <c r="W16" i="190"/>
  <c r="W121" i="190"/>
  <c r="W197" i="190"/>
  <c r="W188" i="190"/>
  <c r="W224" i="190"/>
  <c r="W215" i="190"/>
  <c r="W18" i="190"/>
  <c r="W120" i="190"/>
  <c r="W187" i="190"/>
  <c r="W148" i="190"/>
  <c r="W34" i="190"/>
  <c r="W117" i="190"/>
  <c r="W237" i="190"/>
  <c r="W234" i="190"/>
  <c r="W184" i="190"/>
  <c r="W172" i="190"/>
  <c r="W165" i="190"/>
  <c r="W157" i="190"/>
  <c r="W145" i="190"/>
  <c r="W211" i="190"/>
  <c r="W285" i="190"/>
  <c r="W140" i="190"/>
  <c r="W268" i="190"/>
  <c r="W261" i="190"/>
  <c r="W7" i="190"/>
  <c r="W108" i="190"/>
  <c r="W25" i="190"/>
  <c r="W29" i="190"/>
  <c r="W24" i="190"/>
  <c r="W28" i="190"/>
  <c r="W27" i="190"/>
  <c r="W23" i="190"/>
  <c r="W26" i="190"/>
  <c r="W22" i="190"/>
  <c r="W21" i="190"/>
  <c r="W20" i="190"/>
  <c r="W350" i="190"/>
  <c r="AO19" i="190"/>
  <c r="W161" i="190"/>
  <c r="W250" i="190"/>
  <c r="AA8" i="190"/>
  <c r="AA9" i="190"/>
  <c r="W276" i="190"/>
  <c r="W275" i="190"/>
  <c r="W274" i="190"/>
  <c r="Y181" i="190" l="1"/>
  <c r="Y119" i="190"/>
  <c r="Y102" i="190"/>
  <c r="Y226" i="190"/>
  <c r="Y124" i="190"/>
  <c r="Y108" i="190"/>
  <c r="Y165" i="190"/>
  <c r="Y207" i="190"/>
  <c r="Y171" i="190"/>
  <c r="Y212" i="190"/>
  <c r="Y17" i="190"/>
  <c r="Y176" i="190"/>
  <c r="Y5" i="190"/>
  <c r="Y240" i="190"/>
  <c r="Y235" i="190"/>
  <c r="Y204" i="190"/>
  <c r="Y114" i="190"/>
  <c r="Y230" i="190"/>
  <c r="Y251" i="190"/>
  <c r="Y138" i="190"/>
  <c r="Y18" i="190"/>
  <c r="Y7" i="190"/>
  <c r="Y146" i="190"/>
  <c r="Y168" i="190"/>
  <c r="Y216" i="190"/>
  <c r="Y259" i="190"/>
  <c r="Y20" i="190"/>
  <c r="Y261" i="190"/>
  <c r="Y184" i="190"/>
  <c r="Y224" i="190"/>
  <c r="Y180" i="190"/>
  <c r="Y116" i="190"/>
  <c r="Y158" i="190"/>
  <c r="Y271" i="190"/>
  <c r="Y239" i="190"/>
  <c r="Y143" i="190"/>
  <c r="Y132" i="190"/>
  <c r="Y137" i="190"/>
  <c r="Y115" i="190"/>
  <c r="Y236" i="190"/>
  <c r="Y150" i="190"/>
  <c r="Y242" i="190"/>
  <c r="Y190" i="190"/>
  <c r="Y4" i="190"/>
  <c r="Y266" i="190"/>
  <c r="Y156" i="190"/>
  <c r="Y163" i="190"/>
  <c r="Y350" i="190"/>
  <c r="Y233" i="190"/>
  <c r="Y228" i="190"/>
  <c r="Y201" i="190"/>
  <c r="Y21" i="190"/>
  <c r="Y268" i="190"/>
  <c r="Y234" i="190"/>
  <c r="Y188" i="190"/>
  <c r="Y192" i="190"/>
  <c r="Y109" i="190"/>
  <c r="Y166" i="190"/>
  <c r="Y255" i="190"/>
  <c r="Y289" i="190"/>
  <c r="Y182" i="190"/>
  <c r="Y213" i="190"/>
  <c r="Y272" i="190"/>
  <c r="Y258" i="190"/>
  <c r="Y243" i="190"/>
  <c r="Y101" i="190"/>
  <c r="Y225" i="190"/>
  <c r="Y245" i="190"/>
  <c r="Y199" i="190"/>
  <c r="Y248" i="190"/>
  <c r="Y283" i="190"/>
  <c r="Y161" i="190"/>
  <c r="Y247" i="190"/>
  <c r="Y264" i="190"/>
  <c r="Y238" i="190"/>
  <c r="Y22" i="190"/>
  <c r="Y140" i="190"/>
  <c r="Y237" i="190"/>
  <c r="Y197" i="190"/>
  <c r="Y128" i="190"/>
  <c r="Y129" i="190"/>
  <c r="Y173" i="190"/>
  <c r="Y144" i="190"/>
  <c r="Y206" i="190"/>
  <c r="Y107" i="190"/>
  <c r="Y147" i="190"/>
  <c r="Y279" i="190"/>
  <c r="Y127" i="190"/>
  <c r="Y282" i="190"/>
  <c r="Y113" i="190"/>
  <c r="Y229" i="190"/>
  <c r="Y281" i="190"/>
  <c r="Y135" i="190"/>
  <c r="Y252" i="190"/>
  <c r="Y278" i="190"/>
  <c r="Y227" i="190"/>
  <c r="Y274" i="190"/>
  <c r="Y26" i="190"/>
  <c r="Y285" i="190"/>
  <c r="Y117" i="190"/>
  <c r="Y121" i="190"/>
  <c r="Y265" i="190"/>
  <c r="Y262" i="190"/>
  <c r="Y185" i="190"/>
  <c r="Y214" i="190"/>
  <c r="Y160" i="190"/>
  <c r="Y260" i="190"/>
  <c r="Y159" i="190"/>
  <c r="Y286" i="190"/>
  <c r="Y6" i="190"/>
  <c r="Y218" i="190"/>
  <c r="Y256" i="190"/>
  <c r="Y177" i="190"/>
  <c r="Y288" i="190"/>
  <c r="Y123" i="190"/>
  <c r="Y209" i="190"/>
  <c r="Y157" i="190"/>
  <c r="Y254" i="190"/>
  <c r="Y103" i="190"/>
  <c r="Y275" i="190"/>
  <c r="Y23" i="190"/>
  <c r="Y34" i="190"/>
  <c r="Y16" i="190"/>
  <c r="Y202" i="190"/>
  <c r="Y269" i="190"/>
  <c r="Y194" i="190"/>
  <c r="Y223" i="190"/>
  <c r="Y200" i="190"/>
  <c r="Y110" i="190"/>
  <c r="Y167" i="190"/>
  <c r="Y203" i="190"/>
  <c r="Y284" i="190"/>
  <c r="Y179" i="190"/>
  <c r="Y241" i="190"/>
  <c r="Y189" i="190"/>
  <c r="Y14" i="190"/>
  <c r="Y155" i="190"/>
  <c r="Y249" i="190"/>
  <c r="Y276" i="190"/>
  <c r="Y27" i="190"/>
  <c r="Y231" i="190"/>
  <c r="Y221" i="190"/>
  <c r="Y141" i="190"/>
  <c r="Y142" i="190"/>
  <c r="Y175" i="190"/>
  <c r="Y219" i="190"/>
  <c r="Y130" i="190"/>
  <c r="Y174" i="190"/>
  <c r="Y149" i="190"/>
  <c r="Y136" i="190"/>
  <c r="Y273" i="190"/>
  <c r="Y198" i="190"/>
  <c r="Y246" i="190"/>
  <c r="Y208" i="190"/>
  <c r="Y170" i="190"/>
  <c r="Y193" i="190"/>
  <c r="Y153" i="190"/>
  <c r="Y178" i="190"/>
  <c r="Y28" i="190"/>
  <c r="Y148" i="190"/>
  <c r="Y104" i="190"/>
  <c r="Y267" i="190"/>
  <c r="Y253" i="190"/>
  <c r="Y118" i="190"/>
  <c r="Y196" i="190"/>
  <c r="Y105" i="190"/>
  <c r="Y263" i="190"/>
  <c r="Y186" i="190"/>
  <c r="Y133" i="190"/>
  <c r="Y222" i="190"/>
  <c r="Y280" i="190"/>
  <c r="Y134" i="190"/>
  <c r="Y205" i="190"/>
  <c r="Y220" i="190"/>
  <c r="Y232" i="190"/>
  <c r="Y111" i="190"/>
  <c r="Y215" i="190"/>
  <c r="Y24" i="190"/>
  <c r="Y211" i="190"/>
  <c r="Y187" i="190"/>
  <c r="Y257" i="190"/>
  <c r="Y33" i="190"/>
  <c r="Y354" i="190"/>
  <c r="Y270" i="190"/>
  <c r="Y195" i="190"/>
  <c r="Y164" i="190"/>
  <c r="Y106" i="190"/>
  <c r="Y287" i="190"/>
  <c r="Y122" i="190"/>
  <c r="Y217" i="190"/>
  <c r="Y152" i="190"/>
  <c r="Y162" i="190"/>
  <c r="Y139" i="190"/>
  <c r="Y25" i="190"/>
  <c r="Y172" i="190"/>
  <c r="Y250" i="190"/>
  <c r="Y29" i="190"/>
  <c r="Y145" i="190"/>
  <c r="Y120" i="190"/>
  <c r="Y244" i="190"/>
  <c r="Y210" i="190"/>
  <c r="Y356" i="190"/>
  <c r="Y112" i="190"/>
  <c r="Y154" i="190"/>
  <c r="Y277" i="190"/>
  <c r="Y131" i="190"/>
  <c r="Y3" i="190"/>
  <c r="Y183" i="190"/>
  <c r="Y352" i="190"/>
  <c r="Y151" i="190"/>
  <c r="Y191" i="190"/>
  <c r="Y169" i="190"/>
  <c r="Y15" i="190"/>
  <c r="Y31" i="190"/>
  <c r="U63" i="190"/>
  <c r="U342" i="190"/>
  <c r="U44" i="190"/>
  <c r="U38" i="190"/>
  <c r="U99" i="190"/>
  <c r="U68" i="190"/>
  <c r="U32" i="190"/>
  <c r="U69" i="190"/>
  <c r="U62" i="190"/>
  <c r="U77" i="190"/>
  <c r="U126" i="190"/>
  <c r="U58" i="190"/>
  <c r="U351" i="190"/>
  <c r="U355" i="190"/>
  <c r="U125" i="190"/>
  <c r="U353" i="190"/>
  <c r="U9" i="190"/>
  <c r="U31" i="190"/>
  <c r="U67" i="190"/>
  <c r="U339" i="190"/>
  <c r="U95" i="190"/>
  <c r="U326" i="190"/>
  <c r="U325" i="190"/>
  <c r="U57" i="190"/>
  <c r="U43" i="190"/>
  <c r="U341" i="190"/>
  <c r="U49" i="190"/>
  <c r="U340" i="190"/>
  <c r="U39" i="190"/>
  <c r="U64" i="190"/>
  <c r="U333" i="190"/>
  <c r="U72" i="190"/>
  <c r="U59" i="190"/>
  <c r="U47" i="190"/>
  <c r="U94" i="190"/>
  <c r="U45" i="190"/>
  <c r="U98" i="190"/>
  <c r="U323" i="190"/>
  <c r="U61" i="190"/>
  <c r="U336" i="190"/>
  <c r="U75" i="190"/>
  <c r="U332" i="190"/>
  <c r="U13" i="190"/>
  <c r="U337" i="190"/>
  <c r="U73" i="190"/>
  <c r="U320" i="190"/>
  <c r="U65" i="190"/>
  <c r="U80" i="190"/>
  <c r="U82" i="190"/>
  <c r="U74" i="190"/>
  <c r="U334" i="190"/>
  <c r="U71" i="190"/>
  <c r="U78" i="190"/>
  <c r="U324" i="190"/>
  <c r="U81" i="190"/>
  <c r="U42" i="190"/>
  <c r="U338" i="190"/>
  <c r="U46" i="190"/>
  <c r="U15" i="190"/>
  <c r="U60" i="190"/>
  <c r="U79" i="190"/>
  <c r="U335" i="190"/>
  <c r="U76" i="190"/>
  <c r="U48" i="190"/>
  <c r="U322" i="190"/>
  <c r="U66" i="190"/>
  <c r="U70" i="190"/>
  <c r="U56" i="190"/>
  <c r="W32" i="190"/>
  <c r="W13" i="190"/>
  <c r="W126" i="190"/>
  <c r="W353" i="190"/>
  <c r="W355" i="190"/>
  <c r="W351" i="190"/>
  <c r="U8" i="190"/>
  <c r="W8" i="190"/>
  <c r="W125" i="190"/>
  <c r="AE1" i="190"/>
  <c r="G19" i="190"/>
  <c r="J19" i="190" s="1" a="1"/>
  <c r="J19" i="190" s="1"/>
  <c r="K19" i="190"/>
  <c r="AB19" i="190"/>
  <c r="G20" i="190"/>
  <c r="J20" i="190" s="1" a="1"/>
  <c r="J20" i="190" s="1"/>
  <c r="K20" i="190"/>
  <c r="AB20" i="190"/>
  <c r="G21" i="190"/>
  <c r="J21" i="190" s="1" a="1"/>
  <c r="J21" i="190" s="1"/>
  <c r="K21" i="190"/>
  <c r="AB21" i="190"/>
  <c r="AC21" i="190"/>
  <c r="G22" i="190"/>
  <c r="J22" i="190" s="1" a="1"/>
  <c r="J22" i="190" s="1"/>
  <c r="K22" i="190"/>
  <c r="AB22" i="190"/>
  <c r="AC22" i="190"/>
  <c r="G23" i="190"/>
  <c r="J23" i="190" s="1" a="1"/>
  <c r="J23" i="190" s="1"/>
  <c r="K23" i="190"/>
  <c r="AB23" i="190"/>
  <c r="AC23" i="190"/>
  <c r="G24" i="190"/>
  <c r="J24" i="190" s="1" a="1"/>
  <c r="J24" i="190" s="1"/>
  <c r="K24" i="190"/>
  <c r="AB24" i="190"/>
  <c r="AC24" i="190"/>
  <c r="G25" i="190"/>
  <c r="J25" i="190" s="1" a="1"/>
  <c r="J25" i="190" s="1"/>
  <c r="K25" i="190"/>
  <c r="AB25" i="190"/>
  <c r="AC25" i="190"/>
  <c r="G26" i="190"/>
  <c r="J26" i="190" s="1" a="1"/>
  <c r="J26" i="190" s="1"/>
  <c r="K26" i="190"/>
  <c r="AB26" i="190"/>
  <c r="AC26" i="190"/>
  <c r="G27" i="190"/>
  <c r="J27" i="190" s="1" a="1"/>
  <c r="J27" i="190" s="1"/>
  <c r="K27" i="190"/>
  <c r="AB27" i="190"/>
  <c r="AC27" i="190"/>
  <c r="G28" i="190"/>
  <c r="J28" i="190" s="1" a="1"/>
  <c r="J28" i="190" s="1"/>
  <c r="K28" i="190"/>
  <c r="AB28" i="190"/>
  <c r="AC28" i="190"/>
  <c r="G29" i="190"/>
  <c r="J29" i="190" s="1" a="1"/>
  <c r="J29" i="190" s="1"/>
  <c r="K29" i="190"/>
  <c r="AB29" i="190"/>
  <c r="AC29" i="190"/>
  <c r="G30" i="190"/>
  <c r="J30" i="190" s="1" a="1"/>
  <c r="J30" i="190" s="1"/>
  <c r="K30" i="190"/>
  <c r="AB30" i="190"/>
  <c r="AC30" i="190"/>
  <c r="G8" i="190"/>
  <c r="J8" i="190" s="1" a="1"/>
  <c r="J8" i="190" s="1"/>
  <c r="K8" i="190"/>
  <c r="AB8" i="190"/>
  <c r="AC8" i="190"/>
  <c r="G9" i="190"/>
  <c r="J9" i="190" s="1" a="1"/>
  <c r="J9" i="190" s="1"/>
  <c r="K9" i="190"/>
  <c r="AB9" i="190"/>
  <c r="G10" i="190"/>
  <c r="J10" i="190" s="1" a="1"/>
  <c r="J10" i="190" s="1"/>
  <c r="K10" i="190"/>
  <c r="AB10" i="190"/>
  <c r="G38" i="190"/>
  <c r="J38" i="190" s="1" a="1"/>
  <c r="J38" i="190" s="1"/>
  <c r="K38" i="190"/>
  <c r="AB38" i="190"/>
  <c r="AC38" i="190"/>
  <c r="G39" i="190"/>
  <c r="J39" i="190" s="1" a="1"/>
  <c r="J39" i="190" s="1"/>
  <c r="K39" i="190"/>
  <c r="AB39" i="190"/>
  <c r="AC39" i="190"/>
  <c r="G40" i="190"/>
  <c r="J40" i="190" s="1" a="1"/>
  <c r="J40" i="190" s="1"/>
  <c r="K40" i="190"/>
  <c r="AB40" i="190"/>
  <c r="AC40" i="190"/>
  <c r="G41" i="190"/>
  <c r="J41" i="190" s="1" a="1"/>
  <c r="J41" i="190" s="1"/>
  <c r="K41" i="190"/>
  <c r="AB41" i="190"/>
  <c r="AC41" i="190"/>
  <c r="G42" i="190"/>
  <c r="J42" i="190" s="1" a="1"/>
  <c r="J42" i="190" s="1"/>
  <c r="K42" i="190"/>
  <c r="AB42" i="190"/>
  <c r="AC42" i="190"/>
  <c r="G43" i="190"/>
  <c r="J43" i="190" s="1" a="1"/>
  <c r="J43" i="190" s="1"/>
  <c r="K43" i="190"/>
  <c r="AB43" i="190"/>
  <c r="AC43" i="190"/>
  <c r="G44" i="190"/>
  <c r="J44" i="190" s="1" a="1"/>
  <c r="J44" i="190" s="1"/>
  <c r="K44" i="190"/>
  <c r="AB44" i="190"/>
  <c r="AC44" i="190"/>
  <c r="G45" i="190"/>
  <c r="J45" i="190" s="1" a="1"/>
  <c r="J45" i="190" s="1"/>
  <c r="K45" i="190"/>
  <c r="AB45" i="190"/>
  <c r="AC45" i="190"/>
  <c r="G46" i="190"/>
  <c r="J46" i="190" s="1" a="1"/>
  <c r="J46" i="190" s="1"/>
  <c r="K46" i="190"/>
  <c r="AB46" i="190"/>
  <c r="AC46" i="190"/>
  <c r="G47" i="190"/>
  <c r="J47" i="190" s="1" a="1"/>
  <c r="J47" i="190" s="1"/>
  <c r="K47" i="190"/>
  <c r="AB47" i="190"/>
  <c r="AC47" i="190"/>
  <c r="G48" i="190"/>
  <c r="J48" i="190" s="1" a="1"/>
  <c r="J48" i="190" s="1"/>
  <c r="K48" i="190"/>
  <c r="AB48" i="190"/>
  <c r="AC48" i="190"/>
  <c r="G49" i="190"/>
  <c r="J49" i="190" s="1" a="1"/>
  <c r="J49" i="190" s="1"/>
  <c r="K49" i="190"/>
  <c r="AB49" i="190"/>
  <c r="AC49" i="190"/>
  <c r="G50" i="190"/>
  <c r="J50" i="190" s="1" a="1"/>
  <c r="J50" i="190" s="1"/>
  <c r="K50" i="190"/>
  <c r="AB50" i="190"/>
  <c r="AC50" i="190"/>
  <c r="G51" i="190"/>
  <c r="J51" i="190" s="1" a="1"/>
  <c r="J51" i="190" s="1"/>
  <c r="K51" i="190"/>
  <c r="AB51" i="190"/>
  <c r="AC51" i="190"/>
  <c r="G52" i="190"/>
  <c r="J52" i="190" s="1" a="1"/>
  <c r="J52" i="190" s="1"/>
  <c r="K52" i="190"/>
  <c r="AB52" i="190"/>
  <c r="AC52" i="190"/>
  <c r="G53" i="190"/>
  <c r="J53" i="190" s="1" a="1"/>
  <c r="J53" i="190" s="1"/>
  <c r="K53" i="190"/>
  <c r="AB53" i="190"/>
  <c r="AC53" i="190"/>
  <c r="G54" i="190"/>
  <c r="J54" i="190" s="1" a="1"/>
  <c r="J54" i="190" s="1"/>
  <c r="K54" i="190"/>
  <c r="AB54" i="190"/>
  <c r="AC54" i="190"/>
  <c r="G55" i="190"/>
  <c r="J55" i="190" s="1" a="1"/>
  <c r="J55" i="190" s="1"/>
  <c r="K55" i="190"/>
  <c r="AB55" i="190"/>
  <c r="AC55" i="190"/>
  <c r="G11" i="190"/>
  <c r="J11" i="190" s="1" a="1"/>
  <c r="J11" i="190" s="1"/>
  <c r="K11" i="190"/>
  <c r="AB11" i="190"/>
  <c r="AC11" i="190"/>
  <c r="G12" i="190"/>
  <c r="J12" i="190" s="1" a="1"/>
  <c r="J12" i="190" s="1"/>
  <c r="K12" i="190"/>
  <c r="AB12" i="190"/>
  <c r="AC12" i="190"/>
  <c r="G56" i="190"/>
  <c r="K56" i="190"/>
  <c r="AB56" i="190"/>
  <c r="AC56" i="190"/>
  <c r="K57" i="190"/>
  <c r="AB57" i="190"/>
  <c r="AC57" i="190"/>
  <c r="G58" i="190"/>
  <c r="K58" i="190"/>
  <c r="AB58" i="190"/>
  <c r="AC58" i="190"/>
  <c r="G59" i="190"/>
  <c r="K59" i="190"/>
  <c r="AB59" i="190"/>
  <c r="AC59" i="190"/>
  <c r="G60" i="190"/>
  <c r="K60" i="190"/>
  <c r="AB60" i="190"/>
  <c r="AC60" i="190"/>
  <c r="G61" i="190"/>
  <c r="K61" i="190"/>
  <c r="AB61" i="190"/>
  <c r="AC61" i="190"/>
  <c r="G62" i="190"/>
  <c r="K62" i="190"/>
  <c r="AB62" i="190"/>
  <c r="AC62" i="190"/>
  <c r="G63" i="190"/>
  <c r="K63" i="190"/>
  <c r="AB63" i="190"/>
  <c r="AC63" i="190"/>
  <c r="G64" i="190"/>
  <c r="K64" i="190"/>
  <c r="AB64" i="190"/>
  <c r="AC64" i="190"/>
  <c r="G65" i="190"/>
  <c r="K65" i="190"/>
  <c r="AB65" i="190"/>
  <c r="AC65" i="190"/>
  <c r="G66" i="190"/>
  <c r="K66" i="190"/>
  <c r="AB66" i="190"/>
  <c r="AC66" i="190"/>
  <c r="G67" i="190"/>
  <c r="K67" i="190"/>
  <c r="AB67" i="190"/>
  <c r="AC67" i="190"/>
  <c r="G68" i="190"/>
  <c r="K68" i="190"/>
  <c r="AB68" i="190"/>
  <c r="AC68" i="190"/>
  <c r="G69" i="190"/>
  <c r="K69" i="190"/>
  <c r="AB69" i="190"/>
  <c r="AC69" i="190"/>
  <c r="G70" i="190"/>
  <c r="K70" i="190"/>
  <c r="AB70" i="190"/>
  <c r="AC70" i="190"/>
  <c r="G71" i="190"/>
  <c r="K71" i="190"/>
  <c r="AB71" i="190"/>
  <c r="AC71" i="190"/>
  <c r="G72" i="190"/>
  <c r="K72" i="190"/>
  <c r="AB72" i="190"/>
  <c r="AC72" i="190"/>
  <c r="G73" i="190"/>
  <c r="K73" i="190"/>
  <c r="AB73" i="190"/>
  <c r="AC73" i="190"/>
  <c r="G74" i="190"/>
  <c r="K74" i="190"/>
  <c r="AB74" i="190"/>
  <c r="AC74" i="190"/>
  <c r="G75" i="190"/>
  <c r="K75" i="190"/>
  <c r="AB75" i="190"/>
  <c r="AC75" i="190"/>
  <c r="G76" i="190"/>
  <c r="K76" i="190"/>
  <c r="AB76" i="190"/>
  <c r="AC76" i="190"/>
  <c r="G77" i="190"/>
  <c r="K77" i="190"/>
  <c r="AB77" i="190"/>
  <c r="AC77" i="190"/>
  <c r="G78" i="190"/>
  <c r="K78" i="190"/>
  <c r="AB78" i="190"/>
  <c r="AC78" i="190"/>
  <c r="G79" i="190"/>
  <c r="K79" i="190"/>
  <c r="AB79" i="190"/>
  <c r="AC79" i="190"/>
  <c r="G80" i="190"/>
  <c r="K80" i="190"/>
  <c r="AB80" i="190"/>
  <c r="AC80" i="190"/>
  <c r="G81" i="190"/>
  <c r="J81" i="190" s="1" a="1"/>
  <c r="J81" i="190" s="1"/>
  <c r="K81" i="190"/>
  <c r="AB81" i="190"/>
  <c r="AC81" i="190"/>
  <c r="G82" i="190"/>
  <c r="J82" i="190" s="1" a="1"/>
  <c r="J82" i="190" s="1"/>
  <c r="K82" i="190"/>
  <c r="AB82" i="190"/>
  <c r="AC82" i="190"/>
  <c r="G83" i="190"/>
  <c r="J83" i="190" s="1" a="1"/>
  <c r="J83" i="190" s="1"/>
  <c r="K83" i="190"/>
  <c r="AB83" i="190"/>
  <c r="AC83" i="190"/>
  <c r="G84" i="190"/>
  <c r="K84" i="190"/>
  <c r="AB84" i="190"/>
  <c r="AC84" i="190"/>
  <c r="G85" i="190"/>
  <c r="K85" i="190"/>
  <c r="AB85" i="190"/>
  <c r="AC85" i="190"/>
  <c r="G86" i="190"/>
  <c r="K86" i="190"/>
  <c r="AB86" i="190"/>
  <c r="AC86" i="190"/>
  <c r="G87" i="190"/>
  <c r="K87" i="190"/>
  <c r="AB87" i="190"/>
  <c r="AC87" i="190"/>
  <c r="G88" i="190"/>
  <c r="K88" i="190"/>
  <c r="AB88" i="190"/>
  <c r="AC88" i="190"/>
  <c r="G89" i="190"/>
  <c r="K89" i="190"/>
  <c r="AB89" i="190"/>
  <c r="AC89" i="190"/>
  <c r="G90" i="190"/>
  <c r="K90" i="190"/>
  <c r="AB90" i="190"/>
  <c r="AC90" i="190"/>
  <c r="G91" i="190"/>
  <c r="K91" i="190"/>
  <c r="AB91" i="190"/>
  <c r="AC91" i="190"/>
  <c r="G92" i="190"/>
  <c r="K92" i="190"/>
  <c r="AB92" i="190"/>
  <c r="AC92" i="190"/>
  <c r="G93" i="190"/>
  <c r="K93" i="190"/>
  <c r="AB93" i="190"/>
  <c r="AC93" i="190"/>
  <c r="G94" i="190"/>
  <c r="J94" i="190" s="1" a="1"/>
  <c r="J94" i="190" s="1"/>
  <c r="K94" i="190"/>
  <c r="AB94" i="190"/>
  <c r="AC94" i="190"/>
  <c r="G95" i="190"/>
  <c r="J95" i="190" s="1" a="1"/>
  <c r="J95" i="190" s="1"/>
  <c r="K95" i="190"/>
  <c r="AB95" i="190"/>
  <c r="AC95" i="190"/>
  <c r="G96" i="190"/>
  <c r="J96" i="190" s="1" a="1"/>
  <c r="J96" i="190" s="1"/>
  <c r="K96" i="190"/>
  <c r="AB96" i="190"/>
  <c r="AC96" i="190"/>
  <c r="G97" i="190"/>
  <c r="J97" i="190" s="1" a="1"/>
  <c r="J97" i="190" s="1"/>
  <c r="K97" i="190"/>
  <c r="AB97" i="190"/>
  <c r="AC97" i="190"/>
  <c r="G98" i="190"/>
  <c r="J98" i="190" s="1" a="1"/>
  <c r="J98" i="190" s="1"/>
  <c r="K98" i="190"/>
  <c r="AB98" i="190"/>
  <c r="AC98" i="190"/>
  <c r="G99" i="190"/>
  <c r="J99" i="190" s="1" a="1"/>
  <c r="J99" i="190" s="1"/>
  <c r="K99" i="190"/>
  <c r="AB99" i="190"/>
  <c r="AC99" i="190"/>
  <c r="G100" i="190"/>
  <c r="J100" i="190" s="1" a="1"/>
  <c r="J100" i="190" s="1"/>
  <c r="K100" i="190"/>
  <c r="AB100" i="190"/>
  <c r="AC100" i="190"/>
  <c r="G320" i="190"/>
  <c r="J320" i="190" s="1" a="1"/>
  <c r="J320" i="190" s="1"/>
  <c r="K320" i="190"/>
  <c r="AB320" i="190"/>
  <c r="AC320" i="190"/>
  <c r="G321" i="190"/>
  <c r="J321" i="190" s="1" a="1"/>
  <c r="J321" i="190" s="1"/>
  <c r="K321" i="190"/>
  <c r="AB321" i="190"/>
  <c r="AC321" i="190"/>
  <c r="G322" i="190"/>
  <c r="J322" i="190" s="1" a="1"/>
  <c r="J322" i="190" s="1"/>
  <c r="K322" i="190"/>
  <c r="AB322" i="190"/>
  <c r="AC322" i="190"/>
  <c r="G323" i="190"/>
  <c r="J323" i="190" s="1" a="1"/>
  <c r="J323" i="190" s="1"/>
  <c r="K323" i="190"/>
  <c r="AB323" i="190"/>
  <c r="AC323" i="190"/>
  <c r="G324" i="190"/>
  <c r="J324" i="190" s="1" a="1"/>
  <c r="J324" i="190" s="1"/>
  <c r="K324" i="190"/>
  <c r="AB324" i="190"/>
  <c r="AC324" i="190"/>
  <c r="G325" i="190"/>
  <c r="J325" i="190" s="1" a="1"/>
  <c r="J325" i="190" s="1"/>
  <c r="K325" i="190"/>
  <c r="AB325" i="190"/>
  <c r="AC325" i="190"/>
  <c r="G326" i="190"/>
  <c r="J326" i="190" s="1" a="1"/>
  <c r="J326" i="190" s="1"/>
  <c r="K326" i="190"/>
  <c r="AB326" i="190"/>
  <c r="AC326" i="190"/>
  <c r="G327" i="190"/>
  <c r="J327" i="190" s="1" a="1"/>
  <c r="J327" i="190" s="1"/>
  <c r="K327" i="190"/>
  <c r="AB327" i="190"/>
  <c r="AC327" i="190"/>
  <c r="G328" i="190"/>
  <c r="J328" i="190" s="1" a="1"/>
  <c r="J328" i="190" s="1"/>
  <c r="K328" i="190"/>
  <c r="AB328" i="190"/>
  <c r="AC328" i="190"/>
  <c r="G329" i="190"/>
  <c r="J329" i="190" s="1" a="1"/>
  <c r="J329" i="190" s="1"/>
  <c r="K329" i="190"/>
  <c r="AB329" i="190"/>
  <c r="AC329" i="190"/>
  <c r="G330" i="190"/>
  <c r="J330" i="190" s="1" a="1"/>
  <c r="J330" i="190" s="1"/>
  <c r="K330" i="190"/>
  <c r="AB330" i="190"/>
  <c r="AC330" i="190"/>
  <c r="G331" i="190"/>
  <c r="J331" i="190" s="1" a="1"/>
  <c r="J331" i="190" s="1"/>
  <c r="K331" i="190"/>
  <c r="AB331" i="190"/>
  <c r="AC331" i="190"/>
  <c r="G332" i="190"/>
  <c r="K332" i="190"/>
  <c r="AB332" i="190"/>
  <c r="AC332" i="190"/>
  <c r="G333" i="190"/>
  <c r="K333" i="190"/>
  <c r="AB333" i="190"/>
  <c r="AC333" i="190"/>
  <c r="G334" i="190"/>
  <c r="K334" i="190"/>
  <c r="AB334" i="190"/>
  <c r="AC334" i="190"/>
  <c r="G335" i="190"/>
  <c r="K335" i="190"/>
  <c r="AB335" i="190"/>
  <c r="AC335" i="190"/>
  <c r="G336" i="190"/>
  <c r="K336" i="190"/>
  <c r="AB336" i="190"/>
  <c r="AC336" i="190"/>
  <c r="G337" i="190"/>
  <c r="K337" i="190"/>
  <c r="AB337" i="190"/>
  <c r="AC337" i="190"/>
  <c r="G338" i="190"/>
  <c r="K338" i="190"/>
  <c r="AB338" i="190"/>
  <c r="AC338" i="190"/>
  <c r="G339" i="190"/>
  <c r="K339" i="190"/>
  <c r="AB339" i="190"/>
  <c r="AC339" i="190"/>
  <c r="G340" i="190"/>
  <c r="K340" i="190"/>
  <c r="AB340" i="190"/>
  <c r="AC340" i="190"/>
  <c r="G341" i="190"/>
  <c r="K341" i="190"/>
  <c r="AB341" i="190"/>
  <c r="AC341" i="190"/>
  <c r="G342" i="190"/>
  <c r="K342" i="190"/>
  <c r="AB342" i="190"/>
  <c r="AC342" i="190"/>
  <c r="G343" i="190"/>
  <c r="K343" i="190"/>
  <c r="AB343" i="190"/>
  <c r="AC343" i="190"/>
  <c r="G344" i="190"/>
  <c r="K344" i="190"/>
  <c r="AB344" i="190"/>
  <c r="AC344" i="190"/>
  <c r="G345" i="190"/>
  <c r="K345" i="190"/>
  <c r="AB345" i="190"/>
  <c r="AC345" i="190"/>
  <c r="G346" i="190"/>
  <c r="K346" i="190"/>
  <c r="AB346" i="190"/>
  <c r="AC346" i="190"/>
  <c r="G347" i="190"/>
  <c r="K347" i="190"/>
  <c r="AB347" i="190"/>
  <c r="AC347" i="190"/>
  <c r="G348" i="190"/>
  <c r="K348" i="190"/>
  <c r="AB348" i="190"/>
  <c r="AC348" i="190"/>
  <c r="G349" i="190"/>
  <c r="K349" i="190"/>
  <c r="AB349" i="190"/>
  <c r="AC349" i="190"/>
  <c r="G350" i="190"/>
  <c r="K350" i="190"/>
  <c r="AB350" i="190"/>
  <c r="AC350" i="190"/>
  <c r="G351" i="190"/>
  <c r="J351" i="190" s="1" a="1"/>
  <c r="J351" i="190" s="1"/>
  <c r="K351" i="190"/>
  <c r="AB351" i="190"/>
  <c r="AC351" i="190"/>
  <c r="G352" i="190"/>
  <c r="J352" i="190" s="1" a="1"/>
  <c r="J352" i="190" s="1"/>
  <c r="K352" i="190"/>
  <c r="AB352" i="190"/>
  <c r="AC352" i="190"/>
  <c r="G353" i="190"/>
  <c r="J353" i="190" s="1" a="1"/>
  <c r="J353" i="190" s="1"/>
  <c r="K353" i="190"/>
  <c r="AB353" i="190"/>
  <c r="AC353" i="190"/>
  <c r="G354" i="190"/>
  <c r="J354" i="190" s="1" a="1"/>
  <c r="J354" i="190" s="1"/>
  <c r="K354" i="190"/>
  <c r="AB354" i="190"/>
  <c r="AC354" i="190"/>
  <c r="G355" i="190"/>
  <c r="J355" i="190" s="1" a="1"/>
  <c r="J355" i="190" s="1"/>
  <c r="K355" i="190"/>
  <c r="AB355" i="190"/>
  <c r="AC355" i="190"/>
  <c r="G356" i="190"/>
  <c r="J356" i="190" s="1" a="1"/>
  <c r="J356" i="190" s="1"/>
  <c r="K356" i="190"/>
  <c r="AB356" i="190"/>
  <c r="AC356" i="190"/>
  <c r="G13" i="190"/>
  <c r="J13" i="190" s="1" a="1"/>
  <c r="J13" i="190" s="1"/>
  <c r="K13" i="190"/>
  <c r="AB13" i="190"/>
  <c r="AC13" i="190"/>
  <c r="G14" i="190"/>
  <c r="J14" i="190" s="1" a="1"/>
  <c r="J14" i="190" s="1"/>
  <c r="K14" i="190"/>
  <c r="AB14" i="190"/>
  <c r="AC14" i="190"/>
  <c r="G15" i="190"/>
  <c r="J15" i="190" s="1" a="1"/>
  <c r="J15" i="190" s="1"/>
  <c r="K15" i="190"/>
  <c r="AB15" i="190"/>
  <c r="AC15" i="190"/>
  <c r="G16" i="190"/>
  <c r="J16" i="190" s="1" a="1"/>
  <c r="J16" i="190" s="1"/>
  <c r="K16" i="190"/>
  <c r="AB16" i="190"/>
  <c r="AC16" i="190"/>
  <c r="K101" i="190"/>
  <c r="AB101" i="190"/>
  <c r="AC101" i="190"/>
  <c r="K102" i="190"/>
  <c r="AB102" i="190"/>
  <c r="AC102" i="190"/>
  <c r="K103" i="190"/>
  <c r="AB103" i="190"/>
  <c r="AC103" i="190"/>
  <c r="K104" i="190"/>
  <c r="AB104" i="190"/>
  <c r="AC104" i="190"/>
  <c r="K105" i="190"/>
  <c r="AB105" i="190"/>
  <c r="AC105" i="190"/>
  <c r="K106" i="190"/>
  <c r="AB106" i="190"/>
  <c r="AC106" i="190"/>
  <c r="K107" i="190"/>
  <c r="AB107" i="190"/>
  <c r="AC107" i="190"/>
  <c r="K108" i="190"/>
  <c r="AB108" i="190"/>
  <c r="AC108" i="190"/>
  <c r="K109" i="190"/>
  <c r="AB109" i="190"/>
  <c r="AC109" i="190"/>
  <c r="K110" i="190"/>
  <c r="AB110" i="190"/>
  <c r="AC110" i="190"/>
  <c r="K111" i="190"/>
  <c r="AB111" i="190"/>
  <c r="AC111" i="190"/>
  <c r="K112" i="190"/>
  <c r="AB112" i="190"/>
  <c r="AC112" i="190"/>
  <c r="K113" i="190"/>
  <c r="AB113" i="190"/>
  <c r="AC113" i="190"/>
  <c r="K114" i="190"/>
  <c r="AB114" i="190"/>
  <c r="AC114" i="190"/>
  <c r="K115" i="190"/>
  <c r="AB115" i="190"/>
  <c r="AC115" i="190"/>
  <c r="G31" i="190"/>
  <c r="J31" i="190" s="1" a="1"/>
  <c r="J31" i="190" s="1"/>
  <c r="K31" i="190"/>
  <c r="AB31" i="190"/>
  <c r="AC31" i="190"/>
  <c r="G32" i="190"/>
  <c r="J32" i="190" s="1" a="1"/>
  <c r="J32" i="190" s="1"/>
  <c r="K32" i="190"/>
  <c r="AB32" i="190"/>
  <c r="AC32" i="190"/>
  <c r="G33" i="190"/>
  <c r="J33" i="190" s="1" a="1"/>
  <c r="J33" i="190" s="1"/>
  <c r="K33" i="190"/>
  <c r="AB33" i="190"/>
  <c r="AC33" i="190"/>
  <c r="G34" i="190"/>
  <c r="J34" i="190" s="1" a="1"/>
  <c r="J34" i="190" s="1"/>
  <c r="K34" i="190"/>
  <c r="AB34" i="190"/>
  <c r="AC34" i="190"/>
  <c r="G3" i="190"/>
  <c r="J3" i="190" s="1" a="1"/>
  <c r="J3" i="190" s="1"/>
  <c r="K3" i="190"/>
  <c r="AB3" i="190"/>
  <c r="AC3" i="190"/>
  <c r="G4" i="190"/>
  <c r="J4" i="190" s="1" a="1"/>
  <c r="J4" i="190" s="1"/>
  <c r="K4" i="190"/>
  <c r="AB4" i="190"/>
  <c r="AC4" i="190"/>
  <c r="G5" i="190"/>
  <c r="J5" i="190" s="1" a="1"/>
  <c r="J5" i="190" s="1"/>
  <c r="K5" i="190"/>
  <c r="AB5" i="190"/>
  <c r="AC5" i="190"/>
  <c r="G6" i="190"/>
  <c r="J6" i="190" s="1" a="1"/>
  <c r="J6" i="190" s="1"/>
  <c r="K6" i="190"/>
  <c r="AB6" i="190"/>
  <c r="AC6" i="190"/>
  <c r="G7" i="190"/>
  <c r="J7" i="190" s="1" a="1"/>
  <c r="J7" i="190" s="1"/>
  <c r="K7" i="190"/>
  <c r="AB7" i="190"/>
  <c r="AC7" i="190"/>
  <c r="G125" i="190"/>
  <c r="J125" i="190" s="1" a="1"/>
  <c r="J125" i="190" s="1"/>
  <c r="K125" i="190"/>
  <c r="AB125" i="190"/>
  <c r="AC125" i="190"/>
  <c r="G126" i="190"/>
  <c r="J126" i="190" s="1" a="1"/>
  <c r="J126" i="190" s="1"/>
  <c r="K126" i="190"/>
  <c r="AB126" i="190"/>
  <c r="AC126" i="190"/>
  <c r="G127" i="190"/>
  <c r="J127" i="190" s="1" a="1"/>
  <c r="J127" i="190" s="1"/>
  <c r="K127" i="190"/>
  <c r="AB127" i="190"/>
  <c r="AC127" i="190"/>
  <c r="G128" i="190"/>
  <c r="J128" i="190" s="1" a="1"/>
  <c r="J128" i="190" s="1"/>
  <c r="K128" i="190"/>
  <c r="AB128" i="190"/>
  <c r="AC128" i="190"/>
  <c r="G129" i="190"/>
  <c r="J129" i="190" s="1" a="1"/>
  <c r="J129" i="190" s="1"/>
  <c r="K129" i="190"/>
  <c r="AB129" i="190"/>
  <c r="AC129" i="190"/>
  <c r="G130" i="190"/>
  <c r="J130" i="190" s="1" a="1"/>
  <c r="J130" i="190" s="1"/>
  <c r="K130" i="190"/>
  <c r="AB130" i="190"/>
  <c r="AC130" i="190"/>
  <c r="K17" i="190"/>
  <c r="AB17" i="190"/>
  <c r="AC17" i="190"/>
  <c r="G18" i="190"/>
  <c r="J18" i="190" s="1" a="1"/>
  <c r="J18" i="190" s="1"/>
  <c r="K18" i="190"/>
  <c r="AB18" i="190"/>
  <c r="AC18" i="190"/>
  <c r="G256" i="190"/>
  <c r="J256" i="190" s="1" a="1"/>
  <c r="J256" i="190" s="1"/>
  <c r="K256" i="190"/>
  <c r="AB256" i="190"/>
  <c r="AC256" i="190"/>
  <c r="AE256" i="190"/>
  <c r="G238" i="190"/>
  <c r="J238" i="190" s="1" a="1"/>
  <c r="J238" i="190" s="1"/>
  <c r="K238" i="190"/>
  <c r="AB238" i="190"/>
  <c r="AC238" i="190"/>
  <c r="AE238" i="190"/>
  <c r="G239" i="190"/>
  <c r="J239" i="190" s="1" a="1"/>
  <c r="J239" i="190" s="1"/>
  <c r="K239" i="190"/>
  <c r="AB239" i="190"/>
  <c r="AC239" i="190"/>
  <c r="AE239" i="190"/>
  <c r="G257" i="190"/>
  <c r="J257" i="190" s="1" a="1"/>
  <c r="J257" i="190" s="1"/>
  <c r="K257" i="190"/>
  <c r="AB257" i="190"/>
  <c r="AC257" i="190"/>
  <c r="AE257" i="190"/>
  <c r="G258" i="190"/>
  <c r="J258" i="190" s="1" a="1"/>
  <c r="J258" i="190" s="1"/>
  <c r="K258" i="190"/>
  <c r="AB258" i="190"/>
  <c r="AC258" i="190"/>
  <c r="AE258" i="190"/>
  <c r="G259" i="190"/>
  <c r="J259" i="190" s="1" a="1"/>
  <c r="J259" i="190" s="1"/>
  <c r="K259" i="190"/>
  <c r="AB259" i="190"/>
  <c r="AC259" i="190"/>
  <c r="AE259" i="190"/>
  <c r="G260" i="190"/>
  <c r="J260" i="190" s="1" a="1"/>
  <c r="J260" i="190" s="1"/>
  <c r="K260" i="190"/>
  <c r="AB260" i="190"/>
  <c r="AC260" i="190"/>
  <c r="AE260" i="190"/>
  <c r="G261" i="190"/>
  <c r="J261" i="190" s="1" a="1"/>
  <c r="J261" i="190" s="1"/>
  <c r="K261" i="190"/>
  <c r="AB261" i="190"/>
  <c r="AC261" i="190"/>
  <c r="AE261" i="190"/>
  <c r="G262" i="190"/>
  <c r="J262" i="190" s="1" a="1"/>
  <c r="J262" i="190" s="1"/>
  <c r="K262" i="190"/>
  <c r="AB262" i="190"/>
  <c r="AC262" i="190"/>
  <c r="AE262" i="190"/>
  <c r="G263" i="190"/>
  <c r="J263" i="190" s="1" a="1"/>
  <c r="J263" i="190" s="1"/>
  <c r="K263" i="190"/>
  <c r="AB263" i="190"/>
  <c r="AC263" i="190"/>
  <c r="AE263" i="190"/>
  <c r="G264" i="190"/>
  <c r="J264" i="190" s="1" a="1"/>
  <c r="J264" i="190" s="1"/>
  <c r="K264" i="190"/>
  <c r="AB264" i="190"/>
  <c r="AC264" i="190"/>
  <c r="AE264" i="190"/>
  <c r="G240" i="190"/>
  <c r="J240" i="190" s="1" a="1"/>
  <c r="J240" i="190" s="1"/>
  <c r="K240" i="190"/>
  <c r="AB240" i="190"/>
  <c r="AC240" i="190"/>
  <c r="AE240" i="190"/>
  <c r="G241" i="190"/>
  <c r="J241" i="190" s="1" a="1"/>
  <c r="J241" i="190" s="1"/>
  <c r="K241" i="190"/>
  <c r="AB241" i="190"/>
  <c r="AC241" i="190"/>
  <c r="AE241" i="190"/>
  <c r="G242" i="190"/>
  <c r="J242" i="190" s="1" a="1"/>
  <c r="J242" i="190" s="1"/>
  <c r="K242" i="190"/>
  <c r="AB242" i="190"/>
  <c r="AC242" i="190"/>
  <c r="AE242" i="190"/>
  <c r="G243" i="190"/>
  <c r="J243" i="190" s="1" a="1"/>
  <c r="J243" i="190" s="1"/>
  <c r="K243" i="190"/>
  <c r="AB243" i="190"/>
  <c r="AC243" i="190"/>
  <c r="AE243" i="190"/>
  <c r="G244" i="190"/>
  <c r="J244" i="190" s="1" a="1"/>
  <c r="J244" i="190" s="1"/>
  <c r="K244" i="190"/>
  <c r="AB244" i="190"/>
  <c r="AC244" i="190"/>
  <c r="AE244" i="190"/>
  <c r="G265" i="190"/>
  <c r="J265" i="190" s="1" a="1"/>
  <c r="J265" i="190" s="1"/>
  <c r="K265" i="190"/>
  <c r="AB265" i="190"/>
  <c r="AC265" i="190"/>
  <c r="AE265" i="190"/>
  <c r="G266" i="190"/>
  <c r="J266" i="190" s="1" a="1"/>
  <c r="J266" i="190" s="1"/>
  <c r="K266" i="190"/>
  <c r="AB266" i="190"/>
  <c r="AC266" i="190"/>
  <c r="AE266" i="190"/>
  <c r="G267" i="190"/>
  <c r="J267" i="190" s="1" a="1"/>
  <c r="J267" i="190" s="1"/>
  <c r="K267" i="190"/>
  <c r="AB267" i="190"/>
  <c r="AC267" i="190"/>
  <c r="AE267" i="190"/>
  <c r="G268" i="190"/>
  <c r="J268" i="190" s="1" a="1"/>
  <c r="J268" i="190" s="1"/>
  <c r="K268" i="190"/>
  <c r="AB268" i="190"/>
  <c r="AC268" i="190"/>
  <c r="AE268" i="190"/>
  <c r="G269" i="190"/>
  <c r="J269" i="190" s="1" a="1"/>
  <c r="J269" i="190" s="1"/>
  <c r="K269" i="190"/>
  <c r="AB269" i="190"/>
  <c r="AC269" i="190"/>
  <c r="AE269" i="190"/>
  <c r="G270" i="190"/>
  <c r="J270" i="190" s="1" a="1"/>
  <c r="J270" i="190" s="1"/>
  <c r="K270" i="190"/>
  <c r="AB270" i="190"/>
  <c r="AC270" i="190"/>
  <c r="AE270" i="190"/>
  <c r="G271" i="190"/>
  <c r="J271" i="190" s="1" a="1"/>
  <c r="J271" i="190" s="1"/>
  <c r="K271" i="190"/>
  <c r="AB271" i="190"/>
  <c r="AC271" i="190"/>
  <c r="AE271" i="190"/>
  <c r="G272" i="190"/>
  <c r="J272" i="190" s="1" a="1"/>
  <c r="J272" i="190" s="1"/>
  <c r="K272" i="190"/>
  <c r="AB272" i="190"/>
  <c r="AC272" i="190"/>
  <c r="AE272" i="190"/>
  <c r="G273" i="190"/>
  <c r="J273" i="190" s="1" a="1"/>
  <c r="J273" i="190" s="1"/>
  <c r="K273" i="190"/>
  <c r="AB273" i="190"/>
  <c r="AC273" i="190"/>
  <c r="AE273" i="190"/>
  <c r="G245" i="190"/>
  <c r="J245" i="190" s="1" a="1"/>
  <c r="J245" i="190" s="1"/>
  <c r="K245" i="190"/>
  <c r="AB245" i="190"/>
  <c r="AC245" i="190"/>
  <c r="AE245" i="190"/>
  <c r="G246" i="190"/>
  <c r="J246" i="190" s="1" a="1"/>
  <c r="J246" i="190" s="1"/>
  <c r="K246" i="190"/>
  <c r="AB246" i="190"/>
  <c r="AC246" i="190"/>
  <c r="AE246" i="190"/>
  <c r="G247" i="190"/>
  <c r="J247" i="190" s="1" a="1"/>
  <c r="J247" i="190" s="1"/>
  <c r="K247" i="190"/>
  <c r="AB247" i="190"/>
  <c r="AC247" i="190"/>
  <c r="AE247" i="190"/>
  <c r="G248" i="190"/>
  <c r="J248" i="190" s="1" a="1"/>
  <c r="J248" i="190" s="1"/>
  <c r="K248" i="190"/>
  <c r="AB248" i="190"/>
  <c r="AC248" i="190"/>
  <c r="AE248" i="190"/>
  <c r="G249" i="190"/>
  <c r="J249" i="190" s="1" a="1"/>
  <c r="J249" i="190" s="1"/>
  <c r="K249" i="190"/>
  <c r="AB249" i="190"/>
  <c r="AC249" i="190"/>
  <c r="AE249" i="190"/>
  <c r="G250" i="190"/>
  <c r="J250" i="190" s="1" a="1"/>
  <c r="J250" i="190" s="1"/>
  <c r="K250" i="190"/>
  <c r="AB250" i="190"/>
  <c r="AC250" i="190"/>
  <c r="AE250" i="190"/>
  <c r="G274" i="190"/>
  <c r="J274" i="190" s="1" a="1"/>
  <c r="J274" i="190" s="1"/>
  <c r="K274" i="190"/>
  <c r="AB274" i="190"/>
  <c r="AC274" i="190"/>
  <c r="AE274" i="190"/>
  <c r="G275" i="190"/>
  <c r="J275" i="190" s="1" a="1"/>
  <c r="J275" i="190" s="1"/>
  <c r="K275" i="190"/>
  <c r="AB275" i="190"/>
  <c r="AC275" i="190"/>
  <c r="AE275" i="190"/>
  <c r="G276" i="190"/>
  <c r="J276" i="190" s="1" a="1"/>
  <c r="J276" i="190" s="1"/>
  <c r="K276" i="190"/>
  <c r="AB276" i="190"/>
  <c r="AC276" i="190"/>
  <c r="AE276" i="190"/>
  <c r="G140" i="190"/>
  <c r="J140" i="190" s="1" a="1"/>
  <c r="J140" i="190" s="1"/>
  <c r="K140" i="190"/>
  <c r="AB140" i="190"/>
  <c r="AC140" i="190"/>
  <c r="AE140" i="190"/>
  <c r="G141" i="190"/>
  <c r="J141" i="190" s="1" a="1"/>
  <c r="J141" i="190" s="1"/>
  <c r="K141" i="190"/>
  <c r="AB141" i="190"/>
  <c r="AC141" i="190"/>
  <c r="AE141" i="190"/>
  <c r="G277" i="190"/>
  <c r="J277" i="190" s="1" a="1"/>
  <c r="J277" i="190" s="1"/>
  <c r="K277" i="190"/>
  <c r="AB277" i="190"/>
  <c r="AC277" i="190"/>
  <c r="AE277" i="190"/>
  <c r="G278" i="190"/>
  <c r="J278" i="190" s="1" a="1"/>
  <c r="J278" i="190" s="1"/>
  <c r="K278" i="190"/>
  <c r="AB278" i="190"/>
  <c r="AC278" i="190"/>
  <c r="AE278" i="190"/>
  <c r="G279" i="190"/>
  <c r="J279" i="190" s="1" a="1"/>
  <c r="J279" i="190" s="1"/>
  <c r="K279" i="190"/>
  <c r="AB279" i="190"/>
  <c r="AC279" i="190"/>
  <c r="AE279" i="190"/>
  <c r="G280" i="190"/>
  <c r="J280" i="190" s="1" a="1"/>
  <c r="J280" i="190" s="1"/>
  <c r="K280" i="190"/>
  <c r="AB280" i="190"/>
  <c r="AC280" i="190"/>
  <c r="AE280" i="190"/>
  <c r="G281" i="190"/>
  <c r="J281" i="190" s="1" a="1"/>
  <c r="J281" i="190" s="1"/>
  <c r="K281" i="190"/>
  <c r="AB281" i="190"/>
  <c r="AC281" i="190"/>
  <c r="AE281" i="190"/>
  <c r="G282" i="190"/>
  <c r="J282" i="190" s="1" a="1"/>
  <c r="J282" i="190" s="1"/>
  <c r="K282" i="190"/>
  <c r="AB282" i="190"/>
  <c r="AC282" i="190"/>
  <c r="AE282" i="190"/>
  <c r="G251" i="190"/>
  <c r="J251" i="190" s="1" a="1"/>
  <c r="J251" i="190" s="1"/>
  <c r="K251" i="190"/>
  <c r="AB251" i="190"/>
  <c r="AC251" i="190"/>
  <c r="AE251" i="190"/>
  <c r="G252" i="190"/>
  <c r="J252" i="190" s="1" a="1"/>
  <c r="J252" i="190" s="1"/>
  <c r="K252" i="190"/>
  <c r="AB252" i="190"/>
  <c r="AC252" i="190"/>
  <c r="AE252" i="190"/>
  <c r="G283" i="190"/>
  <c r="J283" i="190" s="1" a="1"/>
  <c r="J283" i="190" s="1"/>
  <c r="K283" i="190"/>
  <c r="AB283" i="190"/>
  <c r="AC283" i="190"/>
  <c r="AE283" i="190"/>
  <c r="G284" i="190"/>
  <c r="J284" i="190" s="1" a="1"/>
  <c r="J284" i="190" s="1"/>
  <c r="K284" i="190"/>
  <c r="AB284" i="190"/>
  <c r="AC284" i="190"/>
  <c r="AE284" i="190"/>
  <c r="G285" i="190"/>
  <c r="J285" i="190" s="1" a="1"/>
  <c r="J285" i="190" s="1"/>
  <c r="K285" i="190"/>
  <c r="AB285" i="190"/>
  <c r="AC285" i="190"/>
  <c r="AE285" i="190"/>
  <c r="G253" i="190"/>
  <c r="J253" i="190" s="1" a="1"/>
  <c r="J253" i="190" s="1"/>
  <c r="K253" i="190"/>
  <c r="AB253" i="190"/>
  <c r="AC253" i="190"/>
  <c r="AE253" i="190"/>
  <c r="G254" i="190"/>
  <c r="J254" i="190" s="1" a="1"/>
  <c r="J254" i="190" s="1"/>
  <c r="K254" i="190"/>
  <c r="AB254" i="190"/>
  <c r="AC254" i="190"/>
  <c r="AE254" i="190"/>
  <c r="G255" i="190"/>
  <c r="J255" i="190" s="1" a="1"/>
  <c r="J255" i="190" s="1"/>
  <c r="K255" i="190"/>
  <c r="AB255" i="190"/>
  <c r="AC255" i="190"/>
  <c r="AE255" i="190"/>
  <c r="G286" i="190"/>
  <c r="J286" i="190" s="1" a="1"/>
  <c r="J286" i="190" s="1"/>
  <c r="K286" i="190"/>
  <c r="AB286" i="190"/>
  <c r="AC286" i="190"/>
  <c r="AE286" i="190"/>
  <c r="G287" i="190"/>
  <c r="J287" i="190" s="1" a="1"/>
  <c r="J287" i="190" s="1"/>
  <c r="K287" i="190"/>
  <c r="AB287" i="190"/>
  <c r="AC287" i="190"/>
  <c r="AE287" i="190"/>
  <c r="G288" i="190"/>
  <c r="J288" i="190" s="1" a="1"/>
  <c r="J288" i="190" s="1"/>
  <c r="K288" i="190"/>
  <c r="AB288" i="190"/>
  <c r="AC288" i="190"/>
  <c r="AE288" i="190"/>
  <c r="G289" i="190"/>
  <c r="J289" i="190" s="1" a="1"/>
  <c r="J289" i="190" s="1"/>
  <c r="K289" i="190"/>
  <c r="AB289" i="190"/>
  <c r="AC289" i="190"/>
  <c r="AE289" i="190"/>
  <c r="G290" i="190"/>
  <c r="J290" i="190" s="1" a="1"/>
  <c r="J290" i="190" s="1"/>
  <c r="K290" i="190"/>
  <c r="AB290" i="190"/>
  <c r="AC290" i="190"/>
  <c r="AE290" i="190"/>
  <c r="G291" i="190"/>
  <c r="J291" i="190" s="1" a="1"/>
  <c r="J291" i="190" s="1"/>
  <c r="K291" i="190"/>
  <c r="AB291" i="190"/>
  <c r="AC291" i="190"/>
  <c r="AE291" i="190"/>
  <c r="G292" i="190"/>
  <c r="J292" i="190" s="1" a="1"/>
  <c r="J292" i="190" s="1"/>
  <c r="K292" i="190"/>
  <c r="AB292" i="190"/>
  <c r="AC292" i="190"/>
  <c r="AE292" i="190"/>
  <c r="G293" i="190"/>
  <c r="J293" i="190" s="1" a="1"/>
  <c r="J293" i="190" s="1"/>
  <c r="K293" i="190"/>
  <c r="AB293" i="190"/>
  <c r="AC293" i="190"/>
  <c r="AE293" i="190"/>
  <c r="G294" i="190"/>
  <c r="J294" i="190" s="1" a="1"/>
  <c r="J294" i="190" s="1"/>
  <c r="K294" i="190"/>
  <c r="AB294" i="190"/>
  <c r="AC294" i="190"/>
  <c r="AE294" i="190"/>
  <c r="G295" i="190"/>
  <c r="J295" i="190" s="1" a="1"/>
  <c r="J295" i="190" s="1"/>
  <c r="K295" i="190"/>
  <c r="AB295" i="190"/>
  <c r="AC295" i="190"/>
  <c r="AE295" i="190"/>
  <c r="G296" i="190"/>
  <c r="J296" i="190" s="1" a="1"/>
  <c r="J296" i="190" s="1"/>
  <c r="K296" i="190"/>
  <c r="AB296" i="190"/>
  <c r="AC296" i="190"/>
  <c r="AE296" i="190"/>
  <c r="G297" i="190"/>
  <c r="J297" i="190" s="1" a="1"/>
  <c r="J297" i="190" s="1"/>
  <c r="K297" i="190"/>
  <c r="AB297" i="190"/>
  <c r="AC297" i="190"/>
  <c r="AE297" i="190"/>
  <c r="G298" i="190"/>
  <c r="J298" i="190" s="1" a="1"/>
  <c r="J298" i="190" s="1"/>
  <c r="K298" i="190"/>
  <c r="AB298" i="190"/>
  <c r="AC298" i="190"/>
  <c r="AE298" i="190"/>
  <c r="G299" i="190"/>
  <c r="J299" i="190" s="1" a="1"/>
  <c r="J299" i="190" s="1"/>
  <c r="K299" i="190"/>
  <c r="AB299" i="190"/>
  <c r="AC299" i="190"/>
  <c r="AE299" i="190"/>
  <c r="G300" i="190"/>
  <c r="J300" i="190" s="1" a="1"/>
  <c r="J300" i="190" s="1"/>
  <c r="K300" i="190"/>
  <c r="AB300" i="190"/>
  <c r="AC300" i="190"/>
  <c r="AE300" i="190"/>
  <c r="G301" i="190"/>
  <c r="J301" i="190" s="1" a="1"/>
  <c r="J301" i="190" s="1"/>
  <c r="K301" i="190"/>
  <c r="AB301" i="190"/>
  <c r="AC301" i="190"/>
  <c r="AE301" i="190"/>
  <c r="G302" i="190"/>
  <c r="J302" i="190" s="1" a="1"/>
  <c r="J302" i="190" s="1"/>
  <c r="K302" i="190"/>
  <c r="AB302" i="190"/>
  <c r="AC302" i="190"/>
  <c r="AE302" i="190"/>
  <c r="G303" i="190"/>
  <c r="J303" i="190" s="1" a="1"/>
  <c r="J303" i="190" s="1"/>
  <c r="K303" i="190"/>
  <c r="AB303" i="190"/>
  <c r="AC303" i="190"/>
  <c r="AE303" i="190"/>
  <c r="G304" i="190"/>
  <c r="J304" i="190" s="1" a="1"/>
  <c r="J304" i="190" s="1"/>
  <c r="K304" i="190"/>
  <c r="AB304" i="190"/>
  <c r="AC304" i="190"/>
  <c r="AE304" i="190"/>
  <c r="G305" i="190"/>
  <c r="J305" i="190" s="1" a="1"/>
  <c r="J305" i="190" s="1"/>
  <c r="K305" i="190"/>
  <c r="AB305" i="190"/>
  <c r="AC305" i="190"/>
  <c r="AE305" i="190"/>
  <c r="G306" i="190"/>
  <c r="J306" i="190" s="1" a="1"/>
  <c r="J306" i="190" s="1"/>
  <c r="K306" i="190"/>
  <c r="AB306" i="190"/>
  <c r="AC306" i="190"/>
  <c r="AE306" i="190"/>
  <c r="G307" i="190"/>
  <c r="J307" i="190" s="1" a="1"/>
  <c r="J307" i="190" s="1"/>
  <c r="K307" i="190"/>
  <c r="AB307" i="190"/>
  <c r="AC307" i="190"/>
  <c r="AE307" i="190"/>
  <c r="G308" i="190"/>
  <c r="J308" i="190" s="1" a="1"/>
  <c r="J308" i="190" s="1"/>
  <c r="K308" i="190"/>
  <c r="AB308" i="190"/>
  <c r="AC308" i="190"/>
  <c r="AE308" i="190"/>
  <c r="G309" i="190"/>
  <c r="J309" i="190" s="1" a="1"/>
  <c r="J309" i="190" s="1"/>
  <c r="K309" i="190"/>
  <c r="AB309" i="190"/>
  <c r="AC309" i="190"/>
  <c r="AE309" i="190"/>
  <c r="G310" i="190"/>
  <c r="J310" i="190" s="1" a="1"/>
  <c r="J310" i="190" s="1"/>
  <c r="K310" i="190"/>
  <c r="AB310" i="190"/>
  <c r="AC310" i="190"/>
  <c r="AE310" i="190"/>
  <c r="G311" i="190"/>
  <c r="J311" i="190" s="1" a="1"/>
  <c r="J311" i="190" s="1"/>
  <c r="K311" i="190"/>
  <c r="AB311" i="190"/>
  <c r="AC311" i="190"/>
  <c r="AE311" i="190"/>
  <c r="G312" i="190"/>
  <c r="J312" i="190" s="1" a="1"/>
  <c r="J312" i="190" s="1"/>
  <c r="K312" i="190"/>
  <c r="AB312" i="190"/>
  <c r="AC312" i="190"/>
  <c r="AE312" i="190"/>
  <c r="G313" i="190"/>
  <c r="J313" i="190" s="1" a="1"/>
  <c r="J313" i="190" s="1"/>
  <c r="K313" i="190"/>
  <c r="AB313" i="190"/>
  <c r="AC313" i="190"/>
  <c r="AE313" i="190"/>
  <c r="G314" i="190"/>
  <c r="J314" i="190" s="1" a="1"/>
  <c r="J314" i="190" s="1"/>
  <c r="K314" i="190"/>
  <c r="AB314" i="190"/>
  <c r="AC314" i="190"/>
  <c r="AE314" i="190"/>
  <c r="G315" i="190"/>
  <c r="J315" i="190" s="1" a="1"/>
  <c r="J315" i="190" s="1"/>
  <c r="K315" i="190"/>
  <c r="AB315" i="190"/>
  <c r="AC315" i="190"/>
  <c r="AE315" i="190"/>
  <c r="G316" i="190"/>
  <c r="J316" i="190" s="1" a="1"/>
  <c r="J316" i="190" s="1"/>
  <c r="K316" i="190"/>
  <c r="AB316" i="190"/>
  <c r="AC316" i="190"/>
  <c r="AE316" i="190"/>
  <c r="G317" i="190"/>
  <c r="J317" i="190" s="1" a="1"/>
  <c r="J317" i="190" s="1"/>
  <c r="K317" i="190"/>
  <c r="AB317" i="190"/>
  <c r="AC317" i="190"/>
  <c r="AE317" i="190"/>
  <c r="G318" i="190"/>
  <c r="J318" i="190" s="1" a="1"/>
  <c r="J318" i="190" s="1"/>
  <c r="K318" i="190"/>
  <c r="AB318" i="190"/>
  <c r="AC318" i="190"/>
  <c r="AE318" i="190"/>
  <c r="G319" i="190"/>
  <c r="J319" i="190" s="1" a="1"/>
  <c r="J319" i="190" s="1"/>
  <c r="K319" i="190"/>
  <c r="AB319" i="190"/>
  <c r="AC319" i="190"/>
  <c r="AE319" i="190"/>
  <c r="E143" i="190"/>
  <c r="F143" i="190"/>
  <c r="G143" i="190"/>
  <c r="H143" i="190"/>
  <c r="K143" i="190"/>
  <c r="AB143" i="190"/>
  <c r="AC143" i="190"/>
  <c r="AE143" i="190"/>
  <c r="E144" i="190"/>
  <c r="F144" i="190"/>
  <c r="G144" i="190"/>
  <c r="H144" i="190"/>
  <c r="K144" i="190"/>
  <c r="AB144" i="190"/>
  <c r="AC144" i="190"/>
  <c r="AE144" i="190"/>
  <c r="E203" i="190"/>
  <c r="F203" i="190"/>
  <c r="G203" i="190"/>
  <c r="H203" i="190"/>
  <c r="K203" i="190"/>
  <c r="AB203" i="190"/>
  <c r="AC203" i="190"/>
  <c r="AE203" i="190"/>
  <c r="E204" i="190"/>
  <c r="F204" i="190"/>
  <c r="N204" i="190" s="1"/>
  <c r="G204" i="190"/>
  <c r="H204" i="190"/>
  <c r="K204" i="190"/>
  <c r="AB204" i="190"/>
  <c r="AC204" i="190"/>
  <c r="AE204" i="190"/>
  <c r="E205" i="190"/>
  <c r="F205" i="190"/>
  <c r="N205" i="190" s="1"/>
  <c r="G205" i="190"/>
  <c r="H205" i="190"/>
  <c r="K205" i="190"/>
  <c r="AB205" i="190"/>
  <c r="AC205" i="190"/>
  <c r="AE205" i="190"/>
  <c r="E206" i="190"/>
  <c r="F206" i="190"/>
  <c r="G206" i="190"/>
  <c r="H206" i="190"/>
  <c r="K206" i="190"/>
  <c r="AB206" i="190"/>
  <c r="AC206" i="190"/>
  <c r="AE206" i="190"/>
  <c r="E207" i="190"/>
  <c r="F207" i="190"/>
  <c r="G207" i="190"/>
  <c r="H207" i="190"/>
  <c r="K207" i="190"/>
  <c r="AB207" i="190"/>
  <c r="AC207" i="190"/>
  <c r="AE207" i="190"/>
  <c r="E208" i="190"/>
  <c r="F208" i="190"/>
  <c r="G208" i="190"/>
  <c r="H208" i="190"/>
  <c r="K208" i="190"/>
  <c r="AB208" i="190"/>
  <c r="AC208" i="190"/>
  <c r="AE208" i="190"/>
  <c r="E209" i="190"/>
  <c r="F209" i="190"/>
  <c r="N209" i="190" s="1"/>
  <c r="G209" i="190"/>
  <c r="H209" i="190"/>
  <c r="K209" i="190"/>
  <c r="AB209" i="190"/>
  <c r="AC209" i="190"/>
  <c r="AE209" i="190"/>
  <c r="E210" i="190"/>
  <c r="F210" i="190"/>
  <c r="G210" i="190"/>
  <c r="H210" i="190"/>
  <c r="K210" i="190"/>
  <c r="AB210" i="190"/>
  <c r="AC210" i="190"/>
  <c r="AE210" i="190"/>
  <c r="E211" i="190"/>
  <c r="F211" i="190"/>
  <c r="G211" i="190"/>
  <c r="H211" i="190"/>
  <c r="K211" i="190"/>
  <c r="AB211" i="190"/>
  <c r="AC211" i="190"/>
  <c r="AE211" i="190"/>
  <c r="E212" i="190"/>
  <c r="F212" i="190"/>
  <c r="G212" i="190"/>
  <c r="H212" i="190"/>
  <c r="K212" i="190"/>
  <c r="AB212" i="190"/>
  <c r="AC212" i="190"/>
  <c r="AE212" i="190"/>
  <c r="E213" i="190"/>
  <c r="F213" i="190"/>
  <c r="G213" i="190"/>
  <c r="H213" i="190"/>
  <c r="K213" i="190"/>
  <c r="AB213" i="190"/>
  <c r="AC213" i="190"/>
  <c r="AE213" i="190"/>
  <c r="E214" i="190"/>
  <c r="F214" i="190"/>
  <c r="N214" i="190" s="1"/>
  <c r="G214" i="190"/>
  <c r="H214" i="190"/>
  <c r="K214" i="190"/>
  <c r="AB214" i="190"/>
  <c r="AC214" i="190"/>
  <c r="AE214" i="190"/>
  <c r="E215" i="190"/>
  <c r="F215" i="190"/>
  <c r="G215" i="190"/>
  <c r="H215" i="190"/>
  <c r="K215" i="190"/>
  <c r="AB215" i="190"/>
  <c r="AC215" i="190"/>
  <c r="AE215" i="190"/>
  <c r="E216" i="190"/>
  <c r="F216" i="190"/>
  <c r="N216" i="190" s="1"/>
  <c r="G216" i="190"/>
  <c r="H216" i="190"/>
  <c r="K216" i="190"/>
  <c r="AB216" i="190"/>
  <c r="AC216" i="190"/>
  <c r="AE216" i="190"/>
  <c r="E217" i="190"/>
  <c r="F217" i="190"/>
  <c r="G217" i="190"/>
  <c r="H217" i="190"/>
  <c r="K217" i="190"/>
  <c r="AB217" i="190"/>
  <c r="AC217" i="190"/>
  <c r="AE217" i="190"/>
  <c r="E218" i="190"/>
  <c r="F218" i="190"/>
  <c r="N218" i="190" s="1"/>
  <c r="G218" i="190"/>
  <c r="H218" i="190"/>
  <c r="K218" i="190"/>
  <c r="AB218" i="190"/>
  <c r="AC218" i="190"/>
  <c r="AE218" i="190"/>
  <c r="E219" i="190"/>
  <c r="F219" i="190"/>
  <c r="G219" i="190"/>
  <c r="H219" i="190"/>
  <c r="K219" i="190"/>
  <c r="AB219" i="190"/>
  <c r="AC219" i="190"/>
  <c r="AE219" i="190"/>
  <c r="E220" i="190"/>
  <c r="F220" i="190"/>
  <c r="G220" i="190"/>
  <c r="H220" i="190"/>
  <c r="K220" i="190"/>
  <c r="AB220" i="190"/>
  <c r="AC220" i="190"/>
  <c r="AE220" i="190"/>
  <c r="E221" i="190"/>
  <c r="F221" i="190"/>
  <c r="G221" i="190"/>
  <c r="H221" i="190"/>
  <c r="K221" i="190"/>
  <c r="AB221" i="190"/>
  <c r="AC221" i="190"/>
  <c r="AE221" i="190"/>
  <c r="E222" i="190"/>
  <c r="F222" i="190"/>
  <c r="G222" i="190"/>
  <c r="H222" i="190"/>
  <c r="K222" i="190"/>
  <c r="AB222" i="190"/>
  <c r="AC222" i="190"/>
  <c r="AE222" i="190"/>
  <c r="G145" i="190"/>
  <c r="J145" i="190" s="1" a="1"/>
  <c r="J145" i="190" s="1"/>
  <c r="AB145" i="190"/>
  <c r="AE145" i="190"/>
  <c r="AF145" i="190"/>
  <c r="G146" i="190"/>
  <c r="J146" i="190" s="1" a="1"/>
  <c r="J146" i="190" s="1"/>
  <c r="AB146" i="190"/>
  <c r="AE146" i="190"/>
  <c r="AF146" i="190"/>
  <c r="G147" i="190"/>
  <c r="J147" i="190" s="1" a="1"/>
  <c r="J147" i="190" s="1"/>
  <c r="AB147" i="190"/>
  <c r="AE147" i="190"/>
  <c r="AF147" i="190"/>
  <c r="G148" i="190"/>
  <c r="J148" i="190" s="1" a="1"/>
  <c r="J148" i="190" s="1"/>
  <c r="AB148" i="190"/>
  <c r="AE148" i="190"/>
  <c r="AF148" i="190"/>
  <c r="G149" i="190"/>
  <c r="J149" i="190" s="1" a="1"/>
  <c r="J149" i="190" s="1"/>
  <c r="AB149" i="190"/>
  <c r="AE149" i="190"/>
  <c r="AF149" i="190"/>
  <c r="G150" i="190"/>
  <c r="J150" i="190" s="1" a="1"/>
  <c r="J150" i="190" s="1"/>
  <c r="AB150" i="190"/>
  <c r="AE150" i="190"/>
  <c r="AF150" i="190"/>
  <c r="G151" i="190"/>
  <c r="J151" i="190" s="1" a="1"/>
  <c r="J151" i="190" s="1"/>
  <c r="AB151" i="190"/>
  <c r="AE151" i="190"/>
  <c r="AF151" i="190"/>
  <c r="G152" i="190"/>
  <c r="J152" i="190" s="1" a="1"/>
  <c r="J152" i="190" s="1"/>
  <c r="AB152" i="190"/>
  <c r="AE152" i="190"/>
  <c r="AF152" i="190"/>
  <c r="G153" i="190"/>
  <c r="J153" i="190" s="1" a="1"/>
  <c r="J153" i="190" s="1"/>
  <c r="AB153" i="190"/>
  <c r="AC153" i="190"/>
  <c r="AF153" i="190" s="1"/>
  <c r="AE153" i="190"/>
  <c r="G154" i="190"/>
  <c r="J154" i="190" s="1" a="1"/>
  <c r="J154" i="190" s="1"/>
  <c r="AB154" i="190"/>
  <c r="AC154" i="190"/>
  <c r="AF154" i="190" s="1"/>
  <c r="AE154" i="190"/>
  <c r="G155" i="190"/>
  <c r="J155" i="190" s="1" a="1"/>
  <c r="J155" i="190" s="1"/>
  <c r="AB155" i="190"/>
  <c r="AC155" i="190"/>
  <c r="AF155" i="190" s="1"/>
  <c r="AE155" i="190"/>
  <c r="G156" i="190"/>
  <c r="J156" i="190" s="1" a="1"/>
  <c r="J156" i="190" s="1"/>
  <c r="AB156" i="190"/>
  <c r="AC156" i="190"/>
  <c r="AF156" i="190" s="1"/>
  <c r="AE156" i="190"/>
  <c r="G157" i="190"/>
  <c r="J157" i="190" s="1" a="1"/>
  <c r="J157" i="190" s="1"/>
  <c r="AB157" i="190"/>
  <c r="AC157" i="190"/>
  <c r="AF157" i="190" s="1"/>
  <c r="AE157" i="190"/>
  <c r="G158" i="190"/>
  <c r="J158" i="190" s="1" a="1"/>
  <c r="J158" i="190" s="1"/>
  <c r="AB158" i="190"/>
  <c r="AC158" i="190"/>
  <c r="AF158" i="190" s="1"/>
  <c r="AE158" i="190"/>
  <c r="G159" i="190"/>
  <c r="J159" i="190" s="1" a="1"/>
  <c r="J159" i="190" s="1"/>
  <c r="AB159" i="190"/>
  <c r="AC159" i="190"/>
  <c r="AF159" i="190" s="1"/>
  <c r="AE159" i="190"/>
  <c r="G223" i="190"/>
  <c r="J223" i="190" s="1" a="1"/>
  <c r="J223" i="190" s="1"/>
  <c r="AB223" i="190"/>
  <c r="AC223" i="190"/>
  <c r="AF223" i="190" s="1"/>
  <c r="AE223" i="190"/>
  <c r="G224" i="190"/>
  <c r="J224" i="190" s="1" a="1"/>
  <c r="J224" i="190" s="1"/>
  <c r="AB224" i="190"/>
  <c r="AC224" i="190"/>
  <c r="AF224" i="190" s="1"/>
  <c r="AE224" i="190"/>
  <c r="G225" i="190"/>
  <c r="J225" i="190" s="1" a="1"/>
  <c r="J225" i="190" s="1"/>
  <c r="AB225" i="190"/>
  <c r="AC225" i="190"/>
  <c r="AF225" i="190" s="1"/>
  <c r="AE225" i="190"/>
  <c r="G226" i="190"/>
  <c r="J226" i="190" s="1" a="1"/>
  <c r="J226" i="190" s="1"/>
  <c r="AB226" i="190"/>
  <c r="AC226" i="190"/>
  <c r="AF226" i="190" s="1"/>
  <c r="AE226" i="190"/>
  <c r="G160" i="190"/>
  <c r="J160" i="190" s="1" a="1"/>
  <c r="J160" i="190" s="1"/>
  <c r="AB160" i="190"/>
  <c r="AC160" i="190"/>
  <c r="AF160" i="190" s="1"/>
  <c r="AE160" i="190"/>
  <c r="G161" i="190"/>
  <c r="J161" i="190" s="1" a="1"/>
  <c r="J161" i="190" s="1"/>
  <c r="AB161" i="190"/>
  <c r="AC161" i="190"/>
  <c r="AF161" i="190" s="1"/>
  <c r="AE161" i="190"/>
  <c r="G162" i="190"/>
  <c r="J162" i="190" s="1" a="1"/>
  <c r="J162" i="190" s="1"/>
  <c r="AB162" i="190"/>
  <c r="AC162" i="190"/>
  <c r="AF162" i="190" s="1"/>
  <c r="AE162" i="190"/>
  <c r="G163" i="190"/>
  <c r="J163" i="190" s="1" a="1"/>
  <c r="J163" i="190" s="1"/>
  <c r="AB163" i="190"/>
  <c r="AC163" i="190"/>
  <c r="AF163" i="190" s="1"/>
  <c r="AE163" i="190"/>
  <c r="G164" i="190"/>
  <c r="J164" i="190" s="1" a="1"/>
  <c r="J164" i="190" s="1"/>
  <c r="AB164" i="190"/>
  <c r="AC164" i="190"/>
  <c r="AF164" i="190" s="1"/>
  <c r="AE164" i="190"/>
  <c r="G165" i="190"/>
  <c r="J165" i="190" s="1" a="1"/>
  <c r="J165" i="190" s="1"/>
  <c r="AB165" i="190"/>
  <c r="AC165" i="190"/>
  <c r="AF165" i="190" s="1"/>
  <c r="AE165" i="190"/>
  <c r="G166" i="190"/>
  <c r="J166" i="190" s="1" a="1"/>
  <c r="J166" i="190" s="1"/>
  <c r="AB166" i="190"/>
  <c r="AC166" i="190"/>
  <c r="AF166" i="190" s="1"/>
  <c r="AE166" i="190"/>
  <c r="G167" i="190"/>
  <c r="J167" i="190" s="1" a="1"/>
  <c r="J167" i="190" s="1"/>
  <c r="AB167" i="190"/>
  <c r="AC167" i="190"/>
  <c r="AF167" i="190" s="1"/>
  <c r="AE167" i="190"/>
  <c r="G227" i="190"/>
  <c r="J227" i="190" s="1" a="1"/>
  <c r="J227" i="190" s="1"/>
  <c r="AB227" i="190"/>
  <c r="AC227" i="190"/>
  <c r="AF227" i="190" s="1"/>
  <c r="AE227" i="190"/>
  <c r="G228" i="190"/>
  <c r="J228" i="190" s="1" a="1"/>
  <c r="J228" i="190" s="1"/>
  <c r="AB228" i="190"/>
  <c r="AC228" i="190"/>
  <c r="AF228" i="190" s="1"/>
  <c r="AE228" i="190"/>
  <c r="G229" i="190"/>
  <c r="J229" i="190" s="1" a="1"/>
  <c r="J229" i="190" s="1"/>
  <c r="AB229" i="190"/>
  <c r="AC229" i="190"/>
  <c r="AF229" i="190" s="1"/>
  <c r="AE229" i="190"/>
  <c r="G230" i="190"/>
  <c r="J230" i="190" s="1" a="1"/>
  <c r="J230" i="190" s="1"/>
  <c r="AB230" i="190"/>
  <c r="AC230" i="190"/>
  <c r="AF230" i="190" s="1"/>
  <c r="AE230" i="190"/>
  <c r="G231" i="190"/>
  <c r="J231" i="190" s="1" a="1"/>
  <c r="J231" i="190" s="1"/>
  <c r="AB231" i="190"/>
  <c r="AC231" i="190"/>
  <c r="AF231" i="190" s="1"/>
  <c r="AE231" i="190"/>
  <c r="G168" i="190"/>
  <c r="J168" i="190" s="1" a="1"/>
  <c r="J168" i="190" s="1"/>
  <c r="AB168" i="190"/>
  <c r="AE168" i="190"/>
  <c r="AF168" i="190"/>
  <c r="G169" i="190"/>
  <c r="J169" i="190" s="1" a="1"/>
  <c r="J169" i="190" s="1"/>
  <c r="AB169" i="190"/>
  <c r="AE169" i="190"/>
  <c r="AF169" i="190"/>
  <c r="G170" i="190"/>
  <c r="J170" i="190" s="1" a="1"/>
  <c r="J170" i="190" s="1"/>
  <c r="AB170" i="190"/>
  <c r="AE170" i="190"/>
  <c r="AF170" i="190"/>
  <c r="G171" i="190"/>
  <c r="J171" i="190" s="1" a="1"/>
  <c r="J171" i="190" s="1"/>
  <c r="AB171" i="190"/>
  <c r="AE171" i="190"/>
  <c r="AF171" i="190"/>
  <c r="G172" i="190"/>
  <c r="J172" i="190" s="1" a="1"/>
  <c r="J172" i="190" s="1"/>
  <c r="AB172" i="190"/>
  <c r="AE172" i="190"/>
  <c r="AF172" i="190"/>
  <c r="G173" i="190"/>
  <c r="J173" i="190" s="1" a="1"/>
  <c r="J173" i="190" s="1"/>
  <c r="AB173" i="190"/>
  <c r="AE173" i="190"/>
  <c r="AF173" i="190"/>
  <c r="G174" i="190"/>
  <c r="J174" i="190" s="1" a="1"/>
  <c r="J174" i="190" s="1"/>
  <c r="AB174" i="190"/>
  <c r="AE174" i="190"/>
  <c r="AF174" i="190"/>
  <c r="G175" i="190"/>
  <c r="J175" i="190" s="1" a="1"/>
  <c r="J175" i="190" s="1"/>
  <c r="AB175" i="190"/>
  <c r="AE175" i="190"/>
  <c r="AF175" i="190"/>
  <c r="G176" i="190"/>
  <c r="J176" i="190" s="1" a="1"/>
  <c r="J176" i="190" s="1"/>
  <c r="AB176" i="190"/>
  <c r="AE176" i="190"/>
  <c r="AF176" i="190"/>
  <c r="G177" i="190"/>
  <c r="J177" i="190" s="1" a="1"/>
  <c r="J177" i="190" s="1"/>
  <c r="AB177" i="190"/>
  <c r="AE177" i="190"/>
  <c r="AF177" i="190"/>
  <c r="G178" i="190"/>
  <c r="J178" i="190" s="1" a="1"/>
  <c r="J178" i="190" s="1"/>
  <c r="AB178" i="190"/>
  <c r="AE178" i="190"/>
  <c r="AF178" i="190"/>
  <c r="G179" i="190"/>
  <c r="J179" i="190" s="1" a="1"/>
  <c r="J179" i="190" s="1"/>
  <c r="AB179" i="190"/>
  <c r="AE179" i="190"/>
  <c r="AF179" i="190"/>
  <c r="G180" i="190"/>
  <c r="J180" i="190" s="1" a="1"/>
  <c r="J180" i="190" s="1"/>
  <c r="AB180" i="190"/>
  <c r="AE180" i="190"/>
  <c r="AF180" i="190"/>
  <c r="G181" i="190"/>
  <c r="J181" i="190" s="1" a="1"/>
  <c r="J181" i="190" s="1"/>
  <c r="AB181" i="190"/>
  <c r="AE181" i="190"/>
  <c r="AF181" i="190"/>
  <c r="G182" i="190"/>
  <c r="J182" i="190" s="1" a="1"/>
  <c r="J182" i="190" s="1"/>
  <c r="AB182" i="190"/>
  <c r="AE182" i="190"/>
  <c r="AF182" i="190"/>
  <c r="G183" i="190"/>
  <c r="J183" i="190" s="1" a="1"/>
  <c r="J183" i="190" s="1"/>
  <c r="AB183" i="190"/>
  <c r="AE183" i="190"/>
  <c r="AF183" i="190"/>
  <c r="G184" i="190"/>
  <c r="J184" i="190" s="1" a="1"/>
  <c r="J184" i="190" s="1"/>
  <c r="AB184" i="190"/>
  <c r="AE184" i="190"/>
  <c r="AF184" i="190"/>
  <c r="G185" i="190"/>
  <c r="J185" i="190" s="1" a="1"/>
  <c r="J185" i="190" s="1"/>
  <c r="AB185" i="190"/>
  <c r="AE185" i="190"/>
  <c r="AF185" i="190"/>
  <c r="G186" i="190"/>
  <c r="J186" i="190" s="1" a="1"/>
  <c r="J186" i="190" s="1"/>
  <c r="AB186" i="190"/>
  <c r="AE186" i="190"/>
  <c r="AF186" i="190"/>
  <c r="G187" i="190"/>
  <c r="J187" i="190" s="1" a="1"/>
  <c r="J187" i="190" s="1"/>
  <c r="AB187" i="190"/>
  <c r="AE187" i="190"/>
  <c r="AF187" i="190"/>
  <c r="G188" i="190"/>
  <c r="J188" i="190" s="1" a="1"/>
  <c r="J188" i="190" s="1"/>
  <c r="AB188" i="190"/>
  <c r="AC188" i="190"/>
  <c r="AF188" i="190" s="1"/>
  <c r="AE188" i="190"/>
  <c r="G189" i="190"/>
  <c r="J189" i="190" s="1" a="1"/>
  <c r="J189" i="190" s="1"/>
  <c r="AB189" i="190"/>
  <c r="AC189" i="190"/>
  <c r="AF189" i="190" s="1"/>
  <c r="AE189" i="190"/>
  <c r="G190" i="190"/>
  <c r="J190" i="190" s="1" a="1"/>
  <c r="J190" i="190" s="1"/>
  <c r="AB190" i="190"/>
  <c r="AC190" i="190"/>
  <c r="AF190" i="190" s="1"/>
  <c r="AE190" i="190"/>
  <c r="G191" i="190"/>
  <c r="J191" i="190" s="1" a="1"/>
  <c r="J191" i="190" s="1"/>
  <c r="AB191" i="190"/>
  <c r="AC191" i="190"/>
  <c r="AF191" i="190" s="1"/>
  <c r="AE191" i="190"/>
  <c r="G192" i="190"/>
  <c r="J192" i="190" s="1" a="1"/>
  <c r="J192" i="190" s="1"/>
  <c r="AB192" i="190"/>
  <c r="AC192" i="190"/>
  <c r="AF192" i="190" s="1"/>
  <c r="AE192" i="190"/>
  <c r="G193" i="190"/>
  <c r="J193" i="190" s="1" a="1"/>
  <c r="J193" i="190" s="1"/>
  <c r="AB193" i="190"/>
  <c r="AC193" i="190"/>
  <c r="AF193" i="190" s="1"/>
  <c r="AE193" i="190"/>
  <c r="G232" i="190"/>
  <c r="J232" i="190" s="1" a="1"/>
  <c r="J232" i="190" s="1"/>
  <c r="AB232" i="190"/>
  <c r="AC232" i="190"/>
  <c r="AF232" i="190" s="1"/>
  <c r="AE232" i="190"/>
  <c r="G233" i="190"/>
  <c r="J233" i="190" s="1" a="1"/>
  <c r="J233" i="190" s="1"/>
  <c r="AB233" i="190"/>
  <c r="AC233" i="190"/>
  <c r="AF233" i="190" s="1"/>
  <c r="AE233" i="190"/>
  <c r="G234" i="190"/>
  <c r="J234" i="190" s="1" a="1"/>
  <c r="J234" i="190" s="1"/>
  <c r="AB234" i="190"/>
  <c r="AC234" i="190"/>
  <c r="AF234" i="190" s="1"/>
  <c r="AE234" i="190"/>
  <c r="G194" i="190"/>
  <c r="J194" i="190" s="1" a="1"/>
  <c r="J194" i="190" s="1"/>
  <c r="AB194" i="190"/>
  <c r="AC194" i="190"/>
  <c r="AF194" i="190" s="1"/>
  <c r="AE194" i="190"/>
  <c r="G195" i="190"/>
  <c r="J195" i="190" s="1" a="1"/>
  <c r="J195" i="190" s="1"/>
  <c r="AB195" i="190"/>
  <c r="AC195" i="190"/>
  <c r="AF195" i="190" s="1"/>
  <c r="AE195" i="190"/>
  <c r="G196" i="190"/>
  <c r="J196" i="190" s="1" a="1"/>
  <c r="J196" i="190" s="1"/>
  <c r="AB196" i="190"/>
  <c r="AC196" i="190"/>
  <c r="AF196" i="190" s="1"/>
  <c r="AE196" i="190"/>
  <c r="G197" i="190"/>
  <c r="J197" i="190" s="1" a="1"/>
  <c r="J197" i="190" s="1"/>
  <c r="AB197" i="190"/>
  <c r="AC197" i="190"/>
  <c r="AF197" i="190" s="1"/>
  <c r="AE197" i="190"/>
  <c r="G198" i="190"/>
  <c r="J198" i="190" s="1" a="1"/>
  <c r="J198" i="190" s="1"/>
  <c r="AB198" i="190"/>
  <c r="AC198" i="190"/>
  <c r="AF198" i="190" s="1"/>
  <c r="AE198" i="190"/>
  <c r="G199" i="190"/>
  <c r="J199" i="190" s="1" a="1"/>
  <c r="J199" i="190" s="1"/>
  <c r="AB199" i="190"/>
  <c r="AC199" i="190"/>
  <c r="AF199" i="190" s="1"/>
  <c r="AE199" i="190"/>
  <c r="G200" i="190"/>
  <c r="J200" i="190" s="1" a="1"/>
  <c r="J200" i="190" s="1"/>
  <c r="AB200" i="190"/>
  <c r="AC200" i="190"/>
  <c r="AF200" i="190" s="1"/>
  <c r="AE200" i="190"/>
  <c r="G201" i="190"/>
  <c r="J201" i="190" s="1" a="1"/>
  <c r="J201" i="190" s="1"/>
  <c r="AB201" i="190"/>
  <c r="AC201" i="190"/>
  <c r="AF201" i="190" s="1"/>
  <c r="AE201" i="190"/>
  <c r="G202" i="190"/>
  <c r="J202" i="190" s="1" a="1"/>
  <c r="J202" i="190" s="1"/>
  <c r="AB202" i="190"/>
  <c r="AC202" i="190"/>
  <c r="AF202" i="190" s="1"/>
  <c r="AE202" i="190"/>
  <c r="G235" i="190"/>
  <c r="J235" i="190" s="1" a="1"/>
  <c r="J235" i="190" s="1"/>
  <c r="AB235" i="190"/>
  <c r="AC235" i="190"/>
  <c r="AF235" i="190" s="1"/>
  <c r="AE235" i="190"/>
  <c r="G236" i="190"/>
  <c r="J236" i="190" s="1" a="1"/>
  <c r="J236" i="190" s="1"/>
  <c r="AB236" i="190"/>
  <c r="AC236" i="190"/>
  <c r="AF236" i="190" s="1"/>
  <c r="AE236" i="190"/>
  <c r="G237" i="190"/>
  <c r="J237" i="190" s="1" a="1"/>
  <c r="J237" i="190" s="1"/>
  <c r="AB237" i="190"/>
  <c r="AC237" i="190"/>
  <c r="AF237" i="190" s="1"/>
  <c r="AE237" i="190"/>
  <c r="G142" i="190"/>
  <c r="J142" i="190" s="1" a="1"/>
  <c r="J142" i="190" s="1"/>
  <c r="AB142" i="190"/>
  <c r="AC142" i="190"/>
  <c r="AF142" i="190" s="1"/>
  <c r="AE142" i="190"/>
  <c r="G131" i="190"/>
  <c r="J131" i="190" s="1" a="1"/>
  <c r="J131" i="190" s="1"/>
  <c r="AB131" i="190"/>
  <c r="AE131" i="190"/>
  <c r="AF131" i="190"/>
  <c r="G132" i="190"/>
  <c r="J132" i="190" s="1" a="1"/>
  <c r="J132" i="190" s="1"/>
  <c r="AB132" i="190"/>
  <c r="AE132" i="190"/>
  <c r="AF132" i="190"/>
  <c r="G133" i="190"/>
  <c r="J133" i="190" s="1" a="1"/>
  <c r="J133" i="190" s="1"/>
  <c r="AB133" i="190"/>
  <c r="AE133" i="190"/>
  <c r="AF133" i="190"/>
  <c r="G134" i="190"/>
  <c r="J134" i="190" s="1" a="1"/>
  <c r="J134" i="190" s="1"/>
  <c r="AB134" i="190"/>
  <c r="AC134" i="190"/>
  <c r="AF134" i="190" s="1"/>
  <c r="AE134" i="190"/>
  <c r="G135" i="190"/>
  <c r="J135" i="190" s="1" a="1"/>
  <c r="J135" i="190" s="1"/>
  <c r="AB135" i="190"/>
  <c r="AC135" i="190"/>
  <c r="AF135" i="190" s="1"/>
  <c r="AE135" i="190"/>
  <c r="G136" i="190"/>
  <c r="J136" i="190" s="1" a="1"/>
  <c r="J136" i="190" s="1"/>
  <c r="AB136" i="190"/>
  <c r="AE136" i="190"/>
  <c r="AF136" i="190"/>
  <c r="G137" i="190"/>
  <c r="J137" i="190" s="1" a="1"/>
  <c r="J137" i="190" s="1"/>
  <c r="AB137" i="190"/>
  <c r="AE137" i="190"/>
  <c r="AF137" i="190"/>
  <c r="G138" i="190"/>
  <c r="J138" i="190" s="1" a="1"/>
  <c r="J138" i="190" s="1"/>
  <c r="AB138" i="190"/>
  <c r="AC138" i="190"/>
  <c r="AF138" i="190" s="1"/>
  <c r="AE138" i="190"/>
  <c r="F139" i="190"/>
  <c r="G139" i="190"/>
  <c r="J139" i="190" s="1" a="1"/>
  <c r="J139" i="190" s="1"/>
  <c r="AB139" i="190"/>
  <c r="AC139" i="190"/>
  <c r="AF139" i="190" s="1"/>
  <c r="AE139" i="190"/>
  <c r="G116" i="190"/>
  <c r="J116" i="190" s="1" a="1"/>
  <c r="J116" i="190" s="1"/>
  <c r="AB116" i="190"/>
  <c r="AF116" i="190"/>
  <c r="G117" i="190"/>
  <c r="J117" i="190" s="1" a="1"/>
  <c r="J117" i="190" s="1"/>
  <c r="AB117" i="190"/>
  <c r="AF117" i="190"/>
  <c r="G118" i="190"/>
  <c r="J118" i="190" s="1" a="1"/>
  <c r="J118" i="190" s="1"/>
  <c r="AB118" i="190"/>
  <c r="AC118" i="190"/>
  <c r="AF118" i="190" s="1"/>
  <c r="G119" i="190"/>
  <c r="J119" i="190" s="1" a="1"/>
  <c r="J119" i="190" s="1"/>
  <c r="AB119" i="190"/>
  <c r="AF119" i="190"/>
  <c r="G120" i="190"/>
  <c r="J120" i="190" s="1" a="1"/>
  <c r="J120" i="190" s="1"/>
  <c r="AB120" i="190"/>
  <c r="AC120" i="190"/>
  <c r="AF120" i="190" s="1"/>
  <c r="G121" i="190"/>
  <c r="J121" i="190" s="1" a="1"/>
  <c r="J121" i="190" s="1"/>
  <c r="AB121" i="190"/>
  <c r="AF121" i="190"/>
  <c r="G122" i="190"/>
  <c r="J122" i="190" s="1" a="1"/>
  <c r="J122" i="190" s="1"/>
  <c r="AB122" i="190"/>
  <c r="AF122" i="190"/>
  <c r="G123" i="190"/>
  <c r="J123" i="190" s="1" a="1"/>
  <c r="J123" i="190" s="1"/>
  <c r="AB123" i="190"/>
  <c r="AF123" i="190"/>
  <c r="G124" i="190"/>
  <c r="J124" i="190" s="1" a="1"/>
  <c r="J124" i="190" s="1"/>
  <c r="AB124" i="190"/>
  <c r="AF124" i="190"/>
  <c r="Y125" i="190" l="1"/>
  <c r="Y8" i="190"/>
  <c r="Y351" i="190"/>
  <c r="Y355" i="190"/>
  <c r="Y353" i="190"/>
  <c r="Y126" i="190"/>
  <c r="Y13" i="190"/>
  <c r="Y32" i="190"/>
  <c r="J219" i="190" a="1"/>
  <c r="J219" i="190" s="1"/>
  <c r="J213" i="190" a="1"/>
  <c r="J213" i="190" s="1"/>
  <c r="J207" i="190" a="1"/>
  <c r="J207" i="190" s="1"/>
  <c r="AN218" i="190"/>
  <c r="AM218" i="190"/>
  <c r="AN209" i="190"/>
  <c r="AM209" i="190"/>
  <c r="AN216" i="190"/>
  <c r="AM216" i="190"/>
  <c r="AN204" i="190"/>
  <c r="AM204" i="190"/>
  <c r="AN214" i="190"/>
  <c r="AM214" i="190"/>
  <c r="AN205" i="190"/>
  <c r="AM205" i="190"/>
  <c r="J203" i="190" a="1"/>
  <c r="J203" i="190" s="1"/>
  <c r="J217" i="190" a="1"/>
  <c r="J217" i="190" s="1"/>
  <c r="J205" i="190" a="1"/>
  <c r="J205" i="190" s="1"/>
  <c r="J215" i="190" a="1"/>
  <c r="J215" i="190" s="1"/>
  <c r="J144" i="190" a="1"/>
  <c r="J144" i="190" s="1"/>
  <c r="J222" i="190" a="1"/>
  <c r="J222" i="190" s="1"/>
  <c r="J206" i="190" a="1"/>
  <c r="J206" i="190" s="1"/>
  <c r="J216" i="190" a="1"/>
  <c r="J216" i="190" s="1"/>
  <c r="N350" i="190"/>
  <c r="N338" i="190"/>
  <c r="N71" i="190"/>
  <c r="N59" i="190"/>
  <c r="N343" i="190"/>
  <c r="N76" i="190"/>
  <c r="N64" i="190"/>
  <c r="J208" i="190" a="1"/>
  <c r="J208" i="190" s="1"/>
  <c r="N348" i="190"/>
  <c r="N336" i="190"/>
  <c r="N69" i="190"/>
  <c r="N57" i="190"/>
  <c r="AO216" i="190"/>
  <c r="AP216" i="190" s="1"/>
  <c r="AQ216" i="190"/>
  <c r="AR216" i="190" s="1"/>
  <c r="J209" i="190" a="1"/>
  <c r="J209" i="190" s="1"/>
  <c r="J143" i="190" a="1"/>
  <c r="J143" i="190" s="1"/>
  <c r="N341" i="190"/>
  <c r="N74" i="190"/>
  <c r="N62" i="190"/>
  <c r="N27" i="190"/>
  <c r="AO209" i="190"/>
  <c r="AP209" i="190" s="1"/>
  <c r="AQ209" i="190"/>
  <c r="AR209" i="190" s="1"/>
  <c r="N346" i="190"/>
  <c r="N334" i="190"/>
  <c r="N79" i="190"/>
  <c r="N67" i="190"/>
  <c r="N339" i="190"/>
  <c r="N72" i="190"/>
  <c r="N60" i="190"/>
  <c r="J218" i="190" a="1"/>
  <c r="J218" i="190" s="1"/>
  <c r="J210" i="190" a="1"/>
  <c r="J210" i="190" s="1"/>
  <c r="J204" i="190" a="1"/>
  <c r="J204" i="190" s="1"/>
  <c r="N344" i="190"/>
  <c r="N332" i="190"/>
  <c r="N77" i="190"/>
  <c r="N65" i="190"/>
  <c r="AQ218" i="190"/>
  <c r="AR218" i="190" s="1"/>
  <c r="AO218" i="190"/>
  <c r="AP218" i="190" s="1"/>
  <c r="J211" i="190" a="1"/>
  <c r="J211" i="190" s="1"/>
  <c r="AQ204" i="190"/>
  <c r="AR204" i="190" s="1"/>
  <c r="AO204" i="190"/>
  <c r="AP204" i="190" s="1"/>
  <c r="N349" i="190"/>
  <c r="N337" i="190"/>
  <c r="N70" i="190"/>
  <c r="N58" i="190"/>
  <c r="J212" i="190" a="1"/>
  <c r="J212" i="190" s="1"/>
  <c r="N342" i="190"/>
  <c r="N75" i="190"/>
  <c r="N63" i="190"/>
  <c r="N56" i="190"/>
  <c r="N28" i="190"/>
  <c r="N347" i="190"/>
  <c r="N335" i="190"/>
  <c r="N80" i="190"/>
  <c r="N68" i="190"/>
  <c r="J220" i="190" a="1"/>
  <c r="J220" i="190" s="1"/>
  <c r="J214" i="190" a="1"/>
  <c r="J214" i="190" s="1"/>
  <c r="AQ205" i="190"/>
  <c r="AR205" i="190" s="1"/>
  <c r="AO205" i="190"/>
  <c r="AP205" i="190" s="1"/>
  <c r="N340" i="190"/>
  <c r="N73" i="190"/>
  <c r="N61" i="190"/>
  <c r="J221" i="190" a="1"/>
  <c r="J221" i="190" s="1"/>
  <c r="AQ214" i="190"/>
  <c r="AR214" i="190" s="1"/>
  <c r="AO214" i="190"/>
  <c r="AP214" i="190" s="1"/>
  <c r="N345" i="190"/>
  <c r="N333" i="190"/>
  <c r="N78" i="190"/>
  <c r="N66" i="190"/>
  <c r="N6" i="190"/>
  <c r="N251" i="190"/>
  <c r="N250" i="190"/>
  <c r="N273" i="190"/>
  <c r="N267" i="190"/>
  <c r="N241" i="190"/>
  <c r="N260" i="190"/>
  <c r="N256" i="190"/>
  <c r="N4" i="190"/>
  <c r="N308" i="190"/>
  <c r="N296" i="190"/>
  <c r="N290" i="190"/>
  <c r="N254" i="190"/>
  <c r="N277" i="190"/>
  <c r="N18" i="190"/>
  <c r="N3" i="190"/>
  <c r="N25" i="190"/>
  <c r="N40" i="190"/>
  <c r="N22" i="190"/>
  <c r="N52" i="190"/>
  <c r="N7" i="190"/>
  <c r="N55" i="190"/>
  <c r="N50" i="190"/>
  <c r="N38" i="190"/>
  <c r="N9" i="190"/>
  <c r="N43" i="190"/>
  <c r="N23" i="190"/>
  <c r="N126" i="190"/>
  <c r="N12" i="190"/>
  <c r="N45" i="190"/>
  <c r="N17" i="190"/>
  <c r="N312" i="190"/>
  <c r="N300" i="190"/>
  <c r="N294" i="190"/>
  <c r="N288" i="190"/>
  <c r="N285" i="190"/>
  <c r="N281" i="190"/>
  <c r="N140" i="190"/>
  <c r="N248" i="190"/>
  <c r="N271" i="190"/>
  <c r="N265" i="190"/>
  <c r="N264" i="190"/>
  <c r="N258" i="190"/>
  <c r="N129" i="190"/>
  <c r="N356" i="190"/>
  <c r="N48" i="190"/>
  <c r="N30" i="190"/>
  <c r="N5" i="190"/>
  <c r="N53" i="190"/>
  <c r="N41" i="190"/>
  <c r="N127" i="190"/>
  <c r="N115" i="190"/>
  <c r="N111" i="190"/>
  <c r="N107" i="190"/>
  <c r="N103" i="190"/>
  <c r="N46" i="190"/>
  <c r="N51" i="190"/>
  <c r="N39" i="190"/>
  <c r="N304" i="190"/>
  <c r="N298" i="190"/>
  <c r="N292" i="190"/>
  <c r="N286" i="190"/>
  <c r="N283" i="190"/>
  <c r="N279" i="190"/>
  <c r="N275" i="190"/>
  <c r="N246" i="190"/>
  <c r="N269" i="190"/>
  <c r="N243" i="190"/>
  <c r="N262" i="190"/>
  <c r="N239" i="190"/>
  <c r="N11" i="190"/>
  <c r="N44" i="190"/>
  <c r="N26" i="190"/>
  <c r="N130" i="190"/>
  <c r="N49" i="190"/>
  <c r="N54" i="190"/>
  <c r="N42" i="190"/>
  <c r="N24" i="190"/>
  <c r="N124" i="190"/>
  <c r="N122" i="190"/>
  <c r="N120" i="190"/>
  <c r="N116" i="190"/>
  <c r="N128" i="190"/>
  <c r="N47" i="190"/>
  <c r="N29" i="190"/>
  <c r="N318" i="190"/>
  <c r="N314" i="190"/>
  <c r="N310" i="190"/>
  <c r="N306" i="190"/>
  <c r="N302" i="190"/>
  <c r="N118" i="190"/>
  <c r="N316" i="190"/>
  <c r="N32" i="190"/>
  <c r="N33" i="190"/>
  <c r="N221" i="190"/>
  <c r="N212" i="190"/>
  <c r="N114" i="190"/>
  <c r="N110" i="190"/>
  <c r="N106" i="190"/>
  <c r="N102" i="190"/>
  <c r="N13" i="190"/>
  <c r="N112" i="190"/>
  <c r="N108" i="190"/>
  <c r="N104" i="190"/>
  <c r="N16" i="190"/>
  <c r="N113" i="190"/>
  <c r="N109" i="190"/>
  <c r="N105" i="190"/>
  <c r="N101" i="190"/>
  <c r="N136" i="190"/>
  <c r="N142" i="190"/>
  <c r="N200" i="190"/>
  <c r="N194" i="190"/>
  <c r="N191" i="190"/>
  <c r="N185" i="190"/>
  <c r="N179" i="190"/>
  <c r="N173" i="190"/>
  <c r="N231" i="190"/>
  <c r="N166" i="190"/>
  <c r="N160" i="190"/>
  <c r="N158" i="190"/>
  <c r="N152" i="190"/>
  <c r="N146" i="190"/>
  <c r="N222" i="190"/>
  <c r="N213" i="190"/>
  <c r="N206" i="190"/>
  <c r="N315" i="190"/>
  <c r="N303" i="190"/>
  <c r="N291" i="190"/>
  <c r="N252" i="190"/>
  <c r="N274" i="190"/>
  <c r="N268" i="190"/>
  <c r="N261" i="190"/>
  <c r="N326" i="190"/>
  <c r="N320" i="190"/>
  <c r="N95" i="190"/>
  <c r="N89" i="190"/>
  <c r="N83" i="190"/>
  <c r="N125" i="190"/>
  <c r="N34" i="190"/>
  <c r="N137" i="190"/>
  <c r="N131" i="190"/>
  <c r="N201" i="190"/>
  <c r="N195" i="190"/>
  <c r="N192" i="190"/>
  <c r="N186" i="190"/>
  <c r="N180" i="190"/>
  <c r="N174" i="190"/>
  <c r="N168" i="190"/>
  <c r="N167" i="190"/>
  <c r="N161" i="190"/>
  <c r="N159" i="190"/>
  <c r="N153" i="190"/>
  <c r="N147" i="190"/>
  <c r="N203" i="190"/>
  <c r="N317" i="190"/>
  <c r="N305" i="190"/>
  <c r="N293" i="190"/>
  <c r="N284" i="190"/>
  <c r="N276" i="190"/>
  <c r="N270" i="190"/>
  <c r="N263" i="190"/>
  <c r="N351" i="190"/>
  <c r="N327" i="190"/>
  <c r="N321" i="190"/>
  <c r="N96" i="190"/>
  <c r="N90" i="190"/>
  <c r="N84" i="190"/>
  <c r="N123" i="190"/>
  <c r="N119" i="190"/>
  <c r="N138" i="190"/>
  <c r="N132" i="190"/>
  <c r="N202" i="190"/>
  <c r="N196" i="190"/>
  <c r="N193" i="190"/>
  <c r="N187" i="190"/>
  <c r="N181" i="190"/>
  <c r="N175" i="190"/>
  <c r="N169" i="190"/>
  <c r="N227" i="190"/>
  <c r="N162" i="190"/>
  <c r="N223" i="190"/>
  <c r="N154" i="190"/>
  <c r="N148" i="190"/>
  <c r="N220" i="190"/>
  <c r="N211" i="190"/>
  <c r="N144" i="190"/>
  <c r="N319" i="190"/>
  <c r="N307" i="190"/>
  <c r="N295" i="190"/>
  <c r="N253" i="190"/>
  <c r="N141" i="190"/>
  <c r="N272" i="190"/>
  <c r="N240" i="190"/>
  <c r="N14" i="190"/>
  <c r="N352" i="190"/>
  <c r="N328" i="190"/>
  <c r="N322" i="190"/>
  <c r="N97" i="190"/>
  <c r="N91" i="190"/>
  <c r="N85" i="190"/>
  <c r="N133" i="190"/>
  <c r="N235" i="190"/>
  <c r="N197" i="190"/>
  <c r="N232" i="190"/>
  <c r="N188" i="190"/>
  <c r="N182" i="190"/>
  <c r="N176" i="190"/>
  <c r="N170" i="190"/>
  <c r="N228" i="190"/>
  <c r="N163" i="190"/>
  <c r="N224" i="190"/>
  <c r="N155" i="190"/>
  <c r="N149" i="190"/>
  <c r="N219" i="190"/>
  <c r="N210" i="190"/>
  <c r="N143" i="190"/>
  <c r="N309" i="190"/>
  <c r="N297" i="190"/>
  <c r="N255" i="190"/>
  <c r="N278" i="190"/>
  <c r="N245" i="190"/>
  <c r="N242" i="190"/>
  <c r="N238" i="190"/>
  <c r="N15" i="190"/>
  <c r="N353" i="190"/>
  <c r="N329" i="190"/>
  <c r="N323" i="190"/>
  <c r="N98" i="190"/>
  <c r="N92" i="190"/>
  <c r="N86" i="190"/>
  <c r="N20" i="190"/>
  <c r="N139" i="190"/>
  <c r="N31" i="190"/>
  <c r="N134" i="190"/>
  <c r="N236" i="190"/>
  <c r="N198" i="190"/>
  <c r="N233" i="190"/>
  <c r="N189" i="190"/>
  <c r="N183" i="190"/>
  <c r="N177" i="190"/>
  <c r="N171" i="190"/>
  <c r="N229" i="190"/>
  <c r="N164" i="190"/>
  <c r="N225" i="190"/>
  <c r="N156" i="190"/>
  <c r="N150" i="190"/>
  <c r="N217" i="190"/>
  <c r="N208" i="190"/>
  <c r="N311" i="190"/>
  <c r="N299" i="190"/>
  <c r="N287" i="190"/>
  <c r="N280" i="190"/>
  <c r="N247" i="190"/>
  <c r="N244" i="190"/>
  <c r="N257" i="190"/>
  <c r="N354" i="190"/>
  <c r="N330" i="190"/>
  <c r="N324" i="190"/>
  <c r="N99" i="190"/>
  <c r="N93" i="190"/>
  <c r="N87" i="190"/>
  <c r="N81" i="190"/>
  <c r="N21" i="190"/>
  <c r="N121" i="190"/>
  <c r="N117" i="190"/>
  <c r="N135" i="190"/>
  <c r="N237" i="190"/>
  <c r="N199" i="190"/>
  <c r="N234" i="190"/>
  <c r="N190" i="190"/>
  <c r="N184" i="190"/>
  <c r="N178" i="190"/>
  <c r="N172" i="190"/>
  <c r="N230" i="190"/>
  <c r="N165" i="190"/>
  <c r="N226" i="190"/>
  <c r="N157" i="190"/>
  <c r="N151" i="190"/>
  <c r="N145" i="190"/>
  <c r="N215" i="190"/>
  <c r="N207" i="190"/>
  <c r="N313" i="190"/>
  <c r="N301" i="190"/>
  <c r="N289" i="190"/>
  <c r="N282" i="190"/>
  <c r="N249" i="190"/>
  <c r="N266" i="190"/>
  <c r="N259" i="190"/>
  <c r="N355" i="190"/>
  <c r="N331" i="190"/>
  <c r="N325" i="190"/>
  <c r="N100" i="190"/>
  <c r="N94" i="190"/>
  <c r="N88" i="190"/>
  <c r="N82" i="190"/>
  <c r="N10" i="190"/>
  <c r="AM17" i="190" l="1"/>
  <c r="AN10" i="190"/>
  <c r="AM10" i="190"/>
  <c r="AN82" i="190"/>
  <c r="AM82" i="190"/>
  <c r="AN88" i="190"/>
  <c r="AM88" i="190"/>
  <c r="AN94" i="190"/>
  <c r="AM94" i="190"/>
  <c r="AN100" i="190"/>
  <c r="AM100" i="190"/>
  <c r="AN325" i="190"/>
  <c r="AM325" i="190"/>
  <c r="AN331" i="190"/>
  <c r="AM331" i="190"/>
  <c r="AM355" i="190"/>
  <c r="AN355" i="190"/>
  <c r="AM259" i="190"/>
  <c r="AN259" i="190"/>
  <c r="AN266" i="190"/>
  <c r="AM266" i="190"/>
  <c r="AM249" i="190"/>
  <c r="AN249" i="190"/>
  <c r="AM282" i="190"/>
  <c r="AN282" i="190"/>
  <c r="AM289" i="190"/>
  <c r="AN289" i="190"/>
  <c r="AM301" i="190"/>
  <c r="AN301" i="190"/>
  <c r="AM313" i="190"/>
  <c r="AN313" i="190"/>
  <c r="AN145" i="190"/>
  <c r="AM145" i="190"/>
  <c r="AN151" i="190"/>
  <c r="AM151" i="190"/>
  <c r="AN157" i="190"/>
  <c r="AM157" i="190"/>
  <c r="AN226" i="190"/>
  <c r="AM226" i="190"/>
  <c r="AN165" i="190"/>
  <c r="AM165" i="190"/>
  <c r="AN230" i="190"/>
  <c r="AM230" i="190"/>
  <c r="AN172" i="190"/>
  <c r="AM172" i="190"/>
  <c r="AN178" i="190"/>
  <c r="AM178" i="190"/>
  <c r="AN184" i="190"/>
  <c r="AM184" i="190"/>
  <c r="AN190" i="190"/>
  <c r="AM190" i="190"/>
  <c r="AN234" i="190"/>
  <c r="AM234" i="190"/>
  <c r="AN199" i="190"/>
  <c r="AM199" i="190"/>
  <c r="AN237" i="190"/>
  <c r="AM237" i="190"/>
  <c r="AN135" i="190"/>
  <c r="AM135" i="190"/>
  <c r="AN117" i="190"/>
  <c r="AM117" i="190"/>
  <c r="AN121" i="190"/>
  <c r="AM121" i="190"/>
  <c r="AN21" i="190"/>
  <c r="AM21" i="190"/>
  <c r="AN81" i="190"/>
  <c r="AM81" i="190"/>
  <c r="AN87" i="190"/>
  <c r="AM87" i="190"/>
  <c r="AN93" i="190"/>
  <c r="AM93" i="190"/>
  <c r="AN99" i="190"/>
  <c r="AM99" i="190"/>
  <c r="AN324" i="190"/>
  <c r="AM324" i="190"/>
  <c r="AN330" i="190"/>
  <c r="AM330" i="190"/>
  <c r="AN354" i="190"/>
  <c r="AM354" i="190"/>
  <c r="AM257" i="190"/>
  <c r="AN257" i="190"/>
  <c r="AN244" i="190"/>
  <c r="AM244" i="190"/>
  <c r="AN247" i="190"/>
  <c r="AM247" i="190"/>
  <c r="AN280" i="190"/>
  <c r="AM280" i="190"/>
  <c r="AN287" i="190"/>
  <c r="AM287" i="190"/>
  <c r="AN299" i="190"/>
  <c r="AM299" i="190"/>
  <c r="AN311" i="190"/>
  <c r="AM311" i="190"/>
  <c r="AM150" i="190"/>
  <c r="AN150" i="190"/>
  <c r="AN156" i="190"/>
  <c r="AM156" i="190"/>
  <c r="AM225" i="190"/>
  <c r="AN225" i="190"/>
  <c r="AN164" i="190"/>
  <c r="AM164" i="190"/>
  <c r="AM229" i="190"/>
  <c r="AN229" i="190"/>
  <c r="AN171" i="190"/>
  <c r="AM171" i="190"/>
  <c r="AM177" i="190"/>
  <c r="AN177" i="190"/>
  <c r="AN183" i="190"/>
  <c r="AM183" i="190"/>
  <c r="AM189" i="190"/>
  <c r="AN189" i="190"/>
  <c r="AM233" i="190"/>
  <c r="AN233" i="190"/>
  <c r="AM198" i="190"/>
  <c r="AN198" i="190"/>
  <c r="AN236" i="190"/>
  <c r="AM236" i="190"/>
  <c r="AM134" i="190"/>
  <c r="AN134" i="190"/>
  <c r="AM31" i="190"/>
  <c r="AN31" i="190"/>
  <c r="AM139" i="190"/>
  <c r="AN139" i="190"/>
  <c r="AN20" i="190"/>
  <c r="AM20" i="190"/>
  <c r="AM86" i="190"/>
  <c r="AN86" i="190"/>
  <c r="AN92" i="190"/>
  <c r="AM92" i="190"/>
  <c r="AN98" i="190"/>
  <c r="AM98" i="190"/>
  <c r="AN323" i="190"/>
  <c r="AM323" i="190"/>
  <c r="AN329" i="190"/>
  <c r="AM329" i="190"/>
  <c r="AM353" i="190"/>
  <c r="AN353" i="190"/>
  <c r="AN15" i="190"/>
  <c r="AM15" i="190"/>
  <c r="AM238" i="190"/>
  <c r="AN238" i="190"/>
  <c r="AM242" i="190"/>
  <c r="AN242" i="190"/>
  <c r="AN245" i="190"/>
  <c r="AM245" i="190"/>
  <c r="AM278" i="190"/>
  <c r="AN278" i="190"/>
  <c r="AN255" i="190"/>
  <c r="AM255" i="190"/>
  <c r="AM297" i="190"/>
  <c r="AN297" i="190"/>
  <c r="AM309" i="190"/>
  <c r="AN309" i="190"/>
  <c r="AN149" i="190"/>
  <c r="AM149" i="190"/>
  <c r="AM155" i="190"/>
  <c r="AN155" i="190"/>
  <c r="AN224" i="190"/>
  <c r="AM224" i="190"/>
  <c r="AN163" i="190"/>
  <c r="AM163" i="190"/>
  <c r="AN228" i="190"/>
  <c r="AM228" i="190"/>
  <c r="AN170" i="190"/>
  <c r="AM170" i="190"/>
  <c r="AN176" i="190"/>
  <c r="AM176" i="190"/>
  <c r="AM182" i="190"/>
  <c r="AN182" i="190"/>
  <c r="AN188" i="190"/>
  <c r="AM188" i="190"/>
  <c r="AN232" i="190"/>
  <c r="AM232" i="190"/>
  <c r="AN197" i="190"/>
  <c r="AM197" i="190"/>
  <c r="AN235" i="190"/>
  <c r="AM235" i="190"/>
  <c r="AN133" i="190"/>
  <c r="AM133" i="190"/>
  <c r="AM85" i="190"/>
  <c r="AN85" i="190"/>
  <c r="AM91" i="190"/>
  <c r="AN91" i="190"/>
  <c r="AN97" i="190"/>
  <c r="AM97" i="190"/>
  <c r="AN322" i="190"/>
  <c r="AM322" i="190"/>
  <c r="AN328" i="190"/>
  <c r="AM328" i="190"/>
  <c r="AN352" i="190"/>
  <c r="AM352" i="190"/>
  <c r="AM14" i="190"/>
  <c r="AN14" i="190"/>
  <c r="AN240" i="190"/>
  <c r="AM240" i="190"/>
  <c r="AN272" i="190"/>
  <c r="AM272" i="190"/>
  <c r="AM141" i="190"/>
  <c r="AN141" i="190"/>
  <c r="AM253" i="190"/>
  <c r="AN253" i="190"/>
  <c r="AN295" i="190"/>
  <c r="AM295" i="190"/>
  <c r="AN307" i="190"/>
  <c r="AM307" i="190"/>
  <c r="AN319" i="190"/>
  <c r="AM319" i="190"/>
  <c r="AN148" i="190"/>
  <c r="AM148" i="190"/>
  <c r="AM154" i="190"/>
  <c r="AN154" i="190"/>
  <c r="AN223" i="190"/>
  <c r="AM223" i="190"/>
  <c r="AM162" i="190"/>
  <c r="AN162" i="190"/>
  <c r="AN227" i="190"/>
  <c r="AM227" i="190"/>
  <c r="AN169" i="190"/>
  <c r="AM169" i="190"/>
  <c r="AN175" i="190"/>
  <c r="AM175" i="190"/>
  <c r="AM181" i="190"/>
  <c r="AN181" i="190"/>
  <c r="AN187" i="190"/>
  <c r="AM187" i="190"/>
  <c r="AM193" i="190"/>
  <c r="AN193" i="190"/>
  <c r="AN196" i="190"/>
  <c r="AM196" i="190"/>
  <c r="AN202" i="190"/>
  <c r="AM202" i="190"/>
  <c r="AN132" i="190"/>
  <c r="AM132" i="190"/>
  <c r="AM138" i="190"/>
  <c r="AN138" i="190"/>
  <c r="AM119" i="190"/>
  <c r="AN119" i="190"/>
  <c r="AN123" i="190"/>
  <c r="AM123" i="190"/>
  <c r="AN84" i="190"/>
  <c r="AM84" i="190"/>
  <c r="AN90" i="190"/>
  <c r="AM90" i="190"/>
  <c r="AN96" i="190"/>
  <c r="AM96" i="190"/>
  <c r="AN321" i="190"/>
  <c r="AM321" i="190"/>
  <c r="AN327" i="190"/>
  <c r="AM327" i="190"/>
  <c r="AN351" i="190"/>
  <c r="AM351" i="190"/>
  <c r="AN263" i="190"/>
  <c r="AM263" i="190"/>
  <c r="AN270" i="190"/>
  <c r="AM270" i="190"/>
  <c r="AM276" i="190"/>
  <c r="AN276" i="190"/>
  <c r="AN284" i="190"/>
  <c r="AM284" i="190"/>
  <c r="AN293" i="190"/>
  <c r="AM293" i="190"/>
  <c r="AM305" i="190"/>
  <c r="AN305" i="190"/>
  <c r="AN317" i="190"/>
  <c r="AM317" i="190"/>
  <c r="AM147" i="190"/>
  <c r="AN147" i="190"/>
  <c r="AN153" i="190"/>
  <c r="AM153" i="190"/>
  <c r="AM159" i="190"/>
  <c r="AN159" i="190"/>
  <c r="AN161" i="190"/>
  <c r="AM161" i="190"/>
  <c r="AM167" i="190"/>
  <c r="AN167" i="190"/>
  <c r="AM168" i="190"/>
  <c r="AN168" i="190"/>
  <c r="AM174" i="190"/>
  <c r="AN174" i="190"/>
  <c r="AM180" i="190"/>
  <c r="AN180" i="190"/>
  <c r="AM186" i="190"/>
  <c r="AN186" i="190"/>
  <c r="AN192" i="190"/>
  <c r="AM192" i="190"/>
  <c r="AM195" i="190"/>
  <c r="AN195" i="190"/>
  <c r="AN201" i="190"/>
  <c r="AM201" i="190"/>
  <c r="AM131" i="190"/>
  <c r="AN131" i="190"/>
  <c r="AM137" i="190"/>
  <c r="AN137" i="190"/>
  <c r="AM34" i="190"/>
  <c r="AN34" i="190"/>
  <c r="AN125" i="190"/>
  <c r="AM125" i="190"/>
  <c r="AM83" i="190"/>
  <c r="AN83" i="190"/>
  <c r="AN89" i="190"/>
  <c r="AM89" i="190"/>
  <c r="AM95" i="190"/>
  <c r="AN95" i="190"/>
  <c r="AM320" i="190"/>
  <c r="AN320" i="190"/>
  <c r="AM326" i="190"/>
  <c r="AN326" i="190"/>
  <c r="AN261" i="190"/>
  <c r="AM261" i="190"/>
  <c r="AM268" i="190"/>
  <c r="AN268" i="190"/>
  <c r="AN274" i="190"/>
  <c r="AM274" i="190"/>
  <c r="AN252" i="190"/>
  <c r="AM252" i="190"/>
  <c r="AN291" i="190"/>
  <c r="AM291" i="190"/>
  <c r="AN303" i="190"/>
  <c r="AM303" i="190"/>
  <c r="AN315" i="190"/>
  <c r="AM315" i="190"/>
  <c r="AM146" i="190"/>
  <c r="AN146" i="190"/>
  <c r="AN152" i="190"/>
  <c r="AM152" i="190"/>
  <c r="AM158" i="190"/>
  <c r="AN158" i="190"/>
  <c r="AN160" i="190"/>
  <c r="AM160" i="190"/>
  <c r="AM166" i="190"/>
  <c r="AN166" i="190"/>
  <c r="AN231" i="190"/>
  <c r="AM231" i="190"/>
  <c r="AM173" i="190"/>
  <c r="AN173" i="190"/>
  <c r="AN179" i="190"/>
  <c r="AM179" i="190"/>
  <c r="AM185" i="190"/>
  <c r="AN185" i="190"/>
  <c r="AN191" i="190"/>
  <c r="AM191" i="190"/>
  <c r="AM194" i="190"/>
  <c r="AN194" i="190"/>
  <c r="AN200" i="190"/>
  <c r="AM200" i="190"/>
  <c r="AM142" i="190"/>
  <c r="AN142" i="190"/>
  <c r="AN136" i="190"/>
  <c r="AM136" i="190"/>
  <c r="AN101" i="190"/>
  <c r="AM101" i="190"/>
  <c r="AN105" i="190"/>
  <c r="AM105" i="190"/>
  <c r="AN109" i="190"/>
  <c r="AM109" i="190"/>
  <c r="AN113" i="190"/>
  <c r="AM113" i="190"/>
  <c r="AN16" i="190"/>
  <c r="AM16" i="190"/>
  <c r="AN104" i="190"/>
  <c r="AM104" i="190"/>
  <c r="AN108" i="190"/>
  <c r="AM108" i="190"/>
  <c r="AN112" i="190"/>
  <c r="AM112" i="190"/>
  <c r="AN13" i="190"/>
  <c r="AM13" i="190"/>
  <c r="AM102" i="190"/>
  <c r="AN102" i="190"/>
  <c r="AN106" i="190"/>
  <c r="AM106" i="190"/>
  <c r="AM110" i="190"/>
  <c r="AN110" i="190"/>
  <c r="AM114" i="190"/>
  <c r="AN114" i="190"/>
  <c r="AM33" i="190"/>
  <c r="AN33" i="190"/>
  <c r="AM32" i="190"/>
  <c r="AN32" i="190"/>
  <c r="AN316" i="190"/>
  <c r="AM316" i="190"/>
  <c r="AM118" i="190"/>
  <c r="AN118" i="190"/>
  <c r="AN302" i="190"/>
  <c r="AM302" i="190"/>
  <c r="AN306" i="190"/>
  <c r="AM306" i="190"/>
  <c r="AM310" i="190"/>
  <c r="AN310" i="190"/>
  <c r="AN314" i="190"/>
  <c r="AM314" i="190"/>
  <c r="AN318" i="190"/>
  <c r="AM318" i="190"/>
  <c r="AN29" i="190"/>
  <c r="AM29" i="190"/>
  <c r="AN47" i="190"/>
  <c r="AM47" i="190"/>
  <c r="AN128" i="190"/>
  <c r="AM128" i="190"/>
  <c r="AN116" i="190"/>
  <c r="AM116" i="190"/>
  <c r="AN120" i="190"/>
  <c r="AM120" i="190"/>
  <c r="AM122" i="190"/>
  <c r="AN122" i="190"/>
  <c r="AN124" i="190"/>
  <c r="AM124" i="190"/>
  <c r="AM24" i="190"/>
  <c r="AN24" i="190"/>
  <c r="AN42" i="190"/>
  <c r="AM42" i="190"/>
  <c r="AM54" i="190"/>
  <c r="AN54" i="190"/>
  <c r="AM49" i="190"/>
  <c r="AN49" i="190"/>
  <c r="AM130" i="190"/>
  <c r="AN130" i="190"/>
  <c r="AN26" i="190"/>
  <c r="AM26" i="190"/>
  <c r="AM44" i="190"/>
  <c r="AN44" i="190"/>
  <c r="AN11" i="190"/>
  <c r="AM11" i="190"/>
  <c r="AM239" i="190"/>
  <c r="AN239" i="190"/>
  <c r="AM262" i="190"/>
  <c r="AN262" i="190"/>
  <c r="AM243" i="190"/>
  <c r="AN243" i="190"/>
  <c r="AM269" i="190"/>
  <c r="AN269" i="190"/>
  <c r="AM246" i="190"/>
  <c r="AN246" i="190"/>
  <c r="AN275" i="190"/>
  <c r="AM275" i="190"/>
  <c r="AM279" i="190"/>
  <c r="AN279" i="190"/>
  <c r="AM283" i="190"/>
  <c r="AN283" i="190"/>
  <c r="AM286" i="190"/>
  <c r="AN286" i="190"/>
  <c r="AN292" i="190"/>
  <c r="AM292" i="190"/>
  <c r="AM298" i="190"/>
  <c r="AN298" i="190"/>
  <c r="AN304" i="190"/>
  <c r="AM304" i="190"/>
  <c r="AN39" i="190"/>
  <c r="AM39" i="190"/>
  <c r="AN51" i="190"/>
  <c r="AM51" i="190"/>
  <c r="AM46" i="190"/>
  <c r="AN46" i="190"/>
  <c r="AN103" i="190"/>
  <c r="AM103" i="190"/>
  <c r="AN107" i="190"/>
  <c r="AM107" i="190"/>
  <c r="AM111" i="190"/>
  <c r="AN111" i="190"/>
  <c r="AN115" i="190"/>
  <c r="AM115" i="190"/>
  <c r="AN127" i="190"/>
  <c r="AM127" i="190"/>
  <c r="AN41" i="190"/>
  <c r="AM41" i="190"/>
  <c r="AM53" i="190"/>
  <c r="AN53" i="190"/>
  <c r="AM5" i="190"/>
  <c r="AN5" i="190"/>
  <c r="AM30" i="190"/>
  <c r="AN30" i="190"/>
  <c r="AN48" i="190"/>
  <c r="AM48" i="190"/>
  <c r="AN356" i="190"/>
  <c r="AM356" i="190"/>
  <c r="AN129" i="190"/>
  <c r="AM129" i="190"/>
  <c r="AN258" i="190"/>
  <c r="AM258" i="190"/>
  <c r="AN264" i="190"/>
  <c r="AM264" i="190"/>
  <c r="AM265" i="190"/>
  <c r="AN265" i="190"/>
  <c r="AM271" i="190"/>
  <c r="AN271" i="190"/>
  <c r="AN248" i="190"/>
  <c r="AM248" i="190"/>
  <c r="AN140" i="190"/>
  <c r="AM140" i="190"/>
  <c r="AN281" i="190"/>
  <c r="AM281" i="190"/>
  <c r="AN285" i="190"/>
  <c r="AM285" i="190"/>
  <c r="AN288" i="190"/>
  <c r="AM288" i="190"/>
  <c r="AN294" i="190"/>
  <c r="AM294" i="190"/>
  <c r="AN300" i="190"/>
  <c r="AM300" i="190"/>
  <c r="AN312" i="190"/>
  <c r="AM312" i="190"/>
  <c r="AN17" i="190"/>
  <c r="AM45" i="190"/>
  <c r="AN45" i="190"/>
  <c r="AM12" i="190"/>
  <c r="AN12" i="190"/>
  <c r="AM126" i="190"/>
  <c r="AN126" i="190"/>
  <c r="AM23" i="190"/>
  <c r="AN23" i="190"/>
  <c r="AM43" i="190"/>
  <c r="AN43" i="190"/>
  <c r="AM9" i="190"/>
  <c r="AN9" i="190"/>
  <c r="AM38" i="190"/>
  <c r="AN38" i="190"/>
  <c r="AN50" i="190"/>
  <c r="AM50" i="190"/>
  <c r="AN55" i="190"/>
  <c r="AM55" i="190"/>
  <c r="AN7" i="190"/>
  <c r="AM7" i="190"/>
  <c r="AM52" i="190"/>
  <c r="AN52" i="190"/>
  <c r="AN22" i="190"/>
  <c r="AM22" i="190"/>
  <c r="AN40" i="190"/>
  <c r="AM40" i="190"/>
  <c r="AN25" i="190"/>
  <c r="AM25" i="190"/>
  <c r="AN3" i="190"/>
  <c r="AM3" i="190"/>
  <c r="AN18" i="190"/>
  <c r="AM18" i="190"/>
  <c r="AM277" i="190"/>
  <c r="AN277" i="190"/>
  <c r="AN254" i="190"/>
  <c r="AM254" i="190"/>
  <c r="AN290" i="190"/>
  <c r="AM290" i="190"/>
  <c r="AN296" i="190"/>
  <c r="AM296" i="190"/>
  <c r="AN308" i="190"/>
  <c r="AM308" i="190"/>
  <c r="AM4" i="190"/>
  <c r="AN4" i="190"/>
  <c r="AN256" i="190"/>
  <c r="AM256" i="190"/>
  <c r="AN260" i="190"/>
  <c r="AM260" i="190"/>
  <c r="AN241" i="190"/>
  <c r="AM241" i="190"/>
  <c r="AN267" i="190"/>
  <c r="AM267" i="190"/>
  <c r="AN273" i="190"/>
  <c r="AM273" i="190"/>
  <c r="AN250" i="190"/>
  <c r="AM250" i="190"/>
  <c r="AN251" i="190"/>
  <c r="AM251" i="190"/>
  <c r="AM6" i="190"/>
  <c r="AN6" i="190"/>
  <c r="AN66" i="190"/>
  <c r="AM66" i="190"/>
  <c r="AN78" i="190"/>
  <c r="AM78" i="190"/>
  <c r="AN333" i="190"/>
  <c r="AM333" i="190"/>
  <c r="AN345" i="190"/>
  <c r="AM345" i="190"/>
  <c r="AN61" i="190"/>
  <c r="AM61" i="190"/>
  <c r="AN73" i="190"/>
  <c r="AM73" i="190"/>
  <c r="AN340" i="190"/>
  <c r="AM340" i="190"/>
  <c r="AN68" i="190"/>
  <c r="AM68" i="190"/>
  <c r="AN80" i="190"/>
  <c r="AM80" i="190"/>
  <c r="AM335" i="190"/>
  <c r="AN335" i="190"/>
  <c r="AM347" i="190"/>
  <c r="AN347" i="190"/>
  <c r="AN28" i="190"/>
  <c r="AM28" i="190"/>
  <c r="AM56" i="190"/>
  <c r="AN56" i="190"/>
  <c r="AM63" i="190"/>
  <c r="AN63" i="190"/>
  <c r="AN75" i="190"/>
  <c r="AM75" i="190"/>
  <c r="AM342" i="190"/>
  <c r="AN342" i="190"/>
  <c r="AN58" i="190"/>
  <c r="AM58" i="190"/>
  <c r="AM70" i="190"/>
  <c r="AN70" i="190"/>
  <c r="AM337" i="190"/>
  <c r="AN337" i="190"/>
  <c r="AN349" i="190"/>
  <c r="AM349" i="190"/>
  <c r="AM65" i="190"/>
  <c r="AN65" i="190"/>
  <c r="AN77" i="190"/>
  <c r="AM77" i="190"/>
  <c r="AM332" i="190"/>
  <c r="AN332" i="190"/>
  <c r="AN344" i="190"/>
  <c r="AM344" i="190"/>
  <c r="AM60" i="190"/>
  <c r="AN60" i="190"/>
  <c r="AN72" i="190"/>
  <c r="AM72" i="190"/>
  <c r="AN339" i="190"/>
  <c r="AM339" i="190"/>
  <c r="AM67" i="190"/>
  <c r="AN67" i="190"/>
  <c r="AN79" i="190"/>
  <c r="AM79" i="190"/>
  <c r="AM334" i="190"/>
  <c r="AN334" i="190"/>
  <c r="AM346" i="190"/>
  <c r="AN346" i="190"/>
  <c r="AN27" i="190"/>
  <c r="AM27" i="190"/>
  <c r="AM62" i="190"/>
  <c r="AN62" i="190"/>
  <c r="AN74" i="190"/>
  <c r="AM74" i="190"/>
  <c r="AM341" i="190"/>
  <c r="AN341" i="190"/>
  <c r="AM57" i="190"/>
  <c r="AN57" i="190"/>
  <c r="AN69" i="190"/>
  <c r="AM69" i="190"/>
  <c r="AN336" i="190"/>
  <c r="AM336" i="190"/>
  <c r="AN348" i="190"/>
  <c r="AM348" i="190"/>
  <c r="AN64" i="190"/>
  <c r="AM64" i="190"/>
  <c r="AN76" i="190"/>
  <c r="AM76" i="190"/>
  <c r="AM343" i="190"/>
  <c r="AN343" i="190"/>
  <c r="AM59" i="190"/>
  <c r="AN59" i="190"/>
  <c r="AM71" i="190"/>
  <c r="AN71" i="190"/>
  <c r="AN338" i="190"/>
  <c r="AM338" i="190"/>
  <c r="AM350" i="190"/>
  <c r="AN350" i="190"/>
  <c r="AN207" i="190"/>
  <c r="AM207" i="190"/>
  <c r="AN215" i="190"/>
  <c r="AM215" i="190"/>
  <c r="AN208" i="190"/>
  <c r="AM208" i="190"/>
  <c r="AN217" i="190"/>
  <c r="AM217" i="190"/>
  <c r="AN143" i="190"/>
  <c r="AM143" i="190"/>
  <c r="AN210" i="190"/>
  <c r="AM210" i="190"/>
  <c r="AN219" i="190"/>
  <c r="AM219" i="190"/>
  <c r="AN144" i="190"/>
  <c r="AM144" i="190"/>
  <c r="AN211" i="190"/>
  <c r="AM211" i="190"/>
  <c r="AN220" i="190"/>
  <c r="AM220" i="190"/>
  <c r="AN203" i="190"/>
  <c r="AM203" i="190"/>
  <c r="AN206" i="190"/>
  <c r="AM206" i="190"/>
  <c r="AN213" i="190"/>
  <c r="AM213" i="190"/>
  <c r="AN222" i="190"/>
  <c r="AM222" i="190"/>
  <c r="AN212" i="190"/>
  <c r="AM212" i="190"/>
  <c r="AN221" i="190"/>
  <c r="AM221" i="190"/>
  <c r="AO236" i="190"/>
  <c r="AP236" i="190" s="1"/>
  <c r="AQ236" i="190"/>
  <c r="AR236" i="190" s="1"/>
  <c r="AQ224" i="190"/>
  <c r="AR224" i="190" s="1"/>
  <c r="AO224" i="190"/>
  <c r="AP224" i="190" s="1"/>
  <c r="AQ34" i="190"/>
  <c r="AR34" i="190" s="1"/>
  <c r="AO34" i="190"/>
  <c r="AP34" i="190" s="1"/>
  <c r="AO179" i="190"/>
  <c r="AP179" i="190" s="1"/>
  <c r="AQ179" i="190"/>
  <c r="AR179" i="190" s="1"/>
  <c r="AQ239" i="190"/>
  <c r="AR239" i="190" s="1"/>
  <c r="AO239" i="190"/>
  <c r="AP239" i="190" s="1"/>
  <c r="AQ190" i="190"/>
  <c r="AR190" i="190" s="1"/>
  <c r="AO190" i="190"/>
  <c r="AP190" i="190" s="1"/>
  <c r="AQ150" i="190"/>
  <c r="AR150" i="190" s="1"/>
  <c r="AO150" i="190"/>
  <c r="AP150" i="190" s="1"/>
  <c r="AQ134" i="190"/>
  <c r="AR134" i="190" s="1"/>
  <c r="AO134" i="190"/>
  <c r="AP134" i="190" s="1"/>
  <c r="AO242" i="190"/>
  <c r="AP242" i="190" s="1"/>
  <c r="AQ242" i="190"/>
  <c r="AR242" i="190" s="1"/>
  <c r="AQ163" i="190"/>
  <c r="AR163" i="190" s="1"/>
  <c r="AO163" i="190"/>
  <c r="AP163" i="190" s="1"/>
  <c r="AQ144" i="190"/>
  <c r="AR144" i="190" s="1"/>
  <c r="AO144" i="190"/>
  <c r="AP144" i="190" s="1"/>
  <c r="AO193" i="190"/>
  <c r="AP193" i="190" s="1"/>
  <c r="AQ193" i="190"/>
  <c r="AR193" i="190" s="1"/>
  <c r="AO351" i="190"/>
  <c r="AP351" i="190" s="1"/>
  <c r="AQ351" i="190"/>
  <c r="AR351" i="190" s="1"/>
  <c r="AQ161" i="190"/>
  <c r="AR161" i="190" s="1"/>
  <c r="AO161" i="190"/>
  <c r="AP161" i="190" s="1"/>
  <c r="AO125" i="190"/>
  <c r="AP125" i="190" s="1"/>
  <c r="AQ125" i="190"/>
  <c r="AR125" i="190" s="1"/>
  <c r="AQ185" i="190"/>
  <c r="AR185" i="190" s="1"/>
  <c r="AO185" i="190"/>
  <c r="AP185" i="190" s="1"/>
  <c r="AQ108" i="190"/>
  <c r="AR108" i="190" s="1"/>
  <c r="AO108" i="190"/>
  <c r="AP108" i="190" s="1"/>
  <c r="AP19" i="190"/>
  <c r="AQ122" i="190"/>
  <c r="AR122" i="190" s="1"/>
  <c r="AO122" i="190"/>
  <c r="AP122" i="190" s="1"/>
  <c r="AO262" i="190"/>
  <c r="AP262" i="190" s="1"/>
  <c r="AQ262" i="190"/>
  <c r="AR262" i="190" s="1"/>
  <c r="AQ356" i="190"/>
  <c r="AR356" i="190" s="1"/>
  <c r="AO356" i="190"/>
  <c r="AP356" i="190" s="1"/>
  <c r="AQ7" i="190"/>
  <c r="AR7" i="190" s="1"/>
  <c r="AO7" i="190"/>
  <c r="AP7" i="190" s="1"/>
  <c r="AQ4" i="190"/>
  <c r="AR4" i="190" s="1"/>
  <c r="AO4" i="190"/>
  <c r="AP4" i="190" s="1"/>
  <c r="AO259" i="190"/>
  <c r="AP259" i="190" s="1"/>
  <c r="AQ259" i="190"/>
  <c r="AR259" i="190" s="1"/>
  <c r="AO226" i="190"/>
  <c r="AP226" i="190" s="1"/>
  <c r="AQ226" i="190"/>
  <c r="AR226" i="190" s="1"/>
  <c r="AO121" i="190"/>
  <c r="AP121" i="190" s="1"/>
  <c r="AQ121" i="190"/>
  <c r="AR121" i="190" s="1"/>
  <c r="AO280" i="190"/>
  <c r="AP280" i="190" s="1"/>
  <c r="AQ280" i="190"/>
  <c r="AR280" i="190" s="1"/>
  <c r="AO177" i="190"/>
  <c r="AP177" i="190" s="1"/>
  <c r="AQ177" i="190"/>
  <c r="AR177" i="190" s="1"/>
  <c r="AQ143" i="190"/>
  <c r="AR143" i="190" s="1"/>
  <c r="AO143" i="190"/>
  <c r="AP143" i="190" s="1"/>
  <c r="AO232" i="190"/>
  <c r="AP232" i="190" s="1"/>
  <c r="AQ232" i="190"/>
  <c r="AR232" i="190" s="1"/>
  <c r="AO272" i="190"/>
  <c r="AP272" i="190" s="1"/>
  <c r="AQ272" i="190"/>
  <c r="AR272" i="190" s="1"/>
  <c r="AQ162" i="190"/>
  <c r="AR162" i="190" s="1"/>
  <c r="AO162" i="190"/>
  <c r="AP162" i="190" s="1"/>
  <c r="AQ123" i="190"/>
  <c r="AR123" i="190" s="1"/>
  <c r="AO123" i="190"/>
  <c r="AP123" i="190" s="1"/>
  <c r="AO192" i="190"/>
  <c r="AP192" i="190" s="1"/>
  <c r="AQ192" i="190"/>
  <c r="AR192" i="190" s="1"/>
  <c r="AO261" i="190"/>
  <c r="AP261" i="190" s="1"/>
  <c r="AQ261" i="190"/>
  <c r="AR261" i="190" s="1"/>
  <c r="AQ158" i="190"/>
  <c r="AR158" i="190" s="1"/>
  <c r="AO158" i="190"/>
  <c r="AP158" i="190" s="1"/>
  <c r="AO101" i="190"/>
  <c r="AP101" i="190" s="1"/>
  <c r="AQ101" i="190"/>
  <c r="AR101" i="190" s="1"/>
  <c r="AO114" i="190"/>
  <c r="AP114" i="190" s="1"/>
  <c r="AQ114" i="190"/>
  <c r="AR114" i="190" s="1"/>
  <c r="AQ283" i="190"/>
  <c r="AR283" i="190" s="1"/>
  <c r="AO283" i="190"/>
  <c r="AP283" i="190" s="1"/>
  <c r="AO127" i="190"/>
  <c r="AP127" i="190" s="1"/>
  <c r="AQ127" i="190"/>
  <c r="AR127" i="190" s="1"/>
  <c r="AQ248" i="190"/>
  <c r="AR248" i="190" s="1"/>
  <c r="AO248" i="190"/>
  <c r="AP248" i="190" s="1"/>
  <c r="AO23" i="190"/>
  <c r="AP23" i="190" s="1"/>
  <c r="D33" i="166" s="1"/>
  <c r="AQ23" i="190"/>
  <c r="AR23" i="190" s="1"/>
  <c r="G33" i="166" s="1"/>
  <c r="AQ18" i="190"/>
  <c r="AR18" i="190" s="1"/>
  <c r="AO18" i="190"/>
  <c r="AP18" i="190" s="1"/>
  <c r="AO250" i="190"/>
  <c r="AP250" i="190" s="1"/>
  <c r="AQ250" i="190"/>
  <c r="AR250" i="190" s="1"/>
  <c r="AO289" i="190"/>
  <c r="AP289" i="190" s="1"/>
  <c r="AQ289" i="190"/>
  <c r="AR289" i="190" s="1"/>
  <c r="AQ178" i="190"/>
  <c r="AR178" i="190" s="1"/>
  <c r="AO178" i="190"/>
  <c r="AP178" i="190" s="1"/>
  <c r="AO208" i="190"/>
  <c r="AP208" i="190" s="1"/>
  <c r="AQ208" i="190"/>
  <c r="AR208" i="190" s="1"/>
  <c r="AQ198" i="190"/>
  <c r="AR198" i="190" s="1"/>
  <c r="AO198" i="190"/>
  <c r="AP198" i="190" s="1"/>
  <c r="AQ15" i="190"/>
  <c r="AR15" i="190" s="1"/>
  <c r="AO15" i="190"/>
  <c r="AP15" i="190" s="1"/>
  <c r="AO155" i="190"/>
  <c r="AP155" i="190" s="1"/>
  <c r="AQ155" i="190"/>
  <c r="AR155" i="190" s="1"/>
  <c r="AO181" i="190"/>
  <c r="AP181" i="190" s="1"/>
  <c r="AQ181" i="190"/>
  <c r="AR181" i="190" s="1"/>
  <c r="AO153" i="190"/>
  <c r="AP153" i="190" s="1"/>
  <c r="AQ153" i="190"/>
  <c r="AR153" i="190" s="1"/>
  <c r="AQ137" i="190"/>
  <c r="AR137" i="190" s="1"/>
  <c r="AO137" i="190"/>
  <c r="AP137" i="190" s="1"/>
  <c r="AQ173" i="190"/>
  <c r="AR173" i="190" s="1"/>
  <c r="AO173" i="190"/>
  <c r="AP173" i="190" s="1"/>
  <c r="AO16" i="190"/>
  <c r="AP16" i="190" s="1"/>
  <c r="AQ16" i="190"/>
  <c r="AR16" i="190" s="1"/>
  <c r="AQ32" i="190"/>
  <c r="AR32" i="190" s="1"/>
  <c r="AO32" i="190"/>
  <c r="AP32" i="190" s="1"/>
  <c r="AQ116" i="190"/>
  <c r="AR116" i="190" s="1"/>
  <c r="AO116" i="190"/>
  <c r="AP116" i="190" s="1"/>
  <c r="AQ288" i="190"/>
  <c r="AR288" i="190" s="1"/>
  <c r="AO288" i="190"/>
  <c r="AP288" i="190" s="1"/>
  <c r="AO184" i="190"/>
  <c r="AP184" i="190" s="1"/>
  <c r="AQ184" i="190"/>
  <c r="AR184" i="190" s="1"/>
  <c r="AO217" i="190"/>
  <c r="AP217" i="190" s="1"/>
  <c r="AQ217" i="190"/>
  <c r="AR217" i="190" s="1"/>
  <c r="AQ238" i="190"/>
  <c r="AR238" i="190" s="1"/>
  <c r="AO238" i="190"/>
  <c r="AP238" i="190" s="1"/>
  <c r="AQ187" i="190"/>
  <c r="AR187" i="190" s="1"/>
  <c r="AO187" i="190"/>
  <c r="AP187" i="190" s="1"/>
  <c r="AQ159" i="190"/>
  <c r="AR159" i="190" s="1"/>
  <c r="AO159" i="190"/>
  <c r="AP159" i="190" s="1"/>
  <c r="AO104" i="190"/>
  <c r="AP104" i="190" s="1"/>
  <c r="AQ104" i="190"/>
  <c r="AR104" i="190" s="1"/>
  <c r="AQ120" i="190"/>
  <c r="AR120" i="190" s="1"/>
  <c r="AO120" i="190"/>
  <c r="AP120" i="190" s="1"/>
  <c r="AQ207" i="190"/>
  <c r="AR207" i="190" s="1"/>
  <c r="AO207" i="190"/>
  <c r="AP207" i="190" s="1"/>
  <c r="AQ234" i="190"/>
  <c r="AR234" i="190" s="1"/>
  <c r="AO234" i="190"/>
  <c r="AP234" i="190" s="1"/>
  <c r="AO156" i="190"/>
  <c r="AP156" i="190" s="1"/>
  <c r="AQ156" i="190"/>
  <c r="AR156" i="190" s="1"/>
  <c r="AQ31" i="190"/>
  <c r="AR31" i="190" s="1"/>
  <c r="AO31" i="190"/>
  <c r="AP31" i="190" s="1"/>
  <c r="AO245" i="190"/>
  <c r="AP245" i="190" s="1"/>
  <c r="AQ245" i="190"/>
  <c r="AR245" i="190" s="1"/>
  <c r="AQ228" i="190"/>
  <c r="AR228" i="190" s="1"/>
  <c r="AO228" i="190"/>
  <c r="AP228" i="190" s="1"/>
  <c r="AQ211" i="190"/>
  <c r="AR211" i="190" s="1"/>
  <c r="AO211" i="190"/>
  <c r="AP211" i="190" s="1"/>
  <c r="AO196" i="190"/>
  <c r="AP196" i="190" s="1"/>
  <c r="AQ196" i="190"/>
  <c r="AR196" i="190" s="1"/>
  <c r="AO263" i="190"/>
  <c r="AP263" i="190" s="1"/>
  <c r="AQ263" i="190"/>
  <c r="AR263" i="190" s="1"/>
  <c r="AQ167" i="190"/>
  <c r="AR167" i="190" s="1"/>
  <c r="AO167" i="190"/>
  <c r="AP167" i="190" s="1"/>
  <c r="AQ206" i="190"/>
  <c r="AR206" i="190" s="1"/>
  <c r="AO206" i="190"/>
  <c r="AP206" i="190" s="1"/>
  <c r="AO191" i="190"/>
  <c r="AP191" i="190" s="1"/>
  <c r="AQ191" i="190"/>
  <c r="AR191" i="190" s="1"/>
  <c r="AQ112" i="190"/>
  <c r="AR112" i="190" s="1"/>
  <c r="AO112" i="190"/>
  <c r="AP112" i="190" s="1"/>
  <c r="AQ118" i="190"/>
  <c r="AR118" i="190" s="1"/>
  <c r="AO118" i="190"/>
  <c r="AP118" i="190" s="1"/>
  <c r="AO124" i="190"/>
  <c r="AP124" i="190" s="1"/>
  <c r="AQ124" i="190"/>
  <c r="AR124" i="190" s="1"/>
  <c r="AQ243" i="190"/>
  <c r="AR243" i="190" s="1"/>
  <c r="AO243" i="190"/>
  <c r="AP243" i="190" s="1"/>
  <c r="AO129" i="190"/>
  <c r="AP129" i="190" s="1"/>
  <c r="AQ129" i="190"/>
  <c r="AR129" i="190" s="1"/>
  <c r="AQ256" i="190"/>
  <c r="AR256" i="190" s="1"/>
  <c r="G66" i="166" s="1"/>
  <c r="AO256" i="190"/>
  <c r="AP256" i="190" s="1"/>
  <c r="D66" i="166" s="1"/>
  <c r="AQ350" i="190"/>
  <c r="AR350" i="190" s="1"/>
  <c r="AO350" i="190"/>
  <c r="AP350" i="190" s="1"/>
  <c r="AO151" i="190"/>
  <c r="AP151" i="190" s="1"/>
  <c r="AQ151" i="190"/>
  <c r="AR151" i="190" s="1"/>
  <c r="AQ135" i="190"/>
  <c r="AR135" i="190" s="1"/>
  <c r="AO135" i="190"/>
  <c r="AP135" i="190" s="1"/>
  <c r="AQ244" i="190"/>
  <c r="AR244" i="190" s="1"/>
  <c r="AO244" i="190"/>
  <c r="AP244" i="190" s="1"/>
  <c r="AQ229" i="190"/>
  <c r="AR229" i="190" s="1"/>
  <c r="AO229" i="190"/>
  <c r="AP229" i="190" s="1"/>
  <c r="AQ182" i="190"/>
  <c r="AR182" i="190" s="1"/>
  <c r="AO182" i="190"/>
  <c r="AP182" i="190" s="1"/>
  <c r="AQ14" i="190"/>
  <c r="AR14" i="190" s="1"/>
  <c r="AO14" i="190"/>
  <c r="AP14" i="190" s="1"/>
  <c r="AO154" i="190"/>
  <c r="AP154" i="190" s="1"/>
  <c r="AQ154" i="190"/>
  <c r="AR154" i="190" s="1"/>
  <c r="AQ138" i="190"/>
  <c r="AR138" i="190" s="1"/>
  <c r="AO138" i="190"/>
  <c r="AP138" i="190" s="1"/>
  <c r="AQ284" i="190"/>
  <c r="AR284" i="190" s="1"/>
  <c r="AO284" i="190"/>
  <c r="AP284" i="190" s="1"/>
  <c r="AO180" i="190"/>
  <c r="AP180" i="190" s="1"/>
  <c r="AQ180" i="190"/>
  <c r="AR180" i="190" s="1"/>
  <c r="AQ146" i="190"/>
  <c r="AR146" i="190" s="1"/>
  <c r="AO146" i="190"/>
  <c r="AP146" i="190" s="1"/>
  <c r="AO142" i="190"/>
  <c r="AP142" i="190" s="1"/>
  <c r="AQ142" i="190"/>
  <c r="AR142" i="190" s="1"/>
  <c r="AQ106" i="190"/>
  <c r="AR106" i="190" s="1"/>
  <c r="AO106" i="190"/>
  <c r="AP106" i="190" s="1"/>
  <c r="AO275" i="190"/>
  <c r="AP275" i="190" s="1"/>
  <c r="AQ275" i="190"/>
  <c r="AR275" i="190" s="1"/>
  <c r="AO111" i="190"/>
  <c r="AP111" i="190" s="1"/>
  <c r="AQ111" i="190"/>
  <c r="AR111" i="190" s="1"/>
  <c r="AQ265" i="190"/>
  <c r="AR265" i="190" s="1"/>
  <c r="AO265" i="190"/>
  <c r="AP265" i="190" s="1"/>
  <c r="AQ25" i="190"/>
  <c r="AR25" i="190" s="1"/>
  <c r="AO25" i="190"/>
  <c r="AP25" i="190" s="1"/>
  <c r="AO267" i="190"/>
  <c r="AP267" i="190" s="1"/>
  <c r="AQ267" i="190"/>
  <c r="AR267" i="190" s="1"/>
  <c r="AO145" i="190"/>
  <c r="AP145" i="190" s="1"/>
  <c r="AQ145" i="190"/>
  <c r="AR145" i="190" s="1"/>
  <c r="AQ257" i="190"/>
  <c r="AR257" i="190" s="1"/>
  <c r="AO257" i="190"/>
  <c r="AP257" i="190" s="1"/>
  <c r="AQ164" i="190"/>
  <c r="AR164" i="190" s="1"/>
  <c r="AO164" i="190"/>
  <c r="AP164" i="190" s="1"/>
  <c r="AQ20" i="190"/>
  <c r="AO20" i="190"/>
  <c r="AQ255" i="190"/>
  <c r="AR255" i="190" s="1"/>
  <c r="AO255" i="190"/>
  <c r="AP255" i="190" s="1"/>
  <c r="AQ176" i="190"/>
  <c r="AR176" i="190" s="1"/>
  <c r="AO176" i="190"/>
  <c r="AP176" i="190" s="1"/>
  <c r="AO352" i="190"/>
  <c r="AP352" i="190" s="1"/>
  <c r="AQ352" i="190"/>
  <c r="AR352" i="190" s="1"/>
  <c r="AQ148" i="190"/>
  <c r="AR148" i="190" s="1"/>
  <c r="AO148" i="190"/>
  <c r="AP148" i="190" s="1"/>
  <c r="AO132" i="190"/>
  <c r="AP132" i="190" s="1"/>
  <c r="AQ132" i="190"/>
  <c r="AR132" i="190" s="1"/>
  <c r="AO276" i="190"/>
  <c r="AP276" i="190" s="1"/>
  <c r="AQ276" i="190"/>
  <c r="AR276" i="190" s="1"/>
  <c r="AO174" i="190"/>
  <c r="AP174" i="190" s="1"/>
  <c r="AQ174" i="190"/>
  <c r="AR174" i="190" s="1"/>
  <c r="AQ222" i="190"/>
  <c r="AR222" i="190" s="1"/>
  <c r="AO222" i="190"/>
  <c r="AP222" i="190" s="1"/>
  <c r="AO200" i="190"/>
  <c r="AP200" i="190" s="1"/>
  <c r="AQ200" i="190"/>
  <c r="AR200" i="190" s="1"/>
  <c r="AO102" i="190"/>
  <c r="AP102" i="190" s="1"/>
  <c r="AQ102" i="190"/>
  <c r="AR102" i="190" s="1"/>
  <c r="AQ246" i="190"/>
  <c r="AR246" i="190" s="1"/>
  <c r="AO246" i="190"/>
  <c r="AP246" i="190" s="1"/>
  <c r="AQ107" i="190"/>
  <c r="AR107" i="190" s="1"/>
  <c r="AO107" i="190"/>
  <c r="AP107" i="190" s="1"/>
  <c r="AQ264" i="190"/>
  <c r="AR264" i="190" s="1"/>
  <c r="AO264" i="190"/>
  <c r="AP264" i="190" s="1"/>
  <c r="AO241" i="190"/>
  <c r="AP241" i="190" s="1"/>
  <c r="AQ241" i="190"/>
  <c r="AR241" i="190" s="1"/>
  <c r="AO355" i="190"/>
  <c r="AP355" i="190" s="1"/>
  <c r="AQ355" i="190"/>
  <c r="AR355" i="190" s="1"/>
  <c r="AO157" i="190"/>
  <c r="AP157" i="190" s="1"/>
  <c r="AQ157" i="190"/>
  <c r="AR157" i="190" s="1"/>
  <c r="AQ117" i="190"/>
  <c r="AR117" i="190" s="1"/>
  <c r="AO117" i="190"/>
  <c r="AP117" i="190" s="1"/>
  <c r="AO247" i="190"/>
  <c r="AP247" i="190" s="1"/>
  <c r="AQ247" i="190"/>
  <c r="AR247" i="190" s="1"/>
  <c r="AO171" i="190"/>
  <c r="AP171" i="190" s="1"/>
  <c r="AQ171" i="190"/>
  <c r="AR171" i="190" s="1"/>
  <c r="AO188" i="190"/>
  <c r="AP188" i="190" s="1"/>
  <c r="AQ188" i="190"/>
  <c r="AR188" i="190" s="1"/>
  <c r="AQ240" i="190"/>
  <c r="AR240" i="190" s="1"/>
  <c r="AO240" i="190"/>
  <c r="AP240" i="190" s="1"/>
  <c r="AQ223" i="190"/>
  <c r="AR223" i="190" s="1"/>
  <c r="AO223" i="190"/>
  <c r="AP223" i="190" s="1"/>
  <c r="AQ119" i="190"/>
  <c r="AR119" i="190" s="1"/>
  <c r="AO119" i="190"/>
  <c r="AP119" i="190" s="1"/>
  <c r="AQ186" i="190"/>
  <c r="AR186" i="190" s="1"/>
  <c r="AO186" i="190"/>
  <c r="AP186" i="190" s="1"/>
  <c r="AO152" i="190"/>
  <c r="AP152" i="190" s="1"/>
  <c r="AQ152" i="190"/>
  <c r="AR152" i="190" s="1"/>
  <c r="AO136" i="190"/>
  <c r="AP136" i="190" s="1"/>
  <c r="AQ136" i="190"/>
  <c r="AR136" i="190" s="1"/>
  <c r="AQ110" i="190"/>
  <c r="AR110" i="190" s="1"/>
  <c r="AO110" i="190"/>
  <c r="AP110" i="190" s="1"/>
  <c r="AQ279" i="190"/>
  <c r="AR279" i="190" s="1"/>
  <c r="AO279" i="190"/>
  <c r="AP279" i="190" s="1"/>
  <c r="AQ115" i="190"/>
  <c r="AR115" i="190" s="1"/>
  <c r="AO115" i="190"/>
  <c r="AP115" i="190" s="1"/>
  <c r="AO271" i="190"/>
  <c r="AP271" i="190" s="1"/>
  <c r="AQ271" i="190"/>
  <c r="AR271" i="190" s="1"/>
  <c r="AO126" i="190"/>
  <c r="AP126" i="190" s="1"/>
  <c r="AQ126" i="190"/>
  <c r="AR126" i="190" s="1"/>
  <c r="AQ3" i="190"/>
  <c r="AR3" i="190" s="1"/>
  <c r="AO3" i="190"/>
  <c r="AP3" i="190" s="1"/>
  <c r="AQ273" i="190"/>
  <c r="AR273" i="190" s="1"/>
  <c r="AO273" i="190"/>
  <c r="AP273" i="190" s="1"/>
  <c r="AO28" i="190"/>
  <c r="AP28" i="190" s="1"/>
  <c r="AQ28" i="190"/>
  <c r="AR28" i="190" s="1"/>
  <c r="AO215" i="190"/>
  <c r="AP215" i="190" s="1"/>
  <c r="AQ215" i="190"/>
  <c r="AR215" i="190" s="1"/>
  <c r="AQ199" i="190"/>
  <c r="AR199" i="190" s="1"/>
  <c r="AO199" i="190"/>
  <c r="AP199" i="190" s="1"/>
  <c r="AQ354" i="190"/>
  <c r="AR354" i="190" s="1"/>
  <c r="AO354" i="190"/>
  <c r="AP354" i="190" s="1"/>
  <c r="AO225" i="190"/>
  <c r="AP225" i="190" s="1"/>
  <c r="AQ225" i="190"/>
  <c r="AR225" i="190" s="1"/>
  <c r="AQ139" i="190"/>
  <c r="AR139" i="190" s="1"/>
  <c r="AO139" i="190"/>
  <c r="AP139" i="190" s="1"/>
  <c r="AQ278" i="190"/>
  <c r="AR278" i="190" s="1"/>
  <c r="AO278" i="190"/>
  <c r="AP278" i="190" s="1"/>
  <c r="AO170" i="190"/>
  <c r="AP170" i="190" s="1"/>
  <c r="AQ170" i="190"/>
  <c r="AR170" i="190" s="1"/>
  <c r="AQ220" i="190"/>
  <c r="AR220" i="190" s="1"/>
  <c r="AO220" i="190"/>
  <c r="AP220" i="190" s="1"/>
  <c r="AO202" i="190"/>
  <c r="AP202" i="190" s="1"/>
  <c r="AQ202" i="190"/>
  <c r="AR202" i="190" s="1"/>
  <c r="AQ270" i="190"/>
  <c r="AR270" i="190" s="1"/>
  <c r="AO270" i="190"/>
  <c r="AP270" i="190" s="1"/>
  <c r="AO168" i="190"/>
  <c r="AP168" i="190" s="1"/>
  <c r="AQ168" i="190"/>
  <c r="AR168" i="190" s="1"/>
  <c r="AQ213" i="190"/>
  <c r="AR213" i="190" s="1"/>
  <c r="AO213" i="190"/>
  <c r="AP213" i="190" s="1"/>
  <c r="AO194" i="190"/>
  <c r="AP194" i="190" s="1"/>
  <c r="AQ194" i="190"/>
  <c r="AR194" i="190" s="1"/>
  <c r="AQ13" i="190"/>
  <c r="AR13" i="190" s="1"/>
  <c r="G22" i="166" s="1"/>
  <c r="AO13" i="190"/>
  <c r="B22" i="166" s="1"/>
  <c r="AQ24" i="190"/>
  <c r="AR24" i="190" s="1"/>
  <c r="AO24" i="190"/>
  <c r="AP24" i="190" s="1"/>
  <c r="AO269" i="190"/>
  <c r="AP269" i="190" s="1"/>
  <c r="AQ269" i="190"/>
  <c r="AR269" i="190" s="1"/>
  <c r="AQ103" i="190"/>
  <c r="AR103" i="190" s="1"/>
  <c r="AO103" i="190"/>
  <c r="AP103" i="190" s="1"/>
  <c r="AQ258" i="190"/>
  <c r="AR258" i="190" s="1"/>
  <c r="AO258" i="190"/>
  <c r="AP258" i="190" s="1"/>
  <c r="AQ17" i="190"/>
  <c r="AR17" i="190" s="1"/>
  <c r="AO17" i="190"/>
  <c r="AP17" i="190" s="1"/>
  <c r="AQ22" i="190"/>
  <c r="AR22" i="190" s="1"/>
  <c r="AO22" i="190"/>
  <c r="AP22" i="190" s="1"/>
  <c r="AO260" i="190"/>
  <c r="AP260" i="190" s="1"/>
  <c r="AQ260" i="190"/>
  <c r="AR260" i="190" s="1"/>
  <c r="AQ237" i="190"/>
  <c r="AR237" i="190" s="1"/>
  <c r="AO237" i="190"/>
  <c r="AP237" i="190" s="1"/>
  <c r="AO27" i="190"/>
  <c r="AP27" i="190" s="1"/>
  <c r="AQ27" i="190"/>
  <c r="AR27" i="190" s="1"/>
  <c r="AQ165" i="190"/>
  <c r="AR165" i="190" s="1"/>
  <c r="AO165" i="190"/>
  <c r="AP165" i="190" s="1"/>
  <c r="AO21" i="190"/>
  <c r="AP21" i="190" s="1"/>
  <c r="D35" i="166" s="1"/>
  <c r="AQ21" i="190"/>
  <c r="AR21" i="190" s="1"/>
  <c r="G35" i="166" s="1"/>
  <c r="AO183" i="190"/>
  <c r="AP183" i="190" s="1"/>
  <c r="AQ183" i="190"/>
  <c r="AR183" i="190" s="1"/>
  <c r="AO197" i="190"/>
  <c r="AP197" i="190" s="1"/>
  <c r="AQ197" i="190"/>
  <c r="AR197" i="190" s="1"/>
  <c r="AQ227" i="190"/>
  <c r="AR227" i="190" s="1"/>
  <c r="AO227" i="190"/>
  <c r="AP227" i="190" s="1"/>
  <c r="AQ195" i="190"/>
  <c r="AR195" i="190" s="1"/>
  <c r="AO195" i="190"/>
  <c r="AP195" i="190" s="1"/>
  <c r="AO160" i="190"/>
  <c r="AP160" i="190" s="1"/>
  <c r="AQ160" i="190"/>
  <c r="AR160" i="190" s="1"/>
  <c r="AQ105" i="190"/>
  <c r="AR105" i="190" s="1"/>
  <c r="AO105" i="190"/>
  <c r="AP105" i="190" s="1"/>
  <c r="AO29" i="190"/>
  <c r="AP29" i="190" s="1"/>
  <c r="AQ29" i="190"/>
  <c r="AR29" i="190" s="1"/>
  <c r="AO130" i="190"/>
  <c r="AP130" i="190" s="1"/>
  <c r="AQ130" i="190"/>
  <c r="AR130" i="190" s="1"/>
  <c r="AQ140" i="190"/>
  <c r="AR140" i="190" s="1"/>
  <c r="AO140" i="190"/>
  <c r="AP140" i="190" s="1"/>
  <c r="AO251" i="190"/>
  <c r="AP251" i="190" s="1"/>
  <c r="AQ251" i="190"/>
  <c r="AR251" i="190" s="1"/>
  <c r="AO249" i="190"/>
  <c r="AP249" i="190" s="1"/>
  <c r="AQ249" i="190"/>
  <c r="AR249" i="190" s="1"/>
  <c r="AQ230" i="190"/>
  <c r="AR230" i="190" s="1"/>
  <c r="AO230" i="190"/>
  <c r="AP230" i="190" s="1"/>
  <c r="AO189" i="190"/>
  <c r="AP189" i="190" s="1"/>
  <c r="AQ189" i="190"/>
  <c r="AR189" i="190" s="1"/>
  <c r="AO219" i="190"/>
  <c r="AP219" i="190" s="1"/>
  <c r="AQ219" i="190"/>
  <c r="AR219" i="190" s="1"/>
  <c r="AO235" i="190"/>
  <c r="AP235" i="190" s="1"/>
  <c r="AQ235" i="190"/>
  <c r="AR235" i="190" s="1"/>
  <c r="AO253" i="190"/>
  <c r="AP253" i="190" s="1"/>
  <c r="AQ253" i="190"/>
  <c r="AR253" i="190" s="1"/>
  <c r="AO169" i="190"/>
  <c r="AP169" i="190" s="1"/>
  <c r="AQ169" i="190"/>
  <c r="AR169" i="190" s="1"/>
  <c r="AQ203" i="190"/>
  <c r="AR203" i="190" s="1"/>
  <c r="AO203" i="190"/>
  <c r="AP203" i="190" s="1"/>
  <c r="AO201" i="190"/>
  <c r="AP201" i="190" s="1"/>
  <c r="AQ201" i="190"/>
  <c r="AR201" i="190" s="1"/>
  <c r="AQ274" i="190"/>
  <c r="AR274" i="190" s="1"/>
  <c r="AO274" i="190"/>
  <c r="AP274" i="190" s="1"/>
  <c r="AQ166" i="190"/>
  <c r="AR166" i="190" s="1"/>
  <c r="AO166" i="190"/>
  <c r="AP166" i="190" s="1"/>
  <c r="AQ109" i="190"/>
  <c r="AR109" i="190" s="1"/>
  <c r="AO109" i="190"/>
  <c r="AP109" i="190" s="1"/>
  <c r="AQ221" i="190"/>
  <c r="AR221" i="190" s="1"/>
  <c r="AO221" i="190"/>
  <c r="AP221" i="190" s="1"/>
  <c r="AO26" i="190"/>
  <c r="AP26" i="190" s="1"/>
  <c r="AQ26" i="190"/>
  <c r="AR26" i="190" s="1"/>
  <c r="AQ281" i="190"/>
  <c r="AR281" i="190" s="1"/>
  <c r="AO281" i="190"/>
  <c r="AP281" i="190" s="1"/>
  <c r="AO254" i="190"/>
  <c r="AP254" i="190" s="1"/>
  <c r="AQ254" i="190"/>
  <c r="AR254" i="190" s="1"/>
  <c r="AQ6" i="190"/>
  <c r="AR6" i="190" s="1"/>
  <c r="AO6" i="190"/>
  <c r="AP6" i="190" s="1"/>
  <c r="AO266" i="190"/>
  <c r="AP266" i="190" s="1"/>
  <c r="AQ266" i="190"/>
  <c r="AR266" i="190" s="1"/>
  <c r="AQ287" i="190"/>
  <c r="AR287" i="190" s="1"/>
  <c r="AO287" i="190"/>
  <c r="AP287" i="190" s="1"/>
  <c r="AO210" i="190"/>
  <c r="AP210" i="190" s="1"/>
  <c r="AQ210" i="190"/>
  <c r="AR210" i="190" s="1"/>
  <c r="AQ141" i="190"/>
  <c r="AR141" i="190" s="1"/>
  <c r="AO141" i="190"/>
  <c r="AP141" i="190" s="1"/>
  <c r="AO268" i="190"/>
  <c r="AP268" i="190" s="1"/>
  <c r="AQ268" i="190"/>
  <c r="AR268" i="190" s="1"/>
  <c r="AO212" i="190"/>
  <c r="AP212" i="190" s="1"/>
  <c r="AQ212" i="190"/>
  <c r="AR212" i="190" s="1"/>
  <c r="AQ286" i="190"/>
  <c r="AR286" i="190" s="1"/>
  <c r="AO286" i="190"/>
  <c r="AP286" i="190" s="1"/>
  <c r="AQ277" i="190"/>
  <c r="AR277" i="190" s="1"/>
  <c r="AO277" i="190"/>
  <c r="AP277" i="190" s="1"/>
  <c r="AQ282" i="190"/>
  <c r="AR282" i="190" s="1"/>
  <c r="AO282" i="190"/>
  <c r="AP282" i="190" s="1"/>
  <c r="AQ172" i="190"/>
  <c r="AR172" i="190" s="1"/>
  <c r="AO172" i="190"/>
  <c r="AP172" i="190" s="1"/>
  <c r="AQ233" i="190"/>
  <c r="AR233" i="190" s="1"/>
  <c r="AO233" i="190"/>
  <c r="AP233" i="190" s="1"/>
  <c r="AQ353" i="190"/>
  <c r="AR353" i="190" s="1"/>
  <c r="AO353" i="190"/>
  <c r="AP353" i="190" s="1"/>
  <c r="AQ149" i="190"/>
  <c r="AR149" i="190" s="1"/>
  <c r="AO149" i="190"/>
  <c r="AP149" i="190" s="1"/>
  <c r="AQ133" i="190"/>
  <c r="AR133" i="190" s="1"/>
  <c r="AO133" i="190"/>
  <c r="AP133" i="190" s="1"/>
  <c r="AQ175" i="190"/>
  <c r="AR175" i="190" s="1"/>
  <c r="AO175" i="190"/>
  <c r="AP175" i="190" s="1"/>
  <c r="AQ147" i="190"/>
  <c r="AR147" i="190" s="1"/>
  <c r="AO147" i="190"/>
  <c r="AP147" i="190" s="1"/>
  <c r="AQ131" i="190"/>
  <c r="AR131" i="190" s="1"/>
  <c r="AO131" i="190"/>
  <c r="AP131" i="190" s="1"/>
  <c r="AQ252" i="190"/>
  <c r="AR252" i="190" s="1"/>
  <c r="AO252" i="190"/>
  <c r="AP252" i="190" s="1"/>
  <c r="AO231" i="190"/>
  <c r="AP231" i="190" s="1"/>
  <c r="AQ231" i="190"/>
  <c r="AR231" i="190" s="1"/>
  <c r="AO113" i="190"/>
  <c r="AP113" i="190" s="1"/>
  <c r="AQ113" i="190"/>
  <c r="AR113" i="190" s="1"/>
  <c r="AQ33" i="190"/>
  <c r="AR33" i="190" s="1"/>
  <c r="AO33" i="190"/>
  <c r="AP33" i="190" s="1"/>
  <c r="AO128" i="190"/>
  <c r="AP128" i="190" s="1"/>
  <c r="AQ128" i="190"/>
  <c r="AR128" i="190" s="1"/>
  <c r="AQ5" i="190"/>
  <c r="AR5" i="190" s="1"/>
  <c r="AO5" i="190"/>
  <c r="AP5" i="190" s="1"/>
  <c r="AQ285" i="190"/>
  <c r="AR285" i="190" s="1"/>
  <c r="AO285" i="190"/>
  <c r="AP285" i="190" s="1"/>
  <c r="B111" i="166"/>
  <c r="D111" i="166"/>
  <c r="B110" i="166"/>
  <c r="W340" i="190" s="1"/>
  <c r="D110" i="166"/>
  <c r="E111" i="166"/>
  <c r="I111" i="166" s="1"/>
  <c r="E110" i="166"/>
  <c r="I110" i="166" s="1"/>
  <c r="G111" i="166"/>
  <c r="G110" i="166"/>
  <c r="G60" i="166"/>
  <c r="D60" i="166"/>
  <c r="B60" i="166"/>
  <c r="E60" i="166"/>
  <c r="I60" i="166" s="1"/>
  <c r="AP20" i="190" l="1"/>
  <c r="AR20" i="190"/>
  <c r="Y340" i="190"/>
  <c r="G75" i="166"/>
  <c r="G106" i="166"/>
  <c r="D34" i="166"/>
  <c r="AP13" i="190"/>
  <c r="D22" i="166" s="1"/>
  <c r="G102" i="166"/>
  <c r="D53" i="166"/>
  <c r="G115" i="166"/>
  <c r="E22" i="166"/>
  <c r="I22" i="166" s="1"/>
  <c r="G114" i="166"/>
  <c r="D75" i="166"/>
  <c r="D76" i="166"/>
  <c r="E114" i="166"/>
  <c r="I114" i="166" s="1"/>
  <c r="E35" i="166"/>
  <c r="I35" i="166" s="1"/>
  <c r="B33" i="166"/>
  <c r="H33" i="166" s="1"/>
  <c r="G103" i="166"/>
  <c r="G34" i="166"/>
  <c r="G32" i="166"/>
  <c r="B66" i="166"/>
  <c r="H66" i="166" s="1"/>
  <c r="D68" i="166"/>
  <c r="B76" i="166"/>
  <c r="D67" i="166"/>
  <c r="B35" i="166"/>
  <c r="C35" i="166" s="1"/>
  <c r="D36" i="166"/>
  <c r="E34" i="166"/>
  <c r="I34" i="166" s="1"/>
  <c r="E102" i="166"/>
  <c r="I102" i="166" s="1"/>
  <c r="AO340" i="190"/>
  <c r="AP340" i="190" s="1"/>
  <c r="AQ340" i="190"/>
  <c r="AR340" i="190" s="1"/>
  <c r="B36" i="166"/>
  <c r="H36" i="166" s="1"/>
  <c r="B53" i="166"/>
  <c r="H53" i="166" s="1"/>
  <c r="G76" i="166"/>
  <c r="B101" i="166"/>
  <c r="H101" i="166" s="1"/>
  <c r="E103" i="166"/>
  <c r="I103" i="166" s="1"/>
  <c r="D114" i="166"/>
  <c r="E115" i="166"/>
  <c r="I115" i="166" s="1"/>
  <c r="G36" i="166"/>
  <c r="D106" i="166"/>
  <c r="D115" i="166"/>
  <c r="D101" i="166"/>
  <c r="E33" i="166"/>
  <c r="I33" i="166" s="1"/>
  <c r="E67" i="166"/>
  <c r="I67" i="166" s="1"/>
  <c r="B67" i="166"/>
  <c r="B68" i="166"/>
  <c r="E53" i="166"/>
  <c r="I53" i="166" s="1"/>
  <c r="E66" i="166"/>
  <c r="I66" i="166" s="1"/>
  <c r="E36" i="166"/>
  <c r="I36" i="166" s="1"/>
  <c r="G82" i="166"/>
  <c r="E32" i="166"/>
  <c r="I32" i="166" s="1"/>
  <c r="E76" i="166"/>
  <c r="I76" i="166" s="1"/>
  <c r="E94" i="166"/>
  <c r="I94" i="166" s="1"/>
  <c r="E68" i="166"/>
  <c r="I68" i="166" s="1"/>
  <c r="E82" i="166"/>
  <c r="I82" i="166" s="1"/>
  <c r="D32" i="166"/>
  <c r="E77" i="166"/>
  <c r="I77" i="166" s="1"/>
  <c r="B34" i="166"/>
  <c r="B106" i="166"/>
  <c r="H106" i="166" s="1"/>
  <c r="B97" i="166"/>
  <c r="H97" i="166" s="1"/>
  <c r="B102" i="166"/>
  <c r="W332" i="190" s="1"/>
  <c r="B75" i="166"/>
  <c r="G101" i="166"/>
  <c r="E85" i="166"/>
  <c r="I85" i="166" s="1"/>
  <c r="G53" i="166"/>
  <c r="E75" i="166"/>
  <c r="I75" i="166" s="1"/>
  <c r="B69" i="166"/>
  <c r="H69" i="166" s="1"/>
  <c r="E101" i="166"/>
  <c r="I101" i="166" s="1"/>
  <c r="D102" i="166"/>
  <c r="B115" i="166"/>
  <c r="H115" i="166" s="1"/>
  <c r="G67" i="166"/>
  <c r="B114" i="166"/>
  <c r="D69" i="166"/>
  <c r="G68" i="166"/>
  <c r="D95" i="166"/>
  <c r="G87" i="166"/>
  <c r="B85" i="166"/>
  <c r="H85" i="166" s="1"/>
  <c r="G84" i="166"/>
  <c r="B84" i="166"/>
  <c r="H84" i="166" s="1"/>
  <c r="B95" i="166"/>
  <c r="D97" i="166"/>
  <c r="E97" i="166"/>
  <c r="I97" i="166" s="1"/>
  <c r="B96" i="166"/>
  <c r="H96" i="166" s="1"/>
  <c r="G69" i="166"/>
  <c r="B98" i="166"/>
  <c r="H98" i="166" s="1"/>
  <c r="B94" i="166"/>
  <c r="B90" i="166"/>
  <c r="G95" i="166"/>
  <c r="B82" i="166"/>
  <c r="E96" i="166"/>
  <c r="I96" i="166" s="1"/>
  <c r="B103" i="166"/>
  <c r="H103" i="166" s="1"/>
  <c r="B87" i="166"/>
  <c r="H87" i="166" s="1"/>
  <c r="D77" i="166"/>
  <c r="D83" i="166"/>
  <c r="G90" i="166"/>
  <c r="G98" i="166"/>
  <c r="E69" i="166"/>
  <c r="I69" i="166" s="1"/>
  <c r="G96" i="166"/>
  <c r="E106" i="166"/>
  <c r="I106" i="166" s="1"/>
  <c r="E95" i="166"/>
  <c r="I95" i="166" s="1"/>
  <c r="B83" i="166"/>
  <c r="H83" i="166" s="1"/>
  <c r="W62" i="190"/>
  <c r="W63" i="190"/>
  <c r="W44" i="190"/>
  <c r="E84" i="166"/>
  <c r="I84" i="166" s="1"/>
  <c r="W77" i="190"/>
  <c r="W43" i="190"/>
  <c r="E83" i="166"/>
  <c r="I83" i="166" s="1"/>
  <c r="E87" i="166"/>
  <c r="I87" i="166" s="1"/>
  <c r="B32" i="166"/>
  <c r="W344" i="190"/>
  <c r="W343" i="190"/>
  <c r="W326" i="190"/>
  <c r="H60" i="166"/>
  <c r="W323" i="190"/>
  <c r="W324" i="190"/>
  <c r="W93" i="190"/>
  <c r="W345" i="190"/>
  <c r="W99" i="190"/>
  <c r="W100" i="190"/>
  <c r="W91" i="190"/>
  <c r="W92" i="190"/>
  <c r="W76" i="190"/>
  <c r="W330" i="190"/>
  <c r="W331" i="190"/>
  <c r="W328" i="190"/>
  <c r="W325" i="190"/>
  <c r="E98" i="166"/>
  <c r="I98" i="166" s="1"/>
  <c r="W338" i="190"/>
  <c r="W339" i="190"/>
  <c r="W94" i="190"/>
  <c r="B77" i="166"/>
  <c r="W327" i="190"/>
  <c r="W85" i="190"/>
  <c r="W84" i="190"/>
  <c r="W78" i="190"/>
  <c r="D119" i="166"/>
  <c r="B119" i="166"/>
  <c r="H119" i="166" s="1"/>
  <c r="G119" i="166"/>
  <c r="E119" i="166"/>
  <c r="E90" i="166"/>
  <c r="I90" i="166" s="1"/>
  <c r="F110" i="166"/>
  <c r="F111" i="166"/>
  <c r="H111" i="166"/>
  <c r="C111" i="166"/>
  <c r="C110" i="166"/>
  <c r="H110" i="166"/>
  <c r="F60" i="166"/>
  <c r="G85" i="166"/>
  <c r="G77" i="166"/>
  <c r="D96" i="166"/>
  <c r="G97" i="166"/>
  <c r="D90" i="166"/>
  <c r="D84" i="166"/>
  <c r="D98" i="166"/>
  <c r="D103" i="166"/>
  <c r="G94" i="166"/>
  <c r="D82" i="166"/>
  <c r="C60" i="166"/>
  <c r="D94" i="166"/>
  <c r="D87" i="166"/>
  <c r="D85" i="166"/>
  <c r="G83" i="166"/>
  <c r="Y325" i="190" l="1"/>
  <c r="Y324" i="190"/>
  <c r="Y44" i="190"/>
  <c r="Y93" i="190"/>
  <c r="Y328" i="190"/>
  <c r="Y323" i="190"/>
  <c r="Y63" i="190"/>
  <c r="Y327" i="190"/>
  <c r="Y76" i="190"/>
  <c r="Y344" i="190"/>
  <c r="Y92" i="190"/>
  <c r="Y94" i="190"/>
  <c r="Y91" i="190"/>
  <c r="Y339" i="190"/>
  <c r="Y100" i="190"/>
  <c r="Y338" i="190"/>
  <c r="Y99" i="190"/>
  <c r="Y43" i="190"/>
  <c r="Y332" i="190"/>
  <c r="Y78" i="190"/>
  <c r="Y331" i="190"/>
  <c r="Y62" i="190"/>
  <c r="Y84" i="190"/>
  <c r="Y330" i="190"/>
  <c r="Y326" i="190"/>
  <c r="Y85" i="190"/>
  <c r="Y343" i="190"/>
  <c r="Y345" i="190"/>
  <c r="Y77" i="190"/>
  <c r="C33" i="166"/>
  <c r="C66" i="166"/>
  <c r="F114" i="166"/>
  <c r="F22" i="166"/>
  <c r="C34" i="166"/>
  <c r="C76" i="166"/>
  <c r="F35" i="166"/>
  <c r="H35" i="166"/>
  <c r="C68" i="166"/>
  <c r="F102" i="166"/>
  <c r="H76" i="166"/>
  <c r="F34" i="166"/>
  <c r="C67" i="166"/>
  <c r="C36" i="166"/>
  <c r="C53" i="166"/>
  <c r="F103" i="166"/>
  <c r="B116" i="166"/>
  <c r="AQ100" i="190"/>
  <c r="AR100" i="190" s="1"/>
  <c r="AO100" i="190"/>
  <c r="AP100" i="190" s="1"/>
  <c r="AO339" i="190"/>
  <c r="AP339" i="190" s="1"/>
  <c r="AQ339" i="190"/>
  <c r="AR339" i="190" s="1"/>
  <c r="AQ344" i="190"/>
  <c r="AR344" i="190" s="1"/>
  <c r="AO344" i="190"/>
  <c r="AP344" i="190" s="1"/>
  <c r="AQ91" i="190"/>
  <c r="AR91" i="190" s="1"/>
  <c r="AO91" i="190"/>
  <c r="AP91" i="190" s="1"/>
  <c r="H82" i="166"/>
  <c r="H94" i="166"/>
  <c r="B99" i="166"/>
  <c r="AO338" i="190"/>
  <c r="AP338" i="190" s="1"/>
  <c r="AQ338" i="190"/>
  <c r="AR338" i="190" s="1"/>
  <c r="AQ92" i="190"/>
  <c r="AR92" i="190" s="1"/>
  <c r="AO92" i="190"/>
  <c r="AP92" i="190" s="1"/>
  <c r="AQ78" i="190"/>
  <c r="AR78" i="190" s="1"/>
  <c r="AO78" i="190"/>
  <c r="AP78" i="190" s="1"/>
  <c r="AO325" i="190"/>
  <c r="AP325" i="190" s="1"/>
  <c r="AQ325" i="190"/>
  <c r="AR325" i="190" s="1"/>
  <c r="AQ345" i="190"/>
  <c r="AR345" i="190" s="1"/>
  <c r="AO345" i="190"/>
  <c r="AP345" i="190" s="1"/>
  <c r="AQ43" i="190"/>
  <c r="AR43" i="190" s="1"/>
  <c r="AO43" i="190"/>
  <c r="AP43" i="190" s="1"/>
  <c r="AO84" i="190"/>
  <c r="AP84" i="190" s="1"/>
  <c r="AQ84" i="190"/>
  <c r="AR84" i="190" s="1"/>
  <c r="AO328" i="190"/>
  <c r="AQ328" i="190"/>
  <c r="AO93" i="190"/>
  <c r="AP93" i="190" s="1"/>
  <c r="AQ93" i="190"/>
  <c r="AR93" i="190" s="1"/>
  <c r="H90" i="166"/>
  <c r="AO85" i="190"/>
  <c r="AP85" i="190" s="1"/>
  <c r="AQ85" i="190"/>
  <c r="AR85" i="190" s="1"/>
  <c r="AQ331" i="190"/>
  <c r="AR331" i="190" s="1"/>
  <c r="AO331" i="190"/>
  <c r="AP331" i="190" s="1"/>
  <c r="AQ324" i="190"/>
  <c r="AR324" i="190" s="1"/>
  <c r="AO324" i="190"/>
  <c r="AP324" i="190" s="1"/>
  <c r="AQ77" i="190"/>
  <c r="AR77" i="190" s="1"/>
  <c r="AO77" i="190"/>
  <c r="AP77" i="190" s="1"/>
  <c r="AO330" i="190"/>
  <c r="AP330" i="190" s="1"/>
  <c r="AQ330" i="190"/>
  <c r="AR330" i="190" s="1"/>
  <c r="AQ323" i="190"/>
  <c r="AR323" i="190" s="1"/>
  <c r="AO323" i="190"/>
  <c r="AP323" i="190" s="1"/>
  <c r="H75" i="166"/>
  <c r="AQ332" i="190"/>
  <c r="AR332" i="190" s="1"/>
  <c r="AO332" i="190"/>
  <c r="AP332" i="190" s="1"/>
  <c r="AQ99" i="190"/>
  <c r="AR99" i="190" s="1"/>
  <c r="AO99" i="190"/>
  <c r="AP99" i="190" s="1"/>
  <c r="AO327" i="190"/>
  <c r="AP327" i="190" s="1"/>
  <c r="AQ327" i="190"/>
  <c r="AR327" i="190" s="1"/>
  <c r="AQ44" i="190"/>
  <c r="AR44" i="190" s="1"/>
  <c r="AO44" i="190"/>
  <c r="AP44" i="190" s="1"/>
  <c r="AO326" i="190"/>
  <c r="AP326" i="190" s="1"/>
  <c r="AQ326" i="190"/>
  <c r="AR326" i="190" s="1"/>
  <c r="AO63" i="190"/>
  <c r="AP63" i="190" s="1"/>
  <c r="AQ63" i="190"/>
  <c r="AR63" i="190" s="1"/>
  <c r="AO94" i="190"/>
  <c r="AP94" i="190" s="1"/>
  <c r="AQ94" i="190"/>
  <c r="AR94" i="190" s="1"/>
  <c r="AQ76" i="190"/>
  <c r="AR76" i="190" s="1"/>
  <c r="AO76" i="190"/>
  <c r="AP76" i="190" s="1"/>
  <c r="AQ343" i="190"/>
  <c r="AR343" i="190" s="1"/>
  <c r="AO343" i="190"/>
  <c r="AP343" i="190" s="1"/>
  <c r="AO62" i="190"/>
  <c r="AP62" i="190" s="1"/>
  <c r="AQ62" i="190"/>
  <c r="AR62" i="190" s="1"/>
  <c r="C22" i="166"/>
  <c r="C101" i="166"/>
  <c r="F33" i="166"/>
  <c r="F115" i="166"/>
  <c r="F67" i="166"/>
  <c r="F66" i="166"/>
  <c r="H67" i="166"/>
  <c r="H68" i="166"/>
  <c r="F76" i="166"/>
  <c r="F36" i="166"/>
  <c r="F32" i="166"/>
  <c r="F53" i="166"/>
  <c r="H22" i="166"/>
  <c r="H102" i="166"/>
  <c r="F68" i="166"/>
  <c r="H34" i="166"/>
  <c r="C106" i="166"/>
  <c r="F82" i="166"/>
  <c r="C97" i="166"/>
  <c r="F85" i="166"/>
  <c r="C102" i="166"/>
  <c r="F101" i="166"/>
  <c r="C75" i="166"/>
  <c r="F97" i="166"/>
  <c r="C114" i="166"/>
  <c r="F75" i="166"/>
  <c r="C85" i="166"/>
  <c r="C115" i="166"/>
  <c r="C69" i="166"/>
  <c r="H114" i="166"/>
  <c r="C103" i="166"/>
  <c r="C96" i="166"/>
  <c r="C95" i="166"/>
  <c r="H95" i="166"/>
  <c r="C98" i="166"/>
  <c r="C84" i="166"/>
  <c r="C82" i="166"/>
  <c r="F106" i="166"/>
  <c r="W329" i="190"/>
  <c r="F96" i="166"/>
  <c r="F84" i="166"/>
  <c r="C83" i="166"/>
  <c r="C87" i="166"/>
  <c r="C77" i="166"/>
  <c r="F95" i="166"/>
  <c r="C90" i="166"/>
  <c r="F98" i="166"/>
  <c r="F69" i="166"/>
  <c r="E99" i="166"/>
  <c r="F87" i="166"/>
  <c r="H77" i="166"/>
  <c r="H32" i="166"/>
  <c r="W42" i="190"/>
  <c r="W41" i="190"/>
  <c r="W349" i="190"/>
  <c r="W86" i="190"/>
  <c r="C32" i="166"/>
  <c r="W75" i="190"/>
  <c r="W74" i="190"/>
  <c r="C119" i="166"/>
  <c r="I119" i="166" s="1"/>
  <c r="F119" i="166"/>
  <c r="F90" i="166"/>
  <c r="F77" i="166"/>
  <c r="C94" i="166"/>
  <c r="D99" i="166"/>
  <c r="F94" i="166"/>
  <c r="G99" i="166"/>
  <c r="F83" i="166"/>
  <c r="Y329" i="190" l="1"/>
  <c r="Y74" i="190"/>
  <c r="Y86" i="190"/>
  <c r="Y349" i="190"/>
  <c r="Y75" i="190"/>
  <c r="Y41" i="190"/>
  <c r="Y42" i="190"/>
  <c r="F116" i="166"/>
  <c r="AO41" i="190"/>
  <c r="AP41" i="190" s="1"/>
  <c r="AQ41" i="190"/>
  <c r="AR41" i="190" s="1"/>
  <c r="AR328" i="190"/>
  <c r="G59" i="166" s="1"/>
  <c r="E59" i="166"/>
  <c r="AQ74" i="190"/>
  <c r="AR74" i="190" s="1"/>
  <c r="AO74" i="190"/>
  <c r="AP74" i="190" s="1"/>
  <c r="AO329" i="190"/>
  <c r="AP329" i="190" s="1"/>
  <c r="AQ329" i="190"/>
  <c r="AR329" i="190" s="1"/>
  <c r="AP328" i="190"/>
  <c r="D59" i="166" s="1"/>
  <c r="B59" i="166"/>
  <c r="AQ42" i="190"/>
  <c r="AR42" i="190" s="1"/>
  <c r="AO42" i="190"/>
  <c r="AP42" i="190" s="1"/>
  <c r="AQ75" i="190"/>
  <c r="AR75" i="190" s="1"/>
  <c r="AO75" i="190"/>
  <c r="AP75" i="190" s="1"/>
  <c r="AO349" i="190"/>
  <c r="AP349" i="190" s="1"/>
  <c r="AQ349" i="190"/>
  <c r="AR349" i="190" s="1"/>
  <c r="AO86" i="190"/>
  <c r="AP86" i="190" s="1"/>
  <c r="AQ86" i="190"/>
  <c r="AR86" i="190" s="1"/>
  <c r="C116" i="166"/>
  <c r="C99" i="166"/>
  <c r="F99" i="166"/>
  <c r="D56" i="166"/>
  <c r="B56" i="166"/>
  <c r="G56" i="166"/>
  <c r="E56" i="166"/>
  <c r="I59" i="166" l="1"/>
  <c r="F59" i="166"/>
  <c r="W69" i="190"/>
  <c r="C59" i="166"/>
  <c r="H59" i="166"/>
  <c r="I56" i="166"/>
  <c r="F56" i="166"/>
  <c r="H56" i="166"/>
  <c r="C56" i="166"/>
  <c r="Y69" i="190" l="1"/>
  <c r="AO69" i="190"/>
  <c r="AP69" i="190" s="1"/>
  <c r="AQ69" i="190"/>
  <c r="AR69" i="190" s="1"/>
  <c r="G116" i="166" l="1"/>
  <c r="E116" i="166"/>
  <c r="I116" i="166"/>
  <c r="D116" i="166"/>
  <c r="W346" i="190" l="1"/>
  <c r="I99" i="166"/>
  <c r="H116" i="166"/>
  <c r="H99" i="166"/>
  <c r="Y346" i="190" l="1"/>
  <c r="AQ346" i="190"/>
  <c r="AR346" i="190" s="1"/>
  <c r="AO346" i="190"/>
  <c r="AP346" i="190" s="1"/>
  <c r="W342" i="190"/>
  <c r="W341" i="190"/>
  <c r="Y341" i="190" l="1"/>
  <c r="Y342" i="190"/>
  <c r="AO341" i="190"/>
  <c r="AP341" i="190" s="1"/>
  <c r="AQ341" i="190"/>
  <c r="AR341" i="190" s="1"/>
  <c r="AO342" i="190"/>
  <c r="AP342" i="190" s="1"/>
  <c r="AQ342" i="190"/>
  <c r="AR342" i="190" s="1"/>
  <c r="L30" i="190" l="1"/>
  <c r="L40" i="190"/>
  <c r="L52" i="190"/>
  <c r="L62" i="190"/>
  <c r="L74" i="190"/>
  <c r="L86" i="190"/>
  <c r="L98" i="190"/>
  <c r="L329" i="190"/>
  <c r="L341" i="190"/>
  <c r="L353" i="190"/>
  <c r="L105" i="190"/>
  <c r="L32" i="190"/>
  <c r="L128" i="190"/>
  <c r="L261" i="190"/>
  <c r="L268" i="190"/>
  <c r="L274" i="190"/>
  <c r="L252" i="190"/>
  <c r="L291" i="190"/>
  <c r="L303" i="190"/>
  <c r="L315" i="190"/>
  <c r="L208" i="190"/>
  <c r="L220" i="190"/>
  <c r="L154" i="190"/>
  <c r="L162" i="190"/>
  <c r="L169" i="190"/>
  <c r="L181" i="190"/>
  <c r="L193" i="190"/>
  <c r="L202" i="190"/>
  <c r="L94" i="190"/>
  <c r="L337" i="190"/>
  <c r="L280" i="190"/>
  <c r="L177" i="190"/>
  <c r="L250" i="190"/>
  <c r="L201" i="190"/>
  <c r="L41" i="190"/>
  <c r="L53" i="190"/>
  <c r="L63" i="190"/>
  <c r="L75" i="190"/>
  <c r="L87" i="190"/>
  <c r="L99" i="190"/>
  <c r="L330" i="190"/>
  <c r="L342" i="190"/>
  <c r="L354" i="190"/>
  <c r="L106" i="190"/>
  <c r="L33" i="190"/>
  <c r="L129" i="190"/>
  <c r="L262" i="190"/>
  <c r="L269" i="190"/>
  <c r="L275" i="190"/>
  <c r="L283" i="190"/>
  <c r="L292" i="190"/>
  <c r="L304" i="190"/>
  <c r="L316" i="190"/>
  <c r="L209" i="190"/>
  <c r="L221" i="190"/>
  <c r="L155" i="190"/>
  <c r="L163" i="190"/>
  <c r="L170" i="190"/>
  <c r="L182" i="190"/>
  <c r="L232" i="190"/>
  <c r="L235" i="190"/>
  <c r="L139" i="190"/>
  <c r="L82" i="190"/>
  <c r="L349" i="190"/>
  <c r="L287" i="190"/>
  <c r="L229" i="190"/>
  <c r="L290" i="190"/>
  <c r="L180" i="190"/>
  <c r="L20" i="190"/>
  <c r="L42" i="190"/>
  <c r="L54" i="190"/>
  <c r="L64" i="190"/>
  <c r="L76" i="190"/>
  <c r="L88" i="190"/>
  <c r="L100" i="190"/>
  <c r="L331" i="190"/>
  <c r="L343" i="190"/>
  <c r="L355" i="190"/>
  <c r="L107" i="190"/>
  <c r="L34" i="190"/>
  <c r="L130" i="190"/>
  <c r="L263" i="190"/>
  <c r="L270" i="190"/>
  <c r="L276" i="190"/>
  <c r="L284" i="190"/>
  <c r="L293" i="190"/>
  <c r="L305" i="190"/>
  <c r="L317" i="190"/>
  <c r="L210" i="190"/>
  <c r="L222" i="190"/>
  <c r="L156" i="190"/>
  <c r="L164" i="190"/>
  <c r="L171" i="190"/>
  <c r="L183" i="190"/>
  <c r="L233" i="190"/>
  <c r="L236" i="190"/>
  <c r="L19" i="190"/>
  <c r="L325" i="190"/>
  <c r="L247" i="190"/>
  <c r="L216" i="190"/>
  <c r="L104" i="190"/>
  <c r="L192" i="190"/>
  <c r="L21" i="190"/>
  <c r="L43" i="190"/>
  <c r="L55" i="190"/>
  <c r="L65" i="190"/>
  <c r="L77" i="190"/>
  <c r="L89" i="190"/>
  <c r="L320" i="190"/>
  <c r="L332" i="190"/>
  <c r="L344" i="190"/>
  <c r="L356" i="190"/>
  <c r="L108" i="190"/>
  <c r="L17" i="190"/>
  <c r="L264" i="190"/>
  <c r="L271" i="190"/>
  <c r="L140" i="190"/>
  <c r="L285" i="190"/>
  <c r="L294" i="190"/>
  <c r="L306" i="190"/>
  <c r="L318" i="190"/>
  <c r="L211" i="190"/>
  <c r="L145" i="190"/>
  <c r="L157" i="190"/>
  <c r="L165" i="190"/>
  <c r="L172" i="190"/>
  <c r="L184" i="190"/>
  <c r="L234" i="190"/>
  <c r="L237" i="190"/>
  <c r="L70" i="190"/>
  <c r="L7" i="190"/>
  <c r="L204" i="190"/>
  <c r="L134" i="190"/>
  <c r="L314" i="190"/>
  <c r="L22" i="190"/>
  <c r="L44" i="190"/>
  <c r="L11" i="190"/>
  <c r="L66" i="190"/>
  <c r="L78" i="190"/>
  <c r="L90" i="190"/>
  <c r="L321" i="190"/>
  <c r="L333" i="190"/>
  <c r="L345" i="190"/>
  <c r="L13" i="190"/>
  <c r="L109" i="190"/>
  <c r="L3" i="190"/>
  <c r="L18" i="190"/>
  <c r="L240" i="190"/>
  <c r="L272" i="190"/>
  <c r="L141" i="190"/>
  <c r="L253" i="190"/>
  <c r="L295" i="190"/>
  <c r="L307" i="190"/>
  <c r="L319" i="190"/>
  <c r="L212" i="190"/>
  <c r="L146" i="190"/>
  <c r="L158" i="190"/>
  <c r="L166" i="190"/>
  <c r="L173" i="190"/>
  <c r="L185" i="190"/>
  <c r="L194" i="190"/>
  <c r="L142" i="190"/>
  <c r="L48" i="190"/>
  <c r="L257" i="190"/>
  <c r="L225" i="190"/>
  <c r="L127" i="190"/>
  <c r="L161" i="190"/>
  <c r="L23" i="190"/>
  <c r="L45" i="190"/>
  <c r="L12" i="190"/>
  <c r="L67" i="190"/>
  <c r="L79" i="190"/>
  <c r="L91" i="190"/>
  <c r="L322" i="190"/>
  <c r="L334" i="190"/>
  <c r="L346" i="190"/>
  <c r="L14" i="190"/>
  <c r="L110" i="190"/>
  <c r="L4" i="190"/>
  <c r="L241" i="190"/>
  <c r="L273" i="190"/>
  <c r="L277" i="190"/>
  <c r="L254" i="190"/>
  <c r="L296" i="190"/>
  <c r="L308" i="190"/>
  <c r="L143" i="190"/>
  <c r="L213" i="190"/>
  <c r="L147" i="190"/>
  <c r="L159" i="190"/>
  <c r="L167" i="190"/>
  <c r="L174" i="190"/>
  <c r="L186" i="190"/>
  <c r="L195" i="190"/>
  <c r="L131" i="190"/>
  <c r="L58" i="190"/>
  <c r="L101" i="190"/>
  <c r="L299" i="190"/>
  <c r="L189" i="190"/>
  <c r="L260" i="190"/>
  <c r="L219" i="190"/>
  <c r="L24" i="190"/>
  <c r="L46" i="190"/>
  <c r="L56" i="190"/>
  <c r="L68" i="190"/>
  <c r="L80" i="190"/>
  <c r="L92" i="190"/>
  <c r="L323" i="190"/>
  <c r="L335" i="190"/>
  <c r="L347" i="190"/>
  <c r="L15" i="190"/>
  <c r="L111" i="190"/>
  <c r="L5" i="190"/>
  <c r="L238" i="190"/>
  <c r="L242" i="190"/>
  <c r="L245" i="190"/>
  <c r="L278" i="190"/>
  <c r="L255" i="190"/>
  <c r="L297" i="190"/>
  <c r="L309" i="190"/>
  <c r="L144" i="190"/>
  <c r="L214" i="190"/>
  <c r="L148" i="190"/>
  <c r="L223" i="190"/>
  <c r="L227" i="190"/>
  <c r="L175" i="190"/>
  <c r="L187" i="190"/>
  <c r="L196" i="190"/>
  <c r="L132" i="190"/>
  <c r="L9" i="190"/>
  <c r="L113" i="190"/>
  <c r="L311" i="190"/>
  <c r="L198" i="190"/>
  <c r="L251" i="190"/>
  <c r="L168" i="190"/>
  <c r="L25" i="190"/>
  <c r="L8" i="190"/>
  <c r="L47" i="190"/>
  <c r="L57" i="190"/>
  <c r="L69" i="190"/>
  <c r="L81" i="190"/>
  <c r="L93" i="190"/>
  <c r="L324" i="190"/>
  <c r="L336" i="190"/>
  <c r="L348" i="190"/>
  <c r="L16" i="190"/>
  <c r="L112" i="190"/>
  <c r="L6" i="190"/>
  <c r="L239" i="190"/>
  <c r="L243" i="190"/>
  <c r="L246" i="190"/>
  <c r="L279" i="190"/>
  <c r="L286" i="190"/>
  <c r="L298" i="190"/>
  <c r="L310" i="190"/>
  <c r="L203" i="190"/>
  <c r="L215" i="190"/>
  <c r="L149" i="190"/>
  <c r="L224" i="190"/>
  <c r="L228" i="190"/>
  <c r="L176" i="190"/>
  <c r="L188" i="190"/>
  <c r="L197" i="190"/>
  <c r="L133" i="190"/>
  <c r="L26" i="190"/>
  <c r="L244" i="190"/>
  <c r="L150" i="190"/>
  <c r="L31" i="190"/>
  <c r="L207" i="190"/>
  <c r="L27" i="190"/>
  <c r="L10" i="190"/>
  <c r="L49" i="190"/>
  <c r="L59" i="190"/>
  <c r="L71" i="190"/>
  <c r="L83" i="190"/>
  <c r="L95" i="190"/>
  <c r="L326" i="190"/>
  <c r="L338" i="190"/>
  <c r="L350" i="190"/>
  <c r="L102" i="190"/>
  <c r="L114" i="190"/>
  <c r="L125" i="190"/>
  <c r="L258" i="190"/>
  <c r="L265" i="190"/>
  <c r="L248" i="190"/>
  <c r="L281" i="190"/>
  <c r="L288" i="190"/>
  <c r="L300" i="190"/>
  <c r="L312" i="190"/>
  <c r="L205" i="190"/>
  <c r="L217" i="190"/>
  <c r="L151" i="190"/>
  <c r="L226" i="190"/>
  <c r="L230" i="190"/>
  <c r="L178" i="190"/>
  <c r="L190" i="190"/>
  <c r="L199" i="190"/>
  <c r="L135" i="190"/>
  <c r="L29" i="190"/>
  <c r="L51" i="190"/>
  <c r="L73" i="190"/>
  <c r="L97" i="190"/>
  <c r="L340" i="190"/>
  <c r="L267" i="190"/>
  <c r="L153" i="190"/>
  <c r="L28" i="190"/>
  <c r="L38" i="190"/>
  <c r="L50" i="190"/>
  <c r="L60" i="190"/>
  <c r="L72" i="190"/>
  <c r="L84" i="190"/>
  <c r="L96" i="190"/>
  <c r="L327" i="190"/>
  <c r="L339" i="190"/>
  <c r="L351" i="190"/>
  <c r="L103" i="190"/>
  <c r="L115" i="190"/>
  <c r="L126" i="190"/>
  <c r="L259" i="190"/>
  <c r="L266" i="190"/>
  <c r="L249" i="190"/>
  <c r="L282" i="190"/>
  <c r="L289" i="190"/>
  <c r="L301" i="190"/>
  <c r="L313" i="190"/>
  <c r="L206" i="190"/>
  <c r="L218" i="190"/>
  <c r="L152" i="190"/>
  <c r="L160" i="190"/>
  <c r="L231" i="190"/>
  <c r="L179" i="190"/>
  <c r="L191" i="190"/>
  <c r="L200" i="190"/>
  <c r="L136" i="190"/>
  <c r="L39" i="190"/>
  <c r="L61" i="190"/>
  <c r="L85" i="190"/>
  <c r="L328" i="190"/>
  <c r="L352" i="190"/>
  <c r="L302" i="190"/>
  <c r="L137" i="190"/>
  <c r="B105" i="166" l="1"/>
  <c r="W335" i="190" s="1"/>
  <c r="G105" i="166"/>
  <c r="E105" i="166"/>
  <c r="B104" i="166"/>
  <c r="B72" i="166"/>
  <c r="B70" i="166"/>
  <c r="B79" i="166"/>
  <c r="B61" i="166"/>
  <c r="G79" i="166"/>
  <c r="E79" i="166"/>
  <c r="I79" i="166" s="1"/>
  <c r="B58" i="166"/>
  <c r="W68" i="190" s="1"/>
  <c r="G37" i="166"/>
  <c r="E37" i="166"/>
  <c r="I37" i="166" s="1"/>
  <c r="B78" i="166"/>
  <c r="G26" i="166"/>
  <c r="E26" i="166"/>
  <c r="I26" i="166" s="1"/>
  <c r="D26" i="166"/>
  <c r="B26" i="166"/>
  <c r="D37" i="166"/>
  <c r="B37" i="166"/>
  <c r="G78" i="166"/>
  <c r="E78" i="166"/>
  <c r="I78" i="166" s="1"/>
  <c r="G27" i="166"/>
  <c r="E27" i="166"/>
  <c r="I27" i="166" s="1"/>
  <c r="G61" i="166"/>
  <c r="E61" i="166"/>
  <c r="I61" i="166" s="1"/>
  <c r="B71" i="166"/>
  <c r="G71" i="166"/>
  <c r="E71" i="166"/>
  <c r="I71" i="166" s="1"/>
  <c r="G104" i="166"/>
  <c r="E104" i="166"/>
  <c r="G72" i="166"/>
  <c r="E72" i="166"/>
  <c r="I72" i="166" s="1"/>
  <c r="D27" i="166"/>
  <c r="B27" i="166"/>
  <c r="G70" i="166"/>
  <c r="E70" i="166"/>
  <c r="I70" i="166" s="1"/>
  <c r="E91" i="166"/>
  <c r="E86" i="166"/>
  <c r="B86" i="166"/>
  <c r="B88" i="166" s="1"/>
  <c r="B91" i="166"/>
  <c r="B92" i="166" s="1"/>
  <c r="G58" i="166"/>
  <c r="E58" i="166"/>
  <c r="I58" i="166" s="1"/>
  <c r="Y68" i="190" l="1"/>
  <c r="Y335" i="190"/>
  <c r="B107" i="166"/>
  <c r="B80" i="166"/>
  <c r="AQ68" i="190"/>
  <c r="AR68" i="190" s="1"/>
  <c r="AO68" i="190"/>
  <c r="AP68" i="190" s="1"/>
  <c r="AQ335" i="190"/>
  <c r="AR335" i="190" s="1"/>
  <c r="AO335" i="190"/>
  <c r="AP335" i="190" s="1"/>
  <c r="H105" i="166"/>
  <c r="D61" i="166"/>
  <c r="C61" i="166" s="1"/>
  <c r="G107" i="166"/>
  <c r="H72" i="166"/>
  <c r="H79" i="166"/>
  <c r="H26" i="166"/>
  <c r="W9" i="190"/>
  <c r="W334" i="190"/>
  <c r="W333" i="190"/>
  <c r="H61" i="166"/>
  <c r="W70" i="190"/>
  <c r="H78" i="166"/>
  <c r="W88" i="190"/>
  <c r="W87" i="190"/>
  <c r="H91" i="166"/>
  <c r="H92" i="166" s="1"/>
  <c r="W320" i="190"/>
  <c r="H86" i="166"/>
  <c r="H88" i="166" s="1"/>
  <c r="W96" i="190"/>
  <c r="W95" i="190"/>
  <c r="H37" i="166"/>
  <c r="W48" i="190"/>
  <c r="W47" i="190"/>
  <c r="H71" i="166"/>
  <c r="W81" i="190"/>
  <c r="H70" i="166"/>
  <c r="W80" i="190"/>
  <c r="W79" i="190"/>
  <c r="I104" i="166"/>
  <c r="E107" i="166"/>
  <c r="H104" i="166"/>
  <c r="I105" i="166"/>
  <c r="F105" i="166"/>
  <c r="D105" i="166"/>
  <c r="C105" i="166" s="1"/>
  <c r="G80" i="166"/>
  <c r="D58" i="166"/>
  <c r="C58" i="166" s="1"/>
  <c r="I86" i="166"/>
  <c r="I88" i="166" s="1"/>
  <c r="I91" i="166"/>
  <c r="I92" i="166" s="1"/>
  <c r="C27" i="166"/>
  <c r="H27" i="166"/>
  <c r="H58" i="166"/>
  <c r="D78" i="166"/>
  <c r="C78" i="166" s="1"/>
  <c r="F78" i="166"/>
  <c r="E80" i="166"/>
  <c r="I80" i="166"/>
  <c r="W322" i="190"/>
  <c r="D71" i="166"/>
  <c r="C71" i="166" s="1"/>
  <c r="G91" i="166"/>
  <c r="G92" i="166" s="1"/>
  <c r="G86" i="166"/>
  <c r="G88" i="166" s="1"/>
  <c r="F58" i="166"/>
  <c r="F71" i="166"/>
  <c r="F61" i="166"/>
  <c r="W83" i="190"/>
  <c r="D91" i="166"/>
  <c r="D92" i="166" s="1"/>
  <c r="D86" i="166"/>
  <c r="D88" i="166" s="1"/>
  <c r="F27" i="166"/>
  <c r="C26" i="166"/>
  <c r="D79" i="166"/>
  <c r="C79" i="166" s="1"/>
  <c r="D70" i="166"/>
  <c r="C70" i="166" s="1"/>
  <c r="F26" i="166"/>
  <c r="W90" i="190"/>
  <c r="E88" i="166"/>
  <c r="F104" i="166"/>
  <c r="E92" i="166"/>
  <c r="F70" i="166"/>
  <c r="F37" i="166"/>
  <c r="F79" i="166"/>
  <c r="C37" i="166"/>
  <c r="D72" i="166"/>
  <c r="C72" i="166" s="1"/>
  <c r="F72" i="166"/>
  <c r="D104" i="166"/>
  <c r="Y88" i="190" l="1"/>
  <c r="Y81" i="190"/>
  <c r="Y90" i="190"/>
  <c r="Y70" i="190"/>
  <c r="Y47" i="190"/>
  <c r="Y322" i="190"/>
  <c r="Y48" i="190"/>
  <c r="Y333" i="190"/>
  <c r="Y334" i="190"/>
  <c r="Y95" i="190"/>
  <c r="Y9" i="190"/>
  <c r="Y96" i="190"/>
  <c r="Y79" i="190"/>
  <c r="Y83" i="190"/>
  <c r="Y320" i="190"/>
  <c r="Y80" i="190"/>
  <c r="Y87" i="190"/>
  <c r="AQ320" i="190"/>
  <c r="AR320" i="190" s="1"/>
  <c r="AO320" i="190"/>
  <c r="AP320" i="190" s="1"/>
  <c r="AQ88" i="190"/>
  <c r="AR88" i="190" s="1"/>
  <c r="AO88" i="190"/>
  <c r="AP88" i="190" s="1"/>
  <c r="AQ81" i="190"/>
  <c r="AR81" i="190" s="1"/>
  <c r="AO81" i="190"/>
  <c r="AP81" i="190" s="1"/>
  <c r="AO83" i="190"/>
  <c r="AP83" i="190" s="1"/>
  <c r="AQ83" i="190"/>
  <c r="AR83" i="190" s="1"/>
  <c r="AQ70" i="190"/>
  <c r="AR70" i="190" s="1"/>
  <c r="AO70" i="190"/>
  <c r="AP70" i="190" s="1"/>
  <c r="AQ48" i="190"/>
  <c r="AR48" i="190" s="1"/>
  <c r="AO48" i="190"/>
  <c r="AP48" i="190" s="1"/>
  <c r="AQ333" i="190"/>
  <c r="AR333" i="190" s="1"/>
  <c r="AO333" i="190"/>
  <c r="AP333" i="190" s="1"/>
  <c r="AQ47" i="190"/>
  <c r="AR47" i="190" s="1"/>
  <c r="AO47" i="190"/>
  <c r="AP47" i="190" s="1"/>
  <c r="AQ322" i="190"/>
  <c r="AO322" i="190"/>
  <c r="AQ334" i="190"/>
  <c r="AR334" i="190" s="1"/>
  <c r="AO334" i="190"/>
  <c r="AP334" i="190" s="1"/>
  <c r="AQ96" i="190"/>
  <c r="AR96" i="190" s="1"/>
  <c r="AO96" i="190"/>
  <c r="AP96" i="190" s="1"/>
  <c r="AQ79" i="190"/>
  <c r="AR79" i="190" s="1"/>
  <c r="AO79" i="190"/>
  <c r="AP79" i="190" s="1"/>
  <c r="AQ80" i="190"/>
  <c r="AR80" i="190" s="1"/>
  <c r="AO80" i="190"/>
  <c r="AP80" i="190" s="1"/>
  <c r="AO87" i="190"/>
  <c r="AP87" i="190" s="1"/>
  <c r="AQ87" i="190"/>
  <c r="AR87" i="190" s="1"/>
  <c r="AQ90" i="190"/>
  <c r="AR90" i="190" s="1"/>
  <c r="AO90" i="190"/>
  <c r="AP90" i="190" s="1"/>
  <c r="AQ95" i="190"/>
  <c r="AR95" i="190" s="1"/>
  <c r="AO95" i="190"/>
  <c r="AP95" i="190" s="1"/>
  <c r="AQ9" i="190"/>
  <c r="AR9" i="190" s="1"/>
  <c r="AO9" i="190"/>
  <c r="AP9" i="190" s="1"/>
  <c r="H107" i="166"/>
  <c r="H80" i="166"/>
  <c r="F107" i="166"/>
  <c r="W337" i="190"/>
  <c r="W336" i="190"/>
  <c r="W98" i="190"/>
  <c r="W97" i="190"/>
  <c r="W321" i="190"/>
  <c r="W89" i="190"/>
  <c r="W82" i="190"/>
  <c r="I107" i="166"/>
  <c r="C104" i="166"/>
  <c r="C107" i="166" s="1"/>
  <c r="D107" i="166"/>
  <c r="F91" i="166"/>
  <c r="F92" i="166" s="1"/>
  <c r="C80" i="166"/>
  <c r="F80" i="166"/>
  <c r="D80" i="166"/>
  <c r="C86" i="166"/>
  <c r="C88" i="166" s="1"/>
  <c r="F86" i="166"/>
  <c r="F88" i="166" s="1"/>
  <c r="C91" i="166"/>
  <c r="C92" i="166" s="1"/>
  <c r="Y337" i="190" l="1"/>
  <c r="Y82" i="190"/>
  <c r="Y321" i="190"/>
  <c r="Y97" i="190"/>
  <c r="Y98" i="190"/>
  <c r="Y89" i="190"/>
  <c r="Y336" i="190"/>
  <c r="AQ82" i="190"/>
  <c r="AR82" i="190" s="1"/>
  <c r="AO82" i="190"/>
  <c r="AP82" i="190" s="1"/>
  <c r="AQ89" i="190"/>
  <c r="AR89" i="190" s="1"/>
  <c r="G46" i="166" s="1"/>
  <c r="AO89" i="190"/>
  <c r="AP89" i="190" s="1"/>
  <c r="D46" i="166" s="1"/>
  <c r="AQ321" i="190"/>
  <c r="AR321" i="190" s="1"/>
  <c r="AO321" i="190"/>
  <c r="AP321" i="190" s="1"/>
  <c r="AP322" i="190"/>
  <c r="D54" i="166" s="1"/>
  <c r="B54" i="166"/>
  <c r="AQ97" i="190"/>
  <c r="AR97" i="190" s="1"/>
  <c r="AO97" i="190"/>
  <c r="AP97" i="190" s="1"/>
  <c r="AR322" i="190"/>
  <c r="G54" i="166" s="1"/>
  <c r="E54" i="166"/>
  <c r="AQ98" i="190"/>
  <c r="AR98" i="190" s="1"/>
  <c r="AO98" i="190"/>
  <c r="AP98" i="190" s="1"/>
  <c r="AQ336" i="190"/>
  <c r="AR336" i="190" s="1"/>
  <c r="AO336" i="190"/>
  <c r="AP336" i="190" s="1"/>
  <c r="AQ337" i="190"/>
  <c r="AR337" i="190" s="1"/>
  <c r="AO337" i="190"/>
  <c r="AP337" i="190" s="1"/>
  <c r="D25" i="166"/>
  <c r="B25" i="166"/>
  <c r="D47" i="166"/>
  <c r="B47" i="166"/>
  <c r="D57" i="166"/>
  <c r="B57" i="166"/>
  <c r="G57" i="166"/>
  <c r="E57" i="166"/>
  <c r="G25" i="166"/>
  <c r="E25" i="166"/>
  <c r="G47" i="166"/>
  <c r="E47" i="166"/>
  <c r="G41" i="166" l="1"/>
  <c r="E46" i="166"/>
  <c r="I46" i="166" s="1"/>
  <c r="I54" i="166"/>
  <c r="F54" i="166"/>
  <c r="H54" i="166"/>
  <c r="C54" i="166"/>
  <c r="B46" i="166"/>
  <c r="E41" i="166"/>
  <c r="I41" i="166" s="1"/>
  <c r="B62" i="166"/>
  <c r="D62" i="166"/>
  <c r="H25" i="166"/>
  <c r="C25" i="166"/>
  <c r="W67" i="190"/>
  <c r="C57" i="166"/>
  <c r="H57" i="166"/>
  <c r="W66" i="190"/>
  <c r="G62" i="166"/>
  <c r="E62" i="166"/>
  <c r="W56" i="190"/>
  <c r="I57" i="166"/>
  <c r="F57" i="166"/>
  <c r="B41" i="166"/>
  <c r="D41" i="166"/>
  <c r="I25" i="166"/>
  <c r="F25" i="166"/>
  <c r="W65" i="190"/>
  <c r="W64" i="190"/>
  <c r="I47" i="166"/>
  <c r="F47" i="166"/>
  <c r="H47" i="166"/>
  <c r="W57" i="190"/>
  <c r="C47" i="166"/>
  <c r="Y64" i="190" l="1"/>
  <c r="Y65" i="190"/>
  <c r="Y67" i="190"/>
  <c r="Y57" i="190"/>
  <c r="Y56" i="190"/>
  <c r="Y66" i="190"/>
  <c r="F46" i="166"/>
  <c r="AQ57" i="190"/>
  <c r="AR57" i="190" s="1"/>
  <c r="AO57" i="190"/>
  <c r="AP57" i="190" s="1"/>
  <c r="AQ56" i="190"/>
  <c r="AR56" i="190" s="1"/>
  <c r="AO56" i="190"/>
  <c r="AP56" i="190" s="1"/>
  <c r="AQ66" i="190"/>
  <c r="AR66" i="190" s="1"/>
  <c r="AO66" i="190"/>
  <c r="AP66" i="190" s="1"/>
  <c r="AQ64" i="190"/>
  <c r="AR64" i="190" s="1"/>
  <c r="AO64" i="190"/>
  <c r="AP64" i="190" s="1"/>
  <c r="AQ65" i="190"/>
  <c r="AR65" i="190" s="1"/>
  <c r="AO65" i="190"/>
  <c r="AP65" i="190" s="1"/>
  <c r="AQ8" i="190"/>
  <c r="AR8" i="190" s="1"/>
  <c r="AO8" i="190"/>
  <c r="AP8" i="190" s="1"/>
  <c r="AQ67" i="190"/>
  <c r="AR67" i="190" s="1"/>
  <c r="AO67" i="190"/>
  <c r="AP67" i="190" s="1"/>
  <c r="F41" i="166"/>
  <c r="C62" i="166"/>
  <c r="H41" i="166"/>
  <c r="W53" i="190"/>
  <c r="W52" i="190"/>
  <c r="C41" i="166"/>
  <c r="I62" i="166"/>
  <c r="F62" i="166"/>
  <c r="H62" i="166"/>
  <c r="W72" i="190"/>
  <c r="W71" i="190"/>
  <c r="Y52" i="190" l="1"/>
  <c r="Y53" i="190"/>
  <c r="Y71" i="190"/>
  <c r="Y72" i="190"/>
  <c r="AO52" i="190"/>
  <c r="AP52" i="190" s="1"/>
  <c r="AQ52" i="190"/>
  <c r="AR52" i="190" s="1"/>
  <c r="AQ53" i="190"/>
  <c r="AR53" i="190" s="1"/>
  <c r="AO53" i="190"/>
  <c r="AP53" i="190" s="1"/>
  <c r="AO71" i="190"/>
  <c r="AP71" i="190" s="1"/>
  <c r="AQ71" i="190"/>
  <c r="AR71" i="190" s="1"/>
  <c r="AO72" i="190"/>
  <c r="AP72" i="190" s="1"/>
  <c r="AQ72" i="190"/>
  <c r="AR72" i="190" s="1"/>
  <c r="G23" i="166"/>
  <c r="E23" i="166"/>
  <c r="D23" i="166"/>
  <c r="B23" i="166"/>
  <c r="H23" i="166" l="1"/>
  <c r="C23" i="166"/>
  <c r="I23" i="166"/>
  <c r="F23" i="166"/>
  <c r="W58" i="190" l="1"/>
  <c r="Y58" i="190" l="1"/>
  <c r="AQ58" i="190"/>
  <c r="AR58" i="190" s="1"/>
  <c r="AO58" i="190"/>
  <c r="AP58" i="190" s="1"/>
  <c r="W55" i="190"/>
  <c r="W54" i="190"/>
  <c r="Y54" i="190" l="1"/>
  <c r="Y55" i="190"/>
  <c r="AQ54" i="190"/>
  <c r="AR54" i="190" s="1"/>
  <c r="AO54" i="190"/>
  <c r="AP54" i="190" s="1"/>
  <c r="AQ55" i="190"/>
  <c r="AR55" i="190" s="1"/>
  <c r="AO55" i="190"/>
  <c r="AP55" i="190" s="1"/>
  <c r="W45" i="190"/>
  <c r="W60" i="190"/>
  <c r="W59" i="190"/>
  <c r="W39" i="190"/>
  <c r="W46" i="190"/>
  <c r="W49" i="190"/>
  <c r="W347" i="190"/>
  <c r="W348" i="190"/>
  <c r="W50" i="190"/>
  <c r="W30" i="190"/>
  <c r="W40" i="190"/>
  <c r="W10" i="190"/>
  <c r="W12" i="190"/>
  <c r="W38" i="190"/>
  <c r="Y38" i="190" l="1"/>
  <c r="Y45" i="190"/>
  <c r="Y59" i="190"/>
  <c r="Y10" i="190"/>
  <c r="Y40" i="190"/>
  <c r="Y30" i="190"/>
  <c r="Y347" i="190"/>
  <c r="Y12" i="190"/>
  <c r="Y49" i="190"/>
  <c r="Y46" i="190"/>
  <c r="Y60" i="190"/>
  <c r="Y50" i="190"/>
  <c r="Y348" i="190"/>
  <c r="Y39" i="190"/>
  <c r="AQ12" i="190"/>
  <c r="AR12" i="190" s="1"/>
  <c r="G28" i="166" s="1"/>
  <c r="AO12" i="190"/>
  <c r="AP12" i="190" s="1"/>
  <c r="AQ11" i="190"/>
  <c r="AR11" i="190" s="1"/>
  <c r="G24" i="166" s="1"/>
  <c r="AO11" i="190"/>
  <c r="AO38" i="190"/>
  <c r="AP38" i="190" s="1"/>
  <c r="AQ38" i="190"/>
  <c r="AR38" i="190" s="1"/>
  <c r="AO10" i="190"/>
  <c r="AP10" i="190" s="1"/>
  <c r="D29" i="166" s="1"/>
  <c r="AQ10" i="190"/>
  <c r="AR10" i="190" s="1"/>
  <c r="AO40" i="190"/>
  <c r="AP40" i="190" s="1"/>
  <c r="D50" i="166" s="1"/>
  <c r="AQ40" i="190"/>
  <c r="AR40" i="190" s="1"/>
  <c r="AO30" i="190"/>
  <c r="AQ30" i="190"/>
  <c r="AO50" i="190"/>
  <c r="AP50" i="190" s="1"/>
  <c r="AQ50" i="190"/>
  <c r="AR50" i="190" s="1"/>
  <c r="AQ347" i="190"/>
  <c r="AR347" i="190" s="1"/>
  <c r="AO347" i="190"/>
  <c r="AP347" i="190" s="1"/>
  <c r="AO49" i="190"/>
  <c r="AP49" i="190" s="1"/>
  <c r="AQ49" i="190"/>
  <c r="AR49" i="190" s="1"/>
  <c r="AQ46" i="190"/>
  <c r="AR46" i="190" s="1"/>
  <c r="AO46" i="190"/>
  <c r="AP46" i="190" s="1"/>
  <c r="AO39" i="190"/>
  <c r="AP39" i="190" s="1"/>
  <c r="AQ39" i="190"/>
  <c r="AR39" i="190" s="1"/>
  <c r="AO59" i="190"/>
  <c r="AP59" i="190" s="1"/>
  <c r="AQ59" i="190"/>
  <c r="AR59" i="190" s="1"/>
  <c r="AO60" i="190"/>
  <c r="AP60" i="190" s="1"/>
  <c r="AQ60" i="190"/>
  <c r="AR60" i="190" s="1"/>
  <c r="AQ45" i="190"/>
  <c r="AR45" i="190" s="1"/>
  <c r="AO45" i="190"/>
  <c r="AP45" i="190" s="1"/>
  <c r="AO348" i="190"/>
  <c r="AP348" i="190" s="1"/>
  <c r="AQ348" i="190"/>
  <c r="AR348" i="190" s="1"/>
  <c r="G49" i="166"/>
  <c r="E49" i="166"/>
  <c r="D49" i="166"/>
  <c r="B49" i="166"/>
  <c r="AR30" i="190" l="1"/>
  <c r="B38" i="166"/>
  <c r="B39" i="166" s="1"/>
  <c r="G42" i="166"/>
  <c r="E42" i="166"/>
  <c r="E28" i="166"/>
  <c r="I28" i="166" s="1"/>
  <c r="E24" i="166"/>
  <c r="F24" i="166" s="1"/>
  <c r="B29" i="166"/>
  <c r="H29" i="166" s="1"/>
  <c r="AP11" i="190"/>
  <c r="D24" i="166" s="1"/>
  <c r="B24" i="166"/>
  <c r="AP30" i="190"/>
  <c r="B50" i="166"/>
  <c r="C50" i="166" s="1"/>
  <c r="G55" i="166"/>
  <c r="G63" i="166" s="1"/>
  <c r="E55" i="166"/>
  <c r="D55" i="166"/>
  <c r="D63" i="166" s="1"/>
  <c r="B55" i="166"/>
  <c r="B63" i="166" s="1"/>
  <c r="C49" i="166"/>
  <c r="H49" i="166"/>
  <c r="F49" i="166"/>
  <c r="I49" i="166"/>
  <c r="D44" i="166"/>
  <c r="B44" i="166"/>
  <c r="G44" i="166"/>
  <c r="E44" i="166"/>
  <c r="D42" i="166"/>
  <c r="B42" i="166"/>
  <c r="B28" i="166"/>
  <c r="D28" i="166"/>
  <c r="E38" i="166"/>
  <c r="G45" i="166"/>
  <c r="E45" i="166"/>
  <c r="D45" i="166"/>
  <c r="B45" i="166"/>
  <c r="G29" i="166"/>
  <c r="G30" i="166" s="1"/>
  <c r="E29" i="166"/>
  <c r="G50" i="166"/>
  <c r="E50" i="166"/>
  <c r="H38" i="166" l="1"/>
  <c r="H39" i="166" s="1"/>
  <c r="D38" i="166"/>
  <c r="C38" i="166" s="1"/>
  <c r="C39" i="166" s="1"/>
  <c r="F42" i="166"/>
  <c r="I42" i="166"/>
  <c r="C29" i="166"/>
  <c r="F28" i="166"/>
  <c r="E30" i="166"/>
  <c r="I24" i="166"/>
  <c r="H50" i="166"/>
  <c r="B30" i="166"/>
  <c r="H46" i="166"/>
  <c r="C46" i="166"/>
  <c r="H55" i="166"/>
  <c r="H63" i="166" s="1"/>
  <c r="W73" i="190"/>
  <c r="C55" i="166"/>
  <c r="C63" i="166" s="1"/>
  <c r="I55" i="166"/>
  <c r="I63" i="166" s="1"/>
  <c r="F55" i="166"/>
  <c r="F63" i="166" s="1"/>
  <c r="E63" i="166"/>
  <c r="D30" i="166"/>
  <c r="I44" i="166"/>
  <c r="F44" i="166"/>
  <c r="H44" i="166"/>
  <c r="C44" i="166"/>
  <c r="H42" i="166"/>
  <c r="C42" i="166"/>
  <c r="H45" i="166"/>
  <c r="C45" i="166"/>
  <c r="I45" i="166"/>
  <c r="F45" i="166"/>
  <c r="W51" i="190"/>
  <c r="G38" i="166"/>
  <c r="F38" i="166" s="1"/>
  <c r="I38" i="166"/>
  <c r="I39" i="166" s="1"/>
  <c r="E39" i="166"/>
  <c r="C24" i="166"/>
  <c r="H24" i="166"/>
  <c r="I29" i="166"/>
  <c r="F29" i="166"/>
  <c r="H28" i="166"/>
  <c r="C28" i="166"/>
  <c r="I50" i="166"/>
  <c r="F50" i="166"/>
  <c r="D39" i="166" l="1"/>
  <c r="Y51" i="190"/>
  <c r="Y73" i="190"/>
  <c r="F30" i="166"/>
  <c r="I30" i="166"/>
  <c r="AQ73" i="190"/>
  <c r="AR73" i="190" s="1"/>
  <c r="AO73" i="190"/>
  <c r="AP73" i="190" s="1"/>
  <c r="AO51" i="190"/>
  <c r="AQ51" i="190"/>
  <c r="H30" i="166"/>
  <c r="F39" i="166"/>
  <c r="G39" i="166"/>
  <c r="C30" i="166"/>
  <c r="W61" i="190"/>
  <c r="AR51" i="190" l="1"/>
  <c r="Y61" i="190"/>
  <c r="AP51" i="190"/>
  <c r="AO61" i="190"/>
  <c r="AP61" i="190" s="1"/>
  <c r="AQ61" i="190"/>
  <c r="AR61" i="190" s="1"/>
  <c r="G43" i="166" s="1"/>
  <c r="B48" i="166"/>
  <c r="E48" i="166"/>
  <c r="I48" i="166" s="1"/>
  <c r="E43" i="166"/>
  <c r="I43" i="166" s="1"/>
  <c r="I51" i="166" l="1"/>
  <c r="G48" i="166"/>
  <c r="G51" i="166" s="1"/>
  <c r="D48" i="166"/>
  <c r="C48" i="166" s="1"/>
  <c r="H48" i="166"/>
  <c r="E51" i="166"/>
  <c r="F43" i="166"/>
  <c r="B43" i="166"/>
  <c r="B51" i="166" s="1"/>
  <c r="D43" i="166"/>
  <c r="D51" i="166" s="1"/>
  <c r="F48" i="166" l="1"/>
  <c r="F51" i="166" s="1"/>
  <c r="H43" i="166"/>
  <c r="H51" i="166" s="1"/>
  <c r="C43" i="166"/>
  <c r="C51" i="166" s="1"/>
  <c r="R299" i="190" l="1"/>
  <c r="X299" i="190" s="1"/>
  <c r="R310" i="190"/>
  <c r="R304" i="190"/>
  <c r="X304" i="190" s="1"/>
  <c r="R297" i="190"/>
  <c r="X297" i="190" s="1"/>
  <c r="R319" i="190"/>
  <c r="R296" i="190"/>
  <c r="X296" i="190" s="1"/>
  <c r="R302" i="190"/>
  <c r="X302" i="190" s="1"/>
  <c r="R309" i="190"/>
  <c r="X309" i="190" s="1"/>
  <c r="R312" i="190"/>
  <c r="R314" i="190"/>
  <c r="W314" i="190" s="1"/>
  <c r="R293" i="190"/>
  <c r="X293" i="190" s="1"/>
  <c r="R290" i="190"/>
  <c r="X290" i="190" s="1"/>
  <c r="R291" i="190"/>
  <c r="W291" i="190" s="1"/>
  <c r="R295" i="190"/>
  <c r="X295" i="190" s="1"/>
  <c r="R315" i="190"/>
  <c r="W315" i="190" s="1"/>
  <c r="R300" i="190"/>
  <c r="R298" i="190"/>
  <c r="X298" i="190" s="1"/>
  <c r="R301" i="190"/>
  <c r="W301" i="190" s="1"/>
  <c r="R317" i="190"/>
  <c r="R313" i="190"/>
  <c r="W313" i="190" s="1"/>
  <c r="R318" i="190"/>
  <c r="W318" i="190" s="1"/>
  <c r="R307" i="190"/>
  <c r="W307" i="190" s="1"/>
  <c r="R316" i="190"/>
  <c r="W316" i="190" s="1"/>
  <c r="R292" i="190"/>
  <c r="X292" i="190" s="1"/>
  <c r="R306" i="190"/>
  <c r="W306" i="190" s="1"/>
  <c r="R305" i="190"/>
  <c r="R308" i="190"/>
  <c r="R294" i="190"/>
  <c r="X294" i="190" s="1"/>
  <c r="R303" i="190"/>
  <c r="W303" i="190" s="1"/>
  <c r="R311" i="190"/>
  <c r="X311" i="190" s="1"/>
  <c r="Y307" i="190" l="1"/>
  <c r="AQ314" i="190"/>
  <c r="AR314" i="190" s="1"/>
  <c r="Y318" i="190"/>
  <c r="W292" i="190"/>
  <c r="X308" i="190"/>
  <c r="W308" i="190"/>
  <c r="AO308" i="190" s="1"/>
  <c r="AP308" i="190" s="1"/>
  <c r="X318" i="190"/>
  <c r="X312" i="190"/>
  <c r="W298" i="190"/>
  <c r="X314" i="190"/>
  <c r="W300" i="190"/>
  <c r="X310" i="190"/>
  <c r="W305" i="190"/>
  <c r="X315" i="190"/>
  <c r="X305" i="190"/>
  <c r="X306" i="190"/>
  <c r="W295" i="190"/>
  <c r="W310" i="190"/>
  <c r="W299" i="190"/>
  <c r="W296" i="190"/>
  <c r="W317" i="190"/>
  <c r="W294" i="190"/>
  <c r="W293" i="190"/>
  <c r="W319" i="190"/>
  <c r="AO315" i="190"/>
  <c r="AP315" i="190" s="1"/>
  <c r="AQ315" i="190"/>
  <c r="AR315" i="190" s="1"/>
  <c r="Y315" i="190"/>
  <c r="AQ291" i="190"/>
  <c r="AR291" i="190" s="1"/>
  <c r="Y291" i="190"/>
  <c r="AO291" i="190"/>
  <c r="AP291" i="190" s="1"/>
  <c r="AO316" i="190"/>
  <c r="AP316" i="190" s="1"/>
  <c r="Y316" i="190"/>
  <c r="AQ316" i="190"/>
  <c r="AR316" i="190" s="1"/>
  <c r="AO307" i="190"/>
  <c r="AP307" i="190" s="1"/>
  <c r="AQ307" i="190"/>
  <c r="AR307" i="190" s="1"/>
  <c r="Y301" i="190"/>
  <c r="AQ301" i="190"/>
  <c r="AR301" i="190" s="1"/>
  <c r="AO301" i="190"/>
  <c r="AP301" i="190" s="1"/>
  <c r="X291" i="190"/>
  <c r="W309" i="190"/>
  <c r="W304" i="190"/>
  <c r="AQ318" i="190"/>
  <c r="AR318" i="190" s="1"/>
  <c r="AO318" i="190"/>
  <c r="AP318" i="190" s="1"/>
  <c r="AQ303" i="190"/>
  <c r="AR303" i="190" s="1"/>
  <c r="AO303" i="190"/>
  <c r="AP303" i="190" s="1"/>
  <c r="Y303" i="190"/>
  <c r="AQ306" i="190"/>
  <c r="AR306" i="190" s="1"/>
  <c r="AO306" i="190"/>
  <c r="AP306" i="190" s="1"/>
  <c r="Y306" i="190"/>
  <c r="AO313" i="190"/>
  <c r="AP313" i="190" s="1"/>
  <c r="Y313" i="190"/>
  <c r="AQ313" i="190"/>
  <c r="AR313" i="190" s="1"/>
  <c r="W297" i="190"/>
  <c r="X313" i="190"/>
  <c r="AO314" i="190"/>
  <c r="AP314" i="190" s="1"/>
  <c r="Y314" i="190"/>
  <c r="X303" i="190"/>
  <c r="X307" i="190"/>
  <c r="W312" i="190"/>
  <c r="X316" i="190"/>
  <c r="X301" i="190"/>
  <c r="W311" i="190"/>
  <c r="W302" i="190"/>
  <c r="X317" i="190"/>
  <c r="X300" i="190"/>
  <c r="X319" i="190"/>
  <c r="W290" i="190"/>
  <c r="AO293" i="190" l="1"/>
  <c r="AP293" i="190" s="1"/>
  <c r="AQ308" i="190"/>
  <c r="AR308" i="190" s="1"/>
  <c r="Y310" i="190"/>
  <c r="Y298" i="190"/>
  <c r="AO305" i="190"/>
  <c r="AP305" i="190" s="1"/>
  <c r="AO294" i="190"/>
  <c r="AP294" i="190" s="1"/>
  <c r="AQ317" i="190"/>
  <c r="AR317" i="190" s="1"/>
  <c r="AO296" i="190"/>
  <c r="AP296" i="190" s="1"/>
  <c r="AQ300" i="190"/>
  <c r="AR300" i="190" s="1"/>
  <c r="Y292" i="190"/>
  <c r="Y299" i="190"/>
  <c r="AO298" i="190"/>
  <c r="AP298" i="190" s="1"/>
  <c r="AQ296" i="190"/>
  <c r="AR296" i="190" s="1"/>
  <c r="AO292" i="190"/>
  <c r="AP292" i="190" s="1"/>
  <c r="AQ292" i="190"/>
  <c r="AR292" i="190" s="1"/>
  <c r="Y296" i="190"/>
  <c r="AQ294" i="190"/>
  <c r="AR294" i="190" s="1"/>
  <c r="Y294" i="190"/>
  <c r="Y300" i="190"/>
  <c r="AO300" i="190"/>
  <c r="AP300" i="190" s="1"/>
  <c r="AO319" i="190"/>
  <c r="AP319" i="190" s="1"/>
  <c r="Y319" i="190"/>
  <c r="AQ295" i="190"/>
  <c r="AR295" i="190" s="1"/>
  <c r="Y295" i="190"/>
  <c r="AQ310" i="190"/>
  <c r="AR310" i="190" s="1"/>
  <c r="AO310" i="190"/>
  <c r="AP310" i="190" s="1"/>
  <c r="AO317" i="190"/>
  <c r="AP317" i="190" s="1"/>
  <c r="Y308" i="190"/>
  <c r="AQ299" i="190"/>
  <c r="AR299" i="190" s="1"/>
  <c r="Y317" i="190"/>
  <c r="AO295" i="190"/>
  <c r="AP295" i="190" s="1"/>
  <c r="AO299" i="190"/>
  <c r="AP299" i="190" s="1"/>
  <c r="Y305" i="190"/>
  <c r="AQ305" i="190"/>
  <c r="AR305" i="190" s="1"/>
  <c r="AQ319" i="190"/>
  <c r="AR319" i="190" s="1"/>
  <c r="Y293" i="190"/>
  <c r="AQ293" i="190"/>
  <c r="AR293" i="190" s="1"/>
  <c r="AQ298" i="190"/>
  <c r="AR298" i="190" s="1"/>
  <c r="AQ302" i="190"/>
  <c r="AR302" i="190" s="1"/>
  <c r="Y302" i="190"/>
  <c r="AO302" i="190"/>
  <c r="AP302" i="190" s="1"/>
  <c r="AQ311" i="190"/>
  <c r="AR311" i="190" s="1"/>
  <c r="Y311" i="190"/>
  <c r="AO311" i="190"/>
  <c r="AP311" i="190" s="1"/>
  <c r="Y297" i="190"/>
  <c r="AO297" i="190"/>
  <c r="AP297" i="190" s="1"/>
  <c r="AQ297" i="190"/>
  <c r="AR297" i="190" s="1"/>
  <c r="AQ290" i="190"/>
  <c r="Y290" i="190"/>
  <c r="AO290" i="190"/>
  <c r="Y304" i="190"/>
  <c r="AQ304" i="190"/>
  <c r="AR304" i="190" s="1"/>
  <c r="AO304" i="190"/>
  <c r="AP304" i="190" s="1"/>
  <c r="AO312" i="190"/>
  <c r="AP312" i="190" s="1"/>
  <c r="AQ312" i="190"/>
  <c r="AR312" i="190" s="1"/>
  <c r="Y312" i="190"/>
  <c r="AQ309" i="190"/>
  <c r="AR309" i="190" s="1"/>
  <c r="AO309" i="190"/>
  <c r="AP309" i="190" s="1"/>
  <c r="Y309" i="190"/>
  <c r="AP290" i="190" l="1"/>
  <c r="B65" i="166"/>
  <c r="AR290" i="190"/>
  <c r="E65" i="166"/>
  <c r="I65" i="166" l="1"/>
  <c r="I73" i="166" s="1"/>
  <c r="E73" i="166"/>
  <c r="G65" i="166"/>
  <c r="G73" i="166" s="1"/>
  <c r="B73" i="166"/>
  <c r="H65" i="166"/>
  <c r="H73" i="166" s="1"/>
  <c r="D65" i="166"/>
  <c r="D73" i="166" s="1"/>
  <c r="C65" i="166" l="1"/>
  <c r="C73" i="166" s="1"/>
  <c r="F65" i="166"/>
  <c r="F73" i="166" s="1"/>
  <c r="X35" i="190"/>
  <c r="W35" i="190"/>
  <c r="Y35" i="190" l="1"/>
  <c r="AO35" i="190"/>
  <c r="AQ35" i="190"/>
  <c r="AP35" i="190" l="1"/>
  <c r="B109" i="166"/>
  <c r="AR35" i="190"/>
  <c r="E109" i="166"/>
  <c r="H109" i="166" l="1"/>
  <c r="H112" i="166" s="1"/>
  <c r="H117" i="166" s="1"/>
  <c r="B112" i="166"/>
  <c r="B117" i="166" s="1"/>
  <c r="D109" i="166"/>
  <c r="D112" i="166" s="1"/>
  <c r="D117" i="166" s="1"/>
  <c r="I109" i="166"/>
  <c r="I112" i="166" s="1"/>
  <c r="I117" i="166" s="1"/>
  <c r="I121" i="166" s="1"/>
  <c r="E112" i="166"/>
  <c r="E117" i="166" s="1"/>
  <c r="G109" i="166"/>
  <c r="G112" i="166" s="1"/>
  <c r="G117" i="166" s="1"/>
  <c r="D19" i="166" l="1"/>
  <c r="D121" i="166"/>
  <c r="B19" i="166"/>
  <c r="B121" i="166"/>
  <c r="H19" i="166"/>
  <c r="H121" i="166" s="1"/>
  <c r="C109" i="166"/>
  <c r="C112" i="166" s="1"/>
  <c r="C117" i="166" s="1"/>
  <c r="G19" i="166"/>
  <c r="G121" i="166"/>
  <c r="E121" i="166"/>
  <c r="E19" i="166"/>
  <c r="I19" i="166"/>
  <c r="F109" i="166"/>
  <c r="F112" i="166" s="1"/>
  <c r="F117" i="166" s="1"/>
  <c r="C121" i="166" l="1"/>
  <c r="C19" i="166"/>
  <c r="F121" i="166"/>
  <c r="F19" i="1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tc={CFAFECFE-43B4-4598-BCFD-12D49A32377A}</author>
    <author>Coffey,Kayla (HHSC)</author>
    <author>tc={7C30BD56-3440-453A-BB14-CB1FBB200AE3}</author>
    <author>tc={43CABA73-A619-4DC8-9FFF-1E03D92AE36A}</author>
  </authors>
  <commentList>
    <comment ref="T24" authorId="0" shapeId="0" xr:uid="{CFAFECFE-43B4-4598-BCFD-12D49A32377A}">
      <text>
        <t>[Threaded comment]
Your version of Excel allows you to read this threaded comment; however, any edits to it will get removed if the file is opened in a newer version of Excel. Learn more: https://go.microsoft.com/fwlink/?linkid=870924
Comment:
    DBMD Assisted Living assumes same ratio as RC/AL.</t>
      </text>
    </comment>
    <comment ref="R37" authorId="1" shapeId="0" xr:uid="{AE72AD12-4891-4B5F-8356-B038B316F3BB}">
      <text>
        <r>
          <rPr>
            <b/>
            <sz val="9"/>
            <color indexed="81"/>
            <rFont val="Tahoma"/>
            <family val="2"/>
          </rPr>
          <t>Coffey,Kayla (HHSC):</t>
        </r>
        <r>
          <rPr>
            <sz val="9"/>
            <color indexed="81"/>
            <rFont val="Tahoma"/>
            <family val="2"/>
          </rPr>
          <t xml:space="preserve">
HCBS AMH SHL rate is comparable to HCS SHL rate under PAS/HAB. Att cost amount is estimated based on same proportion as HCS rate.</t>
        </r>
      </text>
    </comment>
    <comment ref="T84" authorId="2" shapeId="0" xr:uid="{7C30BD56-3440-453A-BB14-CB1FBB200AE3}">
      <text>
        <t>[Threaded comment]
Your version of Excel allows you to read this threaded comment; however, any edits to it will get removed if the file is opened in a newer version of Excel. Learn more: https://go.microsoft.com/fwlink/?linkid=870924
Comment:
    Reverted back to prior UOS assumption</t>
      </text>
    </comment>
    <comment ref="T129" authorId="3" shapeId="0" xr:uid="{43CABA73-A619-4DC8-9FFF-1E03D92AE36A}">
      <text>
        <t>[Threaded comment]
Your version of Excel allows you to read this threaded comment; however, any edits to it will get removed if the file is opened in a newer version of Excel. Learn more: https://go.microsoft.com/fwlink/?linkid=870924
Comment:
    Reverted back to prior assumption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<sst xmlns="http://schemas.openxmlformats.org/spreadsheetml/2006/main" count="4212" uniqueCount="1031">
  <si>
    <t>Updated on 2/7/2025</t>
  </si>
  <si>
    <t>Texas Health and Human Services Commission</t>
  </si>
  <si>
    <t>Provider Finance Department</t>
  </si>
  <si>
    <t>PERSONAL ATTENDANT BASE WAGE FISCAL ESTIMATE CALCULATOR</t>
  </si>
  <si>
    <t>2026-2027 BIENNIUM</t>
  </si>
  <si>
    <t>Target Hourly Wage</t>
  </si>
  <si>
    <t>Change the value in the highlighted cell to the left to see how service rates at a particular target wage affect fiscal outcomes.</t>
  </si>
  <si>
    <t>Target Payroll Taxes and Benefits Percentage for All Community Care Attendants</t>
  </si>
  <si>
    <t>Target Payroll Taxes and Benefits Percentage for All Facility Based Attendants</t>
  </si>
  <si>
    <t>3-3-3-3</t>
  </si>
  <si>
    <t>(!) Table below will show Fiscal Impact based on the selected Target Hourly Wage set above.
A change in the total estimated fiscal impact depends on which services are impacted.</t>
  </si>
  <si>
    <t>Notes:</t>
  </si>
  <si>
    <t>* Intervener services under DBMD are excluded from the fiscal impact because the services are not listed within Title 1 of the Texas Administrative Code §355.7051, Base Wage for a Personal Attendant.  The Intervener services are provided by interpreters and not personal attendants.</t>
  </si>
  <si>
    <t>** ICF/IID is not considered a community attendant service. It is added to the bottom of this table for informational purposes and is not included in the Total Community Attendant Fiscal Impact.  A total fiscal impact that includes the community attendant and ICF/IID fiscal estimate is provided at the bottom of the this document.</t>
  </si>
  <si>
    <t>Service Category</t>
  </si>
  <si>
    <t>SFY 2026</t>
  </si>
  <si>
    <t>SFY 2027</t>
  </si>
  <si>
    <t>Estimated Attendant Hours</t>
  </si>
  <si>
    <t>AF</t>
  </si>
  <si>
    <t>FF</t>
  </si>
  <si>
    <t>GR</t>
  </si>
  <si>
    <t>COMMUNITY ATTENDANT TOTAL FISCAL IMPACT</t>
  </si>
  <si>
    <t>Fiscal Impact breakdown by Program and Service Category is below as follows:</t>
  </si>
  <si>
    <t>Community Living Assistance &amp; Support Services Waiver (CLASS)</t>
  </si>
  <si>
    <t>Employment Assistance and Supported Employment</t>
  </si>
  <si>
    <t>Habilitation</t>
  </si>
  <si>
    <t>In Home Respite</t>
  </si>
  <si>
    <t>PAS/HAB (CFC)</t>
  </si>
  <si>
    <t>CDS Employment Assistance and Supported Employment</t>
  </si>
  <si>
    <t>CDS Habilitation</t>
  </si>
  <si>
    <t>CDS In Home Respite</t>
  </si>
  <si>
    <t>CDS PAS/HAB (CFC)</t>
  </si>
  <si>
    <t>CLASS Subtotal</t>
  </si>
  <si>
    <t>Deaf-blind Multiple Disabilities Waiver (DBMD) *</t>
  </si>
  <si>
    <t>Assisted Living</t>
  </si>
  <si>
    <t>Chore Services</t>
  </si>
  <si>
    <t>Individualized Skills and Socialization - On-Site and Off-Site</t>
  </si>
  <si>
    <t>PAS/HAB (CFC) and Transportation</t>
  </si>
  <si>
    <t>CDS PAS/HAB (CFC) and Transportation</t>
  </si>
  <si>
    <t>DBMD Subtotal</t>
  </si>
  <si>
    <t>Home and Community-Based Services Waiver (HCS)</t>
  </si>
  <si>
    <t>Individualized Skills and Socialization</t>
  </si>
  <si>
    <t>Out-of-Home Respite</t>
  </si>
  <si>
    <t>Supervised Living and Residential Support Services</t>
  </si>
  <si>
    <t>CDS Out-of-Home Respite</t>
  </si>
  <si>
    <t>HCS Subtotal</t>
  </si>
  <si>
    <t>Texas Home Living Waiver (TxHmL)</t>
  </si>
  <si>
    <t>CDS Individualized Skills and Socialization</t>
  </si>
  <si>
    <t>TxHmL Subtotal</t>
  </si>
  <si>
    <t>STAR+PLUS Home and Community-based Services (HCBS)</t>
  </si>
  <si>
    <t>Assisted Living Services</t>
  </si>
  <si>
    <t>Habilitation (CFC)</t>
  </si>
  <si>
    <t>PAS/HAB (CFC and Non-CFC)</t>
  </si>
  <si>
    <t>CDS Habilitation (CFC)</t>
  </si>
  <si>
    <t>CDS PAS/HAB (CFC and Non-CFC)</t>
  </si>
  <si>
    <t>STAR+PLUS HCBS Subtotal</t>
  </si>
  <si>
    <t>STAR+PLUS Non-HCBS (State Plan)</t>
  </si>
  <si>
    <t>Day Activity and Health Services (DAHS)</t>
  </si>
  <si>
    <t>STAR+PLUS Non-HCBS Subtotal</t>
  </si>
  <si>
    <t>STAR Kids - Medically Dependent Children's Program (MDCP)</t>
  </si>
  <si>
    <t>CFC Habilitation and Attendant Care</t>
  </si>
  <si>
    <t>In Home Respite and Flexible Family Support</t>
  </si>
  <si>
    <t>PCS (CFC and Non-CFC)</t>
  </si>
  <si>
    <t>CDS CFC Habilitation and Attendant Care</t>
  </si>
  <si>
    <t>CDS In Home Respite and Flexible Family Support</t>
  </si>
  <si>
    <t>CDS PCS (CFC and Non-CFC)</t>
  </si>
  <si>
    <t>STAR Kids MDCP Subtotal</t>
  </si>
  <si>
    <t>STAR Health - MDCP</t>
  </si>
  <si>
    <t>STAR Health MDCP Subtotal</t>
  </si>
  <si>
    <t>STAR Kids (Non-MDCP)</t>
  </si>
  <si>
    <t>Community Attendant Services (CAS) / Family Care (FC) / Primary Home Care (PHC) / PCS Fee-For-Service (PCS FFS)</t>
  </si>
  <si>
    <t>CAS/FC/PAS/PHC NON-PRIORITY</t>
  </si>
  <si>
    <t>CAS/FC/PAS/PHC PRIORITY</t>
  </si>
  <si>
    <t>13-1-80</t>
  </si>
  <si>
    <t>CDS CAS/FC/PAS/PHC NON-PRIORITY</t>
  </si>
  <si>
    <t>CDS CAS/FC/PAS/PHC PRIORITY</t>
  </si>
  <si>
    <t>13-5-117</t>
  </si>
  <si>
    <t>CAS/FC/PHC/PCS (FFS) Subtotal</t>
  </si>
  <si>
    <t>HCBS Adult Mental Health (HCBS AMH)</t>
  </si>
  <si>
    <t>14-1-3</t>
  </si>
  <si>
    <t>Supervised Living Services</t>
  </si>
  <si>
    <t>14-1-97</t>
  </si>
  <si>
    <t>Supported Home Living (SHL)</t>
  </si>
  <si>
    <t>14-1-98</t>
  </si>
  <si>
    <t>HCBS-AMH Subtotal</t>
  </si>
  <si>
    <t>Title XX Programs</t>
  </si>
  <si>
    <t>10-1-18</t>
  </si>
  <si>
    <t>Residential Care (RC)</t>
  </si>
  <si>
    <t>10-1-88</t>
  </si>
  <si>
    <t>Title XX Programs Subtotal</t>
  </si>
  <si>
    <t>COMMUNITY ATTEDANT TOTAL</t>
  </si>
  <si>
    <t>Intermediate Care Facilities for Individuals with an Intellectual Disability or Related Conditions (ICF/IID) **</t>
  </si>
  <si>
    <t>11-1-57</t>
  </si>
  <si>
    <t>COMMUNITY ATTENDANT AND ICF/IID TOTAL</t>
  </si>
  <si>
    <t>Additional notes:</t>
  </si>
  <si>
    <t xml:space="preserve">This model assumes the following: </t>
  </si>
  <si>
    <t xml:space="preserve">  - Federal Medical Assistance Percentage (FMAP): for SFY 2026, the state share is 40.58% and the federal share is 59.42%; for SFY 2027, the state share is 40.63% and the federal share is 59.37%.</t>
  </si>
  <si>
    <t xml:space="preserve">  - Utilization data from SFY 2023 serves as the base period. This data was projected forward to SFY 2026 and SFY 2027 using the most recent available trends.</t>
  </si>
  <si>
    <t xml:space="preserve">  - The trends used for the billing data are Legislative Appropriations Request (LAR) trends provided by HHSC Forecasting department.</t>
  </si>
  <si>
    <t>Formulas</t>
  </si>
  <si>
    <t>0 or -0.06</t>
  </si>
  <si>
    <t>FMAP AS OF April 2024 (no change to account for updated FMAP in Dec 24)</t>
  </si>
  <si>
    <t>2024 Bill Code Combo</t>
  </si>
  <si>
    <t>Bill Code Combo or SK with Trend</t>
  </si>
  <si>
    <t>Attendant Service?</t>
  </si>
  <si>
    <t>Facility Based</t>
  </si>
  <si>
    <t>Program Name</t>
  </si>
  <si>
    <t>RT Service Description</t>
  </si>
  <si>
    <t>Bill Matrix Service Description</t>
  </si>
  <si>
    <t>CDS</t>
  </si>
  <si>
    <t>Rolled Up Section /Sort/ RT Descripton ID</t>
  </si>
  <si>
    <t>Funding Authority</t>
  </si>
  <si>
    <t>Unit Measure</t>
  </si>
  <si>
    <t>Units</t>
  </si>
  <si>
    <t>Adjusted Units (CDS and ISS services)</t>
  </si>
  <si>
    <t>Payment</t>
  </si>
  <si>
    <t>Current Rate Effective Date</t>
  </si>
  <si>
    <t>Current Rate</t>
  </si>
  <si>
    <t>Current Attendant Cost</t>
  </si>
  <si>
    <t>Attendant Cost %</t>
  </si>
  <si>
    <t>Adjusted Attendant Hours Per Unit of Service</t>
  </si>
  <si>
    <t>Methodological Attendant Cost Per 15 Min Increment</t>
  </si>
  <si>
    <t>Methodological Attendant Cost Per Unit of Service</t>
  </si>
  <si>
    <t>Estimated Fiscal Impact Per Unit of Services</t>
  </si>
  <si>
    <t>Wages Required for Fiscal Impact</t>
  </si>
  <si>
    <t>Rate after Increased Wages and PTB</t>
  </si>
  <si>
    <t>Factor for conversion to 15 Min increments</t>
  </si>
  <si>
    <t xml:space="preserve">Attendant hours per 15 Min Unit of Service </t>
  </si>
  <si>
    <t>BE Methodological Rate ID</t>
  </si>
  <si>
    <t xml:space="preserve">CFC </t>
  </si>
  <si>
    <t>Name of Trend</t>
  </si>
  <si>
    <t>MCO Gross up 
(1 / (1-0.0875)) or FFS 1.0</t>
  </si>
  <si>
    <t>CFC Reduction for FMAP</t>
  </si>
  <si>
    <t>Base Year Trended to 2024</t>
  </si>
  <si>
    <t>Base Year Trended to 2025</t>
  </si>
  <si>
    <t>Base Year Trended to 2026</t>
  </si>
  <si>
    <t>Base Year Trended to 2027</t>
  </si>
  <si>
    <t>Base Year Trended to 2028</t>
  </si>
  <si>
    <t>Title XX</t>
  </si>
  <si>
    <t>SFY 26 Est Att Hours</t>
  </si>
  <si>
    <t>SFY 27 Est Att Hours</t>
  </si>
  <si>
    <t>AF Estimated 2026 Cost</t>
  </si>
  <si>
    <t>GR Estimated 2026 Cost</t>
  </si>
  <si>
    <t>AF Estimated 2027 Cost</t>
  </si>
  <si>
    <t>GR Estimated 2027 Cost</t>
  </si>
  <si>
    <t>Regular</t>
  </si>
  <si>
    <t>717DG0742</t>
  </si>
  <si>
    <t>Yes</t>
  </si>
  <si>
    <t>No</t>
  </si>
  <si>
    <t>CAS</t>
  </si>
  <si>
    <t>CAS/FC/PHC PAS</t>
  </si>
  <si>
    <t>PAS COMMUNITY ATTENDANT SERVICES (1929B) LVL 2 (PRIORITY) (AO)</t>
  </si>
  <si>
    <t>717DG0743</t>
  </si>
  <si>
    <t>PAS COMMUNITY ATTENDANT SERVICES (1929B) LVL 1 (NON-PRIORITY) (AO)</t>
  </si>
  <si>
    <t>717DVG0748</t>
  </si>
  <si>
    <t>COMMUNITY ATTENDANT SERVICES (1929B) LEVEL 2 (PRIORITY) (CDS)</t>
  </si>
  <si>
    <t>717DVG0749</t>
  </si>
  <si>
    <t>COMMUNITY ATTENDANT SERVICES (1929B) LEVEL 1 (NON-PRIORITY) (CDS)</t>
  </si>
  <si>
    <t>717DVG0750</t>
  </si>
  <si>
    <t>PAS COMMUNITY ATTENDANT SERVICES (CDS)</t>
  </si>
  <si>
    <t>210BS0107</t>
  </si>
  <si>
    <t>CLASS</t>
  </si>
  <si>
    <t>PAS/HAB</t>
  </si>
  <si>
    <t>HABILITATION PREVOCATIONAL</t>
  </si>
  <si>
    <t>210CFCG1108</t>
  </si>
  <si>
    <t>CFC PAS/HAB</t>
  </si>
  <si>
    <t>CFC</t>
  </si>
  <si>
    <t>210CFVG1109</t>
  </si>
  <si>
    <t>CFC PAS/HAB (CDS)</t>
  </si>
  <si>
    <t>211G0100</t>
  </si>
  <si>
    <t>RESPITE-IN HOME RESPITE-DSA</t>
  </si>
  <si>
    <t>211PVG0197</t>
  </si>
  <si>
    <t>RESPITE IN-HOME (CDS)</t>
  </si>
  <si>
    <t>237H2025</t>
  </si>
  <si>
    <t>Employment Services</t>
  </si>
  <si>
    <t>CLASS SUPPORTED EMPLOYMENT (AO)</t>
  </si>
  <si>
    <t>237VH2027</t>
  </si>
  <si>
    <t>CLASS (CDS) -SUPPORTED EMPLOYMENT</t>
  </si>
  <si>
    <t>248G0248</t>
  </si>
  <si>
    <t>HAB TRANSPORTATION</t>
  </si>
  <si>
    <t>248VG0249</t>
  </si>
  <si>
    <t>HAB TRANSPORTATION (CDS)</t>
  </si>
  <si>
    <t>729AC0202</t>
  </si>
  <si>
    <t>DAHS</t>
  </si>
  <si>
    <t>DAY ACTIVITY/HEALTH SERVICES (DAHS) TITLE XX</t>
  </si>
  <si>
    <t>Title XX Flat</t>
  </si>
  <si>
    <t>729C0200</t>
  </si>
  <si>
    <t>DAY ACTIVITY AND HEALTH SERVICES (DAHS) TITLE XIX</t>
  </si>
  <si>
    <t>1610CFCG1108</t>
  </si>
  <si>
    <t>DBMD</t>
  </si>
  <si>
    <t>1610CFVG1109</t>
  </si>
  <si>
    <t>1611G0100</t>
  </si>
  <si>
    <t>Respite In Home</t>
  </si>
  <si>
    <t>1611PVG0197</t>
  </si>
  <si>
    <t>1617EG0744</t>
  </si>
  <si>
    <t>PAS CHORE</t>
  </si>
  <si>
    <t>1619EG0937</t>
  </si>
  <si>
    <t>DBMD Assisted Living</t>
  </si>
  <si>
    <t>ASSISTED LIVING HABILITATION 24 HR</t>
  </si>
  <si>
    <t>1619FG0938</t>
  </si>
  <si>
    <t>18 HOUR ASSISTED LIVING</t>
  </si>
  <si>
    <t>1619G0900</t>
  </si>
  <si>
    <t xml:space="preserve">ASSISTED LIVING APT (LEVEL 6) </t>
  </si>
  <si>
    <t>1623S0312</t>
  </si>
  <si>
    <t>ISS</t>
  </si>
  <si>
    <t>Individualized Skills and Socialization (ISS) On-Site</t>
  </si>
  <si>
    <t>1623S0313</t>
  </si>
  <si>
    <t>Individualized Skills and Socialization (ISS) Off-Site</t>
  </si>
  <si>
    <t>1648G0252</t>
  </si>
  <si>
    <t>HAB Transportation</t>
  </si>
  <si>
    <t>1648VG0253</t>
  </si>
  <si>
    <t>717CG0740</t>
  </si>
  <si>
    <t>FC</t>
  </si>
  <si>
    <t>PAS FAMILY CARE LVL 2 (PRIORITY) (AO)</t>
  </si>
  <si>
    <t>717CG0741</t>
  </si>
  <si>
    <t>PAS FAMILY CARE LVL 1 (NON-PRIORITY) (AO)</t>
  </si>
  <si>
    <t>717CVG0745</t>
  </si>
  <si>
    <t xml:space="preserve">PARTICIPANT PAS FAMILY CARE (CDS) LVL 2 (PRIORITY) </t>
  </si>
  <si>
    <t>717CVG0746</t>
  </si>
  <si>
    <t xml:space="preserve">PARTICIPANT PAS FAMILY CARE (CDS) LVL 1 (NON-PRIORITY) </t>
  </si>
  <si>
    <t>T2031HKHE</t>
  </si>
  <si>
    <t>HCBS-AMH</t>
  </si>
  <si>
    <t>1915(i) State Plan (Title XIX)</t>
  </si>
  <si>
    <t>1 day</t>
  </si>
  <si>
    <t>H2013HKHE</t>
  </si>
  <si>
    <t>SL/RSS</t>
  </si>
  <si>
    <t>1 day = 18 hours, excluding 6 hours for Day Hab</t>
  </si>
  <si>
    <t>S5130HKHE</t>
  </si>
  <si>
    <t>Supported Home Living</t>
  </si>
  <si>
    <t>15 minutes</t>
  </si>
  <si>
    <t>2110CFCM0354</t>
  </si>
  <si>
    <t>HCS</t>
  </si>
  <si>
    <t>CFC PAS/HAB LOC 1</t>
  </si>
  <si>
    <t>2110CFCM0366</t>
  </si>
  <si>
    <t>CFC PAS/HAB LOC 8</t>
  </si>
  <si>
    <t>2110CFVM0355</t>
  </si>
  <si>
    <t>CFC PAS/HAB (CDS) LOC 1</t>
  </si>
  <si>
    <t>2110CFVM0367</t>
  </si>
  <si>
    <t>CFC PAS/HAB (CDS) LOC 8</t>
  </si>
  <si>
    <t>2111XM0143</t>
  </si>
  <si>
    <t>HOURLY RESPITE LOC 1 IN-HOME</t>
  </si>
  <si>
    <t>2111XM0144</t>
  </si>
  <si>
    <t>HOURLY RESPITE LOC 8 IN-HOME</t>
  </si>
  <si>
    <t>2111XM0850</t>
  </si>
  <si>
    <t>Out of Home Respite</t>
  </si>
  <si>
    <t>HOURLY RESPITE LOC 1 IN A DH FACILITY</t>
  </si>
  <si>
    <t>2111XM0855</t>
  </si>
  <si>
    <t>HOURLY RESPITE LOC 1 WHERE SL OR RSS IS PROVIDED</t>
  </si>
  <si>
    <t>2111XM0860</t>
  </si>
  <si>
    <t>HOURLY RESPITE LOC 1 WHERE HH/CC IS PROVIDED</t>
  </si>
  <si>
    <t>2111XM0865</t>
  </si>
  <si>
    <t xml:space="preserve">HOURLY RESPITE LOC 1 IN A SETTING NOT LISTED </t>
  </si>
  <si>
    <t>2111XM0867</t>
  </si>
  <si>
    <t>HOURLY RESPITE LOC 1 IN A CAMP</t>
  </si>
  <si>
    <t>2111XM0869</t>
  </si>
  <si>
    <t>HOURLY RESPITE LOC 1 IN A RESPITE FACILITY</t>
  </si>
  <si>
    <t>2111XVM0145</t>
  </si>
  <si>
    <t>HOURLY RESPITE LOC 1 IN-HOME (CDS)</t>
  </si>
  <si>
    <t>2111XVM0146</t>
  </si>
  <si>
    <t>HOURLY RESPITE LOC 8 IN-HOME (CDS)</t>
  </si>
  <si>
    <t>2111XVM0873</t>
  </si>
  <si>
    <t>HOURLY RESPITE LOC 1 WHERE SL OR RSS IS PROVIDED (CDS)</t>
  </si>
  <si>
    <t>2111XVM0877</t>
  </si>
  <si>
    <t>HOURLY RESPITE LOC 1 IN A SETTING NOT LISTED (CDS)</t>
  </si>
  <si>
    <t>2111XVM1091</t>
  </si>
  <si>
    <t>HOURLY RESPITE LOC 1 IN-CAMP (CDS)</t>
  </si>
  <si>
    <t>2111XVM1092</t>
  </si>
  <si>
    <t>HOURLY RESPITE LOC 8 IN-CAMP (CDS)</t>
  </si>
  <si>
    <t>2123M0977</t>
  </si>
  <si>
    <t>Individualized Skills and Socialization (ISS) LON 1 On-Site</t>
  </si>
  <si>
    <t>3-1-45</t>
  </si>
  <si>
    <t>2123M0978</t>
  </si>
  <si>
    <t>Individualized Skills and Socialization (ISS) LON 1 Off-Site</t>
  </si>
  <si>
    <t>2123M0979</t>
  </si>
  <si>
    <t>Individualized Skills and Socialization (ISS) LON 1 Off-Site (Enhanced) LVL 1</t>
  </si>
  <si>
    <t>2123M0980</t>
  </si>
  <si>
    <t>Individualized Skills and Socialization (ISS) LON 1 In-Home EVV OHFH</t>
  </si>
  <si>
    <t>2123M0981</t>
  </si>
  <si>
    <t>Individualized Skills and Socialization (ISS) LON 5 On-Site</t>
  </si>
  <si>
    <t>2123M0982</t>
  </si>
  <si>
    <t>Individualized Skills and Socialization (ISS) LON 5 Off-Site</t>
  </si>
  <si>
    <t>2123M0983</t>
  </si>
  <si>
    <t>Individualized Skills and Socialization (ISS) LON 5 Off-Site (Enhanced) LVL 1</t>
  </si>
  <si>
    <t>2123M0984</t>
  </si>
  <si>
    <t>Individualized Skills and Socialization (ISS) LON 5 In-Home EVV OHFH</t>
  </si>
  <si>
    <t>2123M0985</t>
  </si>
  <si>
    <t>Individualized Skills and Socialization (ISS) LON 6 On-Site</t>
  </si>
  <si>
    <t>2123M0986</t>
  </si>
  <si>
    <t>Individualized Skills and Socialization (ISS) LON 6 Off-Site</t>
  </si>
  <si>
    <t>2123M0987</t>
  </si>
  <si>
    <t>Individualized Skills and Socialization (ISS) LON 6 Off-Site (Enhanced) LVL 2</t>
  </si>
  <si>
    <t>2123M0988</t>
  </si>
  <si>
    <t>Individualized Skills and Socialization (ISS) LON 6 In-Home EVV OHFH</t>
  </si>
  <si>
    <t>2123M0989</t>
  </si>
  <si>
    <t>Individualized Skills and Socialization (ISS) LON 8 On-Site</t>
  </si>
  <si>
    <t>2123M0990</t>
  </si>
  <si>
    <t>Individualized Skills and Socialization (ISS) LON 8 Off-Site</t>
  </si>
  <si>
    <t>2123M0991</t>
  </si>
  <si>
    <t>Individualized Skills and Socialization (ISS) LON 8 Off-Site (Enhanced) LVL 2</t>
  </si>
  <si>
    <t>2123M0992</t>
  </si>
  <si>
    <t>Individualized Skills and Socialization (ISS) LON 8 In-Home EVV OHFH</t>
  </si>
  <si>
    <t>2123M0993</t>
  </si>
  <si>
    <t>Individualized Skills and Socialization (ISS) LON 9 On-Site</t>
  </si>
  <si>
    <t>2123M0994</t>
  </si>
  <si>
    <t>Individualized Skills and Socialization (ISS) LON 9 Off-Site</t>
  </si>
  <si>
    <t>2123M0996</t>
  </si>
  <si>
    <t>Individualized Skills and Socialization (ISS) LON 9 In-Home EVV OHFH</t>
  </si>
  <si>
    <t>2123M1095</t>
  </si>
  <si>
    <t>Individualized Skills and Socialization (ISS) LON 1 In-Home Other Residential Types</t>
  </si>
  <si>
    <t>2123M1096</t>
  </si>
  <si>
    <t>Individualized Skills and Socialization (ISS) LON 5 In-Home Other Residential Types</t>
  </si>
  <si>
    <t>2123M1097</t>
  </si>
  <si>
    <t>Individualized Skills and Socialization (ISS) LON 6 In-Home Other Residential Types</t>
  </si>
  <si>
    <t>2123M1098</t>
  </si>
  <si>
    <t>Individualized Skills and Socialization (ISS) LON 8 In-Home Other Residential Types</t>
  </si>
  <si>
    <t>2123M1099</t>
  </si>
  <si>
    <t>Individualized Skills and Socialization (ISS) LON 9 In-Home Other Residential Types</t>
  </si>
  <si>
    <t>2123M1119</t>
  </si>
  <si>
    <t>Individualized Skills and Socialization (ISS) LON 5 Off-Site (Enhanced) LVL 2</t>
  </si>
  <si>
    <t>2137M0154</t>
  </si>
  <si>
    <t>SUPPORTED EMPLOYMENT LOC 1 (AO)</t>
  </si>
  <si>
    <t>2137M0155</t>
  </si>
  <si>
    <t>SUPPORTED EMPLOYMENT LOC 8 (AO)</t>
  </si>
  <si>
    <t>2137VM0349</t>
  </si>
  <si>
    <t>SUPPORTED EMPLOYMENT (CDS) LOC 1</t>
  </si>
  <si>
    <t>2146M0149</t>
  </si>
  <si>
    <t>RESIDENTIAL SUPPORT SERVICES LON 1</t>
  </si>
  <si>
    <t>3-1-97</t>
  </si>
  <si>
    <t>2146M0150</t>
  </si>
  <si>
    <t>RESIDENTIAL SUPPORT SERVICES LON 5</t>
  </si>
  <si>
    <t>2146M0151</t>
  </si>
  <si>
    <t>RESIDENTIAL SUPPORT SERVICES LON 6</t>
  </si>
  <si>
    <t>2146M0152</t>
  </si>
  <si>
    <t>RESIDENTIAL SUPPORT SERVICES LON 8</t>
  </si>
  <si>
    <t>2146M0153</t>
  </si>
  <si>
    <t>RESIDENTIAL SUPPORT SERVICES LON 9</t>
  </si>
  <si>
    <t>2147M0166</t>
  </si>
  <si>
    <t>SUPERVISED LIVING LON 1</t>
  </si>
  <si>
    <t>2147M0167</t>
  </si>
  <si>
    <t>SUPERVISED LIVING LON 5</t>
  </si>
  <si>
    <t>2147M0168</t>
  </si>
  <si>
    <t>SUPERVISED LIVING LON 6</t>
  </si>
  <si>
    <t>2147M0169</t>
  </si>
  <si>
    <t>SUPERVISED LIVING LON 8</t>
  </si>
  <si>
    <t>2147M0170</t>
  </si>
  <si>
    <t>SUPERVISED LIVING LON 9</t>
  </si>
  <si>
    <t>2148M0372</t>
  </si>
  <si>
    <t>TRANSPORTATION LOC 1</t>
  </si>
  <si>
    <t>2148M0374</t>
  </si>
  <si>
    <t>TRANSPORTATION LOC 8</t>
  </si>
  <si>
    <t>HCBS</t>
  </si>
  <si>
    <t>2148VM0373</t>
  </si>
  <si>
    <t xml:space="preserve">TRANSPORTATION (CDS) LOC 1 </t>
  </si>
  <si>
    <t>2148VM0418</t>
  </si>
  <si>
    <t xml:space="preserve">TRANSPORTATION (CDS) LOC 8 </t>
  </si>
  <si>
    <t>2154M0332</t>
  </si>
  <si>
    <t>EMPLOYMENT ASSISTANCE LOC 8 (AO)</t>
  </si>
  <si>
    <t>2154M0347</t>
  </si>
  <si>
    <t>EMPLOYMENT ASSISTANCE LOC 1 (AO)</t>
  </si>
  <si>
    <t>2154VM0348</t>
  </si>
  <si>
    <t xml:space="preserve">EMPLOYMENT ASSISTANCE (CDS) LOC 1 </t>
  </si>
  <si>
    <t>61F0205-L</t>
  </si>
  <si>
    <t>ICF</t>
  </si>
  <si>
    <t>Large LON 1</t>
  </si>
  <si>
    <t>ICF/IID NON-STATE COMMUNITY RESIDENTIAL LON 1 - Large</t>
  </si>
  <si>
    <t>61F0206-L</t>
  </si>
  <si>
    <t>Large LON 5</t>
  </si>
  <si>
    <t>ICF/IID NON-STATE COMMUNITY RESIDENTIAL LON 5 - Large</t>
  </si>
  <si>
    <t>61F0207-L</t>
  </si>
  <si>
    <t>Large LON 6</t>
  </si>
  <si>
    <t>ICF/IID NON-STATE COMMUNITY RESIDENTIAL LON 6 - Large</t>
  </si>
  <si>
    <t>61F0208-L</t>
  </si>
  <si>
    <t>Large LON 8</t>
  </si>
  <si>
    <t>ICF/IID NON-STATE COMMUNITY RESIDENTIAL LON 8 - Large</t>
  </si>
  <si>
    <t>61F0209-L</t>
  </si>
  <si>
    <t>Large LON 9</t>
  </si>
  <si>
    <t>ICF/IID NON-STATE COMMUNITY RESIDENTIAL LON 9 - Large</t>
  </si>
  <si>
    <t>61F0205-M</t>
  </si>
  <si>
    <t>Medium LON 1</t>
  </si>
  <si>
    <t>ICF/IID NON-STATE COMMUNITY RESIDENTIAL LON 1 - Medium</t>
  </si>
  <si>
    <t>61F0206-M</t>
  </si>
  <si>
    <t>Medium LON 5</t>
  </si>
  <si>
    <t>ICF/IID NON-STATE COMMUNITY RESIDENTIAL LON 5 - Medium</t>
  </si>
  <si>
    <t>61F0207-M</t>
  </si>
  <si>
    <t>Medium LON 6</t>
  </si>
  <si>
    <t>ICF/IID NON-STATE COMMUNITY RESIDENTIAL LON 6 - Medium</t>
  </si>
  <si>
    <t>61F0208-M</t>
  </si>
  <si>
    <t>Medium LON 8</t>
  </si>
  <si>
    <t>ICF/IID NON-STATE COMMUNITY RESIDENTIAL LON 8 - Medium</t>
  </si>
  <si>
    <t>61F0209-M</t>
  </si>
  <si>
    <t>Medium LON 9</t>
  </si>
  <si>
    <t>ICF/IID NON-STATE COMMUNITY RESIDENTIAL LON 9 - Medium</t>
  </si>
  <si>
    <t>61F0205-S</t>
  </si>
  <si>
    <t>Small LON 1</t>
  </si>
  <si>
    <t>ICF/IID NON-STATE COMMUNITY RESIDENTIAL LON 1 - Small</t>
  </si>
  <si>
    <t>61F0206-S</t>
  </si>
  <si>
    <t>Small LON 5</t>
  </si>
  <si>
    <t>ICF/IID NON-STATE COMMUNITY RESIDENTIAL LON 5 - Small</t>
  </si>
  <si>
    <t>61F0207-S</t>
  </si>
  <si>
    <t>Small LON 6</t>
  </si>
  <si>
    <t>ICF/IID NON-STATE COMMUNITY RESIDENTIAL LON 6 - Small</t>
  </si>
  <si>
    <t>61F0208-S</t>
  </si>
  <si>
    <t>Small LON 8</t>
  </si>
  <si>
    <t>ICF/IID NON-STATE COMMUNITY RESIDENTIAL LON 8 - Small</t>
  </si>
  <si>
    <t>61F0209-S</t>
  </si>
  <si>
    <t>Small LON 9</t>
  </si>
  <si>
    <t>ICF/IID NON-STATE COMMUNITY RESIDENTIAL LON 9 - Small</t>
  </si>
  <si>
    <t>T1019U9U1</t>
  </si>
  <si>
    <t>PCS</t>
  </si>
  <si>
    <t>CFC - PERSONAL CARE SERVICES - AGENCY</t>
  </si>
  <si>
    <t>State Plan (Title XIX)</t>
  </si>
  <si>
    <t>Flat</t>
  </si>
  <si>
    <t>T1019UDU1</t>
  </si>
  <si>
    <t>T1019UD</t>
  </si>
  <si>
    <t>T1019U4</t>
  </si>
  <si>
    <t>CFC - PERSONAL CARE SERVICES, BEHAVIORAL HEALTH CONDITION - CDS</t>
  </si>
  <si>
    <t>T1019U9</t>
  </si>
  <si>
    <t>CFC - PERSONAL CARE SERVICES, BEHAVIORAL HEALTH CONDITION - AGENCY</t>
  </si>
  <si>
    <t>T1019U7</t>
  </si>
  <si>
    <t>PERSONAL CARE SERVICES - CDS</t>
  </si>
  <si>
    <t>T1019UB</t>
  </si>
  <si>
    <t>PERSONAL CARE SERVICES, BEHAVIORAL HEALTH CONDITION - CDS</t>
  </si>
  <si>
    <t>Non-HCBS</t>
  </si>
  <si>
    <t>T1019U6</t>
  </si>
  <si>
    <t>PERSONAL CARE SERVICES - AGENCY</t>
  </si>
  <si>
    <t>T1019UA</t>
  </si>
  <si>
    <t>PERSONAL CARE SERVICES, BEHAVIORAL HEALTH CONDITION - AGENCY</t>
  </si>
  <si>
    <t>717G0701</t>
  </si>
  <si>
    <t>PHC</t>
  </si>
  <si>
    <t>PERSONAL ASSISTANCE SERVICES LEVEL 2 PRIORITY (AO)</t>
  </si>
  <si>
    <t>717G0702</t>
  </si>
  <si>
    <t>PERSONAL ASSISTANCE SERVICES LEVEL 1 NON-PRIORITY (AO)</t>
  </si>
  <si>
    <t>717VG0717</t>
  </si>
  <si>
    <t xml:space="preserve">(CDS) PERSONAL ASSISTANCE SERVICES (PAS) IND LVL 2 (PRIORITY) </t>
  </si>
  <si>
    <t>717VG0718</t>
  </si>
  <si>
    <t xml:space="preserve">(CDS)-PERSONAL ASSISTANCE SERVICES (PAS) IND LVL 1 (NON-PRIORITY) </t>
  </si>
  <si>
    <t>719KG0945</t>
  </si>
  <si>
    <t>RC</t>
  </si>
  <si>
    <t>RESIDENTIAL CARE APARTMENT TITLE XX</t>
  </si>
  <si>
    <t>719LG0946</t>
  </si>
  <si>
    <t>RESIDENTIAL CARE NON-APARTMENT TITLE XX</t>
  </si>
  <si>
    <t>T1019SHU1</t>
  </si>
  <si>
    <t>STAR Health</t>
  </si>
  <si>
    <t>PCS (AO)</t>
  </si>
  <si>
    <t>T1019SKU2</t>
  </si>
  <si>
    <t>PCS (SRO)</t>
  </si>
  <si>
    <t>T1019SHUC</t>
  </si>
  <si>
    <t>PCS (CDS)</t>
  </si>
  <si>
    <t>T1019SHU9UC</t>
  </si>
  <si>
    <t>CFC Habilitation</t>
  </si>
  <si>
    <t>CFC Habilitation and Attendant Care HAB (CDS)</t>
  </si>
  <si>
    <t>T1019SHUDUC</t>
  </si>
  <si>
    <t>CFC PCS Attendant care Only (CDS)</t>
  </si>
  <si>
    <t>T1019SHUBU1</t>
  </si>
  <si>
    <t>PCS (BH Condition) (AO)</t>
  </si>
  <si>
    <t>T1019SHUBUC</t>
  </si>
  <si>
    <t>PCS (BH Condition) (CDS)</t>
  </si>
  <si>
    <t>T1019SHU9U1</t>
  </si>
  <si>
    <t>CFC Habilitation and Attendant Care HAB (AO)</t>
  </si>
  <si>
    <t>T1019SHUDU1</t>
  </si>
  <si>
    <t>CFC PCS Attendant care Only (AO)</t>
  </si>
  <si>
    <t>T1005SHU4U1</t>
  </si>
  <si>
    <t>STAR Health MDCP</t>
  </si>
  <si>
    <t xml:space="preserve">Respite Care provided by an Attendant (AO) </t>
  </si>
  <si>
    <t>T1005SHU4UC</t>
  </si>
  <si>
    <t xml:space="preserve">Respite Care provided by an Attendant (CDS) </t>
  </si>
  <si>
    <t>T1019SHU9UCU6</t>
  </si>
  <si>
    <t>CFC Habilitation and Attendant Care HAB (CDS) (MDCP)</t>
  </si>
  <si>
    <t>S5101SK</t>
  </si>
  <si>
    <t>S5101SK - Children 15 - 20</t>
  </si>
  <si>
    <t>Children 15 - 20</t>
  </si>
  <si>
    <t>S5101SK - IDD</t>
  </si>
  <si>
    <t>IDD</t>
  </si>
  <si>
    <t>T1019SKU1</t>
  </si>
  <si>
    <t>T1019SKU1 - Avg SK Child Age</t>
  </si>
  <si>
    <t>STAR Kids</t>
  </si>
  <si>
    <t>T1019SKU1 - Children 1 - 5</t>
  </si>
  <si>
    <t>T1019SKU1 - Children 15 - 20</t>
  </si>
  <si>
    <t>T1019SKU1 - Children 6 - 14</t>
  </si>
  <si>
    <t>T1019SKU1 - IDD</t>
  </si>
  <si>
    <t>T1019SKU1 - MDCP</t>
  </si>
  <si>
    <t>T1019SKU1 - YES</t>
  </si>
  <si>
    <t>T1019SKU2 - Children 6 - 14</t>
  </si>
  <si>
    <t>T1019SKU9U1</t>
  </si>
  <si>
    <t>T1019SKU9U1 - Avg SK Child Age</t>
  </si>
  <si>
    <t>T1019SKU9U1 - Children 1 - 5</t>
  </si>
  <si>
    <t>T1019SKU9U1 - Children 15 - 20</t>
  </si>
  <si>
    <t>T1019SKU9U1 - Children 6 - 14</t>
  </si>
  <si>
    <t>T1019SKU9U1 - IDD</t>
  </si>
  <si>
    <t>T1019SKU9U1 - MDCP</t>
  </si>
  <si>
    <t>T1019SKU9U1 - YES</t>
  </si>
  <si>
    <t>T1019SKU9U2</t>
  </si>
  <si>
    <t>T1019SKU9U2 - Children 15 - 20</t>
  </si>
  <si>
    <t>CFC Habilitation and Attendant Care HAB (SRO)</t>
  </si>
  <si>
    <t>T1019SKU9U2 - Children 6 - 14</t>
  </si>
  <si>
    <t>T1019SKU9UC</t>
  </si>
  <si>
    <t>T1019SKU9UC - Avg SK Child Age</t>
  </si>
  <si>
    <t>T1019SKU9UC - Children 1 - 5</t>
  </si>
  <si>
    <t>T1019SKU9UC - Children 15 - 20</t>
  </si>
  <si>
    <t>T1019SKU9UC - Children 6 - 14</t>
  </si>
  <si>
    <t>T1019SKU9UC - MDCP</t>
  </si>
  <si>
    <t>T1019SKU9UC - YES</t>
  </si>
  <si>
    <t>T1019SKUBU1</t>
  </si>
  <si>
    <t>T1019SKUBU1 - Avg SK Child Age</t>
  </si>
  <si>
    <t>T1019SKUBU1 - Children 1 - 5</t>
  </si>
  <si>
    <t>T1019SKUBU1 - Children 15 - 20</t>
  </si>
  <si>
    <t>T1019SKUBU1 - Children 6 - 14</t>
  </si>
  <si>
    <t>T1019SKUBU1 - IDD</t>
  </si>
  <si>
    <t>T1019SKUBU1 - MDCP</t>
  </si>
  <si>
    <t>T1019SKUBU1 - YES</t>
  </si>
  <si>
    <t>T1019SKUBU2</t>
  </si>
  <si>
    <t>T1019SKUBU2 - Children 15 - 20</t>
  </si>
  <si>
    <t>PCS (BH Condition) (SRO)</t>
  </si>
  <si>
    <t>T1019SKUBU2 - Children 6 - 14</t>
  </si>
  <si>
    <t>T1019SKUBU2 - MDCP</t>
  </si>
  <si>
    <t>T1019SKUBUC</t>
  </si>
  <si>
    <t>T1019SKUBUC - Children 1 - 5</t>
  </si>
  <si>
    <t>T1019SKUBUC - Children 15 - 20</t>
  </si>
  <si>
    <t>T1019SKUBUC - Children 6 - 14</t>
  </si>
  <si>
    <t>T1019SKUBUC - IDD</t>
  </si>
  <si>
    <t>T1019SKUBUC - MDCP</t>
  </si>
  <si>
    <t>T1019SKUBUC - YES</t>
  </si>
  <si>
    <t>T1019SKUC</t>
  </si>
  <si>
    <t>T1019SKUC - Children 1 - 5</t>
  </si>
  <si>
    <t>T1019SKUC - Children 15 - 20</t>
  </si>
  <si>
    <t>T1019SKUC - Children 6 - 14</t>
  </si>
  <si>
    <t>T1019SKUC - IDD</t>
  </si>
  <si>
    <t>T1019SKUDU1</t>
  </si>
  <si>
    <t>T1019SKUDU1 - Avg SK Child Age</t>
  </si>
  <si>
    <t>T1019SKUDU1 - Children 1 - 5</t>
  </si>
  <si>
    <t>T1019SKUDU1 - Children 15 - 20</t>
  </si>
  <si>
    <t>T1019SKUDU1 - Children 6 - 14</t>
  </si>
  <si>
    <t>T1019SKUDU1 - MDCP</t>
  </si>
  <si>
    <t>T1019SKUDU1 - YES</t>
  </si>
  <si>
    <t>T1019SKUDU2</t>
  </si>
  <si>
    <t>T1019SKUDU2 - Children 1 - 5</t>
  </si>
  <si>
    <t>CFC PCS Attendant care Only (SRO)</t>
  </si>
  <si>
    <t>T1019SKUDU2 - Children 15 - 20</t>
  </si>
  <si>
    <t>T1019SKUDU2 - Children 6 - 14</t>
  </si>
  <si>
    <t>T1019SKUDUC</t>
  </si>
  <si>
    <t>T1019SKUDUC - Avg SK Child Age</t>
  </si>
  <si>
    <t>T1019SKUDUC - Children 1 - 5</t>
  </si>
  <si>
    <t>T1019SKUDUC - Children 15 - 20</t>
  </si>
  <si>
    <t>T1019SKUDUC - Children 6 - 14</t>
  </si>
  <si>
    <t>T1019SKUDUC - MDCP</t>
  </si>
  <si>
    <t>T1019SKUDUC - YES</t>
  </si>
  <si>
    <t>S9482SKU4TDU1</t>
  </si>
  <si>
    <t>S9482SKU4TDU1 - MDCP</t>
  </si>
  <si>
    <t>MDCP</t>
  </si>
  <si>
    <t>S9482SKU4U1</t>
  </si>
  <si>
    <t>S9482SKU4U1 - Children 15 - 20</t>
  </si>
  <si>
    <t>S9482SKU4U1 - Children 6 - 14</t>
  </si>
  <si>
    <t>Children 6 - 14</t>
  </si>
  <si>
    <t>S9482SKU4U1 - MDCP</t>
  </si>
  <si>
    <t>S9482SKU4UC</t>
  </si>
  <si>
    <t>S9482SKU4UC - MDCP</t>
  </si>
  <si>
    <t>T1005SKU4TDU1</t>
  </si>
  <si>
    <t>T1005SKU4TDU1 - MDCP</t>
  </si>
  <si>
    <t>T1005SKU4TDU2</t>
  </si>
  <si>
    <t>T1005SKU4TDU2 - MDCP</t>
  </si>
  <si>
    <t>T1005SKU4TDUC</t>
  </si>
  <si>
    <t>T1005SKU4TDUC - MDCP</t>
  </si>
  <si>
    <t>T1005SKU4U1</t>
  </si>
  <si>
    <t>T1005SKU4U1 - Avg SK Child Age</t>
  </si>
  <si>
    <t>Avg SK Child Age</t>
  </si>
  <si>
    <t>T1005SKU4U1 - Children 15 - 20</t>
  </si>
  <si>
    <t>T1005SKU4U1 - Children 6 - 14</t>
  </si>
  <si>
    <t>T1005SKU4U1 - IDD</t>
  </si>
  <si>
    <t>T1005SKU4U1 - MDCP</t>
  </si>
  <si>
    <t>T1005SKU4U2</t>
  </si>
  <si>
    <t>T1005SKU4U2 - MDCP</t>
  </si>
  <si>
    <t>T1005SKU4UC</t>
  </si>
  <si>
    <t>T1005SKU4UC - Avg SK Child Age</t>
  </si>
  <si>
    <t>T1005SKU4UC - Children 1 - 5</t>
  </si>
  <si>
    <t>Children 1 - 5</t>
  </si>
  <si>
    <t>T1005SKU4UC - Children 15 - 20</t>
  </si>
  <si>
    <t>T1005SKU4UC - Children 6 - 14</t>
  </si>
  <si>
    <t>T1005SKU4UC - IDD</t>
  </si>
  <si>
    <t>T1005SKU4UC - MDCP</t>
  </si>
  <si>
    <t>T1019SKU9U1U6</t>
  </si>
  <si>
    <t>T1019SKU9U1U6 - Children 15 - 20</t>
  </si>
  <si>
    <t>STAR Kids MDCP</t>
  </si>
  <si>
    <t>CFC Habilitation and Attendant Care HAB (AO) (MDCP)</t>
  </si>
  <si>
    <t>T1019SKU9U1U6 - Children 6 - 14</t>
  </si>
  <si>
    <t>T1019SKU9U1U6 - MDCP</t>
  </si>
  <si>
    <t>T1019SKU9U1U6 - YES</t>
  </si>
  <si>
    <t>T1019SKU9UCU6</t>
  </si>
  <si>
    <t>T1019SKU9UCU6 - Avg SK Child Age</t>
  </si>
  <si>
    <t>T1019SKU9UCU6 - Children 15 - 20</t>
  </si>
  <si>
    <t>T1019SKU9UCU6 - Children 6 - 14</t>
  </si>
  <si>
    <t>T1019SKU9UCU6 - IDD</t>
  </si>
  <si>
    <t>T1019SKU9UCU6 - MDCP</t>
  </si>
  <si>
    <t>T1019SKUDU1U6</t>
  </si>
  <si>
    <t>T1019SKUDU1U6 - Children 15 - 20</t>
  </si>
  <si>
    <t>CFC PCS Attendant care Only (AO) (MDCP)</t>
  </si>
  <si>
    <t>T1019SKUDU1U6 - Children 6 - 14</t>
  </si>
  <si>
    <t>T1019SKUDU1U6 - MDCP</t>
  </si>
  <si>
    <t>T1019SKUDUCU6</t>
  </si>
  <si>
    <t>T1019SKUDUCU6 - Avg SK Child Age</t>
  </si>
  <si>
    <t>CFC PCS Attendant care Only (CDS) (MDCP)</t>
  </si>
  <si>
    <t>T1019SKUDUCU6 - Children 6 - 14</t>
  </si>
  <si>
    <t>T1019SKUDUCU6 - MDCP</t>
  </si>
  <si>
    <t>S5101MP</t>
  </si>
  <si>
    <t>STAR+PLUS</t>
  </si>
  <si>
    <t xml:space="preserve">Day Activities &amp; Health Services (3-6 hours) </t>
  </si>
  <si>
    <t>OCC</t>
  </si>
  <si>
    <t>S5101SP</t>
  </si>
  <si>
    <t>S5125MPU5</t>
  </si>
  <si>
    <t xml:space="preserve">PAS (AO) (Non-HCBS) </t>
  </si>
  <si>
    <t>S5125MPU5U7</t>
  </si>
  <si>
    <t xml:space="preserve">PAS (AO) (Non-HCBS) (CFC) </t>
  </si>
  <si>
    <t>S5125MPU5U7UC</t>
  </si>
  <si>
    <t xml:space="preserve">PAS (CDS) (CFC) </t>
  </si>
  <si>
    <t>S5125MPU5UC</t>
  </si>
  <si>
    <t xml:space="preserve">PAS (CDS) (Non-HCBS) </t>
  </si>
  <si>
    <t>S5125MPU5UD</t>
  </si>
  <si>
    <t xml:space="preserve">PAS (SRO) (Non-HCBS) </t>
  </si>
  <si>
    <t>S5125SPU5</t>
  </si>
  <si>
    <t>S5125SPU5U7</t>
  </si>
  <si>
    <t>S5125SPU5U7UC</t>
  </si>
  <si>
    <t>S5125SPU5U7UD</t>
  </si>
  <si>
    <t xml:space="preserve">PAS (SRO) (CFC) </t>
  </si>
  <si>
    <t>S5125SPU5UC</t>
  </si>
  <si>
    <t>S5125SPU5UD</t>
  </si>
  <si>
    <t>T2017MPU5U7</t>
  </si>
  <si>
    <t xml:space="preserve">Habilitation (AO) (Non-HCBS) (CFC) </t>
  </si>
  <si>
    <t>T2017MPU5U7UC</t>
  </si>
  <si>
    <t xml:space="preserve">Habilitation (CDS) (CFC) </t>
  </si>
  <si>
    <t>T2017SPU5U7</t>
  </si>
  <si>
    <t>T2017SPU5U7UC</t>
  </si>
  <si>
    <t>T2017SPU5U7UD</t>
  </si>
  <si>
    <t xml:space="preserve">Habilitation (SRO) (CFC) </t>
  </si>
  <si>
    <t>H2023SPU3</t>
  </si>
  <si>
    <t>STAR+PLUS HCBS</t>
  </si>
  <si>
    <t>Supported Employment (AO)</t>
  </si>
  <si>
    <t>CBA</t>
  </si>
  <si>
    <t>S5125MPU3</t>
  </si>
  <si>
    <t xml:space="preserve">PAS (AO) (HCBS) </t>
  </si>
  <si>
    <t>S5125MPU3U1</t>
  </si>
  <si>
    <t xml:space="preserve">PAS Protective Supervision (AO) (HCBS) </t>
  </si>
  <si>
    <t>S5125MPU3U1UC</t>
  </si>
  <si>
    <t xml:space="preserve">PAS Protective Supervision (CDS) </t>
  </si>
  <si>
    <t>S5125MPU3U7</t>
  </si>
  <si>
    <t xml:space="preserve">PAS (AO) (HCBS) (CFC) </t>
  </si>
  <si>
    <t>S5125MPU3U7UC</t>
  </si>
  <si>
    <t>S5125MPU3U7UD</t>
  </si>
  <si>
    <t>S5125MPU3UC</t>
  </si>
  <si>
    <t xml:space="preserve">PAS (CDS) (HCBS) </t>
  </si>
  <si>
    <t>S5125MPU3UD</t>
  </si>
  <si>
    <t xml:space="preserve">PAS (SRO) (HCBS) </t>
  </si>
  <si>
    <t>S5125SPU3</t>
  </si>
  <si>
    <t>S5125SPU3U1</t>
  </si>
  <si>
    <t>S5125SPU3U1UC</t>
  </si>
  <si>
    <t>S5125SPU3U1UD</t>
  </si>
  <si>
    <t xml:space="preserve">PAS Protective Supervision (SRO) </t>
  </si>
  <si>
    <t>S5125SPU3U7</t>
  </si>
  <si>
    <t>S5125SPU3U7UC</t>
  </si>
  <si>
    <t>S5125SPU3U7UD</t>
  </si>
  <si>
    <t>S5125SPU3UC</t>
  </si>
  <si>
    <t>S5125SPU3UD</t>
  </si>
  <si>
    <t>T1005MPU3</t>
  </si>
  <si>
    <t xml:space="preserve">Respite Care (AO) (HCBS) </t>
  </si>
  <si>
    <t>T1005MPU3UC</t>
  </si>
  <si>
    <t xml:space="preserve">Respite Care (CDS) (HCBS) </t>
  </si>
  <si>
    <t>T1005MPU3UD</t>
  </si>
  <si>
    <t xml:space="preserve">Respite Care (SRO) (HCBS) </t>
  </si>
  <si>
    <t>T1005SPU3</t>
  </si>
  <si>
    <t>T1005SPU3UC</t>
  </si>
  <si>
    <t>T1005SPU3UD</t>
  </si>
  <si>
    <t>T2017MPU3U7</t>
  </si>
  <si>
    <t xml:space="preserve">Habilitation (AO) (HCBS) (CFC) </t>
  </si>
  <si>
    <t>T2017MPU3U7UC</t>
  </si>
  <si>
    <t>T2017MPU3U7UD</t>
  </si>
  <si>
    <t>T2017SPU3U7</t>
  </si>
  <si>
    <t>T2017SPU3U7UC</t>
  </si>
  <si>
    <t>T2017SPU3U7UD</t>
  </si>
  <si>
    <t>T2031MPU1</t>
  </si>
  <si>
    <t>AL Single Level 1</t>
  </si>
  <si>
    <t>T2031MPU2</t>
  </si>
  <si>
    <t>AL Single Level 2</t>
  </si>
  <si>
    <t>T2031MPU3</t>
  </si>
  <si>
    <t>AL Single Level 3</t>
  </si>
  <si>
    <t>T2031MPU4</t>
  </si>
  <si>
    <t>AL Single Level 4</t>
  </si>
  <si>
    <t>T2031MPU5</t>
  </si>
  <si>
    <t>AL Single Level 5</t>
  </si>
  <si>
    <t>T2031MPU6</t>
  </si>
  <si>
    <t>AL Single Level 6</t>
  </si>
  <si>
    <t>T2031MPUAU1</t>
  </si>
  <si>
    <t>AL Non-Apartment Level 1</t>
  </si>
  <si>
    <t>T2031MPUAU3</t>
  </si>
  <si>
    <t>AL Non-Apartment Level 3</t>
  </si>
  <si>
    <t>T2031MPUAU4</t>
  </si>
  <si>
    <t>AL Non-Apartment Level 4</t>
  </si>
  <si>
    <t>T2031MPUAU5</t>
  </si>
  <si>
    <t>AL Non-Apartment Level 5</t>
  </si>
  <si>
    <t>T2031MPUAU6</t>
  </si>
  <si>
    <t>AL Non-Apartment Level 6</t>
  </si>
  <si>
    <t>T2031MPUBU2</t>
  </si>
  <si>
    <t>AL Double Level 2</t>
  </si>
  <si>
    <t>T2031MPUBU3</t>
  </si>
  <si>
    <t>AL Double Level 3</t>
  </si>
  <si>
    <t>T2031MPUBU4</t>
  </si>
  <si>
    <t>AL Double Level 4</t>
  </si>
  <si>
    <t>T2031MPUBU5</t>
  </si>
  <si>
    <t>AL Double Level 5</t>
  </si>
  <si>
    <t>T2031MPUBU6</t>
  </si>
  <si>
    <t>AL Double Level 6</t>
  </si>
  <si>
    <t>T2031SPU1</t>
  </si>
  <si>
    <t>T2031SPU2</t>
  </si>
  <si>
    <t>T2031SPU3</t>
  </si>
  <si>
    <t>T2031SPU4</t>
  </si>
  <si>
    <t>T2031SPU5</t>
  </si>
  <si>
    <t>T2031SPU6</t>
  </si>
  <si>
    <t>T2031SPUAU1</t>
  </si>
  <si>
    <t>T2031SPUAU2</t>
  </si>
  <si>
    <t>AL Non-Apartment Level 2</t>
  </si>
  <si>
    <t>T2031SPUAU3</t>
  </si>
  <si>
    <t>T2031SPUAU4</t>
  </si>
  <si>
    <t>T2031SPUAU5</t>
  </si>
  <si>
    <t>T2031SPUAU6</t>
  </si>
  <si>
    <t>T2031SPUBU1</t>
  </si>
  <si>
    <t>AL Double Level 1</t>
  </si>
  <si>
    <t>T2031SPUBU2</t>
  </si>
  <si>
    <t>T2031SPUBU3</t>
  </si>
  <si>
    <t>T2031SPUBU4</t>
  </si>
  <si>
    <t>T2031SPUBU5</t>
  </si>
  <si>
    <t>T2031SPUBU6</t>
  </si>
  <si>
    <t>2210CFCM0360</t>
  </si>
  <si>
    <t>TxHmL</t>
  </si>
  <si>
    <t>2210CFVM0361</t>
  </si>
  <si>
    <t xml:space="preserve">CFC PAS/HAB (CDS) </t>
  </si>
  <si>
    <t>2211XM0240</t>
  </si>
  <si>
    <t>2211XM0903</t>
  </si>
  <si>
    <t>HOURLY RESPITE IN A DH FACILITY</t>
  </si>
  <si>
    <t>2211XM0904</t>
  </si>
  <si>
    <t>HOURLY RESPITE WHERE HH/CC IS PROVIDED</t>
  </si>
  <si>
    <t>2211XM0905</t>
  </si>
  <si>
    <t>HOURLY RESPITE WHERE SL OR RSS IS PROVIDED</t>
  </si>
  <si>
    <t>2211XM0906</t>
  </si>
  <si>
    <t xml:space="preserve">HOURLY RESPITE IN A SETTING NOT LISTED </t>
  </si>
  <si>
    <t>2211XM1093</t>
  </si>
  <si>
    <t>HOURLY RESPITE LOC 1 IN-CAMP</t>
  </si>
  <si>
    <t>2211XVM0241</t>
  </si>
  <si>
    <t xml:space="preserve">HOURLY RESPITE LOC 1 -IN-HOME (CDS) </t>
  </si>
  <si>
    <t>2211XVM0907</t>
  </si>
  <si>
    <t xml:space="preserve">HOURLY RESPITE IN A DH FACILITY (CDS) </t>
  </si>
  <si>
    <t>2211XVM0910</t>
  </si>
  <si>
    <t xml:space="preserve">HOURLY RESPITE IN A SETTING NOT LISTED (CDS) </t>
  </si>
  <si>
    <t>2211XVM1094</t>
  </si>
  <si>
    <t xml:space="preserve">HOURLY RESPITE LOC 1 IN-CAMP (CDS) </t>
  </si>
  <si>
    <t>2223M1005</t>
  </si>
  <si>
    <t>4-1-45</t>
  </si>
  <si>
    <t>2223M1006</t>
  </si>
  <si>
    <t>2223M1008</t>
  </si>
  <si>
    <t>2223M1100</t>
  </si>
  <si>
    <t>2223M1101</t>
  </si>
  <si>
    <t>2223M1103</t>
  </si>
  <si>
    <t>2223M1104</t>
  </si>
  <si>
    <t>2223M1105</t>
  </si>
  <si>
    <t>2223M1108</t>
  </si>
  <si>
    <t>2223M1109</t>
  </si>
  <si>
    <t>2223M1111</t>
  </si>
  <si>
    <t>2223VM1009</t>
  </si>
  <si>
    <t xml:space="preserve">Individualized Skills and Socialization (ISS) LON 1 On-Site (CDS) </t>
  </si>
  <si>
    <t>2223VM1010</t>
  </si>
  <si>
    <t xml:space="preserve">Individualized Skills and Socialization (ISS) LON 1 Off-Site (CDS) </t>
  </si>
  <si>
    <t>2223VM1012</t>
  </si>
  <si>
    <t xml:space="preserve">Individualized Skills and Socialization (ISS) LON 1 In-Home EVV OHFH (CDS) </t>
  </si>
  <si>
    <t>2223VM1125</t>
  </si>
  <si>
    <t xml:space="preserve">Individualized Skills and Socialization (ISS) LON 5 Off-Site (CDS) </t>
  </si>
  <si>
    <t>2223VM1127</t>
  </si>
  <si>
    <t xml:space="preserve">Individualized Skills and Socialization (ISS) LON 8 Off-Site (CDS) </t>
  </si>
  <si>
    <t>2223VM1129</t>
  </si>
  <si>
    <t xml:space="preserve">Individualized Skills and Socialization (ISS) LON 5 On-Site (CDS) </t>
  </si>
  <si>
    <t>2223VM1131</t>
  </si>
  <si>
    <t xml:space="preserve">Individualized Skills and Socialization (ISS) LON 8 On-Site (CDS) </t>
  </si>
  <si>
    <t>2223VM1133</t>
  </si>
  <si>
    <t xml:space="preserve">Individualized Skills and Socialization (ISS) LON 5 In-Home EVV OHFH (CDS) </t>
  </si>
  <si>
    <t>2237M0243</t>
  </si>
  <si>
    <t>2237VM0244</t>
  </si>
  <si>
    <t xml:space="preserve">SUPPORTED EMPLOYMENT (CDS) LOC 1 </t>
  </si>
  <si>
    <t>2248M0419</t>
  </si>
  <si>
    <t>TRANSPORTATION COMMUNITY SUPPORT</t>
  </si>
  <si>
    <t>2248VM0420</t>
  </si>
  <si>
    <t>TRANSPORTATION (CDS) COMMUNITY SUPPORT</t>
  </si>
  <si>
    <t>2254M0207</t>
  </si>
  <si>
    <t>2254VM0208</t>
  </si>
  <si>
    <t>Rate Table Section</t>
  </si>
  <si>
    <t>Regular, LVN, Req, CDS Sort</t>
  </si>
  <si>
    <t>RT Description ID</t>
  </si>
  <si>
    <t>Section /Sort/ RT Descripton ID</t>
  </si>
  <si>
    <t>13-1-7</t>
  </si>
  <si>
    <t>13-1-8</t>
  </si>
  <si>
    <t>13-5-116</t>
  </si>
  <si>
    <t>1-5-121</t>
  </si>
  <si>
    <t>1-5-122</t>
  </si>
  <si>
    <t>1-5-136</t>
  </si>
  <si>
    <t>1-5-142</t>
  </si>
  <si>
    <t>1-1-23</t>
  </si>
  <si>
    <t>1-1-26</t>
  </si>
  <si>
    <t>1-1-55</t>
  </si>
  <si>
    <t>1-1-78</t>
  </si>
  <si>
    <t>Day Activity and Health Services (DAHS) Title XIX and Title XX</t>
  </si>
  <si>
    <t>2-5-136</t>
  </si>
  <si>
    <t>CDS Intervenor, Intervenor I, Intervenor II, and Intervenor III</t>
  </si>
  <si>
    <t>2-5-142</t>
  </si>
  <si>
    <t>2-5-143</t>
  </si>
  <si>
    <t>2-1-12</t>
  </si>
  <si>
    <t>2-1-44</t>
  </si>
  <si>
    <t>2-1-55</t>
  </si>
  <si>
    <t>Intervenor, Intervenor I, Intervenor II, and Intervenor III</t>
  </si>
  <si>
    <t>2-1-58</t>
  </si>
  <si>
    <t>2-1-79</t>
  </si>
  <si>
    <t>3-5-121</t>
  </si>
  <si>
    <t>3-5-124</t>
  </si>
  <si>
    <t>3-5-139</t>
  </si>
  <si>
    <t>3-5-143</t>
  </si>
  <si>
    <t>3-1-23</t>
  </si>
  <si>
    <t>3-1-39</t>
  </si>
  <si>
    <t>3-1-74</t>
  </si>
  <si>
    <t>3-1-79</t>
  </si>
  <si>
    <t>13-5-144</t>
  </si>
  <si>
    <t>Residential Care Title XX</t>
  </si>
  <si>
    <t>9-5-144</t>
  </si>
  <si>
    <t>9-1-80</t>
  </si>
  <si>
    <t>12-5-125</t>
  </si>
  <si>
    <t>12-1-41</t>
  </si>
  <si>
    <t>12-1-80</t>
  </si>
  <si>
    <t>9-5-118</t>
  </si>
  <si>
    <t>9-1-11</t>
  </si>
  <si>
    <t>9-1-17</t>
  </si>
  <si>
    <t>8-5-118</t>
  </si>
  <si>
    <t>8-5-125</t>
  </si>
  <si>
    <t>8-5-144</t>
  </si>
  <si>
    <t>8-1-11</t>
  </si>
  <si>
    <t>8-1-41</t>
  </si>
  <si>
    <t>8-1-80</t>
  </si>
  <si>
    <t>7-5-123</t>
  </si>
  <si>
    <t>7-5-141</t>
  </si>
  <si>
    <t>7-1-17</t>
  </si>
  <si>
    <t>7-1-27</t>
  </si>
  <si>
    <t>7-1-77</t>
  </si>
  <si>
    <t>6-1-4</t>
  </si>
  <si>
    <t>6-5-123</t>
  </si>
  <si>
    <t>6-5-136</t>
  </si>
  <si>
    <t>6-5-141</t>
  </si>
  <si>
    <t>6-1-23</t>
  </si>
  <si>
    <t>6-1-27</t>
  </si>
  <si>
    <t>6-1-55</t>
  </si>
  <si>
    <t>6-1-77</t>
  </si>
  <si>
    <t>4-5-121</t>
  </si>
  <si>
    <t>4-5-124</t>
  </si>
  <si>
    <t>4-5-126</t>
  </si>
  <si>
    <t>4-5-139</t>
  </si>
  <si>
    <t>4-5-143</t>
  </si>
  <si>
    <t>4-1-23</t>
  </si>
  <si>
    <t>4-1-55</t>
  </si>
  <si>
    <t>4-1-74</t>
  </si>
  <si>
    <t>4-1-79</t>
  </si>
  <si>
    <t>Payment Type</t>
  </si>
  <si>
    <t>Program</t>
  </si>
  <si>
    <t>Program - Risk Group</t>
  </si>
  <si>
    <t>SFY 23 to SFY 24</t>
  </si>
  <si>
    <t>SFY 23 to SFY 25</t>
  </si>
  <si>
    <t>SFY 23 to SFY 26</t>
  </si>
  <si>
    <t>SFY 23 to SFY 27</t>
  </si>
  <si>
    <t>SFY 23 to SFY 28</t>
  </si>
  <si>
    <t>SK Age Based Risk Group Calculations</t>
  </si>
  <si>
    <t>FFS</t>
  </si>
  <si>
    <t>MC</t>
  </si>
  <si>
    <t>Hospice</t>
  </si>
  <si>
    <t>SNF</t>
  </si>
  <si>
    <t>NF-FFS</t>
  </si>
  <si>
    <t>PACE</t>
  </si>
  <si>
    <t>SSLC</t>
  </si>
  <si>
    <t>Star Plus</t>
  </si>
  <si>
    <t>NF</t>
  </si>
  <si>
    <t>Star Kids</t>
  </si>
  <si>
    <t>YES</t>
  </si>
  <si>
    <t>Children &lt;1yr</t>
  </si>
  <si>
    <t>Note: STAR Health Trends are sourced from the trends file from Acute Care team which only includes projection through 2027. Therefore SFY 2028 trend for STAR Health is kept flat for SFY 2028 and further.</t>
  </si>
  <si>
    <t>For any SFY projections after SFY 2028 the trend factor for all services should be kept flat until new trends are available.</t>
  </si>
  <si>
    <t>Long Term Services and Supports Caseload (Average Monthly Recipient Months)</t>
  </si>
  <si>
    <t>source: LTSS RMFC 202406_FC</t>
  </si>
  <si>
    <t>Trends</t>
  </si>
  <si>
    <t>Skilled Nursing Facility</t>
  </si>
  <si>
    <t>Nursing Facility</t>
  </si>
  <si>
    <t>Primary Home Care</t>
  </si>
  <si>
    <t>Community Attendance Svcs</t>
  </si>
  <si>
    <t>Day Activity and Health Svcs</t>
  </si>
  <si>
    <t>Community Living Assistance &amp; Support Svcs</t>
  </si>
  <si>
    <t>Program All-inclusive Care Elderly</t>
  </si>
  <si>
    <t>Deaf Blind Multiple Disabilities Waiver</t>
  </si>
  <si>
    <t>Texas Home Living</t>
  </si>
  <si>
    <t>Home Community Svcs</t>
  </si>
  <si>
    <t>State Supported Living Centers</t>
  </si>
  <si>
    <t>Intermediate Care Facilities for Individuals with Intellectual Disability: Total</t>
  </si>
  <si>
    <t>SFY Trends</t>
  </si>
  <si>
    <t>SFY 2020</t>
  </si>
  <si>
    <t>SFY 2021</t>
  </si>
  <si>
    <t>SFY 2022</t>
  </si>
  <si>
    <t>SFY 2023</t>
  </si>
  <si>
    <t>SFY 2024</t>
  </si>
  <si>
    <t>SFY 2025</t>
  </si>
  <si>
    <t>SFY 2028</t>
  </si>
  <si>
    <t>added on 1/13/25 /AR/</t>
  </si>
  <si>
    <t>Culmulative SFY Trends</t>
  </si>
  <si>
    <t>SFY 2023 to 2024</t>
  </si>
  <si>
    <t>SFY 2023 to 2025</t>
  </si>
  <si>
    <t>SFY 2023 to 2026</t>
  </si>
  <si>
    <t>SFY 2023 to 2027</t>
  </si>
  <si>
    <t>SFY 2023 to 2028</t>
  </si>
  <si>
    <t>Capitated Long Term Care Services Expenditures</t>
  </si>
  <si>
    <t>source: 202406_FC Prem</t>
  </si>
  <si>
    <t>STAR+PLUS and DD</t>
  </si>
  <si>
    <t xml:space="preserve">OCC </t>
  </si>
  <si>
    <t>Children 1yr and under</t>
  </si>
  <si>
    <t>Total</t>
  </si>
  <si>
    <t>Trend</t>
  </si>
  <si>
    <t>FY2019</t>
  </si>
  <si>
    <t>FY2020</t>
  </si>
  <si>
    <t>FY2021</t>
  </si>
  <si>
    <t>FY2022</t>
  </si>
  <si>
    <t>FY2023</t>
  </si>
  <si>
    <t>FY2024</t>
  </si>
  <si>
    <t>FY2025</t>
  </si>
  <si>
    <t>FY2026</t>
  </si>
  <si>
    <t>FY2027</t>
  </si>
  <si>
    <t>FY2028</t>
  </si>
  <si>
    <t>sourced from AC trends</t>
  </si>
  <si>
    <t>Medicaid Acute Care Cost Trend (MC)</t>
  </si>
  <si>
    <t>Note: Caseload only row no longer include Casemix</t>
  </si>
  <si>
    <t>FY 2022 to</t>
  </si>
  <si>
    <t>FY 2023 to</t>
  </si>
  <si>
    <t>FY 2024 to</t>
  </si>
  <si>
    <t>FY 2025 to</t>
  </si>
  <si>
    <t>FY 2026 to</t>
  </si>
  <si>
    <t>Medicaid Acute Care</t>
  </si>
  <si>
    <t>FY 2023</t>
  </si>
  <si>
    <t>FY 2024</t>
  </si>
  <si>
    <t>FY 2025</t>
  </si>
  <si>
    <t>FY 2026</t>
  </si>
  <si>
    <t>FY 2027</t>
  </si>
  <si>
    <t>Caseload and Costs (Casemix included AKA Total Cost Trend)</t>
  </si>
  <si>
    <t>Caseload</t>
  </si>
  <si>
    <t>FY 2023 to FY 2024</t>
  </si>
  <si>
    <t>FY 2024 to FY 2025</t>
  </si>
  <si>
    <t>FY 2025 to FY 2026</t>
  </si>
  <si>
    <t>FY 2026 to FY 2027</t>
  </si>
  <si>
    <t>FY 2023 to FY 2025</t>
  </si>
  <si>
    <t>FY 2023 to FY 2026</t>
  </si>
  <si>
    <t>FY 2023 to FY 2027</t>
  </si>
  <si>
    <t>Trends in 26-27 RTs</t>
  </si>
  <si>
    <t>Trends in the 26-27 Attendant Calculator</t>
  </si>
  <si>
    <t>Trends in the Nursing Wages calculator</t>
  </si>
  <si>
    <t>TEXAS MEDICAID PERCENTAGE MATCH</t>
  </si>
  <si>
    <t>TEXAS MEDICAID PERCENTAGE MATCH WITH STIMULUS/ENHANCEMENTS</t>
  </si>
  <si>
    <t>As of April 2024</t>
  </si>
  <si>
    <t>State Fiscal Year (Sept - Aug)</t>
  </si>
  <si>
    <t>Federal Fiscal Year (Oct - Sept)</t>
  </si>
  <si>
    <t>Calendar Year (Jan - Dec)</t>
  </si>
  <si>
    <t>FMAP Only: Stimulus Rates</t>
  </si>
  <si>
    <t>EFMAP Only: +23% Enhanced Match</t>
  </si>
  <si>
    <t>State Share</t>
  </si>
  <si>
    <t>Federal Share</t>
  </si>
  <si>
    <t>FMAP</t>
  </si>
  <si>
    <t>EFMAP</t>
  </si>
  <si>
    <t>SFY FMAP</t>
  </si>
  <si>
    <t>FFY FMAP</t>
  </si>
  <si>
    <t>SFY EFMAP</t>
  </si>
  <si>
    <t>FFY EFMAP</t>
  </si>
  <si>
    <t>2003</t>
  </si>
  <si>
    <t>2004</t>
  </si>
  <si>
    <t>2005</t>
  </si>
  <si>
    <t>2006</t>
  </si>
  <si>
    <t>2007</t>
  </si>
  <si>
    <t>2008</t>
  </si>
  <si>
    <t>2009¹</t>
  </si>
  <si>
    <t>2010¹</t>
  </si>
  <si>
    <t>2011¹</t>
  </si>
  <si>
    <t>2012</t>
  </si>
  <si>
    <t>2013</t>
  </si>
  <si>
    <t>2014</t>
  </si>
  <si>
    <t>2015</t>
  </si>
  <si>
    <t>2016²</t>
  </si>
  <si>
    <t>2017²</t>
  </si>
  <si>
    <t>2018²</t>
  </si>
  <si>
    <t>2019²</t>
  </si>
  <si>
    <t>2020²</t>
  </si>
  <si>
    <t>2020 Stimulus² ³</t>
  </si>
  <si>
    <t>2020 Blended² ³</t>
  </si>
  <si>
    <t>2021</t>
  </si>
  <si>
    <t>2021 Stimulus³</t>
  </si>
  <si>
    <t>2021 Blended³</t>
  </si>
  <si>
    <t>2022</t>
  </si>
  <si>
    <t>2022 Stimulus³</t>
  </si>
  <si>
    <t>2022 Blended³</t>
  </si>
  <si>
    <t>2023</t>
  </si>
  <si>
    <t>2023 Stimulus #1³</t>
  </si>
  <si>
    <t>2023 Stimulus #2³</t>
  </si>
  <si>
    <t>2023 Stimulus #3³</t>
  </si>
  <si>
    <t>2023 Blended³</t>
  </si>
  <si>
    <t>2024</t>
  </si>
  <si>
    <t>2024 Stimulus³</t>
  </si>
  <si>
    <t>2024 Blended³</t>
  </si>
  <si>
    <t>2025</t>
  </si>
  <si>
    <t>2026</t>
  </si>
  <si>
    <t>2027</t>
  </si>
  <si>
    <t>2028</t>
  </si>
  <si>
    <t>¹ Non-stimulus FMAPs are shown in columns C-P. For the period of October 2008-June 2011, stimulus FMAPs were in effect.  See columns R-U for the stimulus match rates.</t>
  </si>
  <si>
    <t>State Fiscal Year stimulus rates are based on 11 months stimulus rate in SFY 2009, 12 months in SFY 2010 and 10 months in SFY 2011.
Stimulus Assumptions are Tier I Oct 2008-June 2009 (68.76%), Tier II July 2009-Sept 2009 (69.85%), Tier III Oct 2009-Dec 2010 (70.94%). A phased-down 6-month extension from Jan-Jun 2011 is included for FY 11 as stated in FFIS IB 10-33 (August 17, 2010).</t>
  </si>
  <si>
    <t>Expenditures in Medicaid and CHIP paid with Title XXI funds will be eligible for this match between Oct 1, 2015 - Sept 30, 2020.</t>
  </si>
  <si>
    <t>² Standard EFMAPs are shown in columns C-P. Per FFIS Budget Brief 18-03 (January 24, 2018), for the period of October 2015-September 2019, CHIP programs and expenditures funded with Title XXI will be eligible for a +23 percentage point enhancement; for October 2019-September 2020 for an +11.5 percentage point enhancement; and beginning October 2020 will receive no enhancement. See columns W-Z.</t>
  </si>
  <si>
    <t>³ The following stimulus FMAP increases are assumed: 6.2% for the period January 2020 - March 2023; 5.0% for the period of April 2023 - June 2023; 2.5% for the period of July 2023 - September 2023; and 1.5% for the period of October 2023 - December 2023. "2020 Stimulus" (row 24), "2021 Stimulus" (row 27), "2022 Stimulus" (row 30), "2023 Stimulus" (rows 33 - 35), and "2024 Stimulus" (row 38) FMAPs represent the stimulus period only. "2020 Blended" (row 25), "2021 Blended" (row 28), "2022 Blended" (row 31), "2023 Blended" (row 36), and "2024 Blended" (row 39) FMAPs represent their respective full fiscal or calendar year.</t>
  </si>
  <si>
    <t>FFY 2010 rates are final, as stated in Federal Register Vol. 73, No. 229, November 26, 2008.</t>
  </si>
  <si>
    <t>FFY 2011 non-stimulus rates are final as stated in FFIS Issue Brief 09-38, October 21, 2009.</t>
  </si>
  <si>
    <t>FFY 2012 rates are final as stated in Federal Register Vol. 75, No. 217, November 10, 2010.</t>
  </si>
  <si>
    <t>FFY 2013 rates are final as stated in Federal Register Vol. 76, No. 230, November 30, 2011.</t>
  </si>
  <si>
    <t>FFY 2014 rates are final as stated in Federal Register Vol. 77, No. 231, November 30, 2012.</t>
  </si>
  <si>
    <t>FFY 2015 rates are final as stated in Federal Register Vol. 79, No. 13, January 21, 2014.</t>
  </si>
  <si>
    <t>FFY 2016 rates are final as stated in Federal Register Vol. 79, No. 231, December 2, 2014.</t>
  </si>
  <si>
    <t>FFY 2017 rates are final as stated in Federal Register Vol. 80, No. 227, November 25, 2015.</t>
  </si>
  <si>
    <t>FFY 2018 rates are final as stated in Federal Register Vol. 81, No. 220, November 15, 2016.</t>
  </si>
  <si>
    <t>FFY 2019 rates are final as stated in Federal Register Vol. 82, No. 223, November 21, 2017.</t>
  </si>
  <si>
    <t>FFY 2020 rates are final as stated in Federal Register Vol. 83, No. 229, November 28, 2018.</t>
  </si>
  <si>
    <t>FFY 2021 rates are final as stated in Federal Register Vol. 84, No. 232, December 3, 2019.</t>
  </si>
  <si>
    <t>FFY 2022 rates are final as stated in Federal Register Vol. 85, No. 230, November 30, 2020.</t>
  </si>
  <si>
    <t>FFY 2023 rates are final as stated in Federal Register Vol. 86, No. 225, November 26, 2021.</t>
  </si>
  <si>
    <t>FFY 2024 rates are final as stated in Federal Register Vol. 87, No. 232, December 5, 2022.</t>
  </si>
  <si>
    <t>FFY 2025 rates are final as stated in Federal Register Vol. 88, No. 223, November 21,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</si>
</sst>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44" formatCode="_(&quot;$&quot;* #,##0.00_);_(&quot;$&quot;* \(#,##0.00\);_(&quot;$&quot;* &quot;-&quot;??_);_(@_)"/>
    <numFmt numFmtId="43" formatCode="_(* #,##0.00_);_(* \(#,##0.00\);_(* &quot;-&quot;??_);_(@_)"/>
    <numFmt numFmtId="164" formatCode="&quot;$&quot;#,##0.00"/>
    <numFmt numFmtId="165" formatCode="_(* #,##0_);_(* \(#,##0\);_(* &quot;-&quot;??_);_(@_)"/>
    <numFmt numFmtId="166" formatCode="&quot;$&quot;#,##0"/>
    <numFmt numFmtId="167" formatCode="_(&quot;$&quot;* #,##0_);_(&quot;$&quot;* \(#,##0\);_(&quot;$&quot;* &quot;-&quot;??_);_(@_)"/>
    <numFmt numFmtId="168" formatCode="0.0000"/>
    <numFmt numFmtId="169" formatCode="#,##0.000_);\(#,##0.000\)"/>
    <numFmt numFmtId="170" formatCode="0.000"/>
    <numFmt numFmtId="171" formatCode="#,##0.000"/>
    <numFmt numFmtId="172" formatCode="_(* #,##0.0000_);_(* \(#,##0.0000\);_(* &quot;-&quot;??_);_(@_)"/>
    <numFmt numFmtId="173" formatCode="[$-409]mmm\-yy;@"/>
    <numFmt numFmtId="174" formatCode="_(* #,##0.000000_);_(* \(#,##0.000000\);_(* &quot;-&quot;??_);_(@_)"/>
  </numFmts>
  <fonts count="67">
    <font>
      <sz val="10"/>
      <name val="Arial"/>
    </font>
    <font>
      <sz val="12"/>
      <color theme="1"/>
      <name val="Verdana"/>
      <family val="2"/>
    </font>
    <font>
      <sz val="12"/>
      <color theme="1"/>
      <name val="Verdana"/>
      <family val="2"/>
    </font>
    <font>
      <sz val="12"/>
      <color theme="1"/>
      <name val="Verdana"/>
      <family val="2"/>
    </font>
    <font>
      <sz val="12"/>
      <color theme="1"/>
      <name val="Verdana"/>
      <family val="2"/>
    </font>
    <font>
      <sz val="12"/>
      <color theme="1"/>
      <name val="Verdana"/>
      <family val="2"/>
    </font>
    <font>
      <sz val="12"/>
      <color theme="1"/>
      <name val="Verdana"/>
      <family val="2"/>
    </font>
    <font>
      <sz val="12"/>
      <color theme="1"/>
      <name val="Verdana"/>
      <family val="2"/>
    </font>
    <font>
      <sz val="12"/>
      <color theme="1"/>
      <name val="Verdana"/>
      <family val="2"/>
    </font>
    <font>
      <sz val="12"/>
      <color theme="1"/>
      <name val="Verdana"/>
      <family val="2"/>
    </font>
    <font>
      <sz val="12"/>
      <color theme="1"/>
      <name val="Verdana"/>
      <family val="2"/>
    </font>
    <font>
      <sz val="12"/>
      <color theme="1"/>
      <name val="Verdana"/>
      <family val="2"/>
    </font>
    <font>
      <sz val="12"/>
      <color theme="1"/>
      <name val="Verdana"/>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name val="Arial"/>
      <family val="2"/>
    </font>
    <font>
      <sz val="10"/>
      <name val="Arial"/>
      <family val="2"/>
    </font>
    <font>
      <b/>
      <sz val="10"/>
      <name val="Arial"/>
      <family val="2"/>
    </font>
    <font>
      <sz val="11"/>
      <color theme="1"/>
      <name val="Calibri"/>
      <family val="2"/>
      <scheme val="minor"/>
    </font>
    <font>
      <sz val="10"/>
      <color theme="1"/>
      <name val="Times New Roman"/>
      <family val="2"/>
    </font>
    <font>
      <sz val="12"/>
      <color theme="1"/>
      <name val="Verdana"/>
      <family val="2"/>
    </font>
    <font>
      <u/>
      <sz val="12"/>
      <color theme="10"/>
      <name val="Verdana"/>
      <family val="2"/>
    </font>
    <font>
      <sz val="12"/>
      <name val="Arial"/>
      <family val="2"/>
    </font>
    <font>
      <sz val="10"/>
      <name val="Arial"/>
      <family val="2"/>
    </font>
    <font>
      <sz val="10"/>
      <name val="Verdana"/>
      <family val="2"/>
    </font>
    <font>
      <sz val="10"/>
      <color theme="1"/>
      <name val="Verdana"/>
      <family val="2"/>
    </font>
    <font>
      <b/>
      <sz val="10"/>
      <name val="Verdana"/>
      <family val="2"/>
    </font>
    <font>
      <b/>
      <sz val="12"/>
      <name val="Verdana"/>
      <family val="2"/>
    </font>
    <font>
      <sz val="12"/>
      <name val="Verdana"/>
      <family val="2"/>
    </font>
    <font>
      <b/>
      <sz val="12"/>
      <name val="Arial"/>
      <family val="2"/>
    </font>
    <font>
      <sz val="11"/>
      <color indexed="8"/>
      <name val="Calibri"/>
      <family val="2"/>
      <scheme val="minor"/>
    </font>
    <font>
      <sz val="8"/>
      <name val="Arial"/>
      <family val="2"/>
    </font>
    <font>
      <sz val="10"/>
      <name val="Helv"/>
    </font>
    <font>
      <sz val="9"/>
      <color indexed="81"/>
      <name val="Tahoma"/>
      <family val="2"/>
    </font>
    <font>
      <b/>
      <sz val="9"/>
      <color indexed="81"/>
      <name val="Tahoma"/>
      <family val="2"/>
    </font>
    <font>
      <sz val="10"/>
      <name val="Times New Roman"/>
      <family val="1"/>
    </font>
    <font>
      <b/>
      <sz val="14"/>
      <name val="Times New Roman"/>
      <family val="1"/>
    </font>
    <font>
      <b/>
      <sz val="12"/>
      <name val="Times New Roman"/>
      <family val="1"/>
    </font>
    <font>
      <sz val="12"/>
      <name val="Times New Roman"/>
      <family val="1"/>
    </font>
    <font>
      <b/>
      <sz val="10"/>
      <name val="Times New Roman"/>
      <family val="1"/>
    </font>
    <font>
      <sz val="10"/>
      <color theme="0"/>
      <name val="Arial"/>
      <family val="2"/>
    </font>
    <font>
      <sz val="9"/>
      <name val="Verdana"/>
      <family val="2"/>
    </font>
    <font>
      <b/>
      <sz val="11"/>
      <name val="Verdana"/>
      <family val="2"/>
    </font>
    <font>
      <b/>
      <sz val="14"/>
      <name val="Verdana"/>
      <family val="2"/>
    </font>
    <font>
      <i/>
      <sz val="10"/>
      <name val="Verdana"/>
      <family val="2"/>
    </font>
    <font>
      <u/>
      <sz val="9"/>
      <name val="Verdana"/>
      <family val="2"/>
    </font>
    <font>
      <b/>
      <sz val="11"/>
      <color theme="1"/>
      <name val="Verdana"/>
      <family val="2"/>
    </font>
    <font>
      <b/>
      <sz val="10"/>
      <color indexed="8"/>
      <name val="Verdana"/>
      <family val="2"/>
    </font>
    <font>
      <sz val="8"/>
      <name val="Arial"/>
      <family val="2"/>
    </font>
    <font>
      <b/>
      <sz val="10"/>
      <color indexed="10"/>
      <name val="Times New Roman"/>
      <family val="1"/>
    </font>
    <font>
      <b/>
      <sz val="10"/>
      <color indexed="10"/>
      <name val="Arial"/>
      <family val="2"/>
    </font>
    <font>
      <sz val="10"/>
      <color theme="0" tint="-0.34998626667073579"/>
      <name val="Times New Roman"/>
      <family val="1"/>
    </font>
    <font>
      <b/>
      <sz val="11"/>
      <color theme="1"/>
      <name val="Calibri"/>
      <family val="2"/>
    </font>
    <font>
      <b/>
      <sz val="11"/>
      <name val="Calibri"/>
      <family val="2"/>
      <scheme val="minor"/>
    </font>
    <font>
      <b/>
      <sz val="10"/>
      <color theme="1"/>
      <name val="Calibri"/>
      <family val="2"/>
    </font>
    <font>
      <b/>
      <sz val="10"/>
      <color rgb="FFFF0000"/>
      <name val="Verdana"/>
      <family val="2"/>
    </font>
    <font>
      <sz val="10"/>
      <color rgb="FFFF0000"/>
      <name val="Verdana"/>
      <family val="2"/>
    </font>
    <font>
      <sz val="8"/>
      <name val="Arial"/>
      <family val="2"/>
    </font>
    <font>
      <i/>
      <sz val="8"/>
      <color rgb="FFFF0000"/>
      <name val="Verdana"/>
      <family val="2"/>
    </font>
    <font>
      <i/>
      <sz val="10"/>
      <color rgb="FFFF0000"/>
      <name val="Arial"/>
      <family val="2"/>
    </font>
    <font>
      <i/>
      <sz val="10"/>
      <color theme="0" tint="-0.34998626667073579"/>
      <name val="Arial"/>
      <family val="2"/>
    </font>
    <font>
      <b/>
      <sz val="9"/>
      <name val="Arial"/>
      <family val="2"/>
    </font>
    <font>
      <b/>
      <sz val="10"/>
      <name val="Arial Narrow"/>
      <family val="2"/>
    </font>
    <font>
      <b/>
      <sz val="10"/>
      <color theme="1"/>
      <name val="Verdana"/>
      <family val="2"/>
    </font>
    <font>
      <b/>
      <sz val="9"/>
      <name val="Verdana"/>
      <family val="2"/>
    </font>
  </fonts>
  <fills count="19">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CFF66"/>
        <bgColor indexed="64"/>
      </patternFill>
    </fill>
    <fill>
      <patternFill patternType="solid">
        <fgColor theme="5" tint="0.59999389629810485"/>
        <bgColor indexed="64"/>
      </patternFill>
    </fill>
    <fill>
      <patternFill patternType="solid">
        <fgColor rgb="FFFFCCFF"/>
        <bgColor indexed="64"/>
      </patternFill>
    </fill>
    <fill>
      <patternFill patternType="solid">
        <fgColor theme="8"/>
        <bgColor indexed="64"/>
      </patternFill>
    </fill>
    <fill>
      <patternFill patternType="solid">
        <fgColor rgb="FFFFFFCC"/>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style="medium">
        <color indexed="64"/>
      </right>
      <top style="medium">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theme="1" tint="0.499984740745262"/>
      </left>
      <right style="double">
        <color indexed="64"/>
      </right>
      <top style="thin">
        <color indexed="64"/>
      </top>
      <bottom/>
      <diagonal/>
    </border>
    <border>
      <left style="double">
        <color indexed="64"/>
      </left>
      <right/>
      <top style="thin">
        <color indexed="64"/>
      </top>
      <bottom/>
      <diagonal/>
    </border>
    <border>
      <left style="thin">
        <color theme="1" tint="0.499984740745262"/>
      </left>
      <right style="thin">
        <color indexed="64"/>
      </right>
      <top style="thin">
        <color indexed="64"/>
      </top>
      <bottom/>
      <diagonal/>
    </border>
    <border>
      <left style="thin">
        <color theme="1" tint="0.499984740745262"/>
      </left>
      <right style="double">
        <color indexed="64"/>
      </right>
      <top/>
      <bottom/>
      <diagonal/>
    </border>
    <border>
      <left style="double">
        <color indexed="64"/>
      </left>
      <right/>
      <top/>
      <bottom/>
      <diagonal/>
    </border>
    <border>
      <left style="thin">
        <color theme="1" tint="0.499984740745262"/>
      </left>
      <right style="thin">
        <color indexed="64"/>
      </right>
      <top/>
      <bottom/>
      <diagonal/>
    </border>
    <border>
      <left style="double">
        <color indexed="64"/>
      </left>
      <right style="thin">
        <color indexed="64"/>
      </right>
      <top/>
      <bottom/>
      <diagonal/>
    </border>
    <border>
      <left style="double">
        <color indexed="64"/>
      </left>
      <right style="thin">
        <color indexed="64"/>
      </right>
      <top style="thin">
        <color indexed="64"/>
      </top>
      <bottom/>
      <diagonal/>
    </border>
    <border>
      <left/>
      <right style="double">
        <color indexed="64"/>
      </right>
      <top style="thin">
        <color indexed="64"/>
      </top>
      <bottom/>
      <diagonal/>
    </border>
    <border>
      <left/>
      <right style="double">
        <color indexed="64"/>
      </right>
      <top/>
      <bottom/>
      <diagonal/>
    </border>
    <border>
      <left style="thin">
        <color indexed="64"/>
      </left>
      <right style="thin">
        <color indexed="64"/>
      </right>
      <top/>
      <bottom style="thin">
        <color indexed="64"/>
      </bottom>
      <diagonal/>
    </border>
    <border>
      <left style="thin">
        <color theme="1" tint="0.499984740745262"/>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top/>
      <bottom style="thin">
        <color indexed="64"/>
      </bottom>
      <diagonal/>
    </border>
    <border>
      <left style="thin">
        <color theme="1" tint="0.499984740745262"/>
      </left>
      <right style="thin">
        <color indexed="64"/>
      </right>
      <top/>
      <bottom style="thin">
        <color indexed="64"/>
      </bottom>
      <diagonal/>
    </border>
    <border>
      <left/>
      <right style="double">
        <color indexed="64"/>
      </right>
      <top/>
      <bottom style="thin">
        <color indexed="64"/>
      </bottom>
      <diagonal/>
    </border>
    <border>
      <left style="thin">
        <color indexed="64"/>
      </left>
      <right style="thin">
        <color theme="1" tint="0.499984740745262"/>
      </right>
      <top style="thin">
        <color indexed="64"/>
      </top>
      <bottom/>
      <diagonal/>
    </border>
    <border>
      <left style="double">
        <color indexed="64"/>
      </left>
      <right style="thin">
        <color theme="1" tint="0.499984740745262"/>
      </right>
      <top style="thin">
        <color indexed="64"/>
      </top>
      <bottom/>
      <diagonal/>
    </border>
    <border>
      <left style="thin">
        <color indexed="64"/>
      </left>
      <right style="thin">
        <color theme="1" tint="0.499984740745262"/>
      </right>
      <top/>
      <bottom/>
      <diagonal/>
    </border>
    <border>
      <left style="double">
        <color indexed="64"/>
      </left>
      <right style="thin">
        <color theme="1" tint="0.499984740745262"/>
      </right>
      <top/>
      <bottom/>
      <diagonal/>
    </border>
    <border>
      <left style="thin">
        <color indexed="64"/>
      </left>
      <right style="thin">
        <color theme="1" tint="0.499984740745262"/>
      </right>
      <top/>
      <bottom style="thin">
        <color indexed="64"/>
      </bottom>
      <diagonal/>
    </border>
    <border>
      <left style="double">
        <color indexed="64"/>
      </left>
      <right style="thin">
        <color theme="1" tint="0.499984740745262"/>
      </right>
      <top/>
      <bottom style="thin">
        <color indexed="64"/>
      </bottom>
      <diagonal/>
    </border>
    <border>
      <left style="double">
        <color indexed="64"/>
      </left>
      <right style="thin">
        <color theme="0" tint="-0.499984740745262"/>
      </right>
      <top/>
      <bottom style="thin">
        <color indexed="64"/>
      </bottom>
      <diagonal/>
    </border>
    <border>
      <left style="thin">
        <color theme="0" tint="-0.499984740745262"/>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right/>
      <top style="medium">
        <color indexed="64"/>
      </top>
      <bottom style="medium">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s>
  <cellStyleXfs count="90">
    <xf numFmtId="0" fontId="0" fillId="0" borderId="0"/>
    <xf numFmtId="9" fontId="17" fillId="0" borderId="0" applyFont="0" applyFill="0" applyBorder="0" applyAlignment="0" applyProtection="0"/>
    <xf numFmtId="9" fontId="18" fillId="0" borderId="0" applyFont="0" applyFill="0" applyBorder="0" applyAlignment="0" applyProtection="0"/>
    <xf numFmtId="43" fontId="17" fillId="0" borderId="0" applyFont="0" applyFill="0" applyBorder="0" applyAlignment="0" applyProtection="0"/>
    <xf numFmtId="0" fontId="17" fillId="0" borderId="0"/>
    <xf numFmtId="0" fontId="20" fillId="0" borderId="0"/>
    <xf numFmtId="0" fontId="21" fillId="0" borderId="0"/>
    <xf numFmtId="43" fontId="21"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0" fontId="16" fillId="0" borderId="0"/>
    <xf numFmtId="44" fontId="16" fillId="0" borderId="0" applyFont="0" applyFill="0" applyBorder="0" applyAlignment="0" applyProtection="0"/>
    <xf numFmtId="43" fontId="16" fillId="0" borderId="0" applyFont="0" applyFill="0" applyBorder="0" applyAlignment="0" applyProtection="0"/>
    <xf numFmtId="43" fontId="17" fillId="0" borderId="0" applyFont="0" applyFill="0" applyBorder="0" applyAlignment="0" applyProtection="0"/>
    <xf numFmtId="0" fontId="15" fillId="0" borderId="0"/>
    <xf numFmtId="44" fontId="15" fillId="0" borderId="0" applyFont="0" applyFill="0" applyBorder="0" applyAlignment="0" applyProtection="0"/>
    <xf numFmtId="43" fontId="15" fillId="0" borderId="0" applyFont="0" applyFill="0" applyBorder="0" applyAlignment="0" applyProtection="0"/>
    <xf numFmtId="0" fontId="14" fillId="0" borderId="0"/>
    <xf numFmtId="44" fontId="14" fillId="0" borderId="0" applyFont="0" applyFill="0" applyBorder="0" applyAlignment="0" applyProtection="0"/>
    <xf numFmtId="43" fontId="14" fillId="0" borderId="0" applyFont="0" applyFill="0" applyBorder="0" applyAlignment="0" applyProtection="0"/>
    <xf numFmtId="0" fontId="17" fillId="0" borderId="0"/>
    <xf numFmtId="9" fontId="14" fillId="0" borderId="0" applyFont="0" applyFill="0" applyBorder="0" applyAlignment="0" applyProtection="0"/>
    <xf numFmtId="43" fontId="20" fillId="0" borderId="0" applyFont="0" applyFill="0" applyBorder="0" applyAlignment="0" applyProtection="0"/>
    <xf numFmtId="0" fontId="22" fillId="0" borderId="0"/>
    <xf numFmtId="43" fontId="22" fillId="0" borderId="0" applyFont="0" applyFill="0" applyBorder="0" applyAlignment="0" applyProtection="0"/>
    <xf numFmtId="0" fontId="23" fillId="0" borderId="0" applyNumberFormat="0" applyFill="0" applyBorder="0" applyAlignment="0" applyProtection="0"/>
    <xf numFmtId="0" fontId="17" fillId="0" borderId="0"/>
    <xf numFmtId="0" fontId="20" fillId="0" borderId="0"/>
    <xf numFmtId="44" fontId="25" fillId="0" borderId="0" applyFont="0" applyFill="0" applyBorder="0" applyAlignment="0" applyProtection="0"/>
    <xf numFmtId="44" fontId="22" fillId="0" borderId="0" applyFont="0" applyFill="0" applyBorder="0" applyAlignment="0" applyProtection="0"/>
    <xf numFmtId="0" fontId="13" fillId="0" borderId="0"/>
    <xf numFmtId="0" fontId="17" fillId="0" borderId="0"/>
    <xf numFmtId="0" fontId="17" fillId="0" borderId="0"/>
    <xf numFmtId="0" fontId="17" fillId="0" borderId="0"/>
    <xf numFmtId="0" fontId="17" fillId="0" borderId="0"/>
    <xf numFmtId="0" fontId="17" fillId="0" borderId="0"/>
    <xf numFmtId="0" fontId="13" fillId="0" borderId="0"/>
    <xf numFmtId="0" fontId="13" fillId="0" borderId="0"/>
    <xf numFmtId="0" fontId="13" fillId="0" borderId="0"/>
    <xf numFmtId="0" fontId="13" fillId="0" borderId="0"/>
    <xf numFmtId="0" fontId="17" fillId="0" borderId="0"/>
    <xf numFmtId="0" fontId="17" fillId="0" borderId="0"/>
    <xf numFmtId="0" fontId="17" fillId="0" borderId="0"/>
    <xf numFmtId="0" fontId="17" fillId="0" borderId="0"/>
    <xf numFmtId="0" fontId="13" fillId="0" borderId="0"/>
    <xf numFmtId="0" fontId="13" fillId="0" borderId="0"/>
    <xf numFmtId="0" fontId="13" fillId="0" borderId="0"/>
    <xf numFmtId="0" fontId="32" fillId="0" borderId="0"/>
    <xf numFmtId="43" fontId="32" fillId="0" borderId="0" applyFont="0" applyFill="0" applyBorder="0" applyAlignment="0" applyProtection="0"/>
    <xf numFmtId="44" fontId="32" fillId="0" borderId="0" applyFont="0" applyFill="0" applyBorder="0" applyAlignment="0" applyProtection="0"/>
    <xf numFmtId="0" fontId="12" fillId="0" borderId="0"/>
    <xf numFmtId="0" fontId="11" fillId="0" borderId="0"/>
    <xf numFmtId="43" fontId="11" fillId="0" borderId="0" applyFont="0" applyFill="0" applyBorder="0" applyAlignment="0" applyProtection="0"/>
    <xf numFmtId="0" fontId="34" fillId="0" borderId="0"/>
    <xf numFmtId="169" fontId="34" fillId="0" borderId="0"/>
    <xf numFmtId="4" fontId="34" fillId="0" borderId="0" applyFont="0" applyFill="0" applyBorder="0" applyAlignment="0" applyProtection="0"/>
    <xf numFmtId="0" fontId="10" fillId="0" borderId="0"/>
    <xf numFmtId="9" fontId="32" fillId="0" borderId="0" applyFont="0" applyFill="0" applyBorder="0" applyAlignment="0" applyProtection="0"/>
    <xf numFmtId="0" fontId="9" fillId="0" borderId="0"/>
    <xf numFmtId="44" fontId="9" fillId="0" borderId="0" applyFont="0" applyFill="0" applyBorder="0" applyAlignment="0" applyProtection="0"/>
    <xf numFmtId="43" fontId="9" fillId="0" borderId="0" applyFont="0" applyFill="0" applyBorder="0" applyAlignment="0" applyProtection="0"/>
    <xf numFmtId="173" fontId="37" fillId="0" borderId="0"/>
    <xf numFmtId="9" fontId="37" fillId="0" borderId="0" applyFont="0" applyFill="0" applyBorder="0" applyAlignment="0" applyProtection="0"/>
    <xf numFmtId="43" fontId="14" fillId="0" borderId="0" applyFont="0" applyFill="0" applyBorder="0" applyAlignment="0" applyProtection="0"/>
    <xf numFmtId="0" fontId="8" fillId="0" borderId="0"/>
    <xf numFmtId="44" fontId="8" fillId="0" borderId="0" applyFont="0" applyFill="0" applyBorder="0" applyAlignment="0" applyProtection="0"/>
    <xf numFmtId="0" fontId="7" fillId="0" borderId="0"/>
    <xf numFmtId="0" fontId="13" fillId="0" borderId="0"/>
    <xf numFmtId="43" fontId="13" fillId="0" borderId="0" applyFont="0" applyFill="0" applyBorder="0" applyAlignment="0" applyProtection="0"/>
    <xf numFmtId="0" fontId="6" fillId="0" borderId="0"/>
    <xf numFmtId="44" fontId="6"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3"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34" fillId="0" borderId="0"/>
    <xf numFmtId="0" fontId="17" fillId="0" borderId="0"/>
    <xf numFmtId="173" fontId="37" fillId="0" borderId="0"/>
    <xf numFmtId="43" fontId="1" fillId="0" borderId="0" applyFont="0" applyFill="0" applyBorder="0" applyAlignment="0" applyProtection="0"/>
    <xf numFmtId="4" fontId="34" fillId="0" borderId="0" applyFont="0" applyFill="0" applyBorder="0" applyAlignment="0" applyProtection="0"/>
    <xf numFmtId="0" fontId="1" fillId="0" borderId="0"/>
    <xf numFmtId="9" fontId="37" fillId="0" borderId="0" applyFont="0" applyFill="0" applyBorder="0" applyAlignment="0" applyProtection="0"/>
    <xf numFmtId="0" fontId="17" fillId="0" borderId="0"/>
  </cellStyleXfs>
  <cellXfs count="513">
    <xf numFmtId="0" fontId="0" fillId="0" borderId="0" xfId="0"/>
    <xf numFmtId="0" fontId="26" fillId="0" borderId="12" xfId="53" applyFont="1" applyBorder="1" applyAlignment="1">
      <alignment horizontal="center" vertical="center" wrapText="1"/>
    </xf>
    <xf numFmtId="0" fontId="26" fillId="0" borderId="10" xfId="53" applyFont="1" applyBorder="1" applyAlignment="1">
      <alignment horizontal="center" vertical="center" wrapText="1"/>
    </xf>
    <xf numFmtId="10" fontId="0" fillId="0" borderId="0" xfId="63" applyNumberFormat="1" applyFont="1" applyAlignment="1">
      <alignment horizontal="right"/>
    </xf>
    <xf numFmtId="172" fontId="0" fillId="0" borderId="0" xfId="63" applyNumberFormat="1" applyFont="1"/>
    <xf numFmtId="172" fontId="0" fillId="0" borderId="0" xfId="63" applyNumberFormat="1" applyFont="1" applyAlignment="1">
      <alignment horizontal="right"/>
    </xf>
    <xf numFmtId="172" fontId="0" fillId="0" borderId="26" xfId="63" applyNumberFormat="1" applyFont="1" applyFill="1" applyBorder="1" applyAlignment="1">
      <alignment horizontal="right"/>
    </xf>
    <xf numFmtId="172" fontId="0" fillId="0" borderId="26" xfId="63" applyNumberFormat="1" applyFont="1" applyFill="1" applyBorder="1"/>
    <xf numFmtId="172" fontId="0" fillId="0" borderId="0" xfId="63" applyNumberFormat="1" applyFont="1" applyFill="1" applyBorder="1" applyAlignment="1">
      <alignment horizontal="right"/>
    </xf>
    <xf numFmtId="172" fontId="0" fillId="0" borderId="0" xfId="63" applyNumberFormat="1" applyFont="1" applyFill="1" applyBorder="1"/>
    <xf numFmtId="172" fontId="0" fillId="0" borderId="26" xfId="63" applyNumberFormat="1" applyFont="1" applyBorder="1" applyAlignment="1">
      <alignment horizontal="right"/>
    </xf>
    <xf numFmtId="172" fontId="0" fillId="0" borderId="26" xfId="63" applyNumberFormat="1" applyFont="1" applyBorder="1"/>
    <xf numFmtId="172" fontId="0" fillId="0" borderId="0" xfId="63" applyNumberFormat="1" applyFont="1" applyBorder="1" applyAlignment="1">
      <alignment horizontal="right"/>
    </xf>
    <xf numFmtId="172" fontId="0" fillId="0" borderId="0" xfId="63" applyNumberFormat="1" applyFont="1" applyBorder="1"/>
    <xf numFmtId="17" fontId="17" fillId="0" borderId="0" xfId="20" applyNumberFormat="1"/>
    <xf numFmtId="43" fontId="17" fillId="0" borderId="0" xfId="20" applyNumberFormat="1"/>
    <xf numFmtId="43" fontId="33" fillId="0" borderId="0" xfId="63" applyFont="1" applyFill="1" applyAlignment="1">
      <alignment vertical="top"/>
    </xf>
    <xf numFmtId="43" fontId="33" fillId="0" borderId="0" xfId="63" applyFont="1" applyAlignment="1">
      <alignment vertical="top"/>
    </xf>
    <xf numFmtId="172" fontId="0" fillId="0" borderId="24" xfId="63" applyNumberFormat="1" applyFont="1" applyFill="1" applyBorder="1" applyAlignment="1">
      <alignment horizontal="right"/>
    </xf>
    <xf numFmtId="172" fontId="0" fillId="0" borderId="24" xfId="63" applyNumberFormat="1" applyFont="1" applyFill="1" applyBorder="1"/>
    <xf numFmtId="172" fontId="0" fillId="0" borderId="24" xfId="63" applyNumberFormat="1" applyFont="1" applyBorder="1" applyAlignment="1">
      <alignment horizontal="right"/>
    </xf>
    <xf numFmtId="172" fontId="0" fillId="0" borderId="24" xfId="63" applyNumberFormat="1" applyFont="1" applyBorder="1"/>
    <xf numFmtId="0" fontId="17" fillId="0" borderId="0" xfId="0" applyFont="1"/>
    <xf numFmtId="0" fontId="44" fillId="2" borderId="0" xfId="20" applyFont="1" applyFill="1" applyAlignment="1">
      <alignment vertical="center"/>
    </xf>
    <xf numFmtId="0" fontId="26" fillId="0" borderId="0" xfId="20" applyFont="1" applyAlignment="1" applyProtection="1">
      <alignment vertical="center"/>
      <protection locked="0"/>
    </xf>
    <xf numFmtId="0" fontId="26" fillId="2" borderId="0" xfId="20" applyFont="1" applyFill="1" applyAlignment="1">
      <alignment vertical="center" wrapText="1"/>
    </xf>
    <xf numFmtId="0" fontId="26" fillId="2" borderId="0" xfId="20" applyFont="1" applyFill="1" applyAlignment="1">
      <alignment vertical="center"/>
    </xf>
    <xf numFmtId="166" fontId="26" fillId="2" borderId="0" xfId="20" applyNumberFormat="1" applyFont="1" applyFill="1" applyAlignment="1">
      <alignment vertical="center"/>
    </xf>
    <xf numFmtId="165" fontId="26" fillId="2" borderId="0" xfId="3" applyNumberFormat="1" applyFont="1" applyFill="1" applyAlignment="1" applyProtection="1">
      <alignment vertical="center"/>
    </xf>
    <xf numFmtId="0" fontId="43" fillId="2" borderId="0" xfId="20" applyFont="1" applyFill="1" applyAlignment="1">
      <alignment vertical="center"/>
    </xf>
    <xf numFmtId="165" fontId="43" fillId="2" borderId="0" xfId="3" applyNumberFormat="1" applyFont="1" applyFill="1" applyAlignment="1" applyProtection="1">
      <alignment vertical="center"/>
    </xf>
    <xf numFmtId="0" fontId="26" fillId="0" borderId="0" xfId="20" applyFont="1" applyAlignment="1" applyProtection="1">
      <alignment vertical="center" wrapText="1"/>
      <protection locked="0"/>
    </xf>
    <xf numFmtId="166" fontId="26" fillId="0" borderId="0" xfId="20" applyNumberFormat="1" applyFont="1" applyAlignment="1" applyProtection="1">
      <alignment vertical="center"/>
      <protection locked="0"/>
    </xf>
    <xf numFmtId="165" fontId="26" fillId="0" borderId="0" xfId="3" applyNumberFormat="1" applyFont="1" applyAlignment="1" applyProtection="1">
      <alignment vertical="center"/>
      <protection locked="0"/>
    </xf>
    <xf numFmtId="0" fontId="47" fillId="2" borderId="0" xfId="20" applyFont="1" applyFill="1" applyAlignment="1">
      <alignment vertical="center"/>
    </xf>
    <xf numFmtId="166" fontId="28" fillId="13" borderId="22" xfId="20" applyNumberFormat="1" applyFont="1" applyFill="1" applyBorder="1" applyAlignment="1">
      <alignment horizontal="centerContinuous" vertical="center"/>
    </xf>
    <xf numFmtId="166" fontId="28" fillId="13" borderId="25" xfId="20" applyNumberFormat="1" applyFont="1" applyFill="1" applyBorder="1" applyAlignment="1">
      <alignment horizontal="centerContinuous" vertical="center"/>
    </xf>
    <xf numFmtId="0" fontId="28" fillId="12" borderId="54" xfId="20" applyFont="1" applyFill="1" applyBorder="1" applyAlignment="1">
      <alignment horizontal="center" vertical="center" wrapText="1"/>
    </xf>
    <xf numFmtId="0" fontId="28" fillId="0" borderId="12" xfId="20" applyFont="1" applyBorder="1" applyAlignment="1">
      <alignment horizontal="left" vertical="center"/>
    </xf>
    <xf numFmtId="167" fontId="28" fillId="0" borderId="12" xfId="20" applyNumberFormat="1" applyFont="1" applyBorder="1" applyAlignment="1">
      <alignment vertical="center"/>
    </xf>
    <xf numFmtId="167" fontId="28" fillId="0" borderId="6" xfId="20" applyNumberFormat="1" applyFont="1" applyBorder="1" applyAlignment="1">
      <alignment vertical="center"/>
    </xf>
    <xf numFmtId="0" fontId="28" fillId="2" borderId="56" xfId="20" applyFont="1" applyFill="1" applyBorder="1" applyAlignment="1">
      <alignment vertical="center"/>
    </xf>
    <xf numFmtId="0" fontId="28" fillId="2" borderId="1" xfId="20" applyFont="1" applyFill="1" applyBorder="1" applyAlignment="1">
      <alignment vertical="center"/>
    </xf>
    <xf numFmtId="0" fontId="26" fillId="0" borderId="12" xfId="20" applyFont="1" applyBorder="1" applyAlignment="1">
      <alignment vertical="center" wrapText="1"/>
    </xf>
    <xf numFmtId="167" fontId="26" fillId="0" borderId="12" xfId="28" applyNumberFormat="1" applyFont="1" applyBorder="1" applyAlignment="1" applyProtection="1">
      <alignment vertical="center"/>
    </xf>
    <xf numFmtId="0" fontId="46" fillId="4" borderId="12" xfId="20" applyFont="1" applyFill="1" applyBorder="1" applyAlignment="1">
      <alignment horizontal="right" vertical="center"/>
    </xf>
    <xf numFmtId="167" fontId="28" fillId="4" borderId="12" xfId="28" applyNumberFormat="1" applyFont="1" applyFill="1" applyBorder="1" applyAlignment="1" applyProtection="1">
      <alignment vertical="center"/>
    </xf>
    <xf numFmtId="167" fontId="28" fillId="4" borderId="6" xfId="28" applyNumberFormat="1" applyFont="1" applyFill="1" applyBorder="1" applyAlignment="1" applyProtection="1">
      <alignment vertical="center"/>
    </xf>
    <xf numFmtId="0" fontId="28" fillId="0" borderId="56" xfId="20" applyFont="1" applyBorder="1" applyAlignment="1">
      <alignment vertical="center"/>
    </xf>
    <xf numFmtId="167" fontId="28" fillId="0" borderId="56" xfId="28" applyNumberFormat="1" applyFont="1" applyBorder="1" applyAlignment="1" applyProtection="1">
      <alignment vertical="center"/>
    </xf>
    <xf numFmtId="167" fontId="28" fillId="0" borderId="1" xfId="28" applyNumberFormat="1" applyFont="1" applyBorder="1" applyAlignment="1" applyProtection="1">
      <alignment vertical="center"/>
    </xf>
    <xf numFmtId="167" fontId="28" fillId="2" borderId="56" xfId="28" applyNumberFormat="1" applyFont="1" applyFill="1" applyBorder="1" applyAlignment="1" applyProtection="1">
      <alignment vertical="center"/>
    </xf>
    <xf numFmtId="167" fontId="28" fillId="2" borderId="1" xfId="28" applyNumberFormat="1" applyFont="1" applyFill="1" applyBorder="1" applyAlignment="1" applyProtection="1">
      <alignment vertical="center"/>
    </xf>
    <xf numFmtId="0" fontId="28" fillId="2" borderId="56" xfId="0" applyFont="1" applyFill="1" applyBorder="1" applyAlignment="1">
      <alignment vertical="center"/>
    </xf>
    <xf numFmtId="0" fontId="46" fillId="4" borderId="12" xfId="0" applyFont="1" applyFill="1" applyBorder="1" applyAlignment="1">
      <alignment horizontal="right" vertical="center"/>
    </xf>
    <xf numFmtId="0" fontId="26" fillId="0" borderId="12" xfId="0" applyFont="1" applyBorder="1" applyAlignment="1">
      <alignment vertical="center" wrapText="1"/>
    </xf>
    <xf numFmtId="0" fontId="28" fillId="0" borderId="54" xfId="0" applyFont="1" applyBorder="1" applyAlignment="1">
      <alignment horizontal="center" vertical="center" wrapText="1"/>
    </xf>
    <xf numFmtId="167" fontId="28" fillId="0" borderId="54" xfId="28" applyNumberFormat="1" applyFont="1" applyBorder="1" applyAlignment="1" applyProtection="1">
      <alignment vertical="center"/>
    </xf>
    <xf numFmtId="165" fontId="28" fillId="0" borderId="54" xfId="3" applyNumberFormat="1" applyFont="1" applyBorder="1" applyAlignment="1" applyProtection="1">
      <alignment vertical="center"/>
    </xf>
    <xf numFmtId="44" fontId="26" fillId="0" borderId="0" xfId="28" applyFont="1"/>
    <xf numFmtId="0" fontId="28" fillId="0" borderId="59" xfId="20" applyFont="1" applyBorder="1" applyAlignment="1">
      <alignment horizontal="center" vertical="center" wrapText="1"/>
    </xf>
    <xf numFmtId="0" fontId="28" fillId="2" borderId="0" xfId="20" applyFont="1" applyFill="1" applyAlignment="1">
      <alignment horizontal="center" vertical="center" wrapText="1"/>
    </xf>
    <xf numFmtId="0" fontId="31" fillId="0" borderId="0" xfId="0" applyFont="1"/>
    <xf numFmtId="0" fontId="17" fillId="0" borderId="0" xfId="0" applyFont="1" applyAlignment="1">
      <alignment vertical="center" wrapText="1"/>
    </xf>
    <xf numFmtId="0" fontId="44" fillId="2" borderId="0" xfId="20" applyFont="1" applyFill="1" applyAlignment="1">
      <alignment horizontal="center" vertical="center"/>
    </xf>
    <xf numFmtId="0" fontId="26" fillId="0" borderId="0" xfId="79" applyFont="1"/>
    <xf numFmtId="0" fontId="26" fillId="0" borderId="0" xfId="79" applyFont="1" applyAlignment="1">
      <alignment horizontal="center"/>
    </xf>
    <xf numFmtId="0" fontId="26" fillId="0" borderId="0" xfId="79" applyFont="1" applyAlignment="1">
      <alignment horizontal="left"/>
    </xf>
    <xf numFmtId="9" fontId="26" fillId="0" borderId="0" xfId="80" applyFont="1" applyFill="1" applyBorder="1" applyAlignment="1">
      <alignment horizontal="center"/>
    </xf>
    <xf numFmtId="166" fontId="26" fillId="0" borderId="0" xfId="79" applyNumberFormat="1" applyFont="1"/>
    <xf numFmtId="172" fontId="26" fillId="0" borderId="0" xfId="81" applyNumberFormat="1" applyFont="1" applyFill="1" applyBorder="1"/>
    <xf numFmtId="1" fontId="26" fillId="0" borderId="0" xfId="79" applyNumberFormat="1" applyFont="1" applyAlignment="1">
      <alignment horizontal="center"/>
    </xf>
    <xf numFmtId="164" fontId="26" fillId="0" borderId="0" xfId="79" applyNumberFormat="1" applyFont="1" applyAlignment="1">
      <alignment horizontal="right"/>
    </xf>
    <xf numFmtId="165" fontId="26" fillId="0" borderId="0" xfId="81" applyNumberFormat="1" applyFont="1" applyFill="1" applyBorder="1"/>
    <xf numFmtId="10" fontId="26" fillId="0" borderId="0" xfId="80" applyNumberFormat="1" applyFont="1" applyFill="1" applyBorder="1" applyAlignment="1">
      <alignment horizontal="center"/>
    </xf>
    <xf numFmtId="1" fontId="26" fillId="0" borderId="0" xfId="81" applyNumberFormat="1" applyFont="1" applyFill="1" applyBorder="1" applyAlignment="1">
      <alignment horizontal="center"/>
    </xf>
    <xf numFmtId="166" fontId="27" fillId="0" borderId="0" xfId="79" applyNumberFormat="1" applyFont="1" applyAlignment="1">
      <alignment horizontal="center"/>
    </xf>
    <xf numFmtId="165" fontId="27" fillId="0" borderId="0" xfId="81" applyNumberFormat="1" applyFont="1" applyFill="1" applyAlignment="1">
      <alignment horizontal="center"/>
    </xf>
    <xf numFmtId="0" fontId="27" fillId="0" borderId="0" xfId="79" applyFont="1" applyAlignment="1">
      <alignment horizontal="left"/>
    </xf>
    <xf numFmtId="0" fontId="26" fillId="0" borderId="0" xfId="82" applyFont="1" applyAlignment="1">
      <alignment horizontal="center" vertical="top"/>
    </xf>
    <xf numFmtId="0" fontId="27" fillId="0" borderId="0" xfId="79" applyFont="1"/>
    <xf numFmtId="164" fontId="27" fillId="0" borderId="0" xfId="79" applyNumberFormat="1" applyFont="1" applyAlignment="1">
      <alignment horizontal="right"/>
    </xf>
    <xf numFmtId="0" fontId="26" fillId="0" borderId="0" xfId="79" applyFont="1" applyAlignment="1">
      <alignment horizontal="center" vertical="top" wrapText="1"/>
    </xf>
    <xf numFmtId="0" fontId="26" fillId="0" borderId="0" xfId="79" applyFont="1" applyAlignment="1">
      <alignment horizontal="center" vertical="center"/>
    </xf>
    <xf numFmtId="166" fontId="27" fillId="0" borderId="0" xfId="79" applyNumberFormat="1" applyFont="1"/>
    <xf numFmtId="165" fontId="27" fillId="0" borderId="0" xfId="81" applyNumberFormat="1" applyFont="1"/>
    <xf numFmtId="0" fontId="28" fillId="0" borderId="62" xfId="20" applyFont="1" applyBorder="1" applyAlignment="1">
      <alignment horizontal="center" vertical="center" wrapText="1"/>
    </xf>
    <xf numFmtId="0" fontId="26" fillId="0" borderId="0" xfId="79" applyFont="1" applyAlignment="1">
      <alignment horizontal="right"/>
    </xf>
    <xf numFmtId="0" fontId="27" fillId="0" borderId="0" xfId="79" applyFont="1" applyAlignment="1">
      <alignment horizontal="right"/>
    </xf>
    <xf numFmtId="43" fontId="26" fillId="0" borderId="0" xfId="3" applyFont="1" applyAlignment="1">
      <alignment horizontal="right"/>
    </xf>
    <xf numFmtId="43" fontId="27" fillId="0" borderId="0" xfId="3" applyFont="1" applyAlignment="1">
      <alignment horizontal="right"/>
    </xf>
    <xf numFmtId="14" fontId="27" fillId="0" borderId="0" xfId="79" applyNumberFormat="1" applyFont="1" applyAlignment="1">
      <alignment horizontal="center"/>
    </xf>
    <xf numFmtId="165" fontId="26" fillId="0" borderId="0" xfId="3" applyNumberFormat="1" applyFont="1"/>
    <xf numFmtId="1" fontId="26" fillId="12" borderId="0" xfId="81" applyNumberFormat="1" applyFont="1" applyFill="1" applyBorder="1" applyAlignment="1">
      <alignment horizontal="center"/>
    </xf>
    <xf numFmtId="0" fontId="37" fillId="0" borderId="0" xfId="53" applyFont="1"/>
    <xf numFmtId="0" fontId="41" fillId="0" borderId="0" xfId="53" applyFont="1" applyAlignment="1">
      <alignment horizontal="center"/>
    </xf>
    <xf numFmtId="169" fontId="19" fillId="0" borderId="0" xfId="54" applyFont="1"/>
    <xf numFmtId="0" fontId="51" fillId="0" borderId="0" xfId="53" applyFont="1"/>
    <xf numFmtId="49" fontId="19" fillId="0" borderId="0" xfId="54" applyNumberFormat="1" applyFont="1" applyAlignment="1">
      <alignment horizontal="left"/>
    </xf>
    <xf numFmtId="0" fontId="52" fillId="0" borderId="0" xfId="53" applyFont="1" applyAlignment="1">
      <alignment horizontal="center"/>
    </xf>
    <xf numFmtId="0" fontId="19" fillId="0" borderId="24" xfId="53" applyFont="1" applyBorder="1" applyAlignment="1">
      <alignment horizontal="center"/>
    </xf>
    <xf numFmtId="0" fontId="52" fillId="0" borderId="24" xfId="53" applyFont="1" applyBorder="1" applyAlignment="1">
      <alignment horizontal="left"/>
    </xf>
    <xf numFmtId="0" fontId="19" fillId="0" borderId="0" xfId="53" applyFont="1" applyAlignment="1">
      <alignment horizontal="center"/>
    </xf>
    <xf numFmtId="0" fontId="17" fillId="0" borderId="25" xfId="53" applyFont="1" applyBorder="1" applyAlignment="1">
      <alignment wrapText="1"/>
    </xf>
    <xf numFmtId="0" fontId="19" fillId="0" borderId="25" xfId="53" applyFont="1" applyBorder="1" applyAlignment="1">
      <alignment horizontal="center" vertical="center" wrapText="1"/>
    </xf>
    <xf numFmtId="0" fontId="17" fillId="0" borderId="0" xfId="53" applyFont="1" applyAlignment="1">
      <alignment wrapText="1"/>
    </xf>
    <xf numFmtId="3" fontId="37" fillId="0" borderId="0" xfId="55" applyNumberFormat="1" applyFont="1" applyFill="1"/>
    <xf numFmtId="0" fontId="53" fillId="0" borderId="0" xfId="53" applyFont="1"/>
    <xf numFmtId="172" fontId="53" fillId="0" borderId="6" xfId="85" applyNumberFormat="1" applyFont="1" applyFill="1" applyBorder="1"/>
    <xf numFmtId="172" fontId="37" fillId="0" borderId="6" xfId="85" applyNumberFormat="1" applyFont="1" applyFill="1" applyBorder="1"/>
    <xf numFmtId="3" fontId="37" fillId="0" borderId="0" xfId="55" applyNumberFormat="1" applyFont="1" applyFill="1" applyAlignment="1">
      <alignment horizontal="center"/>
    </xf>
    <xf numFmtId="171" fontId="37" fillId="0" borderId="0" xfId="55" applyNumberFormat="1" applyFont="1" applyFill="1"/>
    <xf numFmtId="0" fontId="26" fillId="0" borderId="0" xfId="53" applyFont="1" applyAlignment="1">
      <alignment horizontal="left" vertical="top" wrapText="1"/>
    </xf>
    <xf numFmtId="171" fontId="37" fillId="0" borderId="0" xfId="53" applyNumberFormat="1" applyFont="1"/>
    <xf numFmtId="171" fontId="37" fillId="0" borderId="0" xfId="85" applyNumberFormat="1" applyFont="1" applyFill="1"/>
    <xf numFmtId="0" fontId="48" fillId="10" borderId="8" xfId="53" applyFont="1" applyFill="1" applyBorder="1" applyAlignment="1">
      <alignment horizontal="center" vertical="center" wrapText="1"/>
    </xf>
    <xf numFmtId="171" fontId="26" fillId="0" borderId="21" xfId="86" applyNumberFormat="1" applyFont="1" applyFill="1" applyBorder="1" applyAlignment="1">
      <alignment horizontal="center" vertical="center"/>
    </xf>
    <xf numFmtId="3" fontId="37" fillId="0" borderId="21" xfId="55" applyNumberFormat="1" applyFont="1" applyFill="1" applyBorder="1"/>
    <xf numFmtId="0" fontId="37" fillId="0" borderId="9" xfId="53" applyFont="1" applyBorder="1"/>
    <xf numFmtId="171" fontId="26" fillId="0" borderId="0" xfId="86" applyNumberFormat="1" applyFont="1" applyFill="1" applyBorder="1" applyAlignment="1">
      <alignment horizontal="center" vertical="center"/>
    </xf>
    <xf numFmtId="171" fontId="26" fillId="0" borderId="16" xfId="86" applyNumberFormat="1" applyFont="1" applyFill="1" applyBorder="1" applyAlignment="1">
      <alignment horizontal="center" vertical="center"/>
    </xf>
    <xf numFmtId="171" fontId="26" fillId="0" borderId="11" xfId="86" applyNumberFormat="1" applyFont="1" applyFill="1" applyBorder="1" applyAlignment="1">
      <alignment horizontal="center" vertical="center"/>
    </xf>
    <xf numFmtId="171" fontId="26" fillId="0" borderId="7" xfId="86" applyNumberFormat="1" applyFont="1" applyFill="1" applyBorder="1" applyAlignment="1">
      <alignment horizontal="center" vertical="center"/>
    </xf>
    <xf numFmtId="0" fontId="34" fillId="0" borderId="17" xfId="53" applyBorder="1"/>
    <xf numFmtId="0" fontId="34" fillId="0" borderId="0" xfId="53"/>
    <xf numFmtId="0" fontId="34" fillId="0" borderId="24" xfId="53" applyBorder="1"/>
    <xf numFmtId="0" fontId="34" fillId="0" borderId="14" xfId="53" applyBorder="1"/>
    <xf numFmtId="0" fontId="56" fillId="0" borderId="2" xfId="53" applyFont="1" applyBorder="1" applyAlignment="1">
      <alignment horizontal="center" wrapText="1"/>
    </xf>
    <xf numFmtId="0" fontId="56" fillId="0" borderId="1" xfId="53" applyFont="1" applyBorder="1" applyAlignment="1">
      <alignment horizontal="center" wrapText="1"/>
    </xf>
    <xf numFmtId="0" fontId="56" fillId="0" borderId="3" xfId="53" applyFont="1" applyBorder="1" applyAlignment="1">
      <alignment horizontal="center" wrapText="1"/>
    </xf>
    <xf numFmtId="170" fontId="34" fillId="0" borderId="0" xfId="53" applyNumberFormat="1" applyAlignment="1">
      <alignment horizontal="center" vertical="center"/>
    </xf>
    <xf numFmtId="170" fontId="34" fillId="0" borderId="17" xfId="53" applyNumberFormat="1" applyBorder="1" applyAlignment="1">
      <alignment horizontal="center" vertical="center"/>
    </xf>
    <xf numFmtId="171" fontId="26" fillId="0" borderId="9" xfId="86" applyNumberFormat="1" applyFont="1" applyFill="1" applyBorder="1" applyAlignment="1">
      <alignment horizontal="center" vertical="center"/>
    </xf>
    <xf numFmtId="0" fontId="27" fillId="0" borderId="0" xfId="87" applyFont="1" applyAlignment="1">
      <alignment horizontal="left" vertical="top" wrapText="1"/>
    </xf>
    <xf numFmtId="0" fontId="27" fillId="0" borderId="0" xfId="87" applyFont="1" applyAlignment="1">
      <alignment horizontal="center" vertical="top" wrapText="1"/>
    </xf>
    <xf numFmtId="3" fontId="26" fillId="0" borderId="0" xfId="87" applyNumberFormat="1" applyFont="1" applyAlignment="1">
      <alignment horizontal="right" vertical="top" wrapText="1"/>
    </xf>
    <xf numFmtId="0" fontId="46" fillId="0" borderId="0" xfId="82" applyFont="1" applyAlignment="1">
      <alignment horizontal="left" vertical="top"/>
    </xf>
    <xf numFmtId="168" fontId="26" fillId="0" borderId="0" xfId="85" applyNumberFormat="1" applyFont="1" applyBorder="1" applyAlignment="1">
      <alignment horizontal="right" vertical="top" wrapText="1"/>
    </xf>
    <xf numFmtId="0" fontId="27" fillId="11" borderId="0" xfId="87" applyFont="1" applyFill="1" applyAlignment="1">
      <alignment horizontal="left"/>
    </xf>
    <xf numFmtId="0" fontId="27" fillId="11" borderId="0" xfId="87" applyFont="1" applyFill="1"/>
    <xf numFmtId="3" fontId="26" fillId="11" borderId="0" xfId="55" applyNumberFormat="1" applyFont="1" applyFill="1"/>
    <xf numFmtId="168" fontId="26" fillId="11" borderId="0" xfId="53" applyNumberFormat="1" applyFont="1" applyFill="1" applyAlignment="1">
      <alignment horizontal="right"/>
    </xf>
    <xf numFmtId="0" fontId="27" fillId="0" borderId="0" xfId="87" applyFont="1"/>
    <xf numFmtId="0" fontId="26" fillId="11" borderId="0" xfId="53" applyFont="1" applyFill="1" applyAlignment="1">
      <alignment horizontal="left" vertical="top" wrapText="1"/>
    </xf>
    <xf numFmtId="0" fontId="27" fillId="5" borderId="0" xfId="87" applyFont="1" applyFill="1" applyAlignment="1">
      <alignment horizontal="left"/>
    </xf>
    <xf numFmtId="0" fontId="27" fillId="5" borderId="0" xfId="87" applyFont="1" applyFill="1"/>
    <xf numFmtId="170" fontId="26" fillId="5" borderId="0" xfId="53" applyNumberFormat="1" applyFont="1" applyFill="1" applyAlignment="1">
      <alignment horizontal="left" vertical="center"/>
    </xf>
    <xf numFmtId="168" fontId="26" fillId="5" borderId="0" xfId="53" applyNumberFormat="1" applyFont="1" applyFill="1" applyAlignment="1">
      <alignment horizontal="right"/>
    </xf>
    <xf numFmtId="0" fontId="27" fillId="0" borderId="0" xfId="87" applyFont="1" applyAlignment="1">
      <alignment horizontal="left"/>
    </xf>
    <xf numFmtId="0" fontId="26" fillId="0" borderId="0" xfId="82" applyFont="1" applyAlignment="1">
      <alignment horizontal="left" vertical="top"/>
    </xf>
    <xf numFmtId="168" fontId="26" fillId="0" borderId="0" xfId="53" applyNumberFormat="1" applyFont="1" applyAlignment="1">
      <alignment horizontal="right"/>
    </xf>
    <xf numFmtId="172" fontId="26" fillId="0" borderId="0" xfId="82" applyNumberFormat="1" applyFont="1"/>
    <xf numFmtId="0" fontId="26" fillId="0" borderId="0" xfId="20" applyFont="1" applyAlignment="1">
      <alignment horizontal="center"/>
    </xf>
    <xf numFmtId="0" fontId="26" fillId="0" borderId="0" xfId="20" applyFont="1"/>
    <xf numFmtId="0" fontId="57" fillId="0" borderId="0" xfId="20" applyFont="1" applyAlignment="1">
      <alignment horizontal="center"/>
    </xf>
    <xf numFmtId="165" fontId="26" fillId="0" borderId="0" xfId="63" applyNumberFormat="1" applyFont="1" applyBorder="1"/>
    <xf numFmtId="0" fontId="26" fillId="0" borderId="0" xfId="20" applyFont="1" applyAlignment="1">
      <alignment horizontal="left"/>
    </xf>
    <xf numFmtId="43" fontId="26" fillId="0" borderId="0" xfId="63" applyFont="1" applyBorder="1"/>
    <xf numFmtId="0" fontId="27" fillId="0" borderId="0" xfId="87" applyFont="1" applyAlignment="1">
      <alignment horizontal="left" vertical="top"/>
    </xf>
    <xf numFmtId="0" fontId="27" fillId="0" borderId="0" xfId="87" applyFont="1" applyAlignment="1">
      <alignment horizontal="right"/>
    </xf>
    <xf numFmtId="173" fontId="37" fillId="0" borderId="0" xfId="84" applyAlignment="1">
      <alignment horizontal="left"/>
    </xf>
    <xf numFmtId="173" fontId="37" fillId="0" borderId="0" xfId="84"/>
    <xf numFmtId="173" fontId="31" fillId="0" borderId="0" xfId="84" applyFont="1"/>
    <xf numFmtId="173" fontId="37" fillId="0" borderId="0" xfId="84" applyAlignment="1">
      <alignment vertical="center"/>
    </xf>
    <xf numFmtId="173" fontId="37" fillId="0" borderId="17" xfId="84" applyBorder="1" applyAlignment="1">
      <alignment horizontal="left"/>
    </xf>
    <xf numFmtId="173" fontId="37" fillId="0" borderId="17" xfId="84" applyBorder="1" applyAlignment="1">
      <alignment horizontal="left" wrapText="1"/>
    </xf>
    <xf numFmtId="173" fontId="41" fillId="0" borderId="18" xfId="84" applyFont="1" applyBorder="1" applyAlignment="1">
      <alignment horizontal="center"/>
    </xf>
    <xf numFmtId="173" fontId="41" fillId="0" borderId="30" xfId="84" applyFont="1" applyBorder="1" applyAlignment="1">
      <alignment horizontal="center"/>
    </xf>
    <xf numFmtId="173" fontId="41" fillId="0" borderId="31" xfId="84" applyFont="1" applyBorder="1" applyAlignment="1">
      <alignment horizontal="center"/>
    </xf>
    <xf numFmtId="173" fontId="41" fillId="0" borderId="32" xfId="84" applyFont="1" applyBorder="1" applyAlignment="1">
      <alignment horizontal="center"/>
    </xf>
    <xf numFmtId="173" fontId="37" fillId="0" borderId="0" xfId="84" applyAlignment="1">
      <alignment horizontal="center"/>
    </xf>
    <xf numFmtId="173" fontId="41" fillId="0" borderId="18" xfId="84" applyFont="1" applyBorder="1" applyAlignment="1">
      <alignment horizontal="center" wrapText="1"/>
    </xf>
    <xf numFmtId="173" fontId="41" fillId="0" borderId="30" xfId="84" applyFont="1" applyBorder="1" applyAlignment="1">
      <alignment horizontal="center" wrapText="1"/>
    </xf>
    <xf numFmtId="173" fontId="41" fillId="0" borderId="31" xfId="84" applyFont="1" applyBorder="1" applyAlignment="1">
      <alignment horizontal="center" wrapText="1"/>
    </xf>
    <xf numFmtId="173" fontId="41" fillId="0" borderId="32" xfId="84" applyFont="1" applyBorder="1" applyAlignment="1">
      <alignment horizontal="center" wrapText="1"/>
    </xf>
    <xf numFmtId="173" fontId="41" fillId="0" borderId="17" xfId="84" quotePrefix="1" applyFont="1" applyBorder="1" applyAlignment="1">
      <alignment horizontal="left" vertical="center"/>
    </xf>
    <xf numFmtId="10" fontId="0" fillId="0" borderId="19" xfId="8" applyNumberFormat="1" applyFont="1" applyBorder="1" applyAlignment="1">
      <alignment horizontal="right"/>
    </xf>
    <xf numFmtId="10" fontId="0" fillId="0" borderId="33" xfId="8" applyNumberFormat="1" applyFont="1" applyBorder="1" applyAlignment="1">
      <alignment horizontal="right"/>
    </xf>
    <xf numFmtId="10" fontId="0" fillId="0" borderId="34" xfId="8" applyNumberFormat="1" applyFont="1" applyBorder="1" applyAlignment="1">
      <alignment horizontal="right"/>
    </xf>
    <xf numFmtId="10" fontId="0" fillId="0" borderId="35" xfId="8" applyNumberFormat="1" applyFont="1" applyBorder="1" applyAlignment="1">
      <alignment horizontal="right"/>
    </xf>
    <xf numFmtId="10" fontId="0" fillId="0" borderId="34" xfId="88" applyNumberFormat="1" applyFont="1" applyFill="1" applyBorder="1" applyAlignment="1">
      <alignment horizontal="right"/>
    </xf>
    <xf numFmtId="10" fontId="0" fillId="0" borderId="35" xfId="88" applyNumberFormat="1" applyFont="1" applyFill="1" applyBorder="1" applyAlignment="1">
      <alignment horizontal="right"/>
    </xf>
    <xf numFmtId="10" fontId="0" fillId="0" borderId="19" xfId="88" applyNumberFormat="1" applyFont="1" applyBorder="1"/>
    <xf numFmtId="10" fontId="0" fillId="0" borderId="33" xfId="88" applyNumberFormat="1" applyFont="1" applyBorder="1"/>
    <xf numFmtId="10" fontId="0" fillId="0" borderId="34" xfId="88" applyNumberFormat="1" applyFont="1" applyBorder="1" applyAlignment="1">
      <alignment horizontal="right"/>
    </xf>
    <xf numFmtId="10" fontId="0" fillId="0" borderId="35" xfId="88" applyNumberFormat="1" applyFont="1" applyBorder="1" applyAlignment="1">
      <alignment horizontal="right"/>
    </xf>
    <xf numFmtId="174" fontId="37" fillId="0" borderId="0" xfId="13" applyNumberFormat="1" applyFont="1" applyAlignment="1">
      <alignment horizontal="center"/>
    </xf>
    <xf numFmtId="10" fontId="0" fillId="3" borderId="19" xfId="88" applyNumberFormat="1" applyFont="1" applyFill="1" applyBorder="1"/>
    <xf numFmtId="10" fontId="0" fillId="3" borderId="34" xfId="88" applyNumberFormat="1" applyFont="1" applyFill="1" applyBorder="1" applyAlignment="1">
      <alignment horizontal="right"/>
    </xf>
    <xf numFmtId="10" fontId="0" fillId="0" borderId="19" xfId="88" applyNumberFormat="1" applyFont="1" applyFill="1" applyBorder="1"/>
    <xf numFmtId="10" fontId="0" fillId="0" borderId="33" xfId="88" applyNumberFormat="1" applyFont="1" applyFill="1" applyBorder="1"/>
    <xf numFmtId="10" fontId="0" fillId="7" borderId="19" xfId="8" applyNumberFormat="1" applyFont="1" applyFill="1" applyBorder="1" applyAlignment="1">
      <alignment horizontal="right"/>
    </xf>
    <xf numFmtId="10" fontId="0" fillId="7" borderId="34" xfId="8" applyNumberFormat="1" applyFont="1" applyFill="1" applyBorder="1" applyAlignment="1">
      <alignment horizontal="right"/>
    </xf>
    <xf numFmtId="10" fontId="0" fillId="7" borderId="34" xfId="88" applyNumberFormat="1" applyFont="1" applyFill="1" applyBorder="1" applyAlignment="1">
      <alignment horizontal="right"/>
    </xf>
    <xf numFmtId="10" fontId="0" fillId="7" borderId="19" xfId="88" applyNumberFormat="1" applyFont="1" applyFill="1" applyBorder="1"/>
    <xf numFmtId="10" fontId="0" fillId="7" borderId="33" xfId="88" applyNumberFormat="1" applyFont="1" applyFill="1" applyBorder="1"/>
    <xf numFmtId="10" fontId="0" fillId="7" borderId="35" xfId="88" applyNumberFormat="1" applyFont="1" applyFill="1" applyBorder="1" applyAlignment="1">
      <alignment horizontal="right"/>
    </xf>
    <xf numFmtId="43" fontId="24" fillId="0" borderId="0" xfId="13" applyFont="1" applyBorder="1" applyAlignment="1">
      <alignment horizontal="center"/>
    </xf>
    <xf numFmtId="43" fontId="24" fillId="0" borderId="0" xfId="13" applyFont="1" applyFill="1" applyBorder="1" applyAlignment="1">
      <alignment horizontal="center"/>
    </xf>
    <xf numFmtId="10" fontId="42" fillId="0" borderId="35" xfId="88" applyNumberFormat="1" applyFont="1" applyBorder="1" applyAlignment="1">
      <alignment horizontal="right"/>
    </xf>
    <xf numFmtId="10" fontId="0" fillId="9" borderId="33" xfId="8" applyNumberFormat="1" applyFont="1" applyFill="1" applyBorder="1" applyAlignment="1">
      <alignment horizontal="right"/>
    </xf>
    <xf numFmtId="10" fontId="0" fillId="9" borderId="35" xfId="8" applyNumberFormat="1" applyFont="1" applyFill="1" applyBorder="1" applyAlignment="1">
      <alignment horizontal="right"/>
    </xf>
    <xf numFmtId="10" fontId="0" fillId="9" borderId="35" xfId="88" applyNumberFormat="1" applyFont="1" applyFill="1" applyBorder="1" applyAlignment="1">
      <alignment horizontal="right"/>
    </xf>
    <xf numFmtId="10" fontId="0" fillId="9" borderId="33" xfId="88" applyNumberFormat="1" applyFont="1" applyFill="1" applyBorder="1"/>
    <xf numFmtId="10" fontId="0" fillId="9" borderId="19" xfId="88" applyNumberFormat="1" applyFont="1" applyFill="1" applyBorder="1"/>
    <xf numFmtId="10" fontId="0" fillId="9" borderId="34" xfId="88" applyNumberFormat="1" applyFont="1" applyFill="1" applyBorder="1" applyAlignment="1">
      <alignment horizontal="right"/>
    </xf>
    <xf numFmtId="10" fontId="17" fillId="0" borderId="34" xfId="88" applyNumberFormat="1" applyFont="1" applyBorder="1" applyAlignment="1">
      <alignment horizontal="right"/>
    </xf>
    <xf numFmtId="10" fontId="17" fillId="9" borderId="35" xfId="88" applyNumberFormat="1" applyFont="1" applyFill="1" applyBorder="1" applyAlignment="1">
      <alignment horizontal="right"/>
    </xf>
    <xf numFmtId="10" fontId="17" fillId="9" borderId="36" xfId="88" applyNumberFormat="1" applyFont="1" applyFill="1" applyBorder="1" applyAlignment="1">
      <alignment horizontal="right"/>
    </xf>
    <xf numFmtId="10" fontId="17" fillId="9" borderId="17" xfId="88" applyNumberFormat="1" applyFont="1" applyFill="1" applyBorder="1" applyAlignment="1">
      <alignment horizontal="right"/>
    </xf>
    <xf numFmtId="173" fontId="41" fillId="0" borderId="3" xfId="84" quotePrefix="1" applyFont="1" applyBorder="1" applyAlignment="1">
      <alignment horizontal="left" vertical="center"/>
    </xf>
    <xf numFmtId="10" fontId="0" fillId="0" borderId="18" xfId="8" applyNumberFormat="1" applyFont="1" applyFill="1" applyBorder="1" applyAlignment="1">
      <alignment horizontal="right"/>
    </xf>
    <xf numFmtId="10" fontId="0" fillId="4" borderId="30" xfId="8" applyNumberFormat="1" applyFont="1" applyFill="1" applyBorder="1" applyAlignment="1">
      <alignment horizontal="right"/>
    </xf>
    <xf numFmtId="10" fontId="0" fillId="0" borderId="37" xfId="8" applyNumberFormat="1" applyFont="1" applyFill="1" applyBorder="1" applyAlignment="1">
      <alignment horizontal="right"/>
    </xf>
    <xf numFmtId="10" fontId="0" fillId="4" borderId="3" xfId="8" applyNumberFormat="1" applyFont="1" applyFill="1" applyBorder="1" applyAlignment="1">
      <alignment horizontal="right"/>
    </xf>
    <xf numFmtId="10" fontId="17" fillId="0" borderId="31" xfId="88" applyNumberFormat="1" applyFont="1" applyFill="1" applyBorder="1" applyAlignment="1">
      <alignment horizontal="right"/>
    </xf>
    <xf numFmtId="10" fontId="17" fillId="4" borderId="32" xfId="88" applyNumberFormat="1" applyFont="1" applyFill="1" applyBorder="1" applyAlignment="1">
      <alignment horizontal="right"/>
    </xf>
    <xf numFmtId="10" fontId="0" fillId="0" borderId="18" xfId="88" applyNumberFormat="1" applyFont="1" applyFill="1" applyBorder="1"/>
    <xf numFmtId="10" fontId="0" fillId="0" borderId="31" xfId="88" applyNumberFormat="1" applyFont="1" applyFill="1" applyBorder="1" applyAlignment="1">
      <alignment horizontal="right"/>
    </xf>
    <xf numFmtId="10" fontId="0" fillId="4" borderId="32" xfId="8" applyNumberFormat="1" applyFont="1" applyFill="1" applyBorder="1" applyAlignment="1">
      <alignment horizontal="right"/>
    </xf>
    <xf numFmtId="173" fontId="37" fillId="0" borderId="26" xfId="84" applyBorder="1"/>
    <xf numFmtId="10" fontId="0" fillId="0" borderId="18" xfId="88" applyNumberFormat="1" applyFont="1" applyBorder="1"/>
    <xf numFmtId="10" fontId="0" fillId="0" borderId="30" xfId="88" applyNumberFormat="1" applyFont="1" applyBorder="1"/>
    <xf numFmtId="10" fontId="0" fillId="0" borderId="31" xfId="88" applyNumberFormat="1" applyFont="1" applyBorder="1" applyAlignment="1">
      <alignment horizontal="right"/>
    </xf>
    <xf numFmtId="10" fontId="0" fillId="0" borderId="32" xfId="88" applyNumberFormat="1" applyFont="1" applyBorder="1" applyAlignment="1">
      <alignment horizontal="right"/>
    </xf>
    <xf numFmtId="43" fontId="24" fillId="0" borderId="26" xfId="13" applyFont="1" applyBorder="1" applyAlignment="1">
      <alignment horizontal="center"/>
    </xf>
    <xf numFmtId="10" fontId="17" fillId="4" borderId="3" xfId="88" applyNumberFormat="1" applyFont="1" applyFill="1" applyBorder="1"/>
    <xf numFmtId="10" fontId="17" fillId="4" borderId="38" xfId="88" applyNumberFormat="1" applyFont="1" applyFill="1" applyBorder="1"/>
    <xf numFmtId="10" fontId="17" fillId="4" borderId="37" xfId="88" applyNumberFormat="1" applyFont="1" applyFill="1" applyBorder="1"/>
    <xf numFmtId="10" fontId="17" fillId="4" borderId="20" xfId="88" applyNumberFormat="1" applyFont="1" applyFill="1" applyBorder="1"/>
    <xf numFmtId="173" fontId="41" fillId="0" borderId="6" xfId="84" quotePrefix="1" applyFont="1" applyBorder="1" applyAlignment="1">
      <alignment horizontal="left" vertical="center"/>
    </xf>
    <xf numFmtId="10" fontId="0" fillId="5" borderId="19" xfId="8" applyNumberFormat="1" applyFont="1" applyFill="1" applyBorder="1" applyAlignment="1">
      <alignment horizontal="right"/>
    </xf>
    <xf numFmtId="10" fontId="0" fillId="5" borderId="33" xfId="8" applyNumberFormat="1" applyFont="1" applyFill="1" applyBorder="1" applyAlignment="1">
      <alignment horizontal="right"/>
    </xf>
    <xf numFmtId="10" fontId="0" fillId="5" borderId="36" xfId="8" applyNumberFormat="1" applyFont="1" applyFill="1" applyBorder="1" applyAlignment="1">
      <alignment horizontal="right"/>
    </xf>
    <xf numFmtId="10" fontId="0" fillId="5" borderId="6" xfId="8" applyNumberFormat="1" applyFont="1" applyFill="1" applyBorder="1" applyAlignment="1">
      <alignment horizontal="right"/>
    </xf>
    <xf numFmtId="10" fontId="17" fillId="5" borderId="34" xfId="88" applyNumberFormat="1" applyFont="1" applyFill="1" applyBorder="1" applyAlignment="1">
      <alignment horizontal="right"/>
    </xf>
    <xf numFmtId="10" fontId="17" fillId="5" borderId="35" xfId="88" applyNumberFormat="1" applyFont="1" applyFill="1" applyBorder="1" applyAlignment="1">
      <alignment horizontal="right"/>
    </xf>
    <xf numFmtId="10" fontId="0" fillId="5" borderId="19" xfId="88" applyNumberFormat="1" applyFont="1" applyFill="1" applyBorder="1"/>
    <xf numFmtId="10" fontId="0" fillId="5" borderId="34" xfId="88" applyNumberFormat="1" applyFont="1" applyFill="1" applyBorder="1" applyAlignment="1">
      <alignment horizontal="right"/>
    </xf>
    <xf numFmtId="10" fontId="0" fillId="5" borderId="35" xfId="8" applyNumberFormat="1" applyFont="1" applyFill="1" applyBorder="1" applyAlignment="1">
      <alignment horizontal="right"/>
    </xf>
    <xf numFmtId="10" fontId="17" fillId="5" borderId="6" xfId="88" applyNumberFormat="1" applyFont="1" applyFill="1" applyBorder="1"/>
    <xf numFmtId="10" fontId="17" fillId="5" borderId="39" xfId="88" applyNumberFormat="1" applyFont="1" applyFill="1" applyBorder="1"/>
    <xf numFmtId="10" fontId="17" fillId="5" borderId="36" xfId="88" applyNumberFormat="1" applyFont="1" applyFill="1" applyBorder="1"/>
    <xf numFmtId="10" fontId="17" fillId="5" borderId="17" xfId="88" applyNumberFormat="1" applyFont="1" applyFill="1" applyBorder="1"/>
    <xf numFmtId="173" fontId="41" fillId="0" borderId="40" xfId="84" quotePrefix="1" applyFont="1" applyBorder="1" applyAlignment="1">
      <alignment horizontal="left" vertical="center"/>
    </xf>
    <xf numFmtId="10" fontId="0" fillId="5" borderId="13" xfId="8" applyNumberFormat="1" applyFont="1" applyFill="1" applyBorder="1" applyAlignment="1">
      <alignment horizontal="right"/>
    </xf>
    <xf numFmtId="10" fontId="0" fillId="5" borderId="41" xfId="8" applyNumberFormat="1" applyFont="1" applyFill="1" applyBorder="1" applyAlignment="1">
      <alignment horizontal="right"/>
    </xf>
    <xf numFmtId="10" fontId="0" fillId="5" borderId="42" xfId="8" applyNumberFormat="1" applyFont="1" applyFill="1" applyBorder="1" applyAlignment="1">
      <alignment horizontal="right"/>
    </xf>
    <xf numFmtId="10" fontId="0" fillId="5" borderId="40" xfId="8" applyNumberFormat="1" applyFont="1" applyFill="1" applyBorder="1" applyAlignment="1">
      <alignment horizontal="right"/>
    </xf>
    <xf numFmtId="10" fontId="17" fillId="5" borderId="43" xfId="88" applyNumberFormat="1" applyFont="1" applyFill="1" applyBorder="1" applyAlignment="1">
      <alignment horizontal="right"/>
    </xf>
    <xf numFmtId="10" fontId="17" fillId="5" borderId="44" xfId="88" applyNumberFormat="1" applyFont="1" applyFill="1" applyBorder="1" applyAlignment="1">
      <alignment horizontal="right"/>
    </xf>
    <xf numFmtId="10" fontId="0" fillId="5" borderId="13" xfId="88" applyNumberFormat="1" applyFont="1" applyFill="1" applyBorder="1"/>
    <xf numFmtId="10" fontId="0" fillId="5" borderId="43" xfId="88" applyNumberFormat="1" applyFont="1" applyFill="1" applyBorder="1" applyAlignment="1">
      <alignment horizontal="right"/>
    </xf>
    <xf numFmtId="10" fontId="0" fillId="5" borderId="44" xfId="8" applyNumberFormat="1" applyFont="1" applyFill="1" applyBorder="1" applyAlignment="1">
      <alignment horizontal="right"/>
    </xf>
    <xf numFmtId="173" fontId="37" fillId="0" borderId="24" xfId="84" applyBorder="1"/>
    <xf numFmtId="10" fontId="0" fillId="0" borderId="13" xfId="88" applyNumberFormat="1" applyFont="1" applyBorder="1"/>
    <xf numFmtId="10" fontId="0" fillId="0" borderId="41" xfId="88" applyNumberFormat="1" applyFont="1" applyBorder="1"/>
    <xf numFmtId="10" fontId="0" fillId="0" borderId="43" xfId="88" applyNumberFormat="1" applyFont="1" applyBorder="1" applyAlignment="1">
      <alignment horizontal="right"/>
    </xf>
    <xf numFmtId="10" fontId="0" fillId="0" borderId="44" xfId="88" applyNumberFormat="1" applyFont="1" applyBorder="1" applyAlignment="1">
      <alignment horizontal="right"/>
    </xf>
    <xf numFmtId="43" fontId="24" fillId="0" borderId="24" xfId="13" applyFont="1" applyBorder="1" applyAlignment="1">
      <alignment horizontal="center"/>
    </xf>
    <xf numFmtId="10" fontId="17" fillId="5" borderId="40" xfId="88" applyNumberFormat="1" applyFont="1" applyFill="1" applyBorder="1"/>
    <xf numFmtId="10" fontId="17" fillId="5" borderId="45" xfId="88" applyNumberFormat="1" applyFont="1" applyFill="1" applyBorder="1"/>
    <xf numFmtId="10" fontId="17" fillId="5" borderId="42" xfId="88" applyNumberFormat="1" applyFont="1" applyFill="1" applyBorder="1"/>
    <xf numFmtId="10" fontId="17" fillId="5" borderId="14" xfId="88" applyNumberFormat="1" applyFont="1" applyFill="1" applyBorder="1"/>
    <xf numFmtId="10" fontId="37" fillId="0" borderId="0" xfId="8" applyNumberFormat="1" applyFont="1"/>
    <xf numFmtId="10" fontId="0" fillId="0" borderId="46" xfId="8" applyNumberFormat="1" applyFont="1" applyBorder="1" applyAlignment="1">
      <alignment horizontal="right"/>
    </xf>
    <xf numFmtId="10" fontId="0" fillId="0" borderId="30" xfId="8" applyNumberFormat="1" applyFont="1" applyFill="1" applyBorder="1" applyAlignment="1">
      <alignment horizontal="right"/>
    </xf>
    <xf numFmtId="10" fontId="0" fillId="0" borderId="47" xfId="8" applyNumberFormat="1" applyFont="1" applyBorder="1" applyAlignment="1">
      <alignment horizontal="right"/>
    </xf>
    <xf numFmtId="10" fontId="0" fillId="0" borderId="32" xfId="8" applyNumberFormat="1" applyFont="1" applyFill="1" applyBorder="1" applyAlignment="1">
      <alignment horizontal="right"/>
    </xf>
    <xf numFmtId="10" fontId="0" fillId="0" borderId="30" xfId="8" applyNumberFormat="1" applyFont="1" applyBorder="1" applyAlignment="1">
      <alignment horizontal="right"/>
    </xf>
    <xf numFmtId="10" fontId="17" fillId="0" borderId="47" xfId="88" applyNumberFormat="1" applyFont="1" applyBorder="1" applyAlignment="1">
      <alignment horizontal="right"/>
    </xf>
    <xf numFmtId="10" fontId="17" fillId="0" borderId="32" xfId="88" applyNumberFormat="1" applyFont="1" applyBorder="1" applyAlignment="1">
      <alignment horizontal="right"/>
    </xf>
    <xf numFmtId="10" fontId="0" fillId="0" borderId="47" xfId="88" applyNumberFormat="1" applyFont="1" applyBorder="1" applyAlignment="1">
      <alignment horizontal="right"/>
    </xf>
    <xf numFmtId="43" fontId="24" fillId="0" borderId="26" xfId="13" applyFont="1" applyFill="1" applyBorder="1" applyAlignment="1">
      <alignment horizontal="center"/>
    </xf>
    <xf numFmtId="10" fontId="0" fillId="0" borderId="3" xfId="88" applyNumberFormat="1" applyFont="1" applyBorder="1"/>
    <xf numFmtId="10" fontId="0" fillId="0" borderId="38" xfId="88" applyNumberFormat="1" applyFont="1" applyFill="1" applyBorder="1"/>
    <xf numFmtId="10" fontId="0" fillId="0" borderId="37" xfId="88" applyNumberFormat="1" applyFont="1" applyBorder="1"/>
    <xf numFmtId="10" fontId="0" fillId="0" borderId="20" xfId="88" applyNumberFormat="1" applyFont="1" applyBorder="1"/>
    <xf numFmtId="10" fontId="0" fillId="5" borderId="48" xfId="8" applyNumberFormat="1" applyFont="1" applyFill="1" applyBorder="1" applyAlignment="1">
      <alignment horizontal="right"/>
    </xf>
    <xf numFmtId="10" fontId="0" fillId="5" borderId="49" xfId="8" applyNumberFormat="1" applyFont="1" applyFill="1" applyBorder="1" applyAlignment="1">
      <alignment horizontal="right"/>
    </xf>
    <xf numFmtId="10" fontId="0" fillId="5" borderId="49" xfId="88" applyNumberFormat="1" applyFont="1" applyFill="1" applyBorder="1" applyAlignment="1">
      <alignment horizontal="right"/>
    </xf>
    <xf numFmtId="10" fontId="0" fillId="5" borderId="35" xfId="88" applyNumberFormat="1" applyFont="1" applyFill="1" applyBorder="1" applyAlignment="1">
      <alignment horizontal="right"/>
    </xf>
    <xf numFmtId="10" fontId="0" fillId="5" borderId="6" xfId="88" applyNumberFormat="1" applyFont="1" applyFill="1" applyBorder="1"/>
    <xf numFmtId="10" fontId="0" fillId="5" borderId="39" xfId="88" applyNumberFormat="1" applyFont="1" applyFill="1" applyBorder="1"/>
    <xf numFmtId="10" fontId="0" fillId="5" borderId="36" xfId="88" applyNumberFormat="1" applyFont="1" applyFill="1" applyBorder="1"/>
    <xf numFmtId="10" fontId="0" fillId="5" borderId="17" xfId="88" applyNumberFormat="1" applyFont="1" applyFill="1" applyBorder="1"/>
    <xf numFmtId="10" fontId="0" fillId="5" borderId="50" xfId="8" applyNumberFormat="1" applyFont="1" applyFill="1" applyBorder="1" applyAlignment="1">
      <alignment horizontal="right"/>
    </xf>
    <xf numFmtId="10" fontId="0" fillId="5" borderId="51" xfId="8" applyNumberFormat="1" applyFont="1" applyFill="1" applyBorder="1" applyAlignment="1">
      <alignment horizontal="right"/>
    </xf>
    <xf numFmtId="10" fontId="0" fillId="5" borderId="51" xfId="88" applyNumberFormat="1" applyFont="1" applyFill="1" applyBorder="1" applyAlignment="1">
      <alignment horizontal="right"/>
    </xf>
    <xf numFmtId="10" fontId="0" fillId="5" borderId="44" xfId="88" applyNumberFormat="1" applyFont="1" applyFill="1" applyBorder="1" applyAlignment="1">
      <alignment horizontal="right"/>
    </xf>
    <xf numFmtId="43" fontId="24" fillId="0" borderId="24" xfId="13" applyFont="1" applyFill="1" applyBorder="1" applyAlignment="1">
      <alignment horizontal="center"/>
    </xf>
    <xf numFmtId="10" fontId="0" fillId="5" borderId="40" xfId="88" applyNumberFormat="1" applyFont="1" applyFill="1" applyBorder="1"/>
    <xf numFmtId="10" fontId="0" fillId="5" borderId="45" xfId="88" applyNumberFormat="1" applyFont="1" applyFill="1" applyBorder="1"/>
    <xf numFmtId="10" fontId="0" fillId="5" borderId="42" xfId="88" applyNumberFormat="1" applyFont="1" applyFill="1" applyBorder="1"/>
    <xf numFmtId="10" fontId="0" fillId="5" borderId="14" xfId="88" applyNumberFormat="1" applyFont="1" applyFill="1" applyBorder="1"/>
    <xf numFmtId="10" fontId="0" fillId="0" borderId="48" xfId="88" applyNumberFormat="1" applyFont="1" applyBorder="1"/>
    <xf numFmtId="10" fontId="0" fillId="0" borderId="49" xfId="88" applyNumberFormat="1" applyFont="1" applyBorder="1" applyAlignment="1">
      <alignment horizontal="right"/>
    </xf>
    <xf numFmtId="10" fontId="0" fillId="0" borderId="48" xfId="88" applyNumberFormat="1" applyFont="1" applyFill="1" applyBorder="1"/>
    <xf numFmtId="10" fontId="0" fillId="0" borderId="35" xfId="88" applyNumberFormat="1" applyFont="1" applyBorder="1"/>
    <xf numFmtId="10" fontId="17" fillId="5" borderId="35" xfId="8" applyNumberFormat="1" applyFont="1" applyFill="1" applyBorder="1" applyAlignment="1">
      <alignment horizontal="right"/>
    </xf>
    <xf numFmtId="10" fontId="0" fillId="5" borderId="52" xfId="8" applyNumberFormat="1" applyFont="1" applyFill="1" applyBorder="1" applyAlignment="1">
      <alignment horizontal="right"/>
    </xf>
    <xf numFmtId="10" fontId="17" fillId="5" borderId="53" xfId="8" applyNumberFormat="1" applyFont="1" applyFill="1" applyBorder="1" applyAlignment="1">
      <alignment horizontal="right"/>
    </xf>
    <xf numFmtId="10" fontId="17" fillId="0" borderId="48" xfId="8" applyNumberFormat="1" applyFont="1" applyFill="1" applyBorder="1" applyAlignment="1">
      <alignment horizontal="right"/>
    </xf>
    <xf numFmtId="10" fontId="17" fillId="0" borderId="33" xfId="8" applyNumberFormat="1" applyFont="1" applyFill="1" applyBorder="1" applyAlignment="1">
      <alignment horizontal="right"/>
    </xf>
    <xf numFmtId="10" fontId="17" fillId="0" borderId="49" xfId="8" applyNumberFormat="1" applyFont="1" applyFill="1" applyBorder="1" applyAlignment="1">
      <alignment horizontal="right"/>
    </xf>
    <xf numFmtId="10" fontId="17" fillId="0" borderId="35" xfId="8" applyNumberFormat="1" applyFont="1" applyFill="1" applyBorder="1" applyAlignment="1">
      <alignment horizontal="right"/>
    </xf>
    <xf numFmtId="10" fontId="17" fillId="0" borderId="49" xfId="88" applyNumberFormat="1" applyFont="1" applyFill="1" applyBorder="1" applyAlignment="1">
      <alignment horizontal="right"/>
    </xf>
    <xf numFmtId="10" fontId="17" fillId="0" borderId="35" xfId="88" applyNumberFormat="1" applyFont="1" applyFill="1" applyBorder="1" applyAlignment="1">
      <alignment horizontal="right"/>
    </xf>
    <xf numFmtId="10" fontId="17" fillId="0" borderId="19" xfId="88" applyNumberFormat="1" applyFont="1" applyFill="1" applyBorder="1"/>
    <xf numFmtId="10" fontId="17" fillId="0" borderId="33" xfId="88" applyNumberFormat="1" applyFont="1" applyFill="1" applyBorder="1"/>
    <xf numFmtId="10" fontId="0" fillId="0" borderId="49" xfId="88" applyNumberFormat="1" applyFont="1" applyFill="1" applyBorder="1" applyAlignment="1">
      <alignment horizontal="right"/>
    </xf>
    <xf numFmtId="10" fontId="0" fillId="0" borderId="48" xfId="8" applyNumberFormat="1" applyFont="1" applyBorder="1" applyAlignment="1">
      <alignment horizontal="right"/>
    </xf>
    <xf numFmtId="10" fontId="0" fillId="0" borderId="33" xfId="8" applyNumberFormat="1" applyFont="1" applyFill="1" applyBorder="1" applyAlignment="1">
      <alignment horizontal="right"/>
    </xf>
    <xf numFmtId="10" fontId="0" fillId="0" borderId="49" xfId="8" applyNumberFormat="1" applyFont="1" applyBorder="1" applyAlignment="1">
      <alignment horizontal="right"/>
    </xf>
    <xf numFmtId="10" fontId="0" fillId="0" borderId="35" xfId="8" applyNumberFormat="1" applyFont="1" applyFill="1" applyBorder="1" applyAlignment="1">
      <alignment horizontal="right"/>
    </xf>
    <xf numFmtId="173" fontId="41" fillId="0" borderId="0" xfId="84" quotePrefix="1" applyFont="1" applyAlignment="1">
      <alignment horizontal="left" vertical="center"/>
    </xf>
    <xf numFmtId="10" fontId="0" fillId="0" borderId="50" xfId="88" applyNumberFormat="1" applyFont="1" applyBorder="1"/>
    <xf numFmtId="10" fontId="0" fillId="0" borderId="51" xfId="88" applyNumberFormat="1" applyFont="1" applyBorder="1" applyAlignment="1">
      <alignment horizontal="right"/>
    </xf>
    <xf numFmtId="10" fontId="0" fillId="0" borderId="50" xfId="88" applyNumberFormat="1" applyFont="1" applyFill="1" applyBorder="1"/>
    <xf numFmtId="10" fontId="0" fillId="0" borderId="41" xfId="88" applyNumberFormat="1" applyFont="1" applyFill="1" applyBorder="1"/>
    <xf numFmtId="10" fontId="0" fillId="0" borderId="51" xfId="88" applyNumberFormat="1" applyFont="1" applyFill="1" applyBorder="1" applyAlignment="1">
      <alignment horizontal="right"/>
    </xf>
    <xf numFmtId="10" fontId="0" fillId="0" borderId="44" xfId="88" applyNumberFormat="1" applyFont="1" applyBorder="1"/>
    <xf numFmtId="10" fontId="0" fillId="0" borderId="50" xfId="8" applyNumberFormat="1" applyFont="1" applyBorder="1" applyAlignment="1">
      <alignment horizontal="right"/>
    </xf>
    <xf numFmtId="10" fontId="0" fillId="0" borderId="41" xfId="8" applyNumberFormat="1" applyFont="1" applyFill="1" applyBorder="1" applyAlignment="1">
      <alignment horizontal="right"/>
    </xf>
    <xf numFmtId="10" fontId="0" fillId="0" borderId="51" xfId="8" applyNumberFormat="1" applyFont="1" applyBorder="1" applyAlignment="1">
      <alignment horizontal="right"/>
    </xf>
    <xf numFmtId="10" fontId="0" fillId="0" borderId="44" xfId="8" applyNumberFormat="1" applyFont="1" applyFill="1" applyBorder="1" applyAlignment="1">
      <alignment horizontal="right"/>
    </xf>
    <xf numFmtId="10" fontId="0" fillId="0" borderId="41" xfId="8" applyNumberFormat="1" applyFont="1" applyBorder="1" applyAlignment="1">
      <alignment horizontal="right"/>
    </xf>
    <xf numFmtId="173" fontId="33" fillId="0" borderId="0" xfId="84" applyFont="1" applyAlignment="1">
      <alignment horizontal="left" wrapText="1"/>
    </xf>
    <xf numFmtId="173" fontId="33" fillId="0" borderId="0" xfId="84" applyFont="1" applyAlignment="1">
      <alignment horizontal="left" vertical="top" wrapText="1"/>
    </xf>
    <xf numFmtId="173" fontId="33" fillId="0" borderId="0" xfId="84" applyFont="1" applyAlignment="1">
      <alignment wrapText="1"/>
    </xf>
    <xf numFmtId="173" fontId="33" fillId="0" borderId="0" xfId="84" applyFont="1" applyAlignment="1">
      <alignment horizontal="left"/>
    </xf>
    <xf numFmtId="173" fontId="33" fillId="0" borderId="0" xfId="84" applyFont="1" applyAlignment="1">
      <alignment vertical="top"/>
    </xf>
    <xf numFmtId="173" fontId="33" fillId="0" borderId="0" xfId="84" applyFont="1" applyAlignment="1">
      <alignment horizontal="left" vertical="top"/>
    </xf>
    <xf numFmtId="173" fontId="37" fillId="0" borderId="0" xfId="84" applyAlignment="1">
      <alignment vertical="top"/>
    </xf>
    <xf numFmtId="10" fontId="37" fillId="0" borderId="0" xfId="8" applyNumberFormat="1" applyFont="1" applyAlignment="1">
      <alignment vertical="top"/>
    </xf>
    <xf numFmtId="173" fontId="33" fillId="0" borderId="0" xfId="84" applyFont="1" applyAlignment="1">
      <alignment vertical="top" wrapText="1"/>
    </xf>
    <xf numFmtId="173" fontId="33" fillId="0" borderId="0" xfId="84" applyFont="1"/>
    <xf numFmtId="43" fontId="26" fillId="0" borderId="0" xfId="3" applyFont="1" applyFill="1" applyAlignment="1">
      <alignment horizontal="right"/>
    </xf>
    <xf numFmtId="0" fontId="58" fillId="0" borderId="0" xfId="20" applyFont="1" applyAlignment="1" applyProtection="1">
      <alignment vertical="center"/>
      <protection locked="0"/>
    </xf>
    <xf numFmtId="43" fontId="27" fillId="0" borderId="0" xfId="3" applyFont="1" applyFill="1" applyAlignment="1">
      <alignment horizontal="right"/>
    </xf>
    <xf numFmtId="10" fontId="0" fillId="12" borderId="48" xfId="8" applyNumberFormat="1" applyFont="1" applyFill="1" applyBorder="1" applyAlignment="1">
      <alignment horizontal="right"/>
    </xf>
    <xf numFmtId="10" fontId="0" fillId="12" borderId="49" xfId="8" applyNumberFormat="1" applyFont="1" applyFill="1" applyBorder="1" applyAlignment="1">
      <alignment horizontal="right"/>
    </xf>
    <xf numFmtId="0" fontId="44" fillId="2" borderId="0" xfId="20" applyFont="1" applyFill="1" applyAlignment="1">
      <alignment horizontal="centerContinuous" vertical="center"/>
    </xf>
    <xf numFmtId="0" fontId="29" fillId="2" borderId="0" xfId="20" applyFont="1" applyFill="1" applyAlignment="1">
      <alignment horizontal="centerContinuous" vertical="center"/>
    </xf>
    <xf numFmtId="0" fontId="30" fillId="2" borderId="0" xfId="20" applyFont="1" applyFill="1" applyAlignment="1" applyProtection="1">
      <alignment vertical="center"/>
      <protection locked="0"/>
    </xf>
    <xf numFmtId="167" fontId="26" fillId="0" borderId="6" xfId="28" applyNumberFormat="1" applyFont="1" applyBorder="1" applyAlignment="1" applyProtection="1">
      <alignment vertical="center"/>
    </xf>
    <xf numFmtId="167" fontId="28" fillId="0" borderId="58" xfId="28" applyNumberFormat="1" applyFont="1" applyBorder="1" applyAlignment="1" applyProtection="1">
      <alignment vertical="center"/>
    </xf>
    <xf numFmtId="166" fontId="28" fillId="13" borderId="27" xfId="20" applyNumberFormat="1" applyFont="1" applyFill="1" applyBorder="1" applyAlignment="1">
      <alignment horizontal="centerContinuous" vertical="center"/>
    </xf>
    <xf numFmtId="167" fontId="28" fillId="0" borderId="16" xfId="20" applyNumberFormat="1" applyFont="1" applyBorder="1" applyAlignment="1">
      <alignment vertical="center"/>
    </xf>
    <xf numFmtId="0" fontId="28" fillId="2" borderId="55" xfId="20" applyFont="1" applyFill="1" applyBorder="1" applyAlignment="1">
      <alignment vertical="center"/>
    </xf>
    <xf numFmtId="167" fontId="26" fillId="0" borderId="16" xfId="28" applyNumberFormat="1" applyFont="1" applyBorder="1" applyAlignment="1" applyProtection="1">
      <alignment vertical="center"/>
    </xf>
    <xf numFmtId="167" fontId="28" fillId="4" borderId="16" xfId="28" applyNumberFormat="1" applyFont="1" applyFill="1" applyBorder="1" applyAlignment="1" applyProtection="1">
      <alignment vertical="center"/>
    </xf>
    <xf numFmtId="167" fontId="28" fillId="0" borderId="55" xfId="28" applyNumberFormat="1" applyFont="1" applyBorder="1" applyAlignment="1" applyProtection="1">
      <alignment vertical="center"/>
    </xf>
    <xf numFmtId="167" fontId="28" fillId="2" borderId="55" xfId="28" applyNumberFormat="1" applyFont="1" applyFill="1" applyBorder="1" applyAlignment="1" applyProtection="1">
      <alignment vertical="center"/>
    </xf>
    <xf numFmtId="9" fontId="27" fillId="0" borderId="0" xfId="1" applyFont="1" applyAlignment="1">
      <alignment horizontal="right"/>
    </xf>
    <xf numFmtId="164" fontId="26" fillId="16" borderId="0" xfId="79" applyNumberFormat="1" applyFont="1" applyFill="1" applyAlignment="1">
      <alignment horizontal="right"/>
    </xf>
    <xf numFmtId="14" fontId="26" fillId="0" borderId="0" xfId="79" applyNumberFormat="1" applyFont="1" applyAlignment="1">
      <alignment horizontal="center"/>
    </xf>
    <xf numFmtId="164" fontId="26" fillId="0" borderId="0" xfId="28" applyNumberFormat="1" applyFont="1" applyAlignment="1">
      <alignment horizontal="right"/>
    </xf>
    <xf numFmtId="49" fontId="26" fillId="0" borderId="0" xfId="79" applyNumberFormat="1" applyFont="1"/>
    <xf numFmtId="49" fontId="26" fillId="0" borderId="0" xfId="79" applyNumberFormat="1" applyFont="1" applyAlignment="1">
      <alignment horizontal="left"/>
    </xf>
    <xf numFmtId="167" fontId="28" fillId="0" borderId="58" xfId="28" applyNumberFormat="1" applyFont="1" applyBorder="1" applyAlignment="1">
      <alignment vertical="center"/>
    </xf>
    <xf numFmtId="0" fontId="26" fillId="2" borderId="0" xfId="20" applyFont="1" applyFill="1" applyAlignment="1" applyProtection="1">
      <alignment vertical="center"/>
      <protection locked="0"/>
    </xf>
    <xf numFmtId="0" fontId="28" fillId="2" borderId="0" xfId="20" applyFont="1" applyFill="1" applyAlignment="1" applyProtection="1">
      <alignment vertical="center"/>
      <protection locked="0"/>
    </xf>
    <xf numFmtId="0" fontId="26" fillId="2" borderId="0" xfId="20" applyFont="1" applyFill="1" applyAlignment="1" applyProtection="1">
      <alignment horizontal="center" vertical="center" wrapText="1"/>
      <protection locked="0"/>
    </xf>
    <xf numFmtId="49" fontId="26" fillId="2" borderId="0" xfId="20" applyNumberFormat="1" applyFont="1" applyFill="1" applyAlignment="1" applyProtection="1">
      <alignment horizontal="center" vertical="center" wrapText="1"/>
      <protection locked="0"/>
    </xf>
    <xf numFmtId="0" fontId="60" fillId="2" borderId="0" xfId="20" applyFont="1" applyFill="1" applyAlignment="1">
      <alignment vertical="center"/>
    </xf>
    <xf numFmtId="0" fontId="26" fillId="2" borderId="0" xfId="20" applyFont="1" applyFill="1" applyAlignment="1" applyProtection="1">
      <alignment vertical="center" wrapText="1"/>
      <protection locked="0"/>
    </xf>
    <xf numFmtId="166" fontId="26" fillId="2" borderId="0" xfId="20" applyNumberFormat="1" applyFont="1" applyFill="1" applyAlignment="1" applyProtection="1">
      <alignment vertical="center"/>
      <protection locked="0"/>
    </xf>
    <xf numFmtId="165" fontId="26" fillId="2" borderId="0" xfId="3" applyNumberFormat="1" applyFont="1" applyFill="1" applyAlignment="1" applyProtection="1">
      <alignment vertical="center"/>
      <protection locked="0"/>
    </xf>
    <xf numFmtId="164" fontId="27" fillId="14" borderId="0" xfId="79" applyNumberFormat="1" applyFont="1" applyFill="1" applyAlignment="1">
      <alignment horizontal="right"/>
    </xf>
    <xf numFmtId="166" fontId="27" fillId="14" borderId="0" xfId="79" applyNumberFormat="1" applyFont="1" applyFill="1"/>
    <xf numFmtId="9" fontId="27" fillId="0" borderId="0" xfId="1" applyFont="1" applyFill="1" applyAlignment="1">
      <alignment horizontal="right"/>
    </xf>
    <xf numFmtId="165" fontId="26" fillId="0" borderId="0" xfId="81" applyNumberFormat="1" applyFont="1"/>
    <xf numFmtId="0" fontId="26" fillId="12" borderId="54" xfId="0" applyFont="1" applyFill="1" applyBorder="1" applyAlignment="1">
      <alignment vertical="center" wrapText="1"/>
    </xf>
    <xf numFmtId="167" fontId="28" fillId="0" borderId="63" xfId="28" applyNumberFormat="1" applyFont="1" applyBorder="1" applyAlignment="1">
      <alignment vertical="center"/>
    </xf>
    <xf numFmtId="0" fontId="28" fillId="12" borderId="1" xfId="0" applyFont="1" applyFill="1" applyBorder="1" applyAlignment="1">
      <alignment horizontal="center" vertical="center" wrapText="1"/>
    </xf>
    <xf numFmtId="167" fontId="28" fillId="12" borderId="54" xfId="28" applyNumberFormat="1" applyFont="1" applyFill="1" applyBorder="1" applyAlignment="1" applyProtection="1">
      <alignment vertical="center"/>
    </xf>
    <xf numFmtId="167" fontId="28" fillId="12" borderId="58" xfId="28" applyNumberFormat="1" applyFont="1" applyFill="1" applyBorder="1" applyAlignment="1" applyProtection="1">
      <alignment vertical="center"/>
    </xf>
    <xf numFmtId="167" fontId="28" fillId="12" borderId="15" xfId="28" applyNumberFormat="1" applyFont="1" applyFill="1" applyBorder="1" applyAlignment="1" applyProtection="1">
      <alignment vertical="center"/>
    </xf>
    <xf numFmtId="167" fontId="28" fillId="12" borderId="1" xfId="20" applyNumberFormat="1" applyFont="1" applyFill="1" applyBorder="1" applyAlignment="1" applyProtection="1">
      <alignment vertical="center"/>
      <protection locked="0"/>
    </xf>
    <xf numFmtId="164" fontId="27" fillId="7" borderId="0" xfId="79" applyNumberFormat="1" applyFont="1" applyFill="1" applyAlignment="1">
      <alignment horizontal="right"/>
    </xf>
    <xf numFmtId="170" fontId="34" fillId="0" borderId="0" xfId="53" applyNumberFormat="1" applyAlignment="1">
      <alignment horizontal="center" vertical="center" wrapText="1"/>
    </xf>
    <xf numFmtId="0" fontId="61" fillId="0" borderId="0" xfId="0" applyFont="1"/>
    <xf numFmtId="0" fontId="62" fillId="0" borderId="0" xfId="0" applyFont="1" applyAlignment="1">
      <alignment horizontal="center"/>
    </xf>
    <xf numFmtId="0" fontId="63" fillId="0" borderId="0" xfId="0" applyFont="1" applyAlignment="1">
      <alignment horizontal="center"/>
    </xf>
    <xf numFmtId="0" fontId="33" fillId="0" borderId="0" xfId="0" applyFont="1" applyAlignment="1">
      <alignment horizontal="right"/>
    </xf>
    <xf numFmtId="168" fontId="0" fillId="0" borderId="0" xfId="0" applyNumberFormat="1" applyAlignment="1">
      <alignment horizontal="center"/>
    </xf>
    <xf numFmtId="168" fontId="0" fillId="0" borderId="21" xfId="0" applyNumberFormat="1" applyBorder="1" applyAlignment="1">
      <alignment horizontal="center"/>
    </xf>
    <xf numFmtId="168" fontId="0" fillId="0" borderId="64" xfId="0" applyNumberFormat="1" applyBorder="1" applyAlignment="1">
      <alignment horizontal="center"/>
    </xf>
    <xf numFmtId="168" fontId="0" fillId="0" borderId="11" xfId="0" applyNumberFormat="1" applyBorder="1" applyAlignment="1">
      <alignment horizontal="center"/>
    </xf>
    <xf numFmtId="0" fontId="0" fillId="0" borderId="21" xfId="0" applyBorder="1"/>
    <xf numFmtId="0" fontId="0" fillId="0" borderId="9" xfId="0" applyBorder="1"/>
    <xf numFmtId="0" fontId="33" fillId="0" borderId="12" xfId="0" applyFont="1" applyBorder="1" applyAlignment="1">
      <alignment horizontal="right"/>
    </xf>
    <xf numFmtId="168" fontId="0" fillId="0" borderId="16" xfId="0" applyNumberFormat="1" applyBorder="1" applyAlignment="1">
      <alignment horizontal="center"/>
    </xf>
    <xf numFmtId="0" fontId="33" fillId="0" borderId="10" xfId="0" applyFont="1" applyBorder="1" applyAlignment="1">
      <alignment horizontal="right"/>
    </xf>
    <xf numFmtId="0" fontId="33" fillId="0" borderId="11" xfId="0" applyFont="1" applyBorder="1" applyAlignment="1">
      <alignment horizontal="right"/>
    </xf>
    <xf numFmtId="168" fontId="0" fillId="0" borderId="63" xfId="0" applyNumberFormat="1" applyBorder="1" applyAlignment="1">
      <alignment horizontal="center"/>
    </xf>
    <xf numFmtId="168" fontId="0" fillId="0" borderId="7" xfId="0" applyNumberFormat="1" applyBorder="1" applyAlignment="1">
      <alignment horizontal="center"/>
    </xf>
    <xf numFmtId="168" fontId="0" fillId="0" borderId="0" xfId="0" applyNumberFormat="1"/>
    <xf numFmtId="165" fontId="28" fillId="13" borderId="22" xfId="3" applyNumberFormat="1" applyFont="1" applyFill="1" applyBorder="1" applyAlignment="1">
      <alignment horizontal="centerContinuous" vertical="center"/>
    </xf>
    <xf numFmtId="165" fontId="26" fillId="0" borderId="12" xfId="3" applyNumberFormat="1" applyFont="1" applyBorder="1" applyAlignment="1" applyProtection="1">
      <alignment vertical="center"/>
    </xf>
    <xf numFmtId="165" fontId="28" fillId="4" borderId="12" xfId="3" applyNumberFormat="1" applyFont="1" applyFill="1" applyBorder="1" applyAlignment="1" applyProtection="1">
      <alignment vertical="center"/>
    </xf>
    <xf numFmtId="165" fontId="28" fillId="0" borderId="12" xfId="3" applyNumberFormat="1" applyFont="1" applyBorder="1" applyAlignment="1">
      <alignment vertical="center"/>
    </xf>
    <xf numFmtId="165" fontId="28" fillId="2" borderId="56" xfId="3" applyNumberFormat="1" applyFont="1" applyFill="1" applyBorder="1" applyAlignment="1">
      <alignment vertical="center"/>
    </xf>
    <xf numFmtId="165" fontId="28" fillId="0" borderId="56" xfId="3" applyNumberFormat="1" applyFont="1" applyBorder="1" applyAlignment="1" applyProtection="1">
      <alignment vertical="center"/>
    </xf>
    <xf numFmtId="165" fontId="28" fillId="2" borderId="56" xfId="3" applyNumberFormat="1" applyFont="1" applyFill="1" applyBorder="1" applyAlignment="1" applyProtection="1">
      <alignment vertical="center"/>
    </xf>
    <xf numFmtId="165" fontId="26" fillId="0" borderId="0" xfId="3" applyNumberFormat="1" applyFont="1" applyAlignment="1">
      <alignment horizontal="center"/>
    </xf>
    <xf numFmtId="9" fontId="27" fillId="18" borderId="0" xfId="1" applyFont="1" applyFill="1" applyAlignment="1">
      <alignment horizontal="right"/>
    </xf>
    <xf numFmtId="0" fontId="49" fillId="0" borderId="0" xfId="79" applyFont="1" applyAlignment="1">
      <alignment horizontal="center" vertical="center" wrapText="1"/>
    </xf>
    <xf numFmtId="167" fontId="26" fillId="0" borderId="0" xfId="28" applyNumberFormat="1" applyFont="1"/>
    <xf numFmtId="167" fontId="26" fillId="0" borderId="0" xfId="20" applyNumberFormat="1" applyFont="1" applyAlignment="1" applyProtection="1">
      <alignment vertical="center"/>
      <protection locked="0"/>
    </xf>
    <xf numFmtId="167" fontId="28" fillId="12" borderId="10" xfId="20" applyNumberFormat="1" applyFont="1" applyFill="1" applyBorder="1" applyAlignment="1">
      <alignment vertical="center"/>
    </xf>
    <xf numFmtId="167" fontId="28" fillId="12" borderId="67" xfId="20" applyNumberFormat="1" applyFont="1" applyFill="1" applyBorder="1" applyAlignment="1">
      <alignment vertical="center"/>
    </xf>
    <xf numFmtId="167" fontId="28" fillId="12" borderId="7" xfId="20" applyNumberFormat="1" applyFont="1" applyFill="1" applyBorder="1" applyAlignment="1">
      <alignment vertical="center"/>
    </xf>
    <xf numFmtId="165" fontId="28" fillId="12" borderId="10" xfId="3" applyNumberFormat="1" applyFont="1" applyFill="1" applyBorder="1" applyAlignment="1">
      <alignment vertical="center"/>
    </xf>
    <xf numFmtId="166" fontId="28" fillId="13" borderId="68" xfId="20" applyNumberFormat="1" applyFont="1" applyFill="1" applyBorder="1" applyAlignment="1">
      <alignment horizontal="center" vertical="center" wrapText="1"/>
    </xf>
    <xf numFmtId="166" fontId="28" fillId="13" borderId="69" xfId="20" applyNumberFormat="1" applyFont="1" applyFill="1" applyBorder="1" applyAlignment="1">
      <alignment horizontal="center" vertical="center" wrapText="1"/>
    </xf>
    <xf numFmtId="166" fontId="28" fillId="13" borderId="70" xfId="20" applyNumberFormat="1" applyFont="1" applyFill="1" applyBorder="1" applyAlignment="1">
      <alignment horizontal="center" vertical="center" wrapText="1"/>
    </xf>
    <xf numFmtId="165" fontId="28" fillId="13" borderId="68" xfId="3" applyNumberFormat="1" applyFont="1" applyFill="1" applyBorder="1" applyAlignment="1">
      <alignment horizontal="center" vertical="center" wrapText="1"/>
    </xf>
    <xf numFmtId="1" fontId="26" fillId="0" borderId="0" xfId="84" quotePrefix="1" applyNumberFormat="1" applyFont="1" applyAlignment="1">
      <alignment horizontal="center" vertical="center"/>
    </xf>
    <xf numFmtId="0" fontId="57" fillId="0" borderId="0" xfId="79" applyFont="1" applyAlignment="1">
      <alignment horizontal="center" vertical="center" wrapText="1"/>
    </xf>
    <xf numFmtId="43" fontId="58" fillId="0" borderId="0" xfId="3" applyFont="1" applyFill="1" applyAlignment="1">
      <alignment horizontal="center" vertical="center" wrapText="1"/>
    </xf>
    <xf numFmtId="9" fontId="49" fillId="0" borderId="24" xfId="80" applyFont="1" applyFill="1" applyBorder="1" applyAlignment="1">
      <alignment horizontal="center" vertical="center" wrapText="1"/>
    </xf>
    <xf numFmtId="0" fontId="49" fillId="0" borderId="24" xfId="79" applyFont="1" applyBorder="1" applyAlignment="1">
      <alignment horizontal="center" vertical="center" wrapText="1"/>
    </xf>
    <xf numFmtId="0" fontId="28" fillId="0" borderId="24" xfId="79" applyFont="1" applyBorder="1" applyAlignment="1">
      <alignment horizontal="center" vertical="center"/>
    </xf>
    <xf numFmtId="10" fontId="28" fillId="0" borderId="24" xfId="1" applyNumberFormat="1" applyFont="1" applyBorder="1" applyAlignment="1">
      <alignment horizontal="center" vertical="center"/>
    </xf>
    <xf numFmtId="0" fontId="28" fillId="0" borderId="24" xfId="79" applyFont="1" applyBorder="1" applyAlignment="1">
      <alignment horizontal="center" vertical="center" wrapText="1"/>
    </xf>
    <xf numFmtId="0" fontId="28" fillId="0" borderId="24" xfId="83" applyFont="1" applyBorder="1" applyAlignment="1">
      <alignment horizontal="center" vertical="center" wrapText="1"/>
    </xf>
    <xf numFmtId="49" fontId="28" fillId="0" borderId="24" xfId="79" applyNumberFormat="1" applyFont="1" applyBorder="1" applyAlignment="1">
      <alignment horizontal="center" vertical="center" wrapText="1"/>
    </xf>
    <xf numFmtId="165" fontId="28" fillId="0" borderId="24" xfId="81" applyNumberFormat="1" applyFont="1" applyFill="1" applyBorder="1" applyAlignment="1">
      <alignment horizontal="center" vertical="center" wrapText="1"/>
    </xf>
    <xf numFmtId="166" fontId="28" fillId="0" borderId="24" xfId="79" applyNumberFormat="1" applyFont="1" applyBorder="1" applyAlignment="1">
      <alignment horizontal="center" vertical="center" wrapText="1"/>
    </xf>
    <xf numFmtId="43" fontId="28" fillId="0" borderId="24" xfId="3" applyFont="1" applyFill="1" applyBorder="1" applyAlignment="1">
      <alignment horizontal="center" vertical="center" wrapText="1"/>
    </xf>
    <xf numFmtId="166" fontId="28" fillId="9" borderId="24" xfId="79" applyNumberFormat="1" applyFont="1" applyFill="1" applyBorder="1" applyAlignment="1">
      <alignment horizontal="center" vertical="center" wrapText="1"/>
    </xf>
    <xf numFmtId="166" fontId="28" fillId="3" borderId="24" xfId="79" applyNumberFormat="1" applyFont="1" applyFill="1" applyBorder="1" applyAlignment="1">
      <alignment horizontal="center" vertical="center" wrapText="1"/>
    </xf>
    <xf numFmtId="43" fontId="28" fillId="0" borderId="24" xfId="3" applyFont="1" applyBorder="1" applyAlignment="1">
      <alignment horizontal="center" vertical="center" wrapText="1"/>
    </xf>
    <xf numFmtId="1" fontId="65" fillId="11" borderId="24" xfId="82" applyNumberFormat="1" applyFont="1" applyFill="1" applyBorder="1" applyAlignment="1">
      <alignment horizontal="center" vertical="center" wrapText="1"/>
    </xf>
    <xf numFmtId="172" fontId="28" fillId="6" borderId="24" xfId="81" applyNumberFormat="1" applyFont="1" applyFill="1" applyBorder="1" applyAlignment="1">
      <alignment horizontal="center" vertical="center" wrapText="1"/>
    </xf>
    <xf numFmtId="166" fontId="28" fillId="6" borderId="24" xfId="79" applyNumberFormat="1" applyFont="1" applyFill="1" applyBorder="1" applyAlignment="1">
      <alignment horizontal="center" vertical="center" wrapText="1"/>
    </xf>
    <xf numFmtId="0" fontId="49" fillId="15" borderId="66" xfId="79" applyFont="1" applyFill="1" applyBorder="1" applyAlignment="1">
      <alignment horizontal="center" vertical="center" wrapText="1"/>
    </xf>
    <xf numFmtId="0" fontId="49" fillId="0" borderId="59" xfId="79" applyFont="1" applyBorder="1" applyAlignment="1">
      <alignment horizontal="center" vertical="center" wrapText="1"/>
    </xf>
    <xf numFmtId="165" fontId="28" fillId="13" borderId="65" xfId="3" applyNumberFormat="1" applyFont="1" applyFill="1" applyBorder="1" applyAlignment="1">
      <alignment horizontal="centerContinuous" vertical="center"/>
    </xf>
    <xf numFmtId="165" fontId="28" fillId="13" borderId="71" xfId="3" applyNumberFormat="1" applyFont="1" applyFill="1" applyBorder="1" applyAlignment="1">
      <alignment horizontal="center" vertical="center" wrapText="1"/>
    </xf>
    <xf numFmtId="165" fontId="28" fillId="12" borderId="72" xfId="3" applyNumberFormat="1" applyFont="1" applyFill="1" applyBorder="1" applyAlignment="1">
      <alignment vertical="center"/>
    </xf>
    <xf numFmtId="165" fontId="28" fillId="0" borderId="73" xfId="3" applyNumberFormat="1" applyFont="1" applyBorder="1" applyAlignment="1">
      <alignment vertical="center"/>
    </xf>
    <xf numFmtId="165" fontId="28" fillId="2" borderId="74" xfId="3" applyNumberFormat="1" applyFont="1" applyFill="1" applyBorder="1" applyAlignment="1">
      <alignment vertical="center"/>
    </xf>
    <xf numFmtId="165" fontId="26" fillId="0" borderId="73" xfId="3" applyNumberFormat="1" applyFont="1" applyBorder="1" applyAlignment="1" applyProtection="1">
      <alignment vertical="center"/>
    </xf>
    <xf numFmtId="165" fontId="28" fillId="4" borderId="73" xfId="3" applyNumberFormat="1" applyFont="1" applyFill="1" applyBorder="1" applyAlignment="1" applyProtection="1">
      <alignment vertical="center"/>
    </xf>
    <xf numFmtId="165" fontId="28" fillId="0" borderId="74" xfId="3" applyNumberFormat="1" applyFont="1" applyBorder="1" applyAlignment="1" applyProtection="1">
      <alignment vertical="center"/>
    </xf>
    <xf numFmtId="165" fontId="28" fillId="2" borderId="74" xfId="3" applyNumberFormat="1" applyFont="1" applyFill="1" applyBorder="1" applyAlignment="1" applyProtection="1">
      <alignment vertical="center"/>
    </xf>
    <xf numFmtId="165" fontId="28" fillId="0" borderId="60" xfId="3" applyNumberFormat="1" applyFont="1" applyBorder="1" applyAlignment="1" applyProtection="1">
      <alignment vertical="center"/>
    </xf>
    <xf numFmtId="165" fontId="28" fillId="12" borderId="60" xfId="3" applyNumberFormat="1" applyFont="1" applyFill="1" applyBorder="1" applyAlignment="1" applyProtection="1">
      <alignment vertical="center"/>
    </xf>
    <xf numFmtId="0" fontId="26" fillId="0" borderId="0" xfId="20" applyFont="1" applyAlignment="1" applyProtection="1">
      <alignment horizontal="center" vertical="center"/>
      <protection locked="0"/>
    </xf>
    <xf numFmtId="166" fontId="26" fillId="0" borderId="0" xfId="20" applyNumberFormat="1" applyFont="1" applyAlignment="1" applyProtection="1">
      <alignment horizontal="center" vertical="center"/>
      <protection locked="0"/>
    </xf>
    <xf numFmtId="0" fontId="43" fillId="2" borderId="0" xfId="20" applyFont="1" applyFill="1" applyAlignment="1" applyProtection="1">
      <alignment vertical="center"/>
      <protection locked="0"/>
    </xf>
    <xf numFmtId="0" fontId="66" fillId="2" borderId="0" xfId="20" applyFont="1" applyFill="1" applyAlignment="1" applyProtection="1">
      <alignment vertical="center"/>
      <protection locked="0"/>
    </xf>
    <xf numFmtId="166" fontId="43" fillId="2" borderId="0" xfId="20" applyNumberFormat="1" applyFont="1" applyFill="1" applyAlignment="1" applyProtection="1">
      <alignment vertical="center"/>
      <protection locked="0"/>
    </xf>
    <xf numFmtId="165" fontId="43" fillId="2" borderId="0" xfId="3" applyNumberFormat="1" applyFont="1" applyFill="1" applyAlignment="1" applyProtection="1">
      <alignment vertical="center"/>
      <protection locked="0"/>
    </xf>
    <xf numFmtId="6" fontId="26" fillId="0" borderId="0" xfId="0" applyNumberFormat="1" applyFont="1"/>
    <xf numFmtId="167" fontId="43" fillId="2" borderId="0" xfId="20" applyNumberFormat="1" applyFont="1" applyFill="1" applyAlignment="1" applyProtection="1">
      <alignment vertical="center"/>
      <protection locked="0"/>
    </xf>
    <xf numFmtId="43" fontId="28" fillId="12" borderId="54" xfId="3" applyFont="1" applyFill="1" applyBorder="1" applyAlignment="1" applyProtection="1">
      <alignment vertical="center"/>
    </xf>
    <xf numFmtId="2" fontId="28" fillId="0" borderId="54" xfId="3" applyNumberFormat="1" applyFont="1" applyBorder="1" applyAlignment="1" applyProtection="1">
      <alignment vertical="center"/>
    </xf>
    <xf numFmtId="2" fontId="28" fillId="0" borderId="60" xfId="3" applyNumberFormat="1" applyFont="1" applyBorder="1" applyAlignment="1" applyProtection="1">
      <alignment vertical="center"/>
    </xf>
    <xf numFmtId="2" fontId="26" fillId="0" borderId="12" xfId="3" applyNumberFormat="1" applyFont="1" applyBorder="1" applyAlignment="1" applyProtection="1">
      <alignment vertical="center"/>
    </xf>
    <xf numFmtId="165" fontId="28" fillId="12" borderId="1" xfId="3" applyNumberFormat="1" applyFont="1" applyFill="1" applyBorder="1" applyAlignment="1" applyProtection="1">
      <alignment vertical="center"/>
      <protection locked="0"/>
    </xf>
    <xf numFmtId="0" fontId="28" fillId="13" borderId="22" xfId="20" applyFont="1" applyFill="1" applyBorder="1" applyAlignment="1">
      <alignment horizontal="center" vertical="center" wrapText="1"/>
    </xf>
    <xf numFmtId="0" fontId="28" fillId="13" borderId="23" xfId="20" applyFont="1" applyFill="1" applyBorder="1" applyAlignment="1">
      <alignment horizontal="center" vertical="center" wrapText="1"/>
    </xf>
    <xf numFmtId="0" fontId="28" fillId="2" borderId="0" xfId="20" applyFont="1" applyFill="1" applyAlignment="1">
      <alignment horizontal="center" vertical="center" wrapText="1"/>
    </xf>
    <xf numFmtId="164" fontId="45" fillId="14" borderId="61" xfId="0" applyNumberFormat="1" applyFont="1" applyFill="1" applyBorder="1" applyAlignment="1" applyProtection="1">
      <alignment horizontal="center" vertical="center"/>
      <protection locked="0"/>
    </xf>
    <xf numFmtId="164" fontId="45" fillId="14" borderId="21" xfId="0" applyNumberFormat="1" applyFont="1" applyFill="1" applyBorder="1" applyAlignment="1" applyProtection="1">
      <alignment horizontal="center" vertical="center"/>
      <protection locked="0"/>
    </xf>
    <xf numFmtId="10" fontId="45" fillId="14" borderId="57" xfId="1" applyNumberFormat="1" applyFont="1" applyFill="1" applyBorder="1" applyAlignment="1" applyProtection="1">
      <alignment horizontal="center" vertical="center"/>
      <protection locked="0"/>
    </xf>
    <xf numFmtId="10" fontId="45" fillId="14" borderId="63" xfId="1" applyNumberFormat="1" applyFont="1" applyFill="1" applyBorder="1" applyAlignment="1" applyProtection="1">
      <alignment horizontal="center" vertical="center"/>
      <protection locked="0"/>
    </xf>
    <xf numFmtId="164" fontId="43" fillId="0" borderId="8" xfId="0" applyNumberFormat="1" applyFont="1" applyBorder="1" applyAlignment="1">
      <alignment horizontal="center" vertical="center" wrapText="1"/>
    </xf>
    <xf numFmtId="164" fontId="43" fillId="0" borderId="21" xfId="0" applyNumberFormat="1" applyFont="1" applyBorder="1" applyAlignment="1">
      <alignment horizontal="center" vertical="center" wrapText="1"/>
    </xf>
    <xf numFmtId="164" fontId="43" fillId="0" borderId="9" xfId="0" applyNumberFormat="1" applyFont="1" applyBorder="1" applyAlignment="1">
      <alignment horizontal="center" vertical="center" wrapText="1"/>
    </xf>
    <xf numFmtId="164" fontId="43" fillId="0" borderId="54" xfId="0" applyNumberFormat="1" applyFont="1" applyBorder="1" applyAlignment="1">
      <alignment horizontal="center" vertical="center" wrapText="1"/>
    </xf>
    <xf numFmtId="164" fontId="43" fillId="0" borderId="63" xfId="0" applyNumberFormat="1" applyFont="1" applyBorder="1" applyAlignment="1">
      <alignment horizontal="center" vertical="center" wrapText="1"/>
    </xf>
    <xf numFmtId="164" fontId="43" fillId="0" borderId="15" xfId="0" applyNumberFormat="1" applyFont="1" applyBorder="1" applyAlignment="1">
      <alignment horizontal="center" vertical="center" wrapText="1"/>
    </xf>
    <xf numFmtId="164" fontId="43" fillId="0" borderId="10" xfId="0" applyNumberFormat="1" applyFont="1" applyBorder="1" applyAlignment="1">
      <alignment horizontal="center" vertical="center" wrapText="1"/>
    </xf>
    <xf numFmtId="164" fontId="43" fillId="0" borderId="11" xfId="0" applyNumberFormat="1" applyFont="1" applyBorder="1" applyAlignment="1">
      <alignment horizontal="center" vertical="center" wrapText="1"/>
    </xf>
    <xf numFmtId="164" fontId="43" fillId="0" borderId="7" xfId="0" applyNumberFormat="1" applyFont="1" applyBorder="1" applyAlignment="1">
      <alignment horizontal="center" vertical="center" wrapText="1"/>
    </xf>
    <xf numFmtId="0" fontId="43" fillId="2" borderId="0" xfId="20" applyFont="1" applyFill="1" applyAlignment="1" applyProtection="1">
      <alignment horizontal="left" vertical="top" wrapText="1"/>
      <protection locked="0"/>
    </xf>
    <xf numFmtId="0" fontId="64" fillId="17" borderId="8" xfId="0" applyFont="1" applyFill="1" applyBorder="1" applyAlignment="1">
      <alignment horizontal="center"/>
    </xf>
    <xf numFmtId="0" fontId="64" fillId="17" borderId="21" xfId="0" applyFont="1" applyFill="1" applyBorder="1" applyAlignment="1">
      <alignment horizontal="center"/>
    </xf>
    <xf numFmtId="0" fontId="54" fillId="8" borderId="4" xfId="53" applyFont="1" applyFill="1" applyBorder="1" applyAlignment="1">
      <alignment horizontal="center"/>
    </xf>
    <xf numFmtId="0" fontId="54" fillId="8" borderId="5" xfId="53" applyFont="1" applyFill="1" applyBorder="1" applyAlignment="1">
      <alignment horizontal="center"/>
    </xf>
    <xf numFmtId="0" fontId="55" fillId="6" borderId="4" xfId="53" applyFont="1" applyFill="1" applyBorder="1" applyAlignment="1">
      <alignment horizontal="center" wrapText="1"/>
    </xf>
    <xf numFmtId="0" fontId="55" fillId="6" borderId="5" xfId="53" applyFont="1" applyFill="1" applyBorder="1" applyAlignment="1">
      <alignment horizontal="center" wrapText="1"/>
    </xf>
    <xf numFmtId="0" fontId="55" fillId="6" borderId="2" xfId="53" applyFont="1" applyFill="1" applyBorder="1" applyAlignment="1">
      <alignment horizontal="center" wrapText="1"/>
    </xf>
    <xf numFmtId="0" fontId="64" fillId="17" borderId="0" xfId="0" applyFont="1" applyFill="1" applyAlignment="1">
      <alignment horizontal="center"/>
    </xf>
    <xf numFmtId="173" fontId="31" fillId="0" borderId="0" xfId="84" applyFont="1" applyAlignment="1">
      <alignment horizontal="center"/>
    </xf>
    <xf numFmtId="173" fontId="31" fillId="0" borderId="18" xfId="84" applyFont="1" applyBorder="1" applyAlignment="1">
      <alignment horizontal="center" vertical="center" wrapText="1"/>
    </xf>
    <xf numFmtId="173" fontId="31" fillId="0" borderId="26" xfId="84" applyFont="1" applyBorder="1" applyAlignment="1">
      <alignment horizontal="center" vertical="center" wrapText="1"/>
    </xf>
    <xf numFmtId="173" fontId="31" fillId="0" borderId="20" xfId="84" applyFont="1" applyBorder="1" applyAlignment="1">
      <alignment horizontal="center" vertical="center" wrapText="1"/>
    </xf>
    <xf numFmtId="173" fontId="31" fillId="0" borderId="13" xfId="84" applyFont="1" applyBorder="1" applyAlignment="1">
      <alignment horizontal="center" vertical="center" wrapText="1"/>
    </xf>
    <xf numFmtId="173" fontId="31" fillId="0" borderId="24" xfId="84" applyFont="1" applyBorder="1" applyAlignment="1">
      <alignment horizontal="center" vertical="center" wrapText="1"/>
    </xf>
    <xf numFmtId="173" fontId="31" fillId="0" borderId="14" xfId="84" applyFont="1" applyBorder="1" applyAlignment="1">
      <alignment horizontal="center" vertical="center" wrapText="1"/>
    </xf>
    <xf numFmtId="173" fontId="38" fillId="0" borderId="4" xfId="84" applyFont="1" applyBorder="1" applyAlignment="1">
      <alignment horizontal="center" vertical="center"/>
    </xf>
    <xf numFmtId="173" fontId="38" fillId="0" borderId="5" xfId="84" applyFont="1" applyBorder="1" applyAlignment="1">
      <alignment horizontal="center" vertical="center"/>
    </xf>
    <xf numFmtId="173" fontId="38" fillId="0" borderId="2" xfId="84" applyFont="1" applyBorder="1" applyAlignment="1">
      <alignment horizontal="center" vertical="center"/>
    </xf>
    <xf numFmtId="173" fontId="38" fillId="0" borderId="13" xfId="84" applyFont="1" applyBorder="1" applyAlignment="1">
      <alignment horizontal="center" vertical="center" wrapText="1"/>
    </xf>
    <xf numFmtId="173" fontId="38" fillId="0" borderId="24" xfId="84" applyFont="1" applyBorder="1" applyAlignment="1">
      <alignment horizontal="center" vertical="center" wrapText="1"/>
    </xf>
    <xf numFmtId="173" fontId="38" fillId="0" borderId="14" xfId="84" applyFont="1" applyBorder="1" applyAlignment="1">
      <alignment horizontal="center" vertical="center" wrapText="1"/>
    </xf>
    <xf numFmtId="173" fontId="39" fillId="0" borderId="13" xfId="84" applyFont="1" applyBorder="1" applyAlignment="1">
      <alignment horizontal="center" vertical="center" wrapText="1"/>
    </xf>
    <xf numFmtId="173" fontId="39" fillId="0" borderId="24" xfId="84" applyFont="1" applyBorder="1" applyAlignment="1">
      <alignment horizontal="center" vertical="center" wrapText="1"/>
    </xf>
    <xf numFmtId="173" fontId="39" fillId="0" borderId="14" xfId="84" applyFont="1" applyBorder="1" applyAlignment="1">
      <alignment horizontal="center" vertical="center" wrapText="1"/>
    </xf>
    <xf numFmtId="173" fontId="40" fillId="0" borderId="4" xfId="84" applyFont="1" applyBorder="1" applyAlignment="1">
      <alignment horizontal="center" vertical="center"/>
    </xf>
    <xf numFmtId="173" fontId="40" fillId="0" borderId="28" xfId="84" applyFont="1" applyBorder="1" applyAlignment="1">
      <alignment horizontal="center" vertical="center"/>
    </xf>
    <xf numFmtId="173" fontId="40" fillId="0" borderId="29" xfId="84" applyFont="1" applyBorder="1" applyAlignment="1">
      <alignment horizontal="center" vertical="center"/>
    </xf>
    <xf numFmtId="173" fontId="40" fillId="0" borderId="2" xfId="84" applyFont="1" applyBorder="1" applyAlignment="1">
      <alignment horizontal="center" vertical="center"/>
    </xf>
    <xf numFmtId="173" fontId="33" fillId="3" borderId="0" xfId="84" applyFont="1" applyFill="1" applyAlignment="1">
      <alignment horizontal="left" vertical="top" wrapText="1"/>
    </xf>
    <xf numFmtId="173" fontId="33" fillId="0" borderId="0" xfId="84" applyFont="1" applyAlignment="1">
      <alignment horizontal="left" vertical="top" wrapText="1"/>
    </xf>
    <xf numFmtId="173" fontId="33" fillId="9" borderId="0" xfId="84" applyFont="1" applyFill="1" applyAlignment="1">
      <alignment horizontal="left" vertical="top" wrapText="1"/>
    </xf>
    <xf numFmtId="173" fontId="33" fillId="5" borderId="0" xfId="84" applyFont="1" applyFill="1" applyAlignment="1">
      <alignment horizontal="left" vertical="top" wrapText="1"/>
    </xf>
  </cellXfs>
  <cellStyles count="90">
    <cellStyle name="Comma" xfId="3" builtinId="3"/>
    <cellStyle name="Comma 10" xfId="55" xr:uid="{E306F653-B349-4840-9AFA-9DE2077A9810}"/>
    <cellStyle name="Comma 11" xfId="60" xr:uid="{CE274CCB-AE2C-4A38-B7C6-3F85B07BCA03}"/>
    <cellStyle name="Comma 12" xfId="72" xr:uid="{FEC4A6F6-97A7-4AB2-A777-DEF2C4141170}"/>
    <cellStyle name="Comma 13" xfId="75" xr:uid="{63208A35-7F3F-4139-B899-B412C43A761C}"/>
    <cellStyle name="Comma 14" xfId="81" xr:uid="{4B94F335-3476-4072-9A50-0A30EEDAC5E7}"/>
    <cellStyle name="Comma 15" xfId="85" xr:uid="{E074D069-7E12-4F76-BC67-23BB52BF237D}"/>
    <cellStyle name="Comma 2" xfId="7" xr:uid="{00000000-0005-0000-0000-000001000000}"/>
    <cellStyle name="Comma 2 2" xfId="63" xr:uid="{9D96FD67-58B9-4B73-9022-875BE80CF561}"/>
    <cellStyle name="Comma 3" xfId="12" xr:uid="{00000000-0005-0000-0000-000002000000}"/>
    <cellStyle name="Comma 3 2" xfId="13" xr:uid="{00000000-0005-0000-0000-000003000000}"/>
    <cellStyle name="Comma 4" xfId="16" xr:uid="{00000000-0005-0000-0000-000004000000}"/>
    <cellStyle name="Comma 4 2" xfId="86" xr:uid="{EB0D2763-D02D-4D01-8C31-BE1B2BDC599C}"/>
    <cellStyle name="Comma 5" xfId="19" xr:uid="{00000000-0005-0000-0000-000005000000}"/>
    <cellStyle name="Comma 6" xfId="22" xr:uid="{1B5F6E7C-E485-43C7-AFAB-E1671220B68F}"/>
    <cellStyle name="Comma 6 2" xfId="68" xr:uid="{E215CFC3-E51B-4967-926C-FD888C839592}"/>
    <cellStyle name="Comma 7" xfId="24" xr:uid="{786AF779-0F57-4F32-8491-C62B320AD5C4}"/>
    <cellStyle name="Comma 8" xfId="48" xr:uid="{83ED80A5-9B74-40A2-B070-2D8BDBA4AF37}"/>
    <cellStyle name="Comma 9" xfId="52" xr:uid="{15E91F5B-D5DA-49BF-A46D-22565704D6F2}"/>
    <cellStyle name="Currency" xfId="28" builtinId="4"/>
    <cellStyle name="Currency 10" xfId="70" xr:uid="{BF590D50-D4EA-4216-9AFB-B8BAABD1093E}"/>
    <cellStyle name="Currency 11" xfId="76" xr:uid="{F649E9B8-A3AE-4711-A954-5F7313AD6A91}"/>
    <cellStyle name="Currency 2" xfId="9" xr:uid="{00000000-0005-0000-0000-000006000000}"/>
    <cellStyle name="Currency 3" xfId="11" xr:uid="{00000000-0005-0000-0000-000007000000}"/>
    <cellStyle name="Currency 4" xfId="15" xr:uid="{00000000-0005-0000-0000-000008000000}"/>
    <cellStyle name="Currency 5" xfId="18" xr:uid="{00000000-0005-0000-0000-000009000000}"/>
    <cellStyle name="Currency 6" xfId="29" xr:uid="{E3CAE682-1041-4693-9959-CFF140C50947}"/>
    <cellStyle name="Currency 7" xfId="49" xr:uid="{842522F0-689A-47FF-A063-3054B820DE1E}"/>
    <cellStyle name="Currency 8" xfId="59" xr:uid="{A0F24C53-65B1-4161-A1D5-4E40E9A10111}"/>
    <cellStyle name="Currency 9" xfId="65" xr:uid="{CC03D360-7A4F-48C4-8162-913405B99164}"/>
    <cellStyle name="Hyperlink 2" xfId="25" xr:uid="{D77DDBDC-FC9E-43D5-A7FF-4075C00C540D}"/>
    <cellStyle name="Normal" xfId="0" builtinId="0"/>
    <cellStyle name="Normal 10" xfId="47" xr:uid="{BA5D6406-8A42-467B-A5AF-A46C0A54F799}"/>
    <cellStyle name="Normal 11" xfId="20" xr:uid="{00000000-0005-0000-0000-00000C000000}"/>
    <cellStyle name="Normal 11 2" xfId="89" xr:uid="{58A941A1-4BE1-4C22-B8D6-202F5B18C826}"/>
    <cellStyle name="Normal 12" xfId="50" xr:uid="{F9647DF9-B431-440C-8C5A-D974942E466C}"/>
    <cellStyle name="Normal 13" xfId="51" xr:uid="{26202E4B-B431-43EF-A59B-4FF5801A7D83}"/>
    <cellStyle name="Normal 13 2" xfId="66" xr:uid="{8F6BA2FC-6A87-4343-A4BE-6BCB2F78AFCA}"/>
    <cellStyle name="Normal 14" xfId="53" xr:uid="{8FD1AFE0-ADED-48BE-A5EB-BB9506B8FC06}"/>
    <cellStyle name="Normal 15" xfId="56" xr:uid="{9FE1C455-2558-487B-B660-20F4CFEDAB39}"/>
    <cellStyle name="Normal 16" xfId="58" xr:uid="{95621D3B-1ADD-407E-863E-C055C3BECBA0}"/>
    <cellStyle name="Normal 17" xfId="64" xr:uid="{2F1BCA47-C9DF-4386-9144-046EB5A6020C}"/>
    <cellStyle name="Normal 18" xfId="69" xr:uid="{0E59F162-8B66-40CD-AB80-FB9C2250C407}"/>
    <cellStyle name="Normal 19" xfId="71" xr:uid="{5C9CCD31-423A-4AD4-A808-F047B436E41E}"/>
    <cellStyle name="Normal 2" xfId="4" xr:uid="{00000000-0005-0000-0000-00000D000000}"/>
    <cellStyle name="Normal 2 2" xfId="31" xr:uid="{34F029E2-3813-4F43-B4EF-C74EB162D7A8}"/>
    <cellStyle name="Normal 2 2 2" xfId="83" xr:uid="{75009E00-BA81-4A54-B384-C341C181DF0A}"/>
    <cellStyle name="Normal 2 2 3" xfId="84" xr:uid="{326346FE-9130-4C77-B1C5-2C48A7DAE31A}"/>
    <cellStyle name="Normal 2 3" xfId="61" xr:uid="{5CF9C632-A6A4-4BC0-9B69-EDB37BD8C5E7}"/>
    <cellStyle name="Normal 2 3 2 2 2" xfId="26" xr:uid="{4B41FD3C-A185-4B0A-B566-F676105DD977}"/>
    <cellStyle name="Normal 2 4" xfId="82" xr:uid="{7600BDB2-6C79-4604-B6C5-BB50EF2104A6}"/>
    <cellStyle name="Normal 20" xfId="74" xr:uid="{0191B9C8-61A8-4287-B2A3-E6CDD5D684A0}"/>
    <cellStyle name="Normal 21" xfId="78" xr:uid="{C4D5D6AA-6C8C-4A89-ABCA-C0B2FCEFABFB}"/>
    <cellStyle name="Normal 22" xfId="79" xr:uid="{FF4E5FCD-816F-42C8-97F5-BAE0BED77DAA}"/>
    <cellStyle name="Normal 23" xfId="87" xr:uid="{8DAC5682-5F42-4013-A127-036ACDFBF9E3}"/>
    <cellStyle name="Normal 3" xfId="5" xr:uid="{00000000-0005-0000-0000-00000E000000}"/>
    <cellStyle name="Normal 3 2" xfId="33" xr:uid="{E4FBBF7D-AA5E-4247-A48D-6653C3E14A4D}"/>
    <cellStyle name="Normal 3 2 2" xfId="34" xr:uid="{835C1B2C-1654-460C-AE07-DC2D2BCCD538}"/>
    <cellStyle name="Normal 3 3" xfId="35" xr:uid="{06D53072-DFCB-44C3-94F3-966C3829A415}"/>
    <cellStyle name="Normal 3 4" xfId="32" xr:uid="{1D2DF41A-05C2-4DE1-8A1E-3DDC875E7874}"/>
    <cellStyle name="Normal 3 5" xfId="67" xr:uid="{FD364931-CFBE-45AA-B596-B24A6E881E95}"/>
    <cellStyle name="Normal 4" xfId="6" xr:uid="{00000000-0005-0000-0000-00000F000000}"/>
    <cellStyle name="Normal 4 2" xfId="37" xr:uid="{EDCB7AC3-390A-4801-A151-262B8D2A6D2E}"/>
    <cellStyle name="Normal 4 2 2" xfId="38" xr:uid="{EDD4DD21-73FA-4A36-AB26-B80FCA46F006}"/>
    <cellStyle name="Normal 4 3" xfId="39" xr:uid="{1C52E9E6-9AFF-44EE-8FD4-220B0B53632B}"/>
    <cellStyle name="Normal 4 4" xfId="36" xr:uid="{32243BB8-5BEF-4F03-8ED4-A5BE09C59115}"/>
    <cellStyle name="Normal 5" xfId="10" xr:uid="{00000000-0005-0000-0000-000010000000}"/>
    <cellStyle name="Normal 5 2" xfId="41" xr:uid="{62AAAE90-E875-4106-81C1-B2710E3D04CD}"/>
    <cellStyle name="Normal 5 2 2" xfId="42" xr:uid="{79273980-AB5D-49B2-850B-C05D4C1E94BA}"/>
    <cellStyle name="Normal 5 3" xfId="43" xr:uid="{CE0AAC85-C7C1-4863-862A-964294D12245}"/>
    <cellStyle name="Normal 5 4" xfId="40" xr:uid="{40B0268A-1F4D-4BA1-B58C-8A91952ADB04}"/>
    <cellStyle name="Normal 6" xfId="14" xr:uid="{00000000-0005-0000-0000-000011000000}"/>
    <cellStyle name="Normal 6 2" xfId="45" xr:uid="{F3F3BD18-B321-422F-AFF5-BF403CADE514}"/>
    <cellStyle name="Normal 6 3" xfId="44" xr:uid="{C0AF52FA-0147-44D0-BC55-BA1F477D6228}"/>
    <cellStyle name="Normal 7" xfId="17" xr:uid="{00000000-0005-0000-0000-000012000000}"/>
    <cellStyle name="Normal 7 2" xfId="46" xr:uid="{D27A5DCE-2CC7-4A8D-B024-19392668AFF8}"/>
    <cellStyle name="Normal 8" xfId="23" xr:uid="{3A87D3A5-A865-478F-9A94-ECE3EECA4B37}"/>
    <cellStyle name="Normal 8 2" xfId="27" xr:uid="{581D8603-6781-4CE1-91F4-3F63C4145F94}"/>
    <cellStyle name="Normal 9" xfId="30" xr:uid="{B0F7F8C8-B833-4F33-A561-012D2B81AB3E}"/>
    <cellStyle name="Normal_RMFCRSW200702" xfId="54" xr:uid="{0A48A626-AAB4-47F9-AA63-5FF9900A5900}"/>
    <cellStyle name="Percent" xfId="1" builtinId="5"/>
    <cellStyle name="Percent 2" xfId="2" xr:uid="{00000000-0005-0000-0000-000014000000}"/>
    <cellStyle name="Percent 2 2" xfId="8" xr:uid="{00000000-0005-0000-0000-000015000000}"/>
    <cellStyle name="Percent 2 2 2" xfId="88" xr:uid="{88C2B97E-B8D3-4D89-8804-C91496EC37CD}"/>
    <cellStyle name="Percent 2 3" xfId="62" xr:uid="{C66260C2-79C0-443A-8C94-E50714590D16}"/>
    <cellStyle name="Percent 3" xfId="21" xr:uid="{00000000-0005-0000-0000-000016000000}"/>
    <cellStyle name="Percent 4" xfId="57" xr:uid="{AD0E40C6-A924-402C-86B6-7E2923649995}"/>
    <cellStyle name="Percent 5" xfId="73" xr:uid="{592C26F2-F9CD-4386-A312-7E2B7896A8E4}"/>
    <cellStyle name="Percent 6" xfId="77" xr:uid="{607CF184-A2FB-4E79-8ED5-82B23D17118A}"/>
    <cellStyle name="Percent 7" xfId="80" xr:uid="{FE4BD128-AC82-4F0E-94A0-ACD4096FBA2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mruColors>
      <color rgb="FFFF9999"/>
      <color rgb="FFEBFFFF"/>
      <color rgb="FFFFCCFF"/>
      <color rgb="FFCCFF66"/>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externalLink" Target="externalLinks/externalLink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heetMetadata" Target="metadata.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hcbs-amh%20irp&amp;invoice\Billing%20Invoices\Cinco\Cinco%20RM\12162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hambrick/AppData/Local/Microsoft/Windows/INetCache/Content.Outlook/J396ZAA4/Minimum%20Wag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hcbs-amh%20irp&amp;invoice\Billing%20Invoices\FY-17\9_May-17\Invoices\RM\Cinco%20Ranch_RM%20May.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txhhs.sharepoint.com/sites/pf/ltss/Rates/_Consolidated%20Budget/2026-27%20Rate%20Tables/RT%20Service%20Description%20Crosswalk.xlsx" TargetMode="External"/><Relationship Id="rId1" Type="http://schemas.openxmlformats.org/officeDocument/2006/relationships/externalLinkPath" Target="/sites/pf/ltss/Rates/_Consolidated%20Budget/2026-27%20Rate%20Tables/RT%20Service%20Description%20Crosswalk.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txhhs.sharepoint.com/sites/pf/ltss/Rates/_Consolidated%20Budget/LTSS%20Bill%20Code%20List.xlsx" TargetMode="External"/><Relationship Id="rId1" Type="http://schemas.openxmlformats.org/officeDocument/2006/relationships/externalLinkPath" Target="/sites/pf/ltss/Rates/_Consolidated%20Budget/LTSS%20Bill%20Code%20List.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txhhs.sharepoint.com/sites/pf/ltss/Rates/_Consolidated%20Budget/LTSS%20Rate%20Change%20History.xlsx" TargetMode="External"/><Relationship Id="rId1" Type="http://schemas.openxmlformats.org/officeDocument/2006/relationships/externalLinkPath" Target="/sites/pf/ltss/Rates/_Consolidated%20Budget/LTSS%20Rate%20Change%20History.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txhhs.sharepoint.com/sites/pf/ltss/Rates/_Consolidated%20Budget/2026-27%20Rate%20Tables/2026-27%20LTSS%20RT_Fiscal%20Calculations.xlsx" TargetMode="External"/><Relationship Id="rId1" Type="http://schemas.openxmlformats.org/officeDocument/2006/relationships/externalLinkPath" Target="/sites/pf/ltss/Rates/_Consolidated%20Budget/2026-27%20Rate%20Tables/2026-27%20LTSS%20RT_Fiscal%20Calculations.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txhhs.sharepoint.com/sites/pf/ltss/Attendant%20Wage%20Calculator/_SFY%202026-2027%20Attendant%20Wages%20Calculator/2024%20ATT%20Analysis_2021%20CPC%20CR%20Output.xlsx" TargetMode="External"/><Relationship Id="rId1" Type="http://schemas.openxmlformats.org/officeDocument/2006/relationships/externalLinkPath" Target="/sites/pf/ltss/Attendant%20Wage%20Calculator/_SFY%202026-2027%20Attendant%20Wages%20Calculator/2024%20ATT%20Analysis_2021%20CPC%20CR%20Output.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txhhs.sharepoint.com/sites/pf/ltss/Rates/_Consolidated%20Budget/2026-27%20Rate%20Tables/Back%20End%20Rate%20Calcs%20for%20Rate%20Tables.xlsx" TargetMode="External"/><Relationship Id="rId1" Type="http://schemas.openxmlformats.org/officeDocument/2006/relationships/externalLinkPath" Target="/sites/pf/ltss/Rates/_Consolidated%20Budget/2026-27%20Rate%20Tables/Back%20End%20Rate%20Calcs%20for%20Rate%20Tables.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txhhs.sharepoint.com/sites/pf/ltss/Attendant%20Wage%20Calculator/_SFY%202026-2027%20Attendant%20Wages%20Calculator/2024%20ATT%20Analysis_2020%20HCS%20CR%20Output.xlsx" TargetMode="External"/><Relationship Id="rId1" Type="http://schemas.openxmlformats.org/officeDocument/2006/relationships/externalLinkPath" Target="/sites/pf/ltss/Attendant%20Wage%20Calculator/_SFY%202026-2027%20Attendant%20Wages%20Calculator/2024%20ATT%20Analysis_2020%20HCS%20CR%20Output.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txhhs.sharepoint.com/sites/pf/ltss/Rates/_Consolidated%20Budget/2026-27%20Rate%20Tables/Billing%20References%20and%20Data/2026-27%20RT%20Queries.xlsx" TargetMode="External"/><Relationship Id="rId1" Type="http://schemas.openxmlformats.org/officeDocument/2006/relationships/externalLinkPath" Target="/sites/pf/ltss/Rates/_Consolidated%20Budget/2026-27%20Rate%20Tables/Billing%20References%20and%20Data/2026-27%20RT%20Quer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ncounter Data"/>
      <sheetName val="Service Codes &amp; Rates"/>
      <sheetName val="Place of Service"/>
      <sheetName val="ICD-10 Codes"/>
      <sheetName val="Do not Edit"/>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Plus"/>
      <sheetName val="STAR Kids"/>
      <sheetName val="MC Assumptions"/>
      <sheetName val="data"/>
      <sheetName val="distribution"/>
      <sheetName val="modifiers"/>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ncounter Data"/>
      <sheetName val="Service Codes &amp; Rates"/>
      <sheetName val="Place of Service"/>
      <sheetName val="ICD-10 Codes"/>
      <sheetName val="Do not Edit"/>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 Review Notes"/>
      <sheetName val="CHECK tab"/>
      <sheetName val="Description Pivot"/>
      <sheetName val="Process Flow"/>
      <sheetName val="RT Description to Bill Matix"/>
      <sheetName val="Key for Section Sort RT_Serv ID"/>
      <sheetName val="Section ID Crosswalk"/>
      <sheetName val="Sort ID Crosswalk"/>
      <sheetName val="Service Description Crosswalk"/>
      <sheetName val="Sections_Order Crosswalk"/>
      <sheetName val="SrvcRollup_Section Pivot"/>
      <sheetName val="Prgrm_Section Pivot"/>
      <sheetName val="Clean v_Notes"/>
      <sheetName val="List for New Descriptions"/>
      <sheetName val="2022-23 RT"/>
      <sheetName val="MMP, LOC, &amp; SRO Descrip Roll"/>
      <sheetName val="RT Section List"/>
      <sheetName val="LOC &amp; SRO Rolled"/>
    </sheetNames>
    <sheetDataSet>
      <sheetData sheetId="0" refreshError="1"/>
      <sheetData sheetId="1" refreshError="1"/>
      <sheetData sheetId="2" refreshError="1"/>
      <sheetData sheetId="3" refreshError="1"/>
      <sheetData sheetId="4" refreshError="1">
        <row r="1">
          <cell r="F1"/>
        </row>
        <row r="3">
          <cell r="D3" t="str">
            <v>RT Description</v>
          </cell>
          <cell r="M3" t="str">
            <v>Bill Code Combo</v>
          </cell>
        </row>
        <row r="4">
          <cell r="D4" t="str">
            <v>Audiology</v>
          </cell>
          <cell r="M4" t="str">
            <v>2135M0103</v>
          </cell>
        </row>
        <row r="5">
          <cell r="D5" t="str">
            <v>Audiology</v>
          </cell>
          <cell r="M5" t="str">
            <v>2135M0104</v>
          </cell>
        </row>
        <row r="6">
          <cell r="D6" t="str">
            <v>Audiology</v>
          </cell>
          <cell r="M6" t="str">
            <v>2235M0189</v>
          </cell>
        </row>
        <row r="7">
          <cell r="D7" t="str">
            <v>CDS Audiology</v>
          </cell>
          <cell r="M7" t="str">
            <v>2235VM0190</v>
          </cell>
        </row>
        <row r="8">
          <cell r="D8" t="str">
            <v>Behavioral Support</v>
          </cell>
          <cell r="M8" t="str">
            <v>2143AM0133</v>
          </cell>
        </row>
        <row r="9">
          <cell r="D9" t="str">
            <v>Behavioral Support</v>
          </cell>
          <cell r="M9" t="str">
            <v>2143AM0134</v>
          </cell>
        </row>
        <row r="10">
          <cell r="D10" t="str">
            <v>Behavioral Support</v>
          </cell>
          <cell r="M10" t="str">
            <v>2243AM0192</v>
          </cell>
        </row>
        <row r="11">
          <cell r="D11" t="str">
            <v>CDS Behavioral Support</v>
          </cell>
          <cell r="M11" t="str">
            <v>2243AVM0193</v>
          </cell>
        </row>
        <row r="12">
          <cell r="D12" t="str">
            <v>Cognitive Rehabilitative Therapy</v>
          </cell>
          <cell r="M12" t="str">
            <v>2161M0328</v>
          </cell>
        </row>
        <row r="13">
          <cell r="D13" t="str">
            <v>Cognitive Rehabilitative Therapy</v>
          </cell>
          <cell r="M13" t="str">
            <v>2161M0329</v>
          </cell>
        </row>
        <row r="14">
          <cell r="D14" t="str">
            <v>CDS Cognitive Rehabilitative Therapy</v>
          </cell>
          <cell r="M14" t="str">
            <v>2161VM0330</v>
          </cell>
        </row>
        <row r="15">
          <cell r="D15" t="str">
            <v>CDS Cognitive Rehabilitative Therapy</v>
          </cell>
          <cell r="M15" t="str">
            <v>2161VM0331</v>
          </cell>
        </row>
        <row r="16">
          <cell r="D16" t="str">
            <v>Dietary Services</v>
          </cell>
          <cell r="M16" t="str">
            <v>2134M0120</v>
          </cell>
        </row>
        <row r="17">
          <cell r="D17" t="str">
            <v>Dietary Services</v>
          </cell>
          <cell r="M17" t="str">
            <v>2134M0121</v>
          </cell>
        </row>
        <row r="18">
          <cell r="D18" t="str">
            <v>Dietary Services</v>
          </cell>
          <cell r="M18" t="str">
            <v>2234M0204</v>
          </cell>
        </row>
        <row r="19">
          <cell r="D19" t="str">
            <v>CDS Dietary Services</v>
          </cell>
          <cell r="M19" t="str">
            <v>2234VM0205</v>
          </cell>
        </row>
        <row r="20">
          <cell r="D20" t="str">
            <v>Employment Assistance and Supported Employment</v>
          </cell>
          <cell r="M20" t="str">
            <v>2137M0154</v>
          </cell>
        </row>
        <row r="21">
          <cell r="D21" t="str">
            <v>Employment Assistance and Supported Employment</v>
          </cell>
          <cell r="M21" t="str">
            <v>2137M0155</v>
          </cell>
        </row>
        <row r="22">
          <cell r="D22" t="str">
            <v>Employment Assistance and Supported Employment</v>
          </cell>
          <cell r="M22" t="str">
            <v>2154M0332</v>
          </cell>
        </row>
        <row r="23">
          <cell r="D23" t="str">
            <v>Employment Assistance and Supported Employment</v>
          </cell>
          <cell r="M23" t="str">
            <v>2154M0347</v>
          </cell>
        </row>
        <row r="24">
          <cell r="D24" t="str">
            <v>CDS Employment Assistance and Supported Employment</v>
          </cell>
          <cell r="M24" t="str">
            <v>2137VM0334</v>
          </cell>
        </row>
        <row r="25">
          <cell r="D25" t="str">
            <v>CDS Employment Assistance and Supported Employment</v>
          </cell>
          <cell r="M25" t="str">
            <v>2137VM0349</v>
          </cell>
        </row>
        <row r="26">
          <cell r="D26" t="str">
            <v>CDS Employment Assistance and Supported Employment</v>
          </cell>
          <cell r="M26" t="str">
            <v>2154VM0333</v>
          </cell>
        </row>
        <row r="27">
          <cell r="D27" t="str">
            <v>CDS Employment Assistance and Supported Employment</v>
          </cell>
          <cell r="M27" t="str">
            <v>2154VM0348</v>
          </cell>
        </row>
        <row r="28">
          <cell r="D28" t="str">
            <v>Employment Assistance and Supported Employment</v>
          </cell>
          <cell r="M28" t="str">
            <v>2237M0243</v>
          </cell>
        </row>
        <row r="29">
          <cell r="D29" t="str">
            <v>Employment Assistance and Supported Employment</v>
          </cell>
          <cell r="M29" t="str">
            <v>2254M0207</v>
          </cell>
        </row>
        <row r="30">
          <cell r="D30" t="str">
            <v>CDS Employment Assistance and Supported Employment</v>
          </cell>
          <cell r="M30" t="str">
            <v>2237VM0244</v>
          </cell>
        </row>
        <row r="31">
          <cell r="D31" t="str">
            <v>CDS Employment Assistance and Supported Employment</v>
          </cell>
          <cell r="M31" t="str">
            <v>2254VM0208</v>
          </cell>
        </row>
        <row r="32">
          <cell r="D32" t="str">
            <v>Emergency Response Services (CFC)</v>
          </cell>
          <cell r="M32" t="str">
            <v>2120CFCM0358</v>
          </cell>
        </row>
        <row r="33">
          <cell r="D33" t="str">
            <v>Emergency Response Services (CFC)</v>
          </cell>
          <cell r="M33" t="str">
            <v>2120CFCM0370</v>
          </cell>
        </row>
        <row r="34">
          <cell r="D34" t="str">
            <v>Emergency Response Services (CFC)</v>
          </cell>
          <cell r="M34" t="str">
            <v>2220CFCM0364</v>
          </cell>
        </row>
        <row r="35">
          <cell r="D35" t="str">
            <v>Financial Management Service Fee</v>
          </cell>
          <cell r="M35" t="str">
            <v>2163CFVM0359</v>
          </cell>
        </row>
        <row r="36">
          <cell r="D36" t="str">
            <v>Financial Management Service Fee</v>
          </cell>
          <cell r="M36" t="str">
            <v>2163CFVM0371</v>
          </cell>
        </row>
        <row r="37">
          <cell r="D37" t="str">
            <v>Financial Management Service Fee</v>
          </cell>
          <cell r="M37" t="str">
            <v>2163VM0111</v>
          </cell>
        </row>
        <row r="38">
          <cell r="D38" t="str">
            <v>Financial Management Service Fee</v>
          </cell>
          <cell r="M38" t="str">
            <v>2163VM0112</v>
          </cell>
        </row>
        <row r="39">
          <cell r="D39" t="str">
            <v>Financial Management Service Fee</v>
          </cell>
          <cell r="M39" t="str">
            <v>2263CFVM0365</v>
          </cell>
        </row>
        <row r="40">
          <cell r="D40" t="str">
            <v>Financial Management Service Fee</v>
          </cell>
          <cell r="M40" t="str">
            <v>2263VM0209</v>
          </cell>
        </row>
        <row r="41">
          <cell r="D41" t="str">
            <v>Host Home/Companion Care LON 1</v>
          </cell>
          <cell r="M41" t="str">
            <v>2118AM0122</v>
          </cell>
        </row>
        <row r="42">
          <cell r="D42" t="str">
            <v>Host Home/Companion Care LON 5</v>
          </cell>
          <cell r="M42" t="str">
            <v>2118AM0123</v>
          </cell>
        </row>
        <row r="43">
          <cell r="D43" t="str">
            <v>Host Home/Companion Care LON 6</v>
          </cell>
          <cell r="M43" t="str">
            <v>2118AM0124</v>
          </cell>
        </row>
        <row r="44">
          <cell r="D44" t="str">
            <v>Host Home/Companion Care LON 8</v>
          </cell>
          <cell r="M44" t="str">
            <v>2118AM0125</v>
          </cell>
        </row>
        <row r="45">
          <cell r="D45" t="str">
            <v>Host Home/Companion Care LON 9</v>
          </cell>
          <cell r="M45" t="str">
            <v>2118AM0126</v>
          </cell>
        </row>
        <row r="46">
          <cell r="D46" t="str">
            <v>In Home Respite</v>
          </cell>
          <cell r="M46" t="str">
            <v>2111XM0143</v>
          </cell>
        </row>
        <row r="47">
          <cell r="D47" t="str">
            <v>In Home Respite</v>
          </cell>
          <cell r="M47" t="str">
            <v>2111XM0144</v>
          </cell>
        </row>
        <row r="48">
          <cell r="D48" t="str">
            <v>In Home Respite</v>
          </cell>
          <cell r="M48" t="str">
            <v>2111XM0855</v>
          </cell>
        </row>
        <row r="49">
          <cell r="D49" t="str">
            <v>In Home Respite</v>
          </cell>
          <cell r="M49" t="str">
            <v>2111XM0856</v>
          </cell>
        </row>
        <row r="50">
          <cell r="D50" t="str">
            <v>In Home Respite</v>
          </cell>
          <cell r="M50" t="str">
            <v>2111XM0860</v>
          </cell>
        </row>
        <row r="51">
          <cell r="D51" t="str">
            <v>In Home Respite</v>
          </cell>
          <cell r="M51" t="str">
            <v>2111XM0861</v>
          </cell>
        </row>
        <row r="52">
          <cell r="D52" t="str">
            <v>CDS In Home Respite</v>
          </cell>
          <cell r="M52" t="str">
            <v>2111XVM0145</v>
          </cell>
        </row>
        <row r="53">
          <cell r="D53" t="str">
            <v>CDS In Home Respite</v>
          </cell>
          <cell r="M53" t="str">
            <v>2111XVM0146</v>
          </cell>
        </row>
        <row r="54">
          <cell r="D54" t="str">
            <v>CDS In Home Respite</v>
          </cell>
          <cell r="M54" t="str">
            <v>2111XVM0873</v>
          </cell>
        </row>
        <row r="55">
          <cell r="D55" t="str">
            <v>CDS In Home Respite</v>
          </cell>
          <cell r="M55" t="str">
            <v>2111XVM0874</v>
          </cell>
        </row>
        <row r="56">
          <cell r="D56" t="str">
            <v>CDS In Home Respite</v>
          </cell>
          <cell r="M56" t="str">
            <v>2111XVM0875</v>
          </cell>
        </row>
        <row r="57">
          <cell r="D57" t="str">
            <v>CDS In Home Respite</v>
          </cell>
          <cell r="M57" t="str">
            <v>2111XVM0876</v>
          </cell>
        </row>
        <row r="58">
          <cell r="D58" t="str">
            <v>In Home Respite</v>
          </cell>
          <cell r="M58" t="str">
            <v>2211XM0240</v>
          </cell>
        </row>
        <row r="59">
          <cell r="D59" t="str">
            <v>In Home Respite</v>
          </cell>
          <cell r="M59" t="str">
            <v>2211XM0904</v>
          </cell>
        </row>
        <row r="60">
          <cell r="D60" t="str">
            <v>In Home Respite</v>
          </cell>
          <cell r="M60" t="str">
            <v>2211XM0905</v>
          </cell>
        </row>
        <row r="61">
          <cell r="D61" t="str">
            <v>CDS In Home Respite</v>
          </cell>
          <cell r="M61" t="str">
            <v>2211XVM0241</v>
          </cell>
        </row>
        <row r="62">
          <cell r="D62" t="str">
            <v>CDS In Home Respite</v>
          </cell>
          <cell r="M62" t="str">
            <v>2211XVM0908</v>
          </cell>
        </row>
        <row r="63">
          <cell r="D63" t="str">
            <v>CDS In Home Respite</v>
          </cell>
          <cell r="M63" t="str">
            <v>2211XVM0909</v>
          </cell>
        </row>
        <row r="64">
          <cell r="D64" t="str">
            <v>Individualized Skills and Socialization LON 1 - On-Site</v>
          </cell>
          <cell r="M64" t="str">
            <v>2123M0977</v>
          </cell>
        </row>
        <row r="65">
          <cell r="D65" t="str">
            <v>Individualized Skills and Socialization LON 1 - Off-Site (incl. Enhanced)</v>
          </cell>
          <cell r="M65" t="str">
            <v>2123M0978</v>
          </cell>
        </row>
        <row r="66">
          <cell r="D66" t="str">
            <v>Individualized Skills and Socialization LON 1 - Off-Site (incl. Enhanced)</v>
          </cell>
          <cell r="M66" t="str">
            <v>2123M0979</v>
          </cell>
        </row>
        <row r="67">
          <cell r="D67" t="str">
            <v>Individualized Skills and Socialization LON 1 - On-Site</v>
          </cell>
          <cell r="M67" t="str">
            <v>2123M0980</v>
          </cell>
        </row>
        <row r="68">
          <cell r="D68" t="str">
            <v>Individualized Skills and Socialization LON 5 - On-Site</v>
          </cell>
          <cell r="M68" t="str">
            <v>2123M0981</v>
          </cell>
        </row>
        <row r="69">
          <cell r="D69" t="str">
            <v>Individualized Skills and Socialization LON 5 - Off-Site (incl. Enhanced)</v>
          </cell>
          <cell r="M69" t="str">
            <v>2123M0982</v>
          </cell>
        </row>
        <row r="70">
          <cell r="D70" t="str">
            <v>Individualized Skills and Socialization LON 5 - Off-Site (incl. Enhanced)</v>
          </cell>
          <cell r="M70" t="str">
            <v>2123M0983</v>
          </cell>
        </row>
        <row r="71">
          <cell r="D71" t="str">
            <v>Individualized Skills and Socialization LON 5 - On-Site</v>
          </cell>
          <cell r="M71" t="str">
            <v>2123M0984</v>
          </cell>
        </row>
        <row r="72">
          <cell r="D72" t="str">
            <v>Individualized Skills and Socialization LON 6 - On-Site</v>
          </cell>
          <cell r="M72" t="str">
            <v>2123M0985</v>
          </cell>
        </row>
        <row r="73">
          <cell r="D73" t="str">
            <v>Individualized Skills and Socialization LON 6 - Off-Site (incl. Enhanced)</v>
          </cell>
          <cell r="M73" t="str">
            <v>2123M0986</v>
          </cell>
        </row>
        <row r="74">
          <cell r="D74" t="str">
            <v>Individualized Skills and Socialization LON 6 - Off-Site (incl. Enhanced)</v>
          </cell>
          <cell r="M74" t="str">
            <v>2123M0987</v>
          </cell>
        </row>
        <row r="75">
          <cell r="D75" t="str">
            <v>Individualized Skills and Socialization LON 6 - On-Site</v>
          </cell>
          <cell r="M75" t="str">
            <v>2123M0988</v>
          </cell>
        </row>
        <row r="76">
          <cell r="D76" t="str">
            <v>Individualized Skills and Socialization LON 8 - On-Site</v>
          </cell>
          <cell r="M76" t="str">
            <v>2123M0989</v>
          </cell>
        </row>
        <row r="77">
          <cell r="D77" t="str">
            <v>Individualized Skills and Socialization LON 8 - Off-Site (incl. Enhanced)</v>
          </cell>
          <cell r="M77" t="str">
            <v>2123M0990</v>
          </cell>
        </row>
        <row r="78">
          <cell r="D78" t="str">
            <v>Individualized Skills and Socialization LON 8 - Off-Site (incl. Enhanced)</v>
          </cell>
          <cell r="M78" t="str">
            <v>2123M0991</v>
          </cell>
        </row>
        <row r="79">
          <cell r="D79" t="str">
            <v>Individualized Skills and Socialization LON 8 - On-Site</v>
          </cell>
          <cell r="M79" t="str">
            <v>2123M0992</v>
          </cell>
        </row>
        <row r="80">
          <cell r="D80" t="str">
            <v>Individualized Skills and Socialization LON 9 - On-Site</v>
          </cell>
          <cell r="M80" t="str">
            <v>2123M0993</v>
          </cell>
        </row>
        <row r="81">
          <cell r="D81" t="str">
            <v>Individualized Skills and Socialization LON 9 - Off-Site (incl. Enhanced)</v>
          </cell>
          <cell r="M81" t="str">
            <v>2123M0994</v>
          </cell>
        </row>
        <row r="82">
          <cell r="D82" t="str">
            <v>Individualized Skills and Socialization LON 9 - On-Site</v>
          </cell>
          <cell r="M82" t="str">
            <v>2123M0996</v>
          </cell>
        </row>
        <row r="83">
          <cell r="D83" t="str">
            <v>Individualized Skills and Socialization LON 1 - On-Site</v>
          </cell>
          <cell r="M83" t="str">
            <v>2123M1095</v>
          </cell>
        </row>
        <row r="84">
          <cell r="D84" t="str">
            <v>Individualized Skills and Socialization LON 5 - On-Site</v>
          </cell>
          <cell r="M84" t="str">
            <v>2123M1096</v>
          </cell>
        </row>
        <row r="85">
          <cell r="D85" t="str">
            <v>Individualized Skills and Socialization LON 6 - On-Site</v>
          </cell>
          <cell r="M85" t="str">
            <v>2123M1097</v>
          </cell>
        </row>
        <row r="86">
          <cell r="D86" t="str">
            <v>Individualized Skills and Socialization LON 8 - On-Site</v>
          </cell>
          <cell r="M86" t="str">
            <v>2123M1098</v>
          </cell>
        </row>
        <row r="87">
          <cell r="D87" t="str">
            <v>Individualized Skills and Socialization LON 9 - On-Site</v>
          </cell>
          <cell r="M87" t="str">
            <v>2123M1099</v>
          </cell>
        </row>
        <row r="88">
          <cell r="D88" t="str">
            <v>Individualized Skills and Socialization LON 1 - Off-Site (incl. Enhanced)</v>
          </cell>
          <cell r="M88" t="str">
            <v>2123M1118</v>
          </cell>
        </row>
        <row r="89">
          <cell r="D89" t="str">
            <v>Individualized Skills and Socialization LON 5 - Off-Site (incl. Enhanced)</v>
          </cell>
          <cell r="M89" t="str">
            <v>2123M1119</v>
          </cell>
        </row>
        <row r="90">
          <cell r="D90" t="str">
            <v>Individualized Skills and Socialization LON 1 - On-Site</v>
          </cell>
          <cell r="M90" t="str">
            <v>2223M1005</v>
          </cell>
        </row>
        <row r="91">
          <cell r="D91" t="str">
            <v>Individualized Skills and Socialization LON 1 - Off-Site (incl. Enhanced)</v>
          </cell>
          <cell r="M91" t="str">
            <v>2223M1006</v>
          </cell>
        </row>
        <row r="92">
          <cell r="D92" t="str">
            <v>Individualized Skills and Socialization LON 1 - Off-Site (incl. Enhanced)</v>
          </cell>
          <cell r="M92" t="str">
            <v>2223M1007</v>
          </cell>
        </row>
        <row r="93">
          <cell r="D93" t="str">
            <v>Individualized Skills and Socialization LON 1 - On-Site</v>
          </cell>
          <cell r="M93" t="str">
            <v>2223M1008</v>
          </cell>
        </row>
        <row r="94">
          <cell r="D94" t="str">
            <v>Individualized Skills and Socialization LON 5 - On-Site</v>
          </cell>
          <cell r="M94" t="str">
            <v>2223M1100</v>
          </cell>
        </row>
        <row r="95">
          <cell r="D95" t="str">
            <v>Individualized Skills and Socialization LON 5 - Off-Site (incl. Enhanced)</v>
          </cell>
          <cell r="M95" t="str">
            <v>2223M1101</v>
          </cell>
        </row>
        <row r="96">
          <cell r="D96" t="str">
            <v>Individualized Skills and Socialization LON 5 - Off-Site (incl. Enhanced)</v>
          </cell>
          <cell r="M96" t="str">
            <v>2223M1102</v>
          </cell>
        </row>
        <row r="97">
          <cell r="D97" t="str">
            <v>Individualized Skills and Socialization LON 5 - On-Site</v>
          </cell>
          <cell r="M97" t="str">
            <v>2223M1103</v>
          </cell>
        </row>
        <row r="98">
          <cell r="D98" t="str">
            <v>Individualized Skills and Socialization LON 6 - On-Site</v>
          </cell>
          <cell r="M98" t="str">
            <v>2223M1104</v>
          </cell>
        </row>
        <row r="99">
          <cell r="D99" t="str">
            <v>Individualized Skills and Socialization LON 6 - Off-Site (incl. Enhanced)</v>
          </cell>
          <cell r="M99" t="str">
            <v>2223M1105</v>
          </cell>
        </row>
        <row r="100">
          <cell r="D100" t="str">
            <v>Individualized Skills and Socialization LON 6 - Off-Site (incl. Enhanced)</v>
          </cell>
          <cell r="M100" t="str">
            <v>2223M1106</v>
          </cell>
        </row>
        <row r="101">
          <cell r="D101" t="str">
            <v>Individualized Skills and Socialization LON 6 - On-Site</v>
          </cell>
          <cell r="M101" t="str">
            <v>2223M1107</v>
          </cell>
        </row>
        <row r="102">
          <cell r="D102" t="str">
            <v>Individualized Skills and Socialization LON 8 - On-Site</v>
          </cell>
          <cell r="M102" t="str">
            <v>2223M1108</v>
          </cell>
        </row>
        <row r="103">
          <cell r="D103" t="str">
            <v>Individualized Skills and Socialization LON 8 - Off-Site (incl. Enhanced)</v>
          </cell>
          <cell r="M103" t="str">
            <v>2223M1109</v>
          </cell>
        </row>
        <row r="104">
          <cell r="D104" t="str">
            <v>Individualized Skills and Socialization LON 8 - Off-Site (incl. Enhanced)</v>
          </cell>
          <cell r="M104" t="str">
            <v>2223M1110</v>
          </cell>
        </row>
        <row r="105">
          <cell r="D105" t="str">
            <v>Individualized Skills and Socialization LON 8 - On-Site</v>
          </cell>
          <cell r="M105" t="str">
            <v>2223M1111</v>
          </cell>
        </row>
        <row r="106">
          <cell r="D106" t="str">
            <v>Individualized Skills and Socialization LON 9 - On-Site</v>
          </cell>
          <cell r="M106" t="str">
            <v>2223M1112</v>
          </cell>
        </row>
        <row r="107">
          <cell r="D107" t="str">
            <v>Individualized Skills and Socialization LON 9 - Off-Site (incl. Enhanced)</v>
          </cell>
          <cell r="M107" t="str">
            <v>2223M1113</v>
          </cell>
        </row>
        <row r="108">
          <cell r="D108" t="str">
            <v>Individualized Skills and Socialization LON 9 - On-Site</v>
          </cell>
          <cell r="M108" t="str">
            <v>2223M1115</v>
          </cell>
        </row>
        <row r="109">
          <cell r="D109" t="str">
            <v>Individualized Skills and Socialization LON 1 - Off-Site (incl. Enhanced)</v>
          </cell>
          <cell r="M109" t="str">
            <v>2223M1116</v>
          </cell>
        </row>
        <row r="110">
          <cell r="D110" t="str">
            <v>Individualized Skills and Socialization LON 5 - Off-Site (incl. Enhanced)</v>
          </cell>
          <cell r="M110" t="str">
            <v>2223M1117</v>
          </cell>
        </row>
        <row r="111">
          <cell r="D111" t="str">
            <v>CDS Individualized Skills and Socialization LON 1 - On-Site</v>
          </cell>
          <cell r="M111" t="str">
            <v>2223VM1009</v>
          </cell>
        </row>
        <row r="112">
          <cell r="D112" t="str">
            <v>CDS Individualized Skills and Socialization LON 1 - Off-Site (incl. Enhanced)</v>
          </cell>
          <cell r="M112" t="str">
            <v>2223VM1010</v>
          </cell>
        </row>
        <row r="113">
          <cell r="D113" t="str">
            <v>CDS Individualized Skills and Socialization LON 1 - Off-Site (incl. Enhanced)</v>
          </cell>
          <cell r="M113" t="str">
            <v>2223VM1011</v>
          </cell>
        </row>
        <row r="114">
          <cell r="D114" t="str">
            <v>CDS Individualized Skills and Socialization LON 1 - On-Site</v>
          </cell>
          <cell r="M114" t="str">
            <v>2223VM1012</v>
          </cell>
        </row>
        <row r="115">
          <cell r="D115" t="str">
            <v>CDS Individualized Skills and Socialization LON 5 - Off-Site (incl. Enhanced)</v>
          </cell>
          <cell r="M115" t="str">
            <v>2223VM1120</v>
          </cell>
        </row>
        <row r="116">
          <cell r="D116" t="str">
            <v>CDS Individualized Skills and Socialization LON 6 - Off-Site (incl. Enhanced)</v>
          </cell>
          <cell r="M116" t="str">
            <v>2223VM1121</v>
          </cell>
        </row>
        <row r="117">
          <cell r="D117" t="str">
            <v>CDS Individualized Skills and Socialization LON 8 - Off-Site (incl. Enhanced)</v>
          </cell>
          <cell r="M117" t="str">
            <v>2223VM1122</v>
          </cell>
        </row>
        <row r="118">
          <cell r="D118" t="str">
            <v>CDS Individualized Skills and Socialization LON 1 - Off-Site (incl. Enhanced)</v>
          </cell>
          <cell r="M118" t="str">
            <v>2223VM1123</v>
          </cell>
        </row>
        <row r="119">
          <cell r="D119" t="str">
            <v>CDS Individualized Skills and Socialization LON 5 - Off-Site (incl. Enhanced)</v>
          </cell>
          <cell r="M119" t="str">
            <v>2223VM1124</v>
          </cell>
        </row>
        <row r="120">
          <cell r="D120" t="str">
            <v>CDS Individualized Skills and Socialization LON 5 - Off-Site (incl. Enhanced)</v>
          </cell>
          <cell r="M120" t="str">
            <v>2223VM1125</v>
          </cell>
        </row>
        <row r="121">
          <cell r="D121" t="str">
            <v>CDS Individualized Skills and Socialization LON 6 - Off-Site (incl. Enhanced)</v>
          </cell>
          <cell r="M121" t="str">
            <v>2223VM1126</v>
          </cell>
        </row>
        <row r="122">
          <cell r="D122" t="str">
            <v>CDS Individualized Skills and Socialization LON 8 - Off-Site (incl. Enhanced)</v>
          </cell>
          <cell r="M122" t="str">
            <v>2223VM1127</v>
          </cell>
        </row>
        <row r="123">
          <cell r="D123" t="str">
            <v>CDS Individualized Skills and Socialization LON 9 - Off-Site (incl. Enhanced)</v>
          </cell>
          <cell r="M123" t="str">
            <v>2223VM1128</v>
          </cell>
        </row>
        <row r="124">
          <cell r="D124" t="str">
            <v>CDS Individualized Skills and Socialization LON 5 - On-Site</v>
          </cell>
          <cell r="M124" t="str">
            <v>2223VM1129</v>
          </cell>
        </row>
        <row r="125">
          <cell r="D125" t="str">
            <v>CDS Individualized Skills and Socialization LON 6 - On-Site</v>
          </cell>
          <cell r="M125" t="str">
            <v>2223VM1130</v>
          </cell>
        </row>
        <row r="126">
          <cell r="D126" t="str">
            <v>CDS Individualized Skills and Socialization LON 8 - On-Site</v>
          </cell>
          <cell r="M126" t="str">
            <v>2223VM1131</v>
          </cell>
        </row>
        <row r="127">
          <cell r="D127" t="str">
            <v>CDS Individualized Skills and Socialization LON 9 - On-Site</v>
          </cell>
          <cell r="M127" t="str">
            <v>2223VM1132</v>
          </cell>
        </row>
        <row r="128">
          <cell r="D128" t="str">
            <v>CDS Individualized Skills and Socialization LON 5 - On-Site</v>
          </cell>
          <cell r="M128" t="str">
            <v>2223VM1133</v>
          </cell>
        </row>
        <row r="129">
          <cell r="D129" t="str">
            <v>CDS Individualized Skills and Socialization LON 6 - On-Site</v>
          </cell>
          <cell r="M129" t="str">
            <v>2223VM1134</v>
          </cell>
        </row>
        <row r="130">
          <cell r="D130" t="str">
            <v>CDS Individualized Skills and Socialization LON 8 - On-Site</v>
          </cell>
          <cell r="M130" t="str">
            <v>2223VM1135</v>
          </cell>
        </row>
        <row r="131">
          <cell r="D131" t="str">
            <v>CDS Individualized Skills and Socialization LON 9 - On-Site</v>
          </cell>
          <cell r="M131" t="str">
            <v>2223VM1136</v>
          </cell>
        </row>
        <row r="132">
          <cell r="D132" t="str">
            <v>Licensed Vocational Nurse (LVN) and Specialized LVN</v>
          </cell>
          <cell r="M132" t="str">
            <v>2113AG2258</v>
          </cell>
        </row>
        <row r="133">
          <cell r="D133" t="str">
            <v>Licensed Vocational Nurse (LVN) and Specialized LVN</v>
          </cell>
          <cell r="M133" t="str">
            <v>2113AG2259</v>
          </cell>
        </row>
        <row r="134">
          <cell r="D134" t="str">
            <v>Licensed Vocational Nurse (LVN) and Specialized LVN</v>
          </cell>
          <cell r="M134" t="str">
            <v>2113AG2290</v>
          </cell>
        </row>
        <row r="135">
          <cell r="D135" t="str">
            <v>Licensed Vocational Nurse (LVN) and Specialized LVN</v>
          </cell>
          <cell r="M135" t="str">
            <v>2113AG2291</v>
          </cell>
        </row>
        <row r="136">
          <cell r="D136" t="str">
            <v>Licensed Vocational Nurse (LVN) and Specialized LVN</v>
          </cell>
          <cell r="M136" t="str">
            <v>2113AG2302</v>
          </cell>
        </row>
        <row r="137">
          <cell r="D137" t="str">
            <v>Licensed Vocational Nurse (LVN) and Specialized LVN</v>
          </cell>
          <cell r="M137" t="str">
            <v>2113AG2303</v>
          </cell>
        </row>
        <row r="138">
          <cell r="D138" t="str">
            <v>Licensed Vocational Nurse (LVN) and Specialized LVN</v>
          </cell>
          <cell r="M138" t="str">
            <v>2113AM0298</v>
          </cell>
        </row>
        <row r="139">
          <cell r="D139" t="str">
            <v>Licensed Vocational Nurse (LVN) and Specialized LVN</v>
          </cell>
          <cell r="M139" t="str">
            <v>2113AM0302</v>
          </cell>
        </row>
        <row r="140">
          <cell r="D140" t="str">
            <v>CDS Licensed Vocational Nurse (LVN) and Specialized LVN</v>
          </cell>
          <cell r="M140" t="str">
            <v>2113AVG2260</v>
          </cell>
        </row>
        <row r="141">
          <cell r="D141" t="str">
            <v>CDS Licensed Vocational Nurse (LVN) and Specialized LVN</v>
          </cell>
          <cell r="M141" t="str">
            <v>2113AVG2261</v>
          </cell>
        </row>
        <row r="142">
          <cell r="D142" t="str">
            <v>CDS Licensed Vocational Nurse (LVN) and Specialized LVN</v>
          </cell>
          <cell r="M142" t="str">
            <v>2113AVG2304</v>
          </cell>
        </row>
        <row r="143">
          <cell r="D143" t="str">
            <v>CDS Licensed Vocational Nurse (LVN) and Specialized LVN</v>
          </cell>
          <cell r="M143" t="str">
            <v>2113AVG2305</v>
          </cell>
        </row>
        <row r="144">
          <cell r="D144" t="str">
            <v>CDS Licensed Vocational Nurse (LVN) and Specialized LVN</v>
          </cell>
          <cell r="M144" t="str">
            <v>2113AVM0335</v>
          </cell>
        </row>
        <row r="145">
          <cell r="D145" t="str">
            <v>CDS Licensed Vocational Nurse (LVN) and Specialized LVN</v>
          </cell>
          <cell r="M145" t="str">
            <v>2113AVM0350</v>
          </cell>
        </row>
        <row r="146">
          <cell r="D146" t="str">
            <v>Registered Nurse (RN) and Specialized RN</v>
          </cell>
          <cell r="M146" t="str">
            <v>2113BG2262</v>
          </cell>
        </row>
        <row r="147">
          <cell r="D147" t="str">
            <v>Registered Nurse (RN) and Specialized RN</v>
          </cell>
          <cell r="M147" t="str">
            <v>2113BG2263</v>
          </cell>
        </row>
        <row r="148">
          <cell r="D148" t="str">
            <v>Registered Nurse (RN) and Specialized RN</v>
          </cell>
          <cell r="M148" t="str">
            <v>2113BG2292</v>
          </cell>
        </row>
        <row r="149">
          <cell r="D149" t="str">
            <v>Registered Nurse (RN) and Specialized RN</v>
          </cell>
          <cell r="M149" t="str">
            <v>2113BG2293</v>
          </cell>
        </row>
        <row r="150">
          <cell r="D150" t="str">
            <v>Registered Nurse (RN) and Specialized RN</v>
          </cell>
          <cell r="M150" t="str">
            <v>2113BG2306</v>
          </cell>
        </row>
        <row r="151">
          <cell r="D151" t="str">
            <v>Registered Nurse (RN) and Specialized RN</v>
          </cell>
          <cell r="M151" t="str">
            <v>2113BG2307</v>
          </cell>
        </row>
        <row r="152">
          <cell r="D152" t="str">
            <v>Registered Nurse (RN) and Specialized RN</v>
          </cell>
          <cell r="M152" t="str">
            <v>2113BM0299</v>
          </cell>
        </row>
        <row r="153">
          <cell r="D153" t="str">
            <v>Registered Nurse (RN) and Specialized RN</v>
          </cell>
          <cell r="M153" t="str">
            <v>2113BM0303</v>
          </cell>
        </row>
        <row r="154">
          <cell r="D154" t="str">
            <v>CDS Registered Nurse (RN) and Specialized RN</v>
          </cell>
          <cell r="M154" t="str">
            <v>2113BVG2264</v>
          </cell>
        </row>
        <row r="155">
          <cell r="D155" t="str">
            <v>CDS Registered Nurse (RN) and Specialized RN</v>
          </cell>
          <cell r="M155" t="str">
            <v>2113BVG2265</v>
          </cell>
        </row>
        <row r="156">
          <cell r="D156" t="str">
            <v>CDS Registered Nurse (RN) and Specialized RN</v>
          </cell>
          <cell r="M156" t="str">
            <v>2113BVG2308</v>
          </cell>
        </row>
        <row r="157">
          <cell r="D157" t="str">
            <v>CDS Registered Nurse (RN) and Specialized RN</v>
          </cell>
          <cell r="M157" t="str">
            <v>2113BVG2309</v>
          </cell>
        </row>
        <row r="158">
          <cell r="D158" t="str">
            <v>CDS Registered Nurse (RN) and Specialized RN</v>
          </cell>
          <cell r="M158" t="str">
            <v>2113BVM0338</v>
          </cell>
        </row>
        <row r="159">
          <cell r="D159" t="str">
            <v>CDS Registered Nurse (RN) and Specialized RN</v>
          </cell>
          <cell r="M159" t="str">
            <v>2113BVM0351</v>
          </cell>
        </row>
        <row r="160">
          <cell r="D160" t="str">
            <v>Registered Nurse (RN) and Specialized RN</v>
          </cell>
          <cell r="M160" t="str">
            <v>2113CG2266</v>
          </cell>
        </row>
        <row r="161">
          <cell r="D161" t="str">
            <v>Registered Nurse (RN) and Specialized RN</v>
          </cell>
          <cell r="M161" t="str">
            <v>2113CG2267</v>
          </cell>
        </row>
        <row r="162">
          <cell r="D162" t="str">
            <v>Registered Nurse (RN) and Specialized RN</v>
          </cell>
          <cell r="M162" t="str">
            <v>2113CG2294</v>
          </cell>
        </row>
        <row r="163">
          <cell r="D163" t="str">
            <v>Registered Nurse (RN) and Specialized RN</v>
          </cell>
          <cell r="M163" t="str">
            <v>2113CG2295</v>
          </cell>
        </row>
        <row r="164">
          <cell r="D164" t="str">
            <v>Registered Nurse (RN) and Specialized RN</v>
          </cell>
          <cell r="M164" t="str">
            <v>2113CG2310</v>
          </cell>
        </row>
        <row r="165">
          <cell r="D165" t="str">
            <v>Registered Nurse (RN) and Specialized RN</v>
          </cell>
          <cell r="M165" t="str">
            <v>2113CG2311</v>
          </cell>
        </row>
        <row r="166">
          <cell r="D166" t="str">
            <v>Registered Nurse (RN) and Specialized RN</v>
          </cell>
          <cell r="M166" t="str">
            <v>2113CM0301</v>
          </cell>
        </row>
        <row r="167">
          <cell r="D167" t="str">
            <v>Registered Nurse (RN) and Specialized RN</v>
          </cell>
          <cell r="M167" t="str">
            <v>2113CM0305</v>
          </cell>
        </row>
        <row r="168">
          <cell r="D168" t="str">
            <v>CDS Registered Nurse (RN) and Specialized RN</v>
          </cell>
          <cell r="M168" t="str">
            <v>2113CVG2268</v>
          </cell>
        </row>
        <row r="169">
          <cell r="D169" t="str">
            <v>CDS Registered Nurse (RN) and Specialized RN</v>
          </cell>
          <cell r="M169" t="str">
            <v>2113CVG2269</v>
          </cell>
        </row>
        <row r="170">
          <cell r="D170" t="str">
            <v>CDS Registered Nurse (RN) and Specialized RN</v>
          </cell>
          <cell r="M170" t="str">
            <v>2113CVG2312</v>
          </cell>
        </row>
        <row r="171">
          <cell r="D171" t="str">
            <v>CDS Registered Nurse (RN) and Specialized RN</v>
          </cell>
          <cell r="M171" t="str">
            <v>2113CVG2313</v>
          </cell>
        </row>
        <row r="172">
          <cell r="D172" t="str">
            <v>CDS Registered Nurse (RN) and Specialized RN</v>
          </cell>
          <cell r="M172" t="str">
            <v>2113CVM0337</v>
          </cell>
        </row>
        <row r="173">
          <cell r="D173" t="str">
            <v>CDS Registered Nurse (RN) and Specialized RN</v>
          </cell>
          <cell r="M173" t="str">
            <v>2113CVM0353</v>
          </cell>
        </row>
        <row r="174">
          <cell r="D174" t="str">
            <v>Licensed Vocational Nurse (LVN) and Specialized LVN</v>
          </cell>
          <cell r="M174" t="str">
            <v>2113DG2270</v>
          </cell>
        </row>
        <row r="175">
          <cell r="D175" t="str">
            <v>Licensed Vocational Nurse (LVN) and Specialized LVN</v>
          </cell>
          <cell r="M175" t="str">
            <v>2113DG2271</v>
          </cell>
        </row>
        <row r="176">
          <cell r="D176" t="str">
            <v>Licensed Vocational Nurse (LVN) and Specialized LVN</v>
          </cell>
          <cell r="M176" t="str">
            <v>2113DG2296</v>
          </cell>
        </row>
        <row r="177">
          <cell r="D177" t="str">
            <v>Licensed Vocational Nurse (LVN) and Specialized LVN</v>
          </cell>
          <cell r="M177" t="str">
            <v>2113DG2297</v>
          </cell>
        </row>
        <row r="178">
          <cell r="D178" t="str">
            <v>Licensed Vocational Nurse (LVN) and Specialized LVN</v>
          </cell>
          <cell r="M178" t="str">
            <v>2113DG2314</v>
          </cell>
        </row>
        <row r="179">
          <cell r="D179" t="str">
            <v>Licensed Vocational Nurse (LVN) and Specialized LVN</v>
          </cell>
          <cell r="M179" t="str">
            <v>2113DG2315</v>
          </cell>
        </row>
        <row r="180">
          <cell r="D180" t="str">
            <v>Licensed Vocational Nurse (LVN) and Specialized LVN</v>
          </cell>
          <cell r="M180" t="str">
            <v>2113DM0300</v>
          </cell>
        </row>
        <row r="181">
          <cell r="D181" t="str">
            <v>Licensed Vocational Nurse (LVN) and Specialized LVN</v>
          </cell>
          <cell r="M181" t="str">
            <v>2113DM0304</v>
          </cell>
        </row>
        <row r="182">
          <cell r="D182" t="str">
            <v>CDS Licensed Vocational Nurse (LVN) and Specialized LVN</v>
          </cell>
          <cell r="M182" t="str">
            <v>2113DVG2272</v>
          </cell>
        </row>
        <row r="183">
          <cell r="D183" t="str">
            <v>CDS Licensed Vocational Nurse (LVN) and Specialized LVN</v>
          </cell>
          <cell r="M183" t="str">
            <v>2113DVG2273</v>
          </cell>
        </row>
        <row r="184">
          <cell r="D184" t="str">
            <v>CDS Licensed Vocational Nurse (LVN) and Specialized LVN</v>
          </cell>
          <cell r="M184" t="str">
            <v>2113DVG2316</v>
          </cell>
        </row>
        <row r="185">
          <cell r="D185" t="str">
            <v>CDS Licensed Vocational Nurse (LVN) and Specialized LVN</v>
          </cell>
          <cell r="M185" t="str">
            <v>2113DVG2317</v>
          </cell>
        </row>
        <row r="186">
          <cell r="D186" t="str">
            <v>CDS Licensed Vocational Nurse (LVN) and Specialized LVN</v>
          </cell>
          <cell r="M186" t="str">
            <v>2113DVM0336</v>
          </cell>
        </row>
        <row r="187">
          <cell r="D187" t="str">
            <v>CDS Licensed Vocational Nurse (LVN) and Specialized LVN</v>
          </cell>
          <cell r="M187" t="str">
            <v>2113DVM0352</v>
          </cell>
        </row>
        <row r="188">
          <cell r="D188" t="str">
            <v>Licensed Vocational Nurse (LVN) and Specialized LVN</v>
          </cell>
          <cell r="M188" t="str">
            <v>2213AG2276</v>
          </cell>
        </row>
        <row r="189">
          <cell r="D189" t="str">
            <v>Licensed Vocational Nurse (LVN) and Specialized LVN</v>
          </cell>
          <cell r="M189" t="str">
            <v>2213AG2320</v>
          </cell>
        </row>
        <row r="190">
          <cell r="D190" t="str">
            <v>Licensed Vocational Nurse (LVN) and Specialized LVN</v>
          </cell>
          <cell r="M190" t="str">
            <v>2213AM0306</v>
          </cell>
        </row>
        <row r="191">
          <cell r="D191" t="str">
            <v>CDS Licensed Vocational Nurse (LVN) and Specialized LVN</v>
          </cell>
          <cell r="M191" t="str">
            <v>2213AVG2277</v>
          </cell>
        </row>
        <row r="192">
          <cell r="D192" t="str">
            <v>CDS Licensed Vocational Nurse (LVN) and Specialized LVN</v>
          </cell>
          <cell r="M192" t="str">
            <v>2213AVG2321</v>
          </cell>
        </row>
        <row r="193">
          <cell r="D193" t="str">
            <v>CDS Licensed Vocational Nurse (LVN) and Specialized LVN</v>
          </cell>
          <cell r="M193" t="str">
            <v>2213AVM0310</v>
          </cell>
        </row>
        <row r="194">
          <cell r="D194" t="str">
            <v>Registered Nurse (RN) and Specialized RN</v>
          </cell>
          <cell r="M194" t="str">
            <v>2213BG2278</v>
          </cell>
        </row>
        <row r="195">
          <cell r="D195" t="str">
            <v>Registered Nurse (RN) and Specialized RN</v>
          </cell>
          <cell r="M195" t="str">
            <v>2213BG2322</v>
          </cell>
        </row>
        <row r="196">
          <cell r="D196" t="str">
            <v>Registered Nurse (RN) and Specialized RN</v>
          </cell>
          <cell r="M196" t="str">
            <v>2213BM0307</v>
          </cell>
        </row>
        <row r="197">
          <cell r="D197" t="str">
            <v>CDS Registered Nurse (RN) and Specialized RN</v>
          </cell>
          <cell r="M197" t="str">
            <v>2213BVG2279</v>
          </cell>
        </row>
        <row r="198">
          <cell r="D198" t="str">
            <v>CDS Registered Nurse (RN) and Specialized RN</v>
          </cell>
          <cell r="M198" t="str">
            <v>2213BVG2323</v>
          </cell>
        </row>
        <row r="199">
          <cell r="D199" t="str">
            <v>CDS Registered Nurse (RN) and Specialized RN</v>
          </cell>
          <cell r="M199" t="str">
            <v>2213BVM0311</v>
          </cell>
        </row>
        <row r="200">
          <cell r="D200" t="str">
            <v>Registered Nurse (RN) and Specialized RN</v>
          </cell>
          <cell r="M200" t="str">
            <v>2213CG2280</v>
          </cell>
        </row>
        <row r="201">
          <cell r="D201" t="str">
            <v>Registered Nurse (RN) and Specialized RN</v>
          </cell>
          <cell r="M201" t="str">
            <v>2213CG2324</v>
          </cell>
        </row>
        <row r="202">
          <cell r="D202" t="str">
            <v>Registered Nurse (RN) and Specialized RN</v>
          </cell>
          <cell r="M202" t="str">
            <v>2213CM0309</v>
          </cell>
        </row>
        <row r="203">
          <cell r="D203" t="str">
            <v>CDS Registered Nurse (RN) and Specialized RN</v>
          </cell>
          <cell r="M203" t="str">
            <v>2213CVG2281</v>
          </cell>
        </row>
        <row r="204">
          <cell r="D204" t="str">
            <v>CDS Registered Nurse (RN) and Specialized RN</v>
          </cell>
          <cell r="M204" t="str">
            <v>2213CVG2325</v>
          </cell>
        </row>
        <row r="205">
          <cell r="D205" t="str">
            <v>CDS Registered Nurse (RN) and Specialized RN</v>
          </cell>
          <cell r="M205" t="str">
            <v>2213CVM0313</v>
          </cell>
        </row>
        <row r="206">
          <cell r="D206" t="str">
            <v>Licensed Vocational Nurse (LVN) and Specialized LVN</v>
          </cell>
          <cell r="M206" t="str">
            <v>2213DG2282</v>
          </cell>
        </row>
        <row r="207">
          <cell r="D207" t="str">
            <v>Licensed Vocational Nurse (LVN) and Specialized LVN</v>
          </cell>
          <cell r="M207" t="str">
            <v>2213DG2326</v>
          </cell>
        </row>
        <row r="208">
          <cell r="D208" t="str">
            <v>Licensed Vocational Nurse (LVN) and Specialized LVN</v>
          </cell>
          <cell r="M208" t="str">
            <v>2213DM0308</v>
          </cell>
        </row>
        <row r="209">
          <cell r="D209" t="str">
            <v>CDS Licensed Vocational Nurse (LVN) and Specialized LVN</v>
          </cell>
          <cell r="M209" t="str">
            <v>2213DVG2283</v>
          </cell>
        </row>
        <row r="210">
          <cell r="D210" t="str">
            <v>CDS Licensed Vocational Nurse (LVN) and Specialized LVN</v>
          </cell>
          <cell r="M210" t="str">
            <v>2213DVG2327</v>
          </cell>
        </row>
        <row r="211">
          <cell r="D211" t="str">
            <v>CDS Licensed Vocational Nurse (LVN) and Specialized LVN</v>
          </cell>
          <cell r="M211" t="str">
            <v>2213DVM0312</v>
          </cell>
        </row>
        <row r="212">
          <cell r="D212" t="str">
            <v>Out-of-Home Respite</v>
          </cell>
          <cell r="M212" t="str">
            <v>2111XM0850</v>
          </cell>
        </row>
        <row r="213">
          <cell r="D213" t="str">
            <v>Out-of-Home Respite</v>
          </cell>
          <cell r="M213" t="str">
            <v>2111XM0851</v>
          </cell>
        </row>
        <row r="214">
          <cell r="D214" t="str">
            <v>Out-of-Home Respite</v>
          </cell>
          <cell r="M214" t="str">
            <v>2111XM0865</v>
          </cell>
        </row>
        <row r="215">
          <cell r="D215" t="str">
            <v>Out-of-Home Respite</v>
          </cell>
          <cell r="M215" t="str">
            <v>2111XM0866</v>
          </cell>
        </row>
        <row r="216">
          <cell r="D216" t="str">
            <v>Out-of-Home Respite</v>
          </cell>
          <cell r="M216" t="str">
            <v>2111XM0867</v>
          </cell>
        </row>
        <row r="217">
          <cell r="D217" t="str">
            <v>Out-of-Home Respite</v>
          </cell>
          <cell r="M217" t="str">
            <v>2111XM0868</v>
          </cell>
        </row>
        <row r="218">
          <cell r="D218" t="str">
            <v>Out-of-Home Respite</v>
          </cell>
          <cell r="M218" t="str">
            <v>2111XM0869</v>
          </cell>
        </row>
        <row r="219">
          <cell r="D219" t="str">
            <v>Out-of-Home Respite</v>
          </cell>
          <cell r="M219" t="str">
            <v>2111XM0870</v>
          </cell>
        </row>
        <row r="220">
          <cell r="D220" t="str">
            <v>CDS Out-of-Home Respite</v>
          </cell>
          <cell r="M220" t="str">
            <v>2111XVM0871</v>
          </cell>
        </row>
        <row r="221">
          <cell r="D221" t="str">
            <v>CDS Out-of-Home Respite</v>
          </cell>
          <cell r="M221" t="str">
            <v>2111XVM0872</v>
          </cell>
        </row>
        <row r="222">
          <cell r="D222" t="str">
            <v>CDS Out-of-Home Respite</v>
          </cell>
          <cell r="M222" t="str">
            <v>2111XVM0877</v>
          </cell>
        </row>
        <row r="223">
          <cell r="D223" t="str">
            <v>CDS Out-of-Home Respite</v>
          </cell>
          <cell r="M223" t="str">
            <v>2111XVM0878</v>
          </cell>
        </row>
        <row r="224">
          <cell r="D224" t="str">
            <v>CDS Out-of-Home Respite</v>
          </cell>
          <cell r="M224" t="str">
            <v>2111XVM1091</v>
          </cell>
        </row>
        <row r="225">
          <cell r="D225" t="str">
            <v>CDS Out-of-Home Respite</v>
          </cell>
          <cell r="M225" t="str">
            <v>2111XVM1092</v>
          </cell>
        </row>
        <row r="226">
          <cell r="D226" t="str">
            <v>Out-of-Home Respite</v>
          </cell>
          <cell r="M226" t="str">
            <v>2211XM0903</v>
          </cell>
        </row>
        <row r="227">
          <cell r="D227" t="str">
            <v>Out-of-Home Respite</v>
          </cell>
          <cell r="M227" t="str">
            <v>2211XM0906</v>
          </cell>
        </row>
        <row r="228">
          <cell r="D228" t="str">
            <v>Out-of-Home Respite</v>
          </cell>
          <cell r="M228" t="str">
            <v>2211XM1093</v>
          </cell>
        </row>
        <row r="229">
          <cell r="D229" t="str">
            <v>CDS Out-of-Home Respite</v>
          </cell>
          <cell r="M229" t="str">
            <v>2211XVM0907</v>
          </cell>
        </row>
        <row r="230">
          <cell r="D230" t="str">
            <v>CDS Out-of-Home Respite</v>
          </cell>
          <cell r="M230" t="str">
            <v>2211XVM0910</v>
          </cell>
        </row>
        <row r="231">
          <cell r="D231" t="str">
            <v>CDS Out-of-Home Respite</v>
          </cell>
          <cell r="M231" t="str">
            <v>2211XVM1094</v>
          </cell>
        </row>
        <row r="232">
          <cell r="D232" t="str">
            <v>PAS/HAB (CFC) and Transportation</v>
          </cell>
          <cell r="M232" t="str">
            <v>2148M0372</v>
          </cell>
        </row>
        <row r="233">
          <cell r="D233" t="str">
            <v>PAS/HAB (CFC) and Transportation</v>
          </cell>
          <cell r="M233" t="str">
            <v>2148M0374</v>
          </cell>
        </row>
        <row r="234">
          <cell r="D234" t="str">
            <v>PAS/HAB (CFC) and Transportation</v>
          </cell>
          <cell r="M234" t="str">
            <v>2110CFCM0354</v>
          </cell>
        </row>
        <row r="235">
          <cell r="D235" t="str">
            <v>PAS/HAB (CFC) and Transportation</v>
          </cell>
          <cell r="M235" t="str">
            <v>2110CFCM0366</v>
          </cell>
        </row>
        <row r="236">
          <cell r="D236" t="str">
            <v>CDS PAS/HAB (CFC) and Transportation</v>
          </cell>
          <cell r="M236" t="str">
            <v>2110CFVM0355</v>
          </cell>
        </row>
        <row r="237">
          <cell r="D237" t="str">
            <v>CDS PAS/HAB (CFC) and Transportation</v>
          </cell>
          <cell r="M237" t="str">
            <v>2110CFVM0367</v>
          </cell>
        </row>
        <row r="238">
          <cell r="D238" t="str">
            <v>CDS PAS/HAB (CFC) and Transportation</v>
          </cell>
          <cell r="M238" t="str">
            <v>2148VM0373</v>
          </cell>
        </row>
        <row r="239">
          <cell r="D239" t="str">
            <v>CDS PAS/HAB (CFC) and Transportation</v>
          </cell>
          <cell r="M239" t="str">
            <v>2148VM0418</v>
          </cell>
        </row>
        <row r="240">
          <cell r="D240" t="str">
            <v>PAS/HAB (CFC) and Transportation</v>
          </cell>
          <cell r="M240" t="str">
            <v>2248M0419</v>
          </cell>
        </row>
        <row r="241">
          <cell r="D241" t="str">
            <v>PAS/HAB (CFC) and Transportation</v>
          </cell>
          <cell r="M241" t="str">
            <v>2210CFCM0360</v>
          </cell>
        </row>
        <row r="242">
          <cell r="D242" t="str">
            <v>CDS PAS/HAB (CFC) and Transportation</v>
          </cell>
          <cell r="M242" t="str">
            <v>2210CFVM0361</v>
          </cell>
        </row>
        <row r="243">
          <cell r="D243" t="str">
            <v>CDS PAS/HAB (CFC) and Transportation</v>
          </cell>
          <cell r="M243" t="str">
            <v>2248VM0420</v>
          </cell>
        </row>
        <row r="244">
          <cell r="D244" t="str">
            <v>Occupational Therapy</v>
          </cell>
          <cell r="M244" t="str">
            <v>217G2254</v>
          </cell>
        </row>
        <row r="245">
          <cell r="D245" t="str">
            <v>Occupational Therapy</v>
          </cell>
          <cell r="M245" t="str">
            <v>217G2255</v>
          </cell>
        </row>
        <row r="246">
          <cell r="D246" t="str">
            <v>Occupational Therapy</v>
          </cell>
          <cell r="M246" t="str">
            <v>217G2286</v>
          </cell>
        </row>
        <row r="247">
          <cell r="D247" t="str">
            <v>Occupational Therapy</v>
          </cell>
          <cell r="M247" t="str">
            <v>217G2287</v>
          </cell>
        </row>
        <row r="248">
          <cell r="D248" t="str">
            <v>Occupational Therapy</v>
          </cell>
          <cell r="M248" t="str">
            <v>217G2298</v>
          </cell>
        </row>
        <row r="249">
          <cell r="D249" t="str">
            <v>Occupational Therapy</v>
          </cell>
          <cell r="M249" t="str">
            <v>217G2299</v>
          </cell>
        </row>
        <row r="250">
          <cell r="D250" t="str">
            <v>Occupational Therapy</v>
          </cell>
          <cell r="M250" t="str">
            <v>217M0131</v>
          </cell>
        </row>
        <row r="251">
          <cell r="D251" t="str">
            <v>Occupational Therapy</v>
          </cell>
          <cell r="M251" t="str">
            <v>217M0131</v>
          </cell>
        </row>
        <row r="252">
          <cell r="D252" t="str">
            <v>Occupational Therapy</v>
          </cell>
          <cell r="M252" t="str">
            <v>217M0132</v>
          </cell>
        </row>
        <row r="253">
          <cell r="D253" t="str">
            <v>Occupational Therapy</v>
          </cell>
          <cell r="M253" t="str">
            <v>217M0132</v>
          </cell>
        </row>
        <row r="254">
          <cell r="D254" t="str">
            <v>Physical Therapy</v>
          </cell>
          <cell r="M254" t="str">
            <v>218G2256</v>
          </cell>
        </row>
        <row r="255">
          <cell r="D255" t="str">
            <v>Physical Therapy</v>
          </cell>
          <cell r="M255" t="str">
            <v>218G2257</v>
          </cell>
        </row>
        <row r="256">
          <cell r="D256" t="str">
            <v>Physical Therapy</v>
          </cell>
          <cell r="M256" t="str">
            <v>218G2288</v>
          </cell>
        </row>
        <row r="257">
          <cell r="D257" t="str">
            <v>Physical Therapy</v>
          </cell>
          <cell r="M257" t="str">
            <v>218G2289</v>
          </cell>
        </row>
        <row r="258">
          <cell r="D258" t="str">
            <v>Physical Therapy</v>
          </cell>
          <cell r="M258" t="str">
            <v>218G2300</v>
          </cell>
        </row>
        <row r="259">
          <cell r="D259" t="str">
            <v>Physical Therapy</v>
          </cell>
          <cell r="M259" t="str">
            <v>218G2301</v>
          </cell>
        </row>
        <row r="260">
          <cell r="D260" t="str">
            <v>Physical Therapy</v>
          </cell>
          <cell r="M260" t="str">
            <v>218M0135</v>
          </cell>
        </row>
        <row r="261">
          <cell r="D261" t="str">
            <v>Physical Therapy</v>
          </cell>
          <cell r="M261" t="str">
            <v>218M0135</v>
          </cell>
        </row>
        <row r="262">
          <cell r="D262" t="str">
            <v>Physical Therapy</v>
          </cell>
          <cell r="M262" t="str">
            <v>218M0136</v>
          </cell>
        </row>
        <row r="263">
          <cell r="D263" t="str">
            <v>Physical Therapy</v>
          </cell>
          <cell r="M263" t="str">
            <v>218M0136</v>
          </cell>
        </row>
        <row r="264">
          <cell r="D264" t="str">
            <v>Speech &amp; Language Therapy</v>
          </cell>
          <cell r="M264" t="str">
            <v>219M0171</v>
          </cell>
        </row>
        <row r="265">
          <cell r="D265" t="str">
            <v>Speech &amp; Language Therapy</v>
          </cell>
          <cell r="M265" t="str">
            <v>219M0171</v>
          </cell>
        </row>
        <row r="266">
          <cell r="D266" t="str">
            <v>Speech &amp; Language Therapy</v>
          </cell>
          <cell r="M266" t="str">
            <v>219M0172</v>
          </cell>
        </row>
        <row r="267">
          <cell r="D267" t="str">
            <v>Speech &amp; Language Therapy</v>
          </cell>
          <cell r="M267" t="str">
            <v>219M0172</v>
          </cell>
        </row>
        <row r="268">
          <cell r="D268" t="str">
            <v>Occupational Therapy</v>
          </cell>
          <cell r="M268" t="str">
            <v>227G2274</v>
          </cell>
        </row>
        <row r="269">
          <cell r="D269" t="str">
            <v>Occupational Therapy</v>
          </cell>
          <cell r="M269" t="str">
            <v>227G2318</v>
          </cell>
        </row>
        <row r="270">
          <cell r="D270" t="str">
            <v>Occupational Therapy</v>
          </cell>
          <cell r="M270" t="str">
            <v>227M0231</v>
          </cell>
        </row>
        <row r="271">
          <cell r="D271" t="str">
            <v>Occupational Therapy</v>
          </cell>
          <cell r="M271" t="str">
            <v>227M0231</v>
          </cell>
        </row>
        <row r="272">
          <cell r="D272" t="str">
            <v>Physical Therapy</v>
          </cell>
          <cell r="M272" t="str">
            <v>228G2275</v>
          </cell>
        </row>
        <row r="273">
          <cell r="D273" t="str">
            <v>Physical Therapy</v>
          </cell>
          <cell r="M273" t="str">
            <v>228G2319</v>
          </cell>
        </row>
        <row r="274">
          <cell r="D274" t="str">
            <v>Physical Therapy</v>
          </cell>
          <cell r="M274" t="str">
            <v>228M0234</v>
          </cell>
        </row>
        <row r="275">
          <cell r="D275" t="str">
            <v>Physical Therapy</v>
          </cell>
          <cell r="M275" t="str">
            <v>228M0234</v>
          </cell>
        </row>
        <row r="276">
          <cell r="D276" t="str">
            <v>Speech &amp; Language Therapy</v>
          </cell>
          <cell r="M276" t="str">
            <v>229M0246</v>
          </cell>
        </row>
        <row r="277">
          <cell r="D277" t="str">
            <v>Speech &amp; Language Therapy</v>
          </cell>
          <cell r="M277" t="str">
            <v>229M0246</v>
          </cell>
        </row>
        <row r="278">
          <cell r="D278" t="str">
            <v>CDS Occupational Therapy</v>
          </cell>
          <cell r="M278" t="str">
            <v>227VG2284</v>
          </cell>
        </row>
        <row r="279">
          <cell r="D279" t="str">
            <v>CDS Occupational Therapy</v>
          </cell>
          <cell r="M279" t="str">
            <v>227VG2328</v>
          </cell>
        </row>
        <row r="280">
          <cell r="D280" t="str">
            <v>CDS Occupational Therapy</v>
          </cell>
          <cell r="M280" t="str">
            <v>227VM0232</v>
          </cell>
        </row>
        <row r="281">
          <cell r="D281" t="str">
            <v>CDS Occupational Therapy</v>
          </cell>
          <cell r="M281" t="str">
            <v>227VM0950</v>
          </cell>
        </row>
        <row r="282">
          <cell r="D282" t="str">
            <v>CDS Physical Therapy</v>
          </cell>
          <cell r="M282" t="str">
            <v>228VG2285</v>
          </cell>
        </row>
        <row r="283">
          <cell r="D283" t="str">
            <v>CDS Physical Therapy</v>
          </cell>
          <cell r="M283" t="str">
            <v>228VG2329</v>
          </cell>
        </row>
        <row r="284">
          <cell r="D284" t="str">
            <v>CDS Physical Therapy</v>
          </cell>
          <cell r="M284" t="str">
            <v>228VM0235</v>
          </cell>
        </row>
        <row r="285">
          <cell r="D285" t="str">
            <v>CDS Physical Therapy</v>
          </cell>
          <cell r="M285" t="str">
            <v>228VM0951</v>
          </cell>
        </row>
        <row r="286">
          <cell r="D286" t="str">
            <v>CDS Speech &amp; Language Therapy</v>
          </cell>
          <cell r="M286" t="str">
            <v>229VM0247</v>
          </cell>
        </row>
        <row r="287">
          <cell r="D287" t="str">
            <v>CDS Speech &amp; Language Therapy</v>
          </cell>
          <cell r="M287" t="str">
            <v>229VM0952</v>
          </cell>
        </row>
        <row r="288">
          <cell r="D288" t="str">
            <v>Requisition Fees</v>
          </cell>
          <cell r="M288" t="str">
            <v>2141M0248</v>
          </cell>
        </row>
        <row r="289">
          <cell r="D289" t="str">
            <v>Requisition Fees</v>
          </cell>
          <cell r="M289" t="str">
            <v>2141M0249</v>
          </cell>
        </row>
        <row r="290">
          <cell r="D290" t="str">
            <v>Requisition Fees</v>
          </cell>
          <cell r="M290" t="str">
            <v>2141M0250</v>
          </cell>
        </row>
        <row r="291">
          <cell r="D291" t="str">
            <v>Requisition Fees</v>
          </cell>
          <cell r="M291" t="str">
            <v>2141M0251</v>
          </cell>
        </row>
        <row r="292">
          <cell r="D292" t="str">
            <v>Requisition Fees</v>
          </cell>
          <cell r="M292" t="str">
            <v>2141M0252</v>
          </cell>
        </row>
        <row r="293">
          <cell r="D293" t="str">
            <v>Requisition Fees</v>
          </cell>
          <cell r="M293" t="str">
            <v>2141M0253</v>
          </cell>
        </row>
        <row r="294">
          <cell r="D294" t="str">
            <v>Requisition Fees</v>
          </cell>
          <cell r="M294" t="str">
            <v>2141M0254</v>
          </cell>
        </row>
        <row r="295">
          <cell r="D295" t="str">
            <v>Requisition Fees</v>
          </cell>
          <cell r="M295" t="str">
            <v>2141M0255</v>
          </cell>
        </row>
        <row r="296">
          <cell r="D296" t="str">
            <v>Requisition Fees</v>
          </cell>
          <cell r="M296" t="str">
            <v>2141M0256</v>
          </cell>
        </row>
        <row r="297">
          <cell r="D297" t="str">
            <v>Requisition Fees</v>
          </cell>
          <cell r="M297" t="str">
            <v>2141M0257</v>
          </cell>
        </row>
        <row r="298">
          <cell r="D298" t="str">
            <v>Requisition Fees</v>
          </cell>
          <cell r="M298" t="str">
            <v>2141M0258</v>
          </cell>
        </row>
        <row r="299">
          <cell r="D299" t="str">
            <v>Requisition Fees</v>
          </cell>
          <cell r="M299" t="str">
            <v>2141M0259</v>
          </cell>
        </row>
        <row r="300">
          <cell r="D300" t="str">
            <v>Requisition Fees</v>
          </cell>
          <cell r="M300" t="str">
            <v>2141M0260</v>
          </cell>
        </row>
        <row r="301">
          <cell r="D301" t="str">
            <v>Requisition Fees</v>
          </cell>
          <cell r="M301" t="str">
            <v>2141M0261</v>
          </cell>
        </row>
        <row r="302">
          <cell r="D302" t="str">
            <v>Requisition Fees</v>
          </cell>
          <cell r="M302" t="str">
            <v>2141M0262</v>
          </cell>
        </row>
        <row r="303">
          <cell r="D303" t="str">
            <v>Requisition Fees</v>
          </cell>
          <cell r="M303" t="str">
            <v>2141M0263</v>
          </cell>
        </row>
        <row r="304">
          <cell r="D304" t="str">
            <v>Requisition Fees</v>
          </cell>
          <cell r="M304" t="str">
            <v>2141M0264</v>
          </cell>
        </row>
        <row r="305">
          <cell r="D305" t="str">
            <v>Requisition Fees</v>
          </cell>
          <cell r="M305" t="str">
            <v>2141M0265</v>
          </cell>
        </row>
        <row r="306">
          <cell r="D306" t="str">
            <v>Requisition Fees</v>
          </cell>
          <cell r="M306" t="str">
            <v>2141M0266</v>
          </cell>
        </row>
        <row r="307">
          <cell r="D307" t="str">
            <v>Requisition Fees</v>
          </cell>
          <cell r="M307" t="str">
            <v>2141M0267</v>
          </cell>
        </row>
        <row r="308">
          <cell r="D308" t="str">
            <v>Requisition Fees</v>
          </cell>
          <cell r="M308" t="str">
            <v>2141M0268</v>
          </cell>
        </row>
        <row r="309">
          <cell r="D309" t="str">
            <v>Requisition Fees</v>
          </cell>
          <cell r="M309" t="str">
            <v>2141M0269</v>
          </cell>
        </row>
        <row r="310">
          <cell r="D310" t="str">
            <v>Requisition Fees</v>
          </cell>
          <cell r="M310" t="str">
            <v>2141BM0430</v>
          </cell>
        </row>
        <row r="311">
          <cell r="D311" t="str">
            <v>Requisition Fees</v>
          </cell>
          <cell r="M311" t="str">
            <v>2141BM0431</v>
          </cell>
        </row>
        <row r="312">
          <cell r="D312" t="str">
            <v>Requisition Fees</v>
          </cell>
          <cell r="M312" t="str">
            <v>2141BM0432</v>
          </cell>
        </row>
        <row r="313">
          <cell r="D313" t="str">
            <v>Requisition Fees</v>
          </cell>
          <cell r="M313" t="str">
            <v>2141BM0433</v>
          </cell>
        </row>
        <row r="314">
          <cell r="D314" t="str">
            <v>Requisition Fees</v>
          </cell>
          <cell r="M314" t="str">
            <v>2141BM0434</v>
          </cell>
        </row>
        <row r="315">
          <cell r="D315" t="str">
            <v>Requisition Fees</v>
          </cell>
          <cell r="M315" t="str">
            <v>2141BM0435</v>
          </cell>
        </row>
        <row r="316">
          <cell r="D316" t="str">
            <v>Requisition Fees</v>
          </cell>
          <cell r="M316" t="str">
            <v>2141BM0436</v>
          </cell>
        </row>
        <row r="317">
          <cell r="D317" t="str">
            <v>Requisition Fees</v>
          </cell>
          <cell r="M317" t="str">
            <v>2141BM0437</v>
          </cell>
        </row>
        <row r="318">
          <cell r="D318" t="str">
            <v>Requisition Fees</v>
          </cell>
          <cell r="M318" t="str">
            <v>2141BM0438</v>
          </cell>
        </row>
        <row r="319">
          <cell r="D319" t="str">
            <v>Requisition Fees</v>
          </cell>
          <cell r="M319" t="str">
            <v>2141BM0439</v>
          </cell>
        </row>
        <row r="320">
          <cell r="D320" t="str">
            <v>Requisition Fees</v>
          </cell>
          <cell r="M320" t="str">
            <v>2141BM0440</v>
          </cell>
        </row>
        <row r="321">
          <cell r="D321" t="str">
            <v>Requisition Fees</v>
          </cell>
          <cell r="M321" t="str">
            <v>2141BM0441</v>
          </cell>
        </row>
        <row r="322">
          <cell r="D322" t="str">
            <v>Requisition Fees</v>
          </cell>
          <cell r="M322" t="str">
            <v>2141BM0442</v>
          </cell>
        </row>
        <row r="323">
          <cell r="D323" t="str">
            <v>Requisition Fees</v>
          </cell>
          <cell r="M323" t="str">
            <v>2141BM0443</v>
          </cell>
        </row>
        <row r="324">
          <cell r="D324" t="str">
            <v>Requisition Fees</v>
          </cell>
          <cell r="M324" t="str">
            <v>2141BM0444</v>
          </cell>
        </row>
        <row r="325">
          <cell r="D325" t="str">
            <v>Requisition Fees</v>
          </cell>
          <cell r="M325" t="str">
            <v>2141BM0445</v>
          </cell>
        </row>
        <row r="326">
          <cell r="D326" t="str">
            <v>Requisition Fees</v>
          </cell>
          <cell r="M326" t="str">
            <v>2141BM0446</v>
          </cell>
        </row>
        <row r="327">
          <cell r="D327" t="str">
            <v>Requisition Fees</v>
          </cell>
          <cell r="M327" t="str">
            <v>2141BM0447</v>
          </cell>
        </row>
        <row r="328">
          <cell r="D328" t="str">
            <v>Requisition Fees</v>
          </cell>
          <cell r="M328" t="str">
            <v>2141BM0448</v>
          </cell>
        </row>
        <row r="329">
          <cell r="D329" t="str">
            <v>Requisition Fees</v>
          </cell>
          <cell r="M329" t="str">
            <v>2141BM0449</v>
          </cell>
        </row>
        <row r="330">
          <cell r="D330" t="str">
            <v>Requisition Fees</v>
          </cell>
          <cell r="M330" t="str">
            <v>2141BM0450</v>
          </cell>
        </row>
        <row r="331">
          <cell r="D331" t="str">
            <v>Requisition Fees</v>
          </cell>
          <cell r="M331" t="str">
            <v>2141BM0451</v>
          </cell>
        </row>
        <row r="332">
          <cell r="D332" t="str">
            <v>Requisition Fees</v>
          </cell>
          <cell r="M332" t="str">
            <v>2141BM0452</v>
          </cell>
        </row>
        <row r="333">
          <cell r="D333" t="str">
            <v>Requisition Fees</v>
          </cell>
          <cell r="M333" t="str">
            <v>2141BM0453</v>
          </cell>
        </row>
        <row r="334">
          <cell r="D334" t="str">
            <v>Requisition Fees</v>
          </cell>
          <cell r="M334" t="str">
            <v>2141BM0454</v>
          </cell>
        </row>
        <row r="335">
          <cell r="D335" t="str">
            <v>Requisition Fees</v>
          </cell>
          <cell r="M335" t="str">
            <v>2141BM0455</v>
          </cell>
        </row>
        <row r="336">
          <cell r="D336" t="str">
            <v>Requisition Fees</v>
          </cell>
          <cell r="M336" t="str">
            <v>2141BM0456</v>
          </cell>
        </row>
        <row r="337">
          <cell r="D337" t="str">
            <v>Requisition Fees</v>
          </cell>
          <cell r="M337" t="str">
            <v>2141BM0457</v>
          </cell>
        </row>
        <row r="338">
          <cell r="D338" t="str">
            <v>Requisition Fees</v>
          </cell>
          <cell r="M338" t="str">
            <v>2141BAM0383</v>
          </cell>
        </row>
        <row r="339">
          <cell r="D339" t="str">
            <v>Requisition Fees</v>
          </cell>
          <cell r="M339" t="str">
            <v>2141BAM0384</v>
          </cell>
        </row>
        <row r="340">
          <cell r="D340" t="str">
            <v>Requisition Fees</v>
          </cell>
          <cell r="M340" t="str">
            <v>2141BAM0385</v>
          </cell>
        </row>
        <row r="341">
          <cell r="D341" t="str">
            <v>Requisition Fees</v>
          </cell>
          <cell r="M341" t="str">
            <v>2141BAM0386</v>
          </cell>
        </row>
        <row r="342">
          <cell r="D342" t="str">
            <v>Requisition Fees</v>
          </cell>
          <cell r="M342" t="str">
            <v>2141BAM0387</v>
          </cell>
        </row>
        <row r="343">
          <cell r="D343" t="str">
            <v>Requisition Fees</v>
          </cell>
          <cell r="M343" t="str">
            <v>2141BAM0388</v>
          </cell>
        </row>
        <row r="344">
          <cell r="D344" t="str">
            <v>Requisition Fees</v>
          </cell>
          <cell r="M344" t="str">
            <v>2141BAM0389</v>
          </cell>
        </row>
        <row r="345">
          <cell r="D345" t="str">
            <v>Requisition Fees</v>
          </cell>
          <cell r="M345" t="str">
            <v>2141BAM0390</v>
          </cell>
        </row>
        <row r="346">
          <cell r="D346" t="str">
            <v>Requisition Fees</v>
          </cell>
          <cell r="M346" t="str">
            <v>2141BAM0391</v>
          </cell>
        </row>
        <row r="347">
          <cell r="D347" t="str">
            <v>Requisition Fees</v>
          </cell>
          <cell r="M347" t="str">
            <v>2141BAM0392</v>
          </cell>
        </row>
        <row r="348">
          <cell r="D348" t="str">
            <v>Requisition Fees</v>
          </cell>
          <cell r="M348" t="str">
            <v>2141BAM0393</v>
          </cell>
        </row>
        <row r="349">
          <cell r="D349" t="str">
            <v>Requisition Fees</v>
          </cell>
          <cell r="M349" t="str">
            <v>2141BAM0394</v>
          </cell>
        </row>
        <row r="350">
          <cell r="D350" t="str">
            <v>Requisition Fees</v>
          </cell>
          <cell r="M350" t="str">
            <v>2141BAM0395</v>
          </cell>
        </row>
        <row r="351">
          <cell r="D351" t="str">
            <v>Requisition Fees</v>
          </cell>
          <cell r="M351" t="str">
            <v>2141BAM0396</v>
          </cell>
        </row>
        <row r="352">
          <cell r="D352" t="str">
            <v>Requisition Fees</v>
          </cell>
          <cell r="M352" t="str">
            <v>2141BAM0397</v>
          </cell>
        </row>
        <row r="353">
          <cell r="D353" t="str">
            <v>Requisition Fees</v>
          </cell>
          <cell r="M353" t="str">
            <v>2141BAM0398</v>
          </cell>
        </row>
        <row r="354">
          <cell r="D354" t="str">
            <v>Requisition Fees</v>
          </cell>
          <cell r="M354" t="str">
            <v>2141BAM0399</v>
          </cell>
        </row>
        <row r="355">
          <cell r="D355" t="str">
            <v>Requisition Fees</v>
          </cell>
          <cell r="M355" t="str">
            <v>2141BAM0400</v>
          </cell>
        </row>
        <row r="356">
          <cell r="D356" t="str">
            <v>Requisition Fees</v>
          </cell>
          <cell r="M356" t="str">
            <v>2141BAM0401</v>
          </cell>
        </row>
        <row r="357">
          <cell r="D357" t="str">
            <v>Requisition Fees</v>
          </cell>
          <cell r="M357" t="str">
            <v>2141BAM0402</v>
          </cell>
        </row>
        <row r="358">
          <cell r="D358" t="str">
            <v>Requisition Fees</v>
          </cell>
          <cell r="M358" t="str">
            <v>2141BAM0403</v>
          </cell>
        </row>
        <row r="359">
          <cell r="D359" t="str">
            <v>Requisition Fees</v>
          </cell>
          <cell r="M359" t="str">
            <v>2141BAM0404</v>
          </cell>
        </row>
        <row r="360">
          <cell r="D360" t="str">
            <v>Requisition Fees</v>
          </cell>
          <cell r="M360" t="str">
            <v>2141BAM0405</v>
          </cell>
        </row>
        <row r="361">
          <cell r="D361" t="str">
            <v>Requisition Fees</v>
          </cell>
          <cell r="M361" t="str">
            <v>2141BAM0406</v>
          </cell>
        </row>
        <row r="362">
          <cell r="D362" t="str">
            <v>Requisition Fees</v>
          </cell>
          <cell r="M362" t="str">
            <v>2141BAM0407</v>
          </cell>
        </row>
        <row r="363">
          <cell r="D363" t="str">
            <v>Requisition Fees</v>
          </cell>
          <cell r="M363" t="str">
            <v>2141BAM0408</v>
          </cell>
        </row>
        <row r="364">
          <cell r="D364" t="str">
            <v>Requisition Fees</v>
          </cell>
          <cell r="M364" t="str">
            <v>2141BAM0409</v>
          </cell>
        </row>
        <row r="365">
          <cell r="D365" t="str">
            <v>Requisition Fees</v>
          </cell>
          <cell r="M365" t="str">
            <v>2141BAM0410</v>
          </cell>
        </row>
        <row r="366">
          <cell r="D366" t="str">
            <v>Requisition Fees</v>
          </cell>
          <cell r="M366" t="str">
            <v>2141EM0315</v>
          </cell>
        </row>
        <row r="367">
          <cell r="D367" t="str">
            <v>Requisition Fees</v>
          </cell>
          <cell r="M367" t="str">
            <v>2141EM0316</v>
          </cell>
        </row>
        <row r="368">
          <cell r="D368" t="str">
            <v>Requisition Fees</v>
          </cell>
          <cell r="M368" t="str">
            <v>2141EM0317</v>
          </cell>
        </row>
        <row r="369">
          <cell r="D369" t="str">
            <v>Requisition Fees</v>
          </cell>
          <cell r="M369" t="str">
            <v>2141EM0318</v>
          </cell>
        </row>
        <row r="370">
          <cell r="D370" t="str">
            <v>Requisition Fees</v>
          </cell>
          <cell r="M370" t="str">
            <v>2141EM0319</v>
          </cell>
        </row>
        <row r="371">
          <cell r="D371" t="str">
            <v>Requisition Fees</v>
          </cell>
          <cell r="M371" t="str">
            <v>2141EM0320</v>
          </cell>
        </row>
        <row r="372">
          <cell r="D372" t="str">
            <v>Requisition Fees</v>
          </cell>
          <cell r="M372" t="str">
            <v>2141EM0953</v>
          </cell>
        </row>
        <row r="373">
          <cell r="D373" t="str">
            <v>Requisition Fees</v>
          </cell>
          <cell r="M373" t="str">
            <v>2141EM0954</v>
          </cell>
        </row>
        <row r="374">
          <cell r="D374" t="str">
            <v>Requisition Fees</v>
          </cell>
          <cell r="M374" t="str">
            <v>2141EM0955</v>
          </cell>
        </row>
        <row r="375">
          <cell r="D375" t="str">
            <v>Requisition Fees</v>
          </cell>
          <cell r="M375" t="str">
            <v>2141EM0956</v>
          </cell>
        </row>
        <row r="376">
          <cell r="D376" t="str">
            <v>Requisition Fees</v>
          </cell>
          <cell r="M376" t="str">
            <v>2141EM0957</v>
          </cell>
        </row>
        <row r="377">
          <cell r="D377" t="str">
            <v>Requisition Fees</v>
          </cell>
          <cell r="M377" t="str">
            <v>2141EM0958</v>
          </cell>
        </row>
        <row r="378">
          <cell r="D378" t="str">
            <v>Requisition Fees</v>
          </cell>
          <cell r="M378" t="str">
            <v>2141EM0959</v>
          </cell>
        </row>
        <row r="379">
          <cell r="D379" t="str">
            <v>Requisition Fees</v>
          </cell>
          <cell r="M379" t="str">
            <v>2141EM0960</v>
          </cell>
        </row>
        <row r="380">
          <cell r="D380" t="str">
            <v>Requisition Fees</v>
          </cell>
          <cell r="M380" t="str">
            <v>2141EM0961</v>
          </cell>
        </row>
        <row r="381">
          <cell r="D381" t="str">
            <v>Requisition Fees</v>
          </cell>
          <cell r="M381" t="str">
            <v>2141EM0962</v>
          </cell>
        </row>
        <row r="382">
          <cell r="D382" t="str">
            <v>Requisition Fees</v>
          </cell>
          <cell r="M382" t="str">
            <v>2141EM0963</v>
          </cell>
        </row>
        <row r="383">
          <cell r="D383" t="str">
            <v>Requisition Fees</v>
          </cell>
          <cell r="M383" t="str">
            <v>2141EM0964</v>
          </cell>
        </row>
        <row r="384">
          <cell r="D384" t="str">
            <v>Requisition Fees</v>
          </cell>
          <cell r="M384" t="str">
            <v>2141EM0965</v>
          </cell>
        </row>
        <row r="385">
          <cell r="D385" t="str">
            <v>Requisition Fees</v>
          </cell>
          <cell r="M385" t="str">
            <v>2141EM0966</v>
          </cell>
        </row>
        <row r="386">
          <cell r="D386" t="str">
            <v>Requisition Fees</v>
          </cell>
          <cell r="M386" t="str">
            <v>2141EM0967</v>
          </cell>
        </row>
        <row r="387">
          <cell r="D387" t="str">
            <v>Requisition Fees</v>
          </cell>
          <cell r="M387" t="str">
            <v>2141EM0968</v>
          </cell>
        </row>
        <row r="388">
          <cell r="D388" t="str">
            <v>Requisition Fees</v>
          </cell>
          <cell r="M388" t="str">
            <v>2153AM0377</v>
          </cell>
        </row>
        <row r="389">
          <cell r="D389" t="str">
            <v>Requisition Fees</v>
          </cell>
          <cell r="M389" t="str">
            <v>2153AM0378</v>
          </cell>
        </row>
        <row r="390">
          <cell r="D390" t="str">
            <v>Requisition Fees</v>
          </cell>
          <cell r="M390" t="str">
            <v>2241M0178</v>
          </cell>
        </row>
        <row r="391">
          <cell r="D391" t="str">
            <v>Requisition Fees</v>
          </cell>
          <cell r="M391" t="str">
            <v>2241M0179</v>
          </cell>
        </row>
        <row r="392">
          <cell r="D392" t="str">
            <v>Requisition Fees</v>
          </cell>
          <cell r="M392" t="str">
            <v>2241M0180</v>
          </cell>
        </row>
        <row r="393">
          <cell r="D393" t="str">
            <v>Requisition Fees</v>
          </cell>
          <cell r="M393" t="str">
            <v>2241M0181</v>
          </cell>
        </row>
        <row r="394">
          <cell r="D394" t="str">
            <v>Requisition Fees</v>
          </cell>
          <cell r="M394" t="str">
            <v>2241M0182</v>
          </cell>
        </row>
        <row r="395">
          <cell r="D395" t="str">
            <v>Requisition Fees</v>
          </cell>
          <cell r="M395" t="str">
            <v>2241M0183</v>
          </cell>
        </row>
        <row r="396">
          <cell r="D396" t="str">
            <v>Requisition Fees</v>
          </cell>
          <cell r="M396" t="str">
            <v>2241M0184</v>
          </cell>
        </row>
        <row r="397">
          <cell r="D397" t="str">
            <v>Requisition Fees</v>
          </cell>
          <cell r="M397" t="str">
            <v>2241M0185</v>
          </cell>
        </row>
        <row r="398">
          <cell r="D398" t="str">
            <v>Requisition Fees</v>
          </cell>
          <cell r="M398" t="str">
            <v>2241M0186</v>
          </cell>
        </row>
        <row r="399">
          <cell r="D399" t="str">
            <v>Requisition Fees</v>
          </cell>
          <cell r="M399" t="str">
            <v>2241M0187</v>
          </cell>
        </row>
        <row r="400">
          <cell r="D400" t="str">
            <v>Requisition Fees</v>
          </cell>
          <cell r="M400" t="str">
            <v>2241M0188</v>
          </cell>
        </row>
        <row r="401">
          <cell r="D401" t="str">
            <v>Requisition Fees</v>
          </cell>
          <cell r="M401" t="str">
            <v>2241BM0464</v>
          </cell>
        </row>
        <row r="402">
          <cell r="D402" t="str">
            <v>Requisition Fees</v>
          </cell>
          <cell r="M402" t="str">
            <v>2241BM0465</v>
          </cell>
        </row>
        <row r="403">
          <cell r="D403" t="str">
            <v>Requisition Fees</v>
          </cell>
          <cell r="M403" t="str">
            <v>2241BM0466</v>
          </cell>
        </row>
        <row r="404">
          <cell r="D404" t="str">
            <v>Requisition Fees</v>
          </cell>
          <cell r="M404" t="str">
            <v>2241BM0467</v>
          </cell>
        </row>
        <row r="405">
          <cell r="D405" t="str">
            <v>Requisition Fees</v>
          </cell>
          <cell r="M405" t="str">
            <v>2241BM0468</v>
          </cell>
        </row>
        <row r="406">
          <cell r="D406" t="str">
            <v>Requisition Fees</v>
          </cell>
          <cell r="M406" t="str">
            <v>2241BM0469</v>
          </cell>
        </row>
        <row r="407">
          <cell r="D407" t="str">
            <v>Requisition Fees</v>
          </cell>
          <cell r="M407" t="str">
            <v>2241BM0470</v>
          </cell>
        </row>
        <row r="408">
          <cell r="D408" t="str">
            <v>Requisition Fees</v>
          </cell>
          <cell r="M408" t="str">
            <v>2241BM0471</v>
          </cell>
        </row>
        <row r="409">
          <cell r="D409" t="str">
            <v>Requisition Fees</v>
          </cell>
          <cell r="M409" t="str">
            <v>2241BM0472</v>
          </cell>
        </row>
        <row r="410">
          <cell r="D410" t="str">
            <v>Requisition Fees</v>
          </cell>
          <cell r="M410" t="str">
            <v>2241BM0473</v>
          </cell>
        </row>
        <row r="411">
          <cell r="D411" t="str">
            <v>Requisition Fees</v>
          </cell>
          <cell r="M411" t="str">
            <v>2241BM0474</v>
          </cell>
        </row>
        <row r="412">
          <cell r="D412" t="str">
            <v>Requisition Fees</v>
          </cell>
          <cell r="M412" t="str">
            <v>2241BM0475</v>
          </cell>
        </row>
        <row r="413">
          <cell r="D413" t="str">
            <v>Requisition Fees</v>
          </cell>
          <cell r="M413" t="str">
            <v>2241BM0476</v>
          </cell>
        </row>
        <row r="414">
          <cell r="D414" t="str">
            <v>Requisition Fees</v>
          </cell>
          <cell r="M414" t="str">
            <v>2241BM0477</v>
          </cell>
        </row>
        <row r="415">
          <cell r="D415" t="str">
            <v>Requisition Fees</v>
          </cell>
          <cell r="M415" t="str">
            <v>2241EM0321</v>
          </cell>
        </row>
        <row r="416">
          <cell r="D416" t="str">
            <v>Requisition Fees</v>
          </cell>
          <cell r="M416" t="str">
            <v>2241EM0322</v>
          </cell>
        </row>
        <row r="417">
          <cell r="D417" t="str">
            <v>Requisition Fees</v>
          </cell>
          <cell r="M417" t="str">
            <v>2241EM0323</v>
          </cell>
        </row>
        <row r="418">
          <cell r="D418" t="str">
            <v>Requisition Fees</v>
          </cell>
          <cell r="M418" t="str">
            <v>2241EM0969</v>
          </cell>
        </row>
        <row r="419">
          <cell r="D419" t="str">
            <v>Requisition Fees</v>
          </cell>
          <cell r="M419" t="str">
            <v>2241EM0970</v>
          </cell>
        </row>
        <row r="420">
          <cell r="D420" t="str">
            <v>Requisition Fees</v>
          </cell>
          <cell r="M420" t="str">
            <v>2241EM0971</v>
          </cell>
        </row>
        <row r="421">
          <cell r="D421" t="str">
            <v>Requisition Fees</v>
          </cell>
          <cell r="M421" t="str">
            <v>2241EM0972</v>
          </cell>
        </row>
        <row r="422">
          <cell r="D422" t="str">
            <v>Requisition Fees</v>
          </cell>
          <cell r="M422" t="str">
            <v>2241EM0973</v>
          </cell>
        </row>
        <row r="423">
          <cell r="D423" t="str">
            <v>Requisition Fees</v>
          </cell>
          <cell r="M423" t="str">
            <v>2241EM0974</v>
          </cell>
        </row>
        <row r="424">
          <cell r="D424" t="str">
            <v>Requisition Fees</v>
          </cell>
          <cell r="M424" t="str">
            <v>2241EM0975</v>
          </cell>
        </row>
        <row r="425">
          <cell r="D425" t="str">
            <v>Requisition Fees</v>
          </cell>
          <cell r="M425" t="str">
            <v>2241EM0976</v>
          </cell>
        </row>
        <row r="426">
          <cell r="D426" t="str">
            <v>Supervised Living and Residential Support Services LON 1</v>
          </cell>
          <cell r="M426" t="str">
            <v>2146M0149</v>
          </cell>
        </row>
        <row r="427">
          <cell r="D427" t="str">
            <v>Supervised Living and Residential Support Services LON 5</v>
          </cell>
          <cell r="M427" t="str">
            <v>2146M0150</v>
          </cell>
        </row>
        <row r="428">
          <cell r="D428" t="str">
            <v>Supervised Living and Residential Support Services LON 6</v>
          </cell>
          <cell r="M428" t="str">
            <v>2146M0151</v>
          </cell>
        </row>
        <row r="429">
          <cell r="D429" t="str">
            <v>Supervised Living and Residential Support Services LON 8</v>
          </cell>
          <cell r="M429" t="str">
            <v>2146M0152</v>
          </cell>
        </row>
        <row r="430">
          <cell r="D430" t="str">
            <v>Supervised Living and Residential Support Services LON 9</v>
          </cell>
          <cell r="M430" t="str">
            <v>2146M0153</v>
          </cell>
        </row>
        <row r="431">
          <cell r="D431" t="str">
            <v>Supervised Living and Residential Support Services LON 1</v>
          </cell>
          <cell r="M431" t="str">
            <v>2147M0166</v>
          </cell>
        </row>
        <row r="432">
          <cell r="D432" t="str">
            <v>Supervised Living and Residential Support Services LON 5</v>
          </cell>
          <cell r="M432" t="str">
            <v>2147M0167</v>
          </cell>
        </row>
        <row r="433">
          <cell r="D433" t="str">
            <v>Supervised Living and Residential Support Services LON 6</v>
          </cell>
          <cell r="M433" t="str">
            <v>2147M0168</v>
          </cell>
        </row>
        <row r="434">
          <cell r="D434" t="str">
            <v>Supervised Living and Residential Support Services LON 8</v>
          </cell>
          <cell r="M434" t="str">
            <v>2147M0169</v>
          </cell>
        </row>
        <row r="435">
          <cell r="D435" t="str">
            <v>Supervised Living and Residential Support Services LON 9</v>
          </cell>
          <cell r="M435" t="str">
            <v>2147M0170</v>
          </cell>
        </row>
        <row r="436">
          <cell r="D436" t="str">
            <v>Social Work</v>
          </cell>
          <cell r="M436" t="str">
            <v>2136M0173</v>
          </cell>
        </row>
        <row r="437">
          <cell r="D437" t="str">
            <v>Social Work</v>
          </cell>
          <cell r="M437" t="str">
            <v>2136M0174</v>
          </cell>
        </row>
        <row r="438">
          <cell r="D438" t="str">
            <v>CDS Support Consultation (CFC and Non-CFC)</v>
          </cell>
          <cell r="M438" t="str">
            <v>2157CFVM0411</v>
          </cell>
        </row>
        <row r="439">
          <cell r="D439" t="str">
            <v>CDS Support Consultation (CFC and Non-CFC)</v>
          </cell>
          <cell r="M439" t="str">
            <v>2157CFVM0412</v>
          </cell>
        </row>
        <row r="440">
          <cell r="D440" t="str">
            <v>CDS Support Consultation (CFC and Non-CFC)</v>
          </cell>
          <cell r="M440" t="str">
            <v>2157VM0162</v>
          </cell>
        </row>
        <row r="441">
          <cell r="D441" t="str">
            <v>CDS Support Consultation (CFC and Non-CFC)</v>
          </cell>
          <cell r="M441" t="str">
            <v>2157VM0163</v>
          </cell>
        </row>
        <row r="442">
          <cell r="D442" t="str">
            <v>CDS Support Consultation (CFC and Non-CFC)</v>
          </cell>
          <cell r="M442" t="str">
            <v>2257CFVM0413</v>
          </cell>
        </row>
        <row r="443">
          <cell r="D443" t="str">
            <v>CDS Support Consultation (CFC and Non-CFC)</v>
          </cell>
          <cell r="M443" t="str">
            <v>2257VM0314</v>
          </cell>
        </row>
        <row r="444">
          <cell r="D444" t="str">
            <v>Transition Assistance Services</v>
          </cell>
          <cell r="M444" t="str">
            <v>2153M0375</v>
          </cell>
        </row>
        <row r="445">
          <cell r="D445" t="str">
            <v>Transition Assistance Services</v>
          </cell>
          <cell r="M445" t="str">
            <v>2153M0376</v>
          </cell>
        </row>
        <row r="446">
          <cell r="D446" t="str">
            <v>Pre-Enrollment Assessment</v>
          </cell>
          <cell r="M446" t="str">
            <v>2116AM0379</v>
          </cell>
        </row>
        <row r="447">
          <cell r="D447" t="str">
            <v>Pre-Enrollment Assessment</v>
          </cell>
          <cell r="M447" t="str">
            <v>2116AM0380</v>
          </cell>
        </row>
        <row r="448">
          <cell r="D448" t="str">
            <v>Transition Assistance Services</v>
          </cell>
          <cell r="M448" t="str">
            <v>2116BM0381</v>
          </cell>
        </row>
        <row r="449">
          <cell r="D449" t="str">
            <v>Transition Assistance Services</v>
          </cell>
          <cell r="M449" t="str">
            <v>2116BM0382</v>
          </cell>
        </row>
        <row r="450">
          <cell r="D450" t="str">
            <v>Adult Foster Care CCAD and Title XX</v>
          </cell>
          <cell r="M450" t="str">
            <v>718G0803</v>
          </cell>
        </row>
        <row r="451">
          <cell r="D451" t="str">
            <v>Case Management and Assessment</v>
          </cell>
          <cell r="M451" t="str">
            <v>214G0403</v>
          </cell>
        </row>
        <row r="452">
          <cell r="D452" t="str">
            <v>Case Management and Assessment</v>
          </cell>
          <cell r="M452" t="str">
            <v>240G0203</v>
          </cell>
        </row>
        <row r="453">
          <cell r="D453" t="str">
            <v>Case Management and Assessment</v>
          </cell>
          <cell r="M453" t="str">
            <v>240BG0208</v>
          </cell>
        </row>
        <row r="454">
          <cell r="D454" t="str">
            <v>Case Management and Assessment</v>
          </cell>
          <cell r="M454" t="str">
            <v>240BG0209</v>
          </cell>
        </row>
        <row r="455">
          <cell r="D455" t="str">
            <v>Audiology</v>
          </cell>
          <cell r="M455" t="str">
            <v>235U0300</v>
          </cell>
        </row>
        <row r="456">
          <cell r="D456" t="str">
            <v>Audiology</v>
          </cell>
          <cell r="M456" t="str">
            <v>235BU0306</v>
          </cell>
        </row>
        <row r="457">
          <cell r="D457" t="str">
            <v>Audiology</v>
          </cell>
          <cell r="M457" t="str">
            <v>1635U0300</v>
          </cell>
        </row>
        <row r="458">
          <cell r="D458" t="str">
            <v>Audiology</v>
          </cell>
          <cell r="M458" t="str">
            <v>1635BU0306</v>
          </cell>
        </row>
        <row r="459">
          <cell r="D459" t="str">
            <v>Behavioral Support</v>
          </cell>
          <cell r="M459" t="str">
            <v>243AH2019</v>
          </cell>
        </row>
        <row r="460">
          <cell r="D460" t="str">
            <v>Behavioral Support</v>
          </cell>
          <cell r="M460" t="str">
            <v>1643AH2019</v>
          </cell>
        </row>
        <row r="461">
          <cell r="D461" t="str">
            <v>CAS/FC/PAS/PHC PRIORITY</v>
          </cell>
          <cell r="M461" t="str">
            <v>717G0701</v>
          </cell>
        </row>
        <row r="462">
          <cell r="D462" t="str">
            <v>CAS/FC/PAS/PHC NON-PRIORITY</v>
          </cell>
          <cell r="M462" t="str">
            <v>717G0702</v>
          </cell>
        </row>
        <row r="463">
          <cell r="D463" t="str">
            <v>CAS/FC/PAS/PHC PRIORITY</v>
          </cell>
          <cell r="M463" t="str">
            <v>717CG0740</v>
          </cell>
        </row>
        <row r="464">
          <cell r="D464" t="str">
            <v>CAS/FC/PAS/PHC NON-PRIORITY</v>
          </cell>
          <cell r="M464" t="str">
            <v>717CG0741</v>
          </cell>
        </row>
        <row r="465">
          <cell r="D465" t="str">
            <v>CAS/FC/PAS/PHC PRIORITY</v>
          </cell>
          <cell r="M465" t="str">
            <v>717CSG0753</v>
          </cell>
        </row>
        <row r="466">
          <cell r="D466" t="str">
            <v>CAS/FC/PAS/PHC NON-PRIORITY</v>
          </cell>
          <cell r="M466" t="str">
            <v>717CSG0754</v>
          </cell>
        </row>
        <row r="467">
          <cell r="D467" t="str">
            <v>CDS CAS/FC/PAS/PHC PRIORITY</v>
          </cell>
          <cell r="M467" t="str">
            <v>717CVG0745</v>
          </cell>
        </row>
        <row r="468">
          <cell r="D468" t="str">
            <v>CDS CAS/FC/PAS/PHC NON-PRIORITY</v>
          </cell>
          <cell r="M468" t="str">
            <v>717CVG0746</v>
          </cell>
        </row>
        <row r="469">
          <cell r="D469" t="str">
            <v>CDS CAS/FC/PAS/PHC NON-PRIORITY</v>
          </cell>
          <cell r="M469" t="str">
            <v>717CVG0747</v>
          </cell>
        </row>
        <row r="470">
          <cell r="D470" t="str">
            <v>CAS/FC/PAS/PHC PRIORITY</v>
          </cell>
          <cell r="M470" t="str">
            <v>717DG0742</v>
          </cell>
        </row>
        <row r="471">
          <cell r="D471" t="str">
            <v>CAS/FC/PAS/PHC NON-PRIORITY</v>
          </cell>
          <cell r="M471" t="str">
            <v>717DG0743</v>
          </cell>
        </row>
        <row r="472">
          <cell r="D472" t="str">
            <v>CAS/FC/PAS/PHC PRIORITY</v>
          </cell>
          <cell r="M472" t="str">
            <v>717DSG0755</v>
          </cell>
        </row>
        <row r="473">
          <cell r="D473" t="str">
            <v>CAS/FC/PAS/PHC NON-PRIORITY</v>
          </cell>
          <cell r="M473" t="str">
            <v>717DSG0756</v>
          </cell>
        </row>
        <row r="474">
          <cell r="D474" t="str">
            <v>CDS CAS/FC/PAS/PHC PRIORITY</v>
          </cell>
          <cell r="M474" t="str">
            <v>717DVG0748</v>
          </cell>
        </row>
        <row r="475">
          <cell r="D475" t="str">
            <v>CDS CAS/FC/PAS/PHC NON-PRIORITY</v>
          </cell>
          <cell r="M475" t="str">
            <v>717DVG0749</v>
          </cell>
        </row>
        <row r="476">
          <cell r="D476" t="str">
            <v>CDS CAS/FC/PAS/PHC NON-PRIORITY</v>
          </cell>
          <cell r="M476" t="str">
            <v>717DVG0750</v>
          </cell>
        </row>
        <row r="477">
          <cell r="D477" t="str">
            <v>CAS/FC/PAS/PHC PRIORITY</v>
          </cell>
          <cell r="M477" t="str">
            <v>717SG0751</v>
          </cell>
        </row>
        <row r="478">
          <cell r="D478" t="str">
            <v>CAS/FC/PAS/PHC NON-PRIORITY</v>
          </cell>
          <cell r="M478" t="str">
            <v>717SG0752</v>
          </cell>
        </row>
        <row r="479">
          <cell r="D479" t="str">
            <v>CDS CAS/FC/PAS/PHC PRIORITY</v>
          </cell>
          <cell r="M479" t="str">
            <v>717VG0717</v>
          </cell>
        </row>
        <row r="480">
          <cell r="D480" t="str">
            <v>CDS CAS/FC/PAS/PHC NON-PRIORITY</v>
          </cell>
          <cell r="M480" t="str">
            <v>717VG0718</v>
          </cell>
        </row>
        <row r="481">
          <cell r="D481" t="str">
            <v>Case Management and Assessment</v>
          </cell>
          <cell r="M481" t="str">
            <v>212G0201</v>
          </cell>
        </row>
        <row r="482">
          <cell r="D482" t="str">
            <v>Case Management and Assessment</v>
          </cell>
          <cell r="M482" t="str">
            <v>1612G0200</v>
          </cell>
        </row>
        <row r="483">
          <cell r="D483" t="str">
            <v>Case Management and Assessment</v>
          </cell>
          <cell r="M483" t="str">
            <v>1612DG2400</v>
          </cell>
        </row>
        <row r="484">
          <cell r="D484" t="str">
            <v>Chore Services</v>
          </cell>
          <cell r="M484" t="str">
            <v>1617EG0744</v>
          </cell>
        </row>
        <row r="485">
          <cell r="D485"/>
          <cell r="M485" t="str">
            <v>227AG0722</v>
          </cell>
        </row>
        <row r="486">
          <cell r="D486"/>
          <cell r="M486" t="str">
            <v>227AG0723</v>
          </cell>
        </row>
        <row r="487">
          <cell r="D487"/>
          <cell r="M487" t="str">
            <v>727G0720</v>
          </cell>
        </row>
        <row r="488">
          <cell r="D488"/>
          <cell r="M488" t="str">
            <v>727AG0722</v>
          </cell>
        </row>
        <row r="489">
          <cell r="D489" t="str">
            <v>Cognitive Rehabilitative Therapy</v>
          </cell>
          <cell r="M489" t="str">
            <v>261G6089</v>
          </cell>
        </row>
        <row r="490">
          <cell r="D490" t="str">
            <v>CDS Cognitive Rehabilitative Therapy</v>
          </cell>
          <cell r="M490" t="str">
            <v>261VG6090</v>
          </cell>
        </row>
        <row r="491">
          <cell r="D491" t="str">
            <v>Day Activity and Health Services (DAHS) Title XIX and Title XX</v>
          </cell>
          <cell r="M491" t="str">
            <v>729C0200</v>
          </cell>
        </row>
        <row r="492">
          <cell r="D492" t="str">
            <v>Day Activity and Health Services (DAHS) Title XIX and Title XX</v>
          </cell>
          <cell r="M492" t="str">
            <v>729AC0202</v>
          </cell>
        </row>
        <row r="493">
          <cell r="D493" t="str">
            <v>Case Management and Assessment</v>
          </cell>
          <cell r="M493" t="str">
            <v>240G0204</v>
          </cell>
        </row>
        <row r="494">
          <cell r="D494" t="str">
            <v>Case Management and Assessment</v>
          </cell>
          <cell r="M494" t="str">
            <v>1640AG0207</v>
          </cell>
        </row>
        <row r="495">
          <cell r="D495" t="str">
            <v>Assisted Living</v>
          </cell>
          <cell r="M495" t="str">
            <v>1619G0900</v>
          </cell>
        </row>
        <row r="496">
          <cell r="D496" t="str">
            <v>Assisted Living</v>
          </cell>
          <cell r="M496" t="str">
            <v>1619EG0937</v>
          </cell>
        </row>
        <row r="497">
          <cell r="D497" t="str">
            <v>Assisted Living</v>
          </cell>
          <cell r="M497" t="str">
            <v>1619FG0938</v>
          </cell>
        </row>
        <row r="498">
          <cell r="D498" t="str">
            <v>Assisted Living</v>
          </cell>
          <cell r="M498" t="str">
            <v>1619FG0938</v>
          </cell>
        </row>
        <row r="499">
          <cell r="D499" t="str">
            <v>Dietary Services</v>
          </cell>
          <cell r="M499" t="str">
            <v>234U0210</v>
          </cell>
        </row>
        <row r="500">
          <cell r="D500" t="str">
            <v>Dietary Services</v>
          </cell>
          <cell r="M500" t="str">
            <v>234U0210</v>
          </cell>
        </row>
        <row r="501">
          <cell r="D501" t="str">
            <v>Dietary Services</v>
          </cell>
          <cell r="M501" t="str">
            <v>1634U0210</v>
          </cell>
        </row>
        <row r="502">
          <cell r="D502" t="str">
            <v>Dietary Services</v>
          </cell>
          <cell r="M502" t="str">
            <v>1634U0210</v>
          </cell>
        </row>
        <row r="503">
          <cell r="D503" t="str">
            <v>Dietary Services</v>
          </cell>
          <cell r="M503" t="str">
            <v>1634U0210</v>
          </cell>
        </row>
        <row r="504">
          <cell r="D504" t="str">
            <v>Employment Assistance and Supported Employment</v>
          </cell>
          <cell r="M504" t="str">
            <v>237H2025</v>
          </cell>
        </row>
        <row r="505">
          <cell r="D505" t="str">
            <v>Employment Assistance and Supported Employment</v>
          </cell>
          <cell r="M505" t="str">
            <v>254H2026</v>
          </cell>
        </row>
        <row r="506">
          <cell r="D506" t="str">
            <v>CDS Employment Assistance and Supported Employment</v>
          </cell>
          <cell r="M506" t="str">
            <v>237VH2027</v>
          </cell>
        </row>
        <row r="507">
          <cell r="D507" t="str">
            <v>CDS Employment Assistance and Supported Employment</v>
          </cell>
          <cell r="M507" t="str">
            <v>254VH2029</v>
          </cell>
        </row>
        <row r="508">
          <cell r="D508" t="str">
            <v>Employment Assistance and Supported Employment</v>
          </cell>
          <cell r="M508" t="str">
            <v>1637H2024</v>
          </cell>
        </row>
        <row r="509">
          <cell r="D509" t="str">
            <v>Employment Assistance and Supported Employment</v>
          </cell>
          <cell r="M509" t="str">
            <v>1654H2026</v>
          </cell>
        </row>
        <row r="510">
          <cell r="D510" t="str">
            <v>CDS Employment Assistance and Supported Employment</v>
          </cell>
          <cell r="M510" t="str">
            <v>1637VH2027</v>
          </cell>
        </row>
        <row r="511">
          <cell r="D511" t="str">
            <v>CDS Employment Assistance and Supported Employment</v>
          </cell>
          <cell r="M511" t="str">
            <v>1654VH2029</v>
          </cell>
        </row>
        <row r="512">
          <cell r="D512" t="str">
            <v>Emergency Response Services (CFC and Non-CFC)</v>
          </cell>
          <cell r="M512" t="str">
            <v>220CFCG1112</v>
          </cell>
        </row>
        <row r="513">
          <cell r="D513" t="str">
            <v>Emergency Response Services (CFC and Non-CFC)</v>
          </cell>
          <cell r="M513" t="str">
            <v>220CFCG1113</v>
          </cell>
        </row>
        <row r="514">
          <cell r="D514" t="str">
            <v>Emergency Response Services (CFC and Non-CFC)</v>
          </cell>
          <cell r="M514" t="str">
            <v>220CFCG1114</v>
          </cell>
        </row>
        <row r="515">
          <cell r="D515" t="str">
            <v>Emergency Response Services</v>
          </cell>
          <cell r="M515" t="str">
            <v>720G1000</v>
          </cell>
        </row>
        <row r="516">
          <cell r="D516" t="str">
            <v>Emergency Response Services</v>
          </cell>
          <cell r="M516" t="str">
            <v>720G1000</v>
          </cell>
        </row>
        <row r="517">
          <cell r="D517" t="str">
            <v>Emergency Response Services</v>
          </cell>
          <cell r="M517" t="str">
            <v>720G1000</v>
          </cell>
        </row>
        <row r="518">
          <cell r="D518" t="str">
            <v>Emergency Response Services (CFC)</v>
          </cell>
          <cell r="M518" t="str">
            <v>1620CFCG1112</v>
          </cell>
        </row>
        <row r="519">
          <cell r="D519" t="str">
            <v>Emergency Response Services (CFC)</v>
          </cell>
          <cell r="M519" t="str">
            <v>1620CFCG1113</v>
          </cell>
        </row>
        <row r="520">
          <cell r="D520" t="str">
            <v>Emergency Response Services (CFC)</v>
          </cell>
          <cell r="M520" t="str">
            <v>1620CFCG1114</v>
          </cell>
        </row>
        <row r="521">
          <cell r="D521" t="str">
            <v>Family Supports</v>
          </cell>
          <cell r="M521" t="str">
            <v>255S5145</v>
          </cell>
        </row>
        <row r="522">
          <cell r="D522" t="str">
            <v>Family Supports</v>
          </cell>
          <cell r="M522" t="str">
            <v>255AH0041</v>
          </cell>
        </row>
        <row r="523">
          <cell r="D523" t="str">
            <v>Financial Management Service Fee</v>
          </cell>
          <cell r="M523" t="str">
            <v>210S0124</v>
          </cell>
        </row>
        <row r="524">
          <cell r="D524" t="str">
            <v>Financial Management Service Fee</v>
          </cell>
          <cell r="M524" t="str">
            <v>263CFVG1118</v>
          </cell>
        </row>
        <row r="525">
          <cell r="D525" t="str">
            <v>Financial Management Service Fee</v>
          </cell>
          <cell r="M525" t="str">
            <v>263VG0226</v>
          </cell>
        </row>
        <row r="526">
          <cell r="D526" t="str">
            <v>Financial Management Service Fee</v>
          </cell>
          <cell r="M526" t="str">
            <v>762VG0223</v>
          </cell>
        </row>
        <row r="527">
          <cell r="D527" t="str">
            <v>Financial Management Service Fee</v>
          </cell>
          <cell r="M527" t="str">
            <v>763VG0227</v>
          </cell>
        </row>
        <row r="528">
          <cell r="D528" t="str">
            <v>Financial Management Service Fee</v>
          </cell>
          <cell r="M528" t="str">
            <v>1663CFVG1118</v>
          </cell>
        </row>
        <row r="529">
          <cell r="D529" t="str">
            <v>Financial Management Service Fee</v>
          </cell>
          <cell r="M529" t="str">
            <v>1663VG0228</v>
          </cell>
        </row>
        <row r="530">
          <cell r="D530" t="str">
            <v>PAS/HAB (CFC) and Transportation</v>
          </cell>
          <cell r="M530" t="str">
            <v>1648G0252</v>
          </cell>
        </row>
        <row r="531">
          <cell r="D531" t="str">
            <v>CDS PAS/HAB (CFC) and Transportation</v>
          </cell>
          <cell r="M531" t="str">
            <v>1648VG0253</v>
          </cell>
        </row>
        <row r="532">
          <cell r="D532" t="str">
            <v>Home Delivered Meals</v>
          </cell>
          <cell r="M532" t="str">
            <v>725C0100</v>
          </cell>
        </row>
        <row r="533">
          <cell r="D533" t="str">
            <v>Large LON 1</v>
          </cell>
          <cell r="M533" t="str">
            <v>61F0205-L</v>
          </cell>
        </row>
        <row r="534">
          <cell r="D534" t="str">
            <v>Large LON 5</v>
          </cell>
          <cell r="M534" t="str">
            <v>61F0206-L</v>
          </cell>
        </row>
        <row r="535">
          <cell r="D535" t="str">
            <v>Large LON 6</v>
          </cell>
          <cell r="M535" t="str">
            <v>61F0207-L</v>
          </cell>
        </row>
        <row r="536">
          <cell r="D536" t="str">
            <v>Large LON 8</v>
          </cell>
          <cell r="M536" t="str">
            <v>61F0208-L</v>
          </cell>
        </row>
        <row r="537">
          <cell r="D537" t="str">
            <v>Large LON 9</v>
          </cell>
          <cell r="M537" t="str">
            <v>61F0209-L</v>
          </cell>
        </row>
        <row r="538">
          <cell r="D538" t="str">
            <v>Medium LON 1</v>
          </cell>
          <cell r="M538" t="str">
            <v>61F0205-M</v>
          </cell>
        </row>
        <row r="539">
          <cell r="D539" t="str">
            <v>Medium LON 5</v>
          </cell>
          <cell r="M539" t="str">
            <v>61F0206-M</v>
          </cell>
        </row>
        <row r="540">
          <cell r="D540" t="str">
            <v>Medium LON 6</v>
          </cell>
          <cell r="M540" t="str">
            <v>61F0207-M</v>
          </cell>
        </row>
        <row r="541">
          <cell r="D541" t="str">
            <v>Medium LON 8</v>
          </cell>
          <cell r="M541" t="str">
            <v>61F0208-M</v>
          </cell>
        </row>
        <row r="542">
          <cell r="D542" t="str">
            <v>Medium LON 9</v>
          </cell>
          <cell r="M542" t="str">
            <v>61F0209-M</v>
          </cell>
        </row>
        <row r="543">
          <cell r="D543" t="str">
            <v>Small LON 1</v>
          </cell>
          <cell r="M543" t="str">
            <v>61F0205-S</v>
          </cell>
        </row>
        <row r="544">
          <cell r="D544" t="str">
            <v>Small LON 5</v>
          </cell>
          <cell r="M544" t="str">
            <v>61F0206-S</v>
          </cell>
        </row>
        <row r="545">
          <cell r="D545" t="str">
            <v>Small LON 6</v>
          </cell>
          <cell r="M545" t="str">
            <v>61F0207-S</v>
          </cell>
        </row>
        <row r="546">
          <cell r="D546" t="str">
            <v>Small LON 8</v>
          </cell>
          <cell r="M546" t="str">
            <v>61F0208-S</v>
          </cell>
        </row>
        <row r="547">
          <cell r="D547" t="str">
            <v>Small LON 9</v>
          </cell>
          <cell r="M547" t="str">
            <v>61F0209-S</v>
          </cell>
        </row>
        <row r="548">
          <cell r="D548" t="str">
            <v>ICF High Medical Needs Add-on</v>
          </cell>
          <cell r="M548" t="str">
            <v>61BF0231</v>
          </cell>
        </row>
        <row r="549">
          <cell r="D549" t="str">
            <v>ICF High Medical Needs Add-on</v>
          </cell>
          <cell r="M549" t="str">
            <v>61CF0232</v>
          </cell>
        </row>
        <row r="550">
          <cell r="D550" t="str">
            <v>ICF High Medical Needs Add-on</v>
          </cell>
          <cell r="M550" t="str">
            <v>61DF0233</v>
          </cell>
        </row>
        <row r="551">
          <cell r="D551" t="str">
            <v>In Home Respite</v>
          </cell>
          <cell r="M551" t="str">
            <v>211G0100</v>
          </cell>
        </row>
        <row r="552">
          <cell r="D552" t="str">
            <v>In Home Respite</v>
          </cell>
          <cell r="M552" t="str">
            <v>211G0101</v>
          </cell>
        </row>
        <row r="553">
          <cell r="D553" t="str">
            <v>In Home Respite</v>
          </cell>
          <cell r="M553" t="str">
            <v>211G0171</v>
          </cell>
        </row>
        <row r="554">
          <cell r="D554" t="str">
            <v>CDS In Home Respite</v>
          </cell>
          <cell r="M554" t="str">
            <v>211PVG0197</v>
          </cell>
        </row>
        <row r="555">
          <cell r="D555" t="str">
            <v>In Home Respite</v>
          </cell>
          <cell r="M555" t="str">
            <v>711G0121</v>
          </cell>
        </row>
        <row r="556">
          <cell r="D556" t="str">
            <v>In Home Respite</v>
          </cell>
          <cell r="M556" t="str">
            <v>711G0122</v>
          </cell>
        </row>
        <row r="557">
          <cell r="D557" t="str">
            <v>In Home Respite</v>
          </cell>
          <cell r="M557" t="str">
            <v>1611G0100</v>
          </cell>
        </row>
        <row r="558">
          <cell r="D558" t="str">
            <v>In Home Respite</v>
          </cell>
          <cell r="M558" t="str">
            <v>1611G0101</v>
          </cell>
        </row>
        <row r="559">
          <cell r="D559" t="str">
            <v>In Home Respite</v>
          </cell>
          <cell r="M559" t="str">
            <v>1611G0171</v>
          </cell>
        </row>
        <row r="560">
          <cell r="D560" t="str">
            <v>CDS In Home Respite</v>
          </cell>
          <cell r="M560" t="str">
            <v>1611PVG0197</v>
          </cell>
        </row>
        <row r="561">
          <cell r="D561" t="str">
            <v>Intervener, Intervener I, Intervener II, and Intervener III</v>
          </cell>
          <cell r="M561" t="str">
            <v>1645G0232</v>
          </cell>
        </row>
        <row r="562">
          <cell r="D562" t="str">
            <v>Intervener, Intervener I, Intervener II, and Intervener III</v>
          </cell>
          <cell r="M562" t="str">
            <v>1645AG0242</v>
          </cell>
        </row>
        <row r="563">
          <cell r="D563" t="str">
            <v>CDS Intervener, Intervener I, Intervener II, and Intervener III</v>
          </cell>
          <cell r="M563" t="str">
            <v>1645AVG0245</v>
          </cell>
        </row>
        <row r="564">
          <cell r="D564" t="str">
            <v>Intervener, Intervener I, Intervener II, and Intervener III</v>
          </cell>
          <cell r="M564" t="str">
            <v>1645BG0243</v>
          </cell>
        </row>
        <row r="565">
          <cell r="D565" t="str">
            <v>CDS Intervener, Intervener I, Intervener II, and Intervener III</v>
          </cell>
          <cell r="M565" t="str">
            <v>1645BVG0246</v>
          </cell>
        </row>
        <row r="566">
          <cell r="D566" t="str">
            <v>Intervener, Intervener I, Intervener II, and Intervener III</v>
          </cell>
          <cell r="M566" t="str">
            <v>1645CG0244</v>
          </cell>
        </row>
        <row r="567">
          <cell r="D567" t="str">
            <v>CDS Intervener, Intervener I, Intervener II, and Intervener III</v>
          </cell>
          <cell r="M567" t="str">
            <v>1645CVG0247</v>
          </cell>
        </row>
        <row r="568">
          <cell r="D568" t="str">
            <v>CDS Intervener, Intervener I, Intervener II, and Intervener III</v>
          </cell>
          <cell r="M568" t="str">
            <v>1645VG0240</v>
          </cell>
        </row>
        <row r="569">
          <cell r="D569" t="str">
            <v>Individualized Skills and Socialization - On-Site and Off-Site</v>
          </cell>
          <cell r="M569" t="str">
            <v>1623S0312</v>
          </cell>
        </row>
        <row r="570">
          <cell r="D570" t="str">
            <v>Individualized Skills and Socialization - On-Site and Off-Site</v>
          </cell>
          <cell r="M570" t="str">
            <v>1623S0313</v>
          </cell>
        </row>
        <row r="571">
          <cell r="D571" t="str">
            <v>Daily Care (Average PDPM LTC rate)</v>
          </cell>
          <cell r="M571" t="str">
            <v>11RG001</v>
          </cell>
        </row>
        <row r="572">
          <cell r="D572" t="str">
            <v>Daily Care (Average PDPM LTC rate)</v>
          </cell>
          <cell r="M572" t="str">
            <v>11RG002</v>
          </cell>
        </row>
        <row r="573">
          <cell r="D573" t="str">
            <v>Daily Care (Average PDPM LTC rate)</v>
          </cell>
          <cell r="M573" t="str">
            <v>11RG003</v>
          </cell>
        </row>
        <row r="574">
          <cell r="D574" t="str">
            <v>Daily Care (Average PDPM LTC rate)</v>
          </cell>
          <cell r="M574" t="str">
            <v>11RG004</v>
          </cell>
        </row>
        <row r="575">
          <cell r="D575" t="str">
            <v>Daily Care (Average PDPM LTC rate)</v>
          </cell>
          <cell r="M575" t="str">
            <v>11RG005</v>
          </cell>
        </row>
        <row r="576">
          <cell r="D576" t="str">
            <v>Daily Care (Average PDPM LTC rate)</v>
          </cell>
          <cell r="M576" t="str">
            <v>11RG006</v>
          </cell>
        </row>
        <row r="577">
          <cell r="D577" t="str">
            <v>Daily Care (Average PDPM LTC rate)</v>
          </cell>
          <cell r="M577" t="str">
            <v>11RG007</v>
          </cell>
        </row>
        <row r="578">
          <cell r="D578" t="str">
            <v>Daily Care (Average PDPM LTC rate)</v>
          </cell>
          <cell r="M578" t="str">
            <v>11RG008</v>
          </cell>
        </row>
        <row r="579">
          <cell r="D579" t="str">
            <v>Daily Care (Average PDPM LTC rate)</v>
          </cell>
          <cell r="M579" t="str">
            <v>11RG009</v>
          </cell>
        </row>
        <row r="580">
          <cell r="D580" t="str">
            <v>Daily Care (Average PDPM LTC rate)</v>
          </cell>
          <cell r="M580" t="str">
            <v>11RG010</v>
          </cell>
        </row>
        <row r="581">
          <cell r="D581" t="str">
            <v>Daily Care (Average PDPM LTC rate)</v>
          </cell>
          <cell r="M581" t="str">
            <v>11RG011</v>
          </cell>
        </row>
        <row r="582">
          <cell r="D582" t="str">
            <v>Daily Care (Average PDPM LTC rate)</v>
          </cell>
          <cell r="M582" t="str">
            <v>11RG012</v>
          </cell>
        </row>
        <row r="583">
          <cell r="D583" t="str">
            <v>Daily Care (Average PDPM LTC rate)</v>
          </cell>
          <cell r="M583" t="str">
            <v>11RG013</v>
          </cell>
        </row>
        <row r="584">
          <cell r="D584" t="str">
            <v>Daily Care (Average PDPM LTC rate)</v>
          </cell>
          <cell r="M584" t="str">
            <v>11RG014</v>
          </cell>
        </row>
        <row r="585">
          <cell r="D585" t="str">
            <v>Daily Care (Average PDPM LTC rate)</v>
          </cell>
          <cell r="M585" t="str">
            <v>11RG015</v>
          </cell>
        </row>
        <row r="586">
          <cell r="D586" t="str">
            <v>Daily Care (Average PDPM LTC rate)</v>
          </cell>
          <cell r="M586" t="str">
            <v>11RG016</v>
          </cell>
        </row>
        <row r="587">
          <cell r="D587" t="str">
            <v>Daily Care (Average PDPM LTC rate)</v>
          </cell>
          <cell r="M587" t="str">
            <v>11RG017</v>
          </cell>
        </row>
        <row r="588">
          <cell r="D588" t="str">
            <v>Daily Care (Average PDPM LTC rate)</v>
          </cell>
          <cell r="M588" t="str">
            <v>11RG018</v>
          </cell>
        </row>
        <row r="589">
          <cell r="D589" t="str">
            <v>Daily Care (Average PDPM LTC rate)</v>
          </cell>
          <cell r="M589" t="str">
            <v>11RG019</v>
          </cell>
        </row>
        <row r="590">
          <cell r="D590" t="str">
            <v>Daily Care (Average PDPM LTC rate)</v>
          </cell>
          <cell r="M590" t="str">
            <v>11RG020</v>
          </cell>
        </row>
        <row r="591">
          <cell r="D591" t="str">
            <v>Daily Care (Average PDPM LTC rate)</v>
          </cell>
          <cell r="M591" t="str">
            <v>11RG021</v>
          </cell>
        </row>
        <row r="592">
          <cell r="D592" t="str">
            <v>Daily Care (Average PDPM LTC rate)</v>
          </cell>
          <cell r="M592" t="str">
            <v>11RG022</v>
          </cell>
        </row>
        <row r="593">
          <cell r="D593" t="str">
            <v>Daily Care (Average PDPM LTC rate)</v>
          </cell>
          <cell r="M593" t="str">
            <v>11RG023</v>
          </cell>
        </row>
        <row r="594">
          <cell r="D594" t="str">
            <v>Daily Care (Average PDPM LTC rate)</v>
          </cell>
          <cell r="M594" t="str">
            <v>11RG024</v>
          </cell>
        </row>
        <row r="595">
          <cell r="D595" t="str">
            <v>Daily Care (Average PDPM LTC rate)</v>
          </cell>
          <cell r="M595" t="str">
            <v>11RG025</v>
          </cell>
        </row>
        <row r="596">
          <cell r="D596" t="str">
            <v>Daily Care (Average PDPM LTC rate)</v>
          </cell>
          <cell r="M596" t="str">
            <v>11RG026</v>
          </cell>
        </row>
        <row r="597">
          <cell r="D597" t="str">
            <v>Daily Care (Average PDPM LTC rate)</v>
          </cell>
          <cell r="M597" t="str">
            <v>11RG027</v>
          </cell>
        </row>
        <row r="598">
          <cell r="D598" t="str">
            <v>Daily Care (Average PDPM LTC rate)</v>
          </cell>
          <cell r="M598" t="str">
            <v>11RG028</v>
          </cell>
        </row>
        <row r="599">
          <cell r="D599" t="str">
            <v>Daily Care (Average PDPM LTC rate)</v>
          </cell>
          <cell r="M599" t="str">
            <v>11RG029</v>
          </cell>
        </row>
        <row r="600">
          <cell r="D600" t="str">
            <v>Daily Care (Average PDPM LTC rate)</v>
          </cell>
          <cell r="M600" t="str">
            <v>11RG030</v>
          </cell>
        </row>
        <row r="601">
          <cell r="D601" t="str">
            <v>Daily Care (Average PDPM LTC rate)</v>
          </cell>
          <cell r="M601" t="str">
            <v>11RG031</v>
          </cell>
        </row>
        <row r="602">
          <cell r="D602" t="str">
            <v>Daily Care (Average PDPM LTC rate)</v>
          </cell>
          <cell r="M602" t="str">
            <v>11RG032</v>
          </cell>
        </row>
        <row r="603">
          <cell r="D603" t="str">
            <v>Daily Care (Average PDPM LTC rate)</v>
          </cell>
          <cell r="M603" t="str">
            <v>11RG033</v>
          </cell>
        </row>
        <row r="604">
          <cell r="D604" t="str">
            <v>Daily Care (Average PDPM LTC rate)</v>
          </cell>
          <cell r="M604" t="str">
            <v>11RG034</v>
          </cell>
        </row>
        <row r="605">
          <cell r="D605" t="str">
            <v>Daily Care (Average PDPM LTC rate)</v>
          </cell>
          <cell r="M605" t="str">
            <v>11RG035</v>
          </cell>
        </row>
        <row r="606">
          <cell r="D606" t="str">
            <v>Daily Care (Average PDPM LTC rate)</v>
          </cell>
          <cell r="M606" t="str">
            <v>11RG036</v>
          </cell>
        </row>
        <row r="607">
          <cell r="D607" t="str">
            <v>Hospice in NF Daily Care (Average PDPM LTC rate)</v>
          </cell>
          <cell r="M607" t="str">
            <v>831RG001</v>
          </cell>
        </row>
        <row r="608">
          <cell r="D608" t="str">
            <v>Hospice in NF Daily Care (Average PDPM LTC rate)</v>
          </cell>
          <cell r="M608" t="str">
            <v>831RG001</v>
          </cell>
        </row>
        <row r="609">
          <cell r="D609" t="str">
            <v>Hospice in NF Daily Care (Average PDPM LTC rate)</v>
          </cell>
          <cell r="M609" t="str">
            <v>831RG002</v>
          </cell>
        </row>
        <row r="610">
          <cell r="D610" t="str">
            <v>Hospice in NF Daily Care (Average PDPM LTC rate)</v>
          </cell>
          <cell r="M610" t="str">
            <v>831RG002</v>
          </cell>
        </row>
        <row r="611">
          <cell r="D611" t="str">
            <v>Hospice in NF Daily Care (Average PDPM LTC rate)</v>
          </cell>
          <cell r="M611" t="str">
            <v>831RG003</v>
          </cell>
        </row>
        <row r="612">
          <cell r="D612" t="str">
            <v>Hospice in NF Daily Care (Average PDPM LTC rate)</v>
          </cell>
          <cell r="M612" t="str">
            <v>831RG003</v>
          </cell>
        </row>
        <row r="613">
          <cell r="D613" t="str">
            <v>Hospice in NF Daily Care (Average PDPM LTC rate)</v>
          </cell>
          <cell r="M613" t="str">
            <v>831RG004</v>
          </cell>
        </row>
        <row r="614">
          <cell r="D614" t="str">
            <v>Hospice in NF Daily Care (Average PDPM LTC rate)</v>
          </cell>
          <cell r="M614" t="str">
            <v>831RG004</v>
          </cell>
        </row>
        <row r="615">
          <cell r="D615" t="str">
            <v>Hospice in NF Daily Care (Average PDPM LTC rate)</v>
          </cell>
          <cell r="M615" t="str">
            <v>831RG005</v>
          </cell>
        </row>
        <row r="616">
          <cell r="D616" t="str">
            <v>Hospice in NF Daily Care (Average PDPM LTC rate)</v>
          </cell>
          <cell r="M616" t="str">
            <v>831RG005</v>
          </cell>
        </row>
        <row r="617">
          <cell r="D617" t="str">
            <v>Hospice in NF Daily Care (Average PDPM LTC rate)</v>
          </cell>
          <cell r="M617" t="str">
            <v>831RG006</v>
          </cell>
        </row>
        <row r="618">
          <cell r="D618" t="str">
            <v>Hospice in NF Daily Care (Average PDPM LTC rate)</v>
          </cell>
          <cell r="M618" t="str">
            <v>831RG006</v>
          </cell>
        </row>
        <row r="619">
          <cell r="D619" t="str">
            <v>Hospice in NF Daily Care (Average PDPM LTC rate)</v>
          </cell>
          <cell r="M619" t="str">
            <v>831RG007</v>
          </cell>
        </row>
        <row r="620">
          <cell r="D620" t="str">
            <v>Hospice in NF Daily Care (Average PDPM LTC rate)</v>
          </cell>
          <cell r="M620" t="str">
            <v>831RG007</v>
          </cell>
        </row>
        <row r="621">
          <cell r="D621" t="str">
            <v>Hospice in NF Daily Care (Average PDPM LTC rate)</v>
          </cell>
          <cell r="M621" t="str">
            <v>831RG008</v>
          </cell>
        </row>
        <row r="622">
          <cell r="D622" t="str">
            <v>Hospice in NF Daily Care (Average PDPM LTC rate)</v>
          </cell>
          <cell r="M622" t="str">
            <v>831RG008</v>
          </cell>
        </row>
        <row r="623">
          <cell r="D623" t="str">
            <v>Hospice in NF Daily Care (Average PDPM LTC rate)</v>
          </cell>
          <cell r="M623" t="str">
            <v>831RG009</v>
          </cell>
        </row>
        <row r="624">
          <cell r="D624" t="str">
            <v>Hospice in NF Daily Care (Average PDPM LTC rate)</v>
          </cell>
          <cell r="M624" t="str">
            <v>831RG009</v>
          </cell>
        </row>
        <row r="625">
          <cell r="D625" t="str">
            <v>Hospice in NF Daily Care (Average PDPM LTC rate)</v>
          </cell>
          <cell r="M625" t="str">
            <v>831RG010</v>
          </cell>
        </row>
        <row r="626">
          <cell r="D626" t="str">
            <v>Hospice in NF Daily Care (Average PDPM LTC rate)</v>
          </cell>
          <cell r="M626" t="str">
            <v>831RG010</v>
          </cell>
        </row>
        <row r="627">
          <cell r="D627" t="str">
            <v>Hospice in NF Daily Care (Average PDPM LTC rate)</v>
          </cell>
          <cell r="M627" t="str">
            <v>831RG011</v>
          </cell>
        </row>
        <row r="628">
          <cell r="D628" t="str">
            <v>Hospice in NF Daily Care (Average PDPM LTC rate)</v>
          </cell>
          <cell r="M628" t="str">
            <v>831RG011</v>
          </cell>
        </row>
        <row r="629">
          <cell r="D629" t="str">
            <v>Hospice in NF Daily Care (Average PDPM LTC rate)</v>
          </cell>
          <cell r="M629" t="str">
            <v>831RG012</v>
          </cell>
        </row>
        <row r="630">
          <cell r="D630" t="str">
            <v>Hospice in NF Daily Care (Average PDPM LTC rate)</v>
          </cell>
          <cell r="M630" t="str">
            <v>831RG012</v>
          </cell>
        </row>
        <row r="631">
          <cell r="D631" t="str">
            <v>Hospice in NF Daily Care (Average PDPM LTC rate)</v>
          </cell>
          <cell r="M631" t="str">
            <v>831RG013</v>
          </cell>
        </row>
        <row r="632">
          <cell r="D632" t="str">
            <v>Hospice in NF Daily Care (Average PDPM LTC rate)</v>
          </cell>
          <cell r="M632" t="str">
            <v>831RG013</v>
          </cell>
        </row>
        <row r="633">
          <cell r="D633" t="str">
            <v>Hospice in NF Daily Care (Average PDPM LTC rate)</v>
          </cell>
          <cell r="M633" t="str">
            <v>831RG014</v>
          </cell>
        </row>
        <row r="634">
          <cell r="D634" t="str">
            <v>Hospice in NF Daily Care (Average PDPM LTC rate)</v>
          </cell>
          <cell r="M634" t="str">
            <v>831RG014</v>
          </cell>
        </row>
        <row r="635">
          <cell r="D635" t="str">
            <v>Hospice in NF Daily Care (Average PDPM LTC rate)</v>
          </cell>
          <cell r="M635" t="str">
            <v>831RG015</v>
          </cell>
        </row>
        <row r="636">
          <cell r="D636" t="str">
            <v>Hospice in NF Daily Care (Average PDPM LTC rate)</v>
          </cell>
          <cell r="M636" t="str">
            <v>831RG015</v>
          </cell>
        </row>
        <row r="637">
          <cell r="D637" t="str">
            <v>Hospice in NF Daily Care (Average PDPM LTC rate)</v>
          </cell>
          <cell r="M637" t="str">
            <v>831RG016</v>
          </cell>
        </row>
        <row r="638">
          <cell r="D638" t="str">
            <v>Hospice in NF Daily Care (Average PDPM LTC rate)</v>
          </cell>
          <cell r="M638" t="str">
            <v>831RG016</v>
          </cell>
        </row>
        <row r="639">
          <cell r="D639" t="str">
            <v>Hospice in NF Daily Care (Average PDPM LTC rate)</v>
          </cell>
          <cell r="M639" t="str">
            <v>831RG017</v>
          </cell>
        </row>
        <row r="640">
          <cell r="D640" t="str">
            <v>Hospice in NF Daily Care (Average PDPM LTC rate)</v>
          </cell>
          <cell r="M640" t="str">
            <v>831RG017</v>
          </cell>
        </row>
        <row r="641">
          <cell r="D641" t="str">
            <v>Hospice in NF Daily Care (Average PDPM LTC rate)</v>
          </cell>
          <cell r="M641" t="str">
            <v>831RG018</v>
          </cell>
        </row>
        <row r="642">
          <cell r="D642" t="str">
            <v>Hospice in NF Daily Care (Average PDPM LTC rate)</v>
          </cell>
          <cell r="M642" t="str">
            <v>831RG018</v>
          </cell>
        </row>
        <row r="643">
          <cell r="D643" t="str">
            <v>Hospice in NF Daily Care (Average PDPM LTC rate)</v>
          </cell>
          <cell r="M643" t="str">
            <v>831RG019</v>
          </cell>
        </row>
        <row r="644">
          <cell r="D644" t="str">
            <v>Hospice in NF Daily Care (Average PDPM LTC rate)</v>
          </cell>
          <cell r="M644" t="str">
            <v>831RG019</v>
          </cell>
        </row>
        <row r="645">
          <cell r="D645" t="str">
            <v>Hospice in NF Daily Care (Average PDPM LTC rate)</v>
          </cell>
          <cell r="M645" t="str">
            <v>831RG020</v>
          </cell>
        </row>
        <row r="646">
          <cell r="D646" t="str">
            <v>Hospice in NF Daily Care (Average PDPM LTC rate)</v>
          </cell>
          <cell r="M646" t="str">
            <v>831RG020</v>
          </cell>
        </row>
        <row r="647">
          <cell r="D647" t="str">
            <v>Hospice in NF Daily Care (Average PDPM LTC rate)</v>
          </cell>
          <cell r="M647" t="str">
            <v>831RG021</v>
          </cell>
        </row>
        <row r="648">
          <cell r="D648" t="str">
            <v>Hospice in NF Daily Care (Average PDPM LTC rate)</v>
          </cell>
          <cell r="M648" t="str">
            <v>831RG021</v>
          </cell>
        </row>
        <row r="649">
          <cell r="D649" t="str">
            <v>Hospice in NF Daily Care (Average PDPM LTC rate)</v>
          </cell>
          <cell r="M649" t="str">
            <v>831RG022</v>
          </cell>
        </row>
        <row r="650">
          <cell r="D650" t="str">
            <v>Hospice in NF Daily Care (Average PDPM LTC rate)</v>
          </cell>
          <cell r="M650" t="str">
            <v>831RG022</v>
          </cell>
        </row>
        <row r="651">
          <cell r="D651" t="str">
            <v>Hospice in NF Daily Care (Average PDPM LTC rate)</v>
          </cell>
          <cell r="M651" t="str">
            <v>831RG023</v>
          </cell>
        </row>
        <row r="652">
          <cell r="D652" t="str">
            <v>Hospice in NF Daily Care (Average PDPM LTC rate)</v>
          </cell>
          <cell r="M652" t="str">
            <v>831RG023</v>
          </cell>
        </row>
        <row r="653">
          <cell r="D653" t="str">
            <v>Hospice in NF Daily Care (Average PDPM LTC rate)</v>
          </cell>
          <cell r="M653" t="str">
            <v>831RG024</v>
          </cell>
        </row>
        <row r="654">
          <cell r="D654" t="str">
            <v>Hospice in NF Daily Care (Average PDPM LTC rate)</v>
          </cell>
          <cell r="M654" t="str">
            <v>831RG024</v>
          </cell>
        </row>
        <row r="655">
          <cell r="D655" t="str">
            <v>Hospice in NF Daily Care (Average PDPM LTC rate)</v>
          </cell>
          <cell r="M655" t="str">
            <v>831RG025</v>
          </cell>
        </row>
        <row r="656">
          <cell r="D656" t="str">
            <v>Hospice in NF Daily Care (Average PDPM LTC rate)</v>
          </cell>
          <cell r="M656" t="str">
            <v>831RG025</v>
          </cell>
        </row>
        <row r="657">
          <cell r="D657" t="str">
            <v>Hospice in NF Daily Care (Average PDPM LTC rate)</v>
          </cell>
          <cell r="M657" t="str">
            <v>831RG026</v>
          </cell>
        </row>
        <row r="658">
          <cell r="D658" t="str">
            <v>Hospice in NF Daily Care (Average PDPM LTC rate)</v>
          </cell>
          <cell r="M658" t="str">
            <v>831RG026</v>
          </cell>
        </row>
        <row r="659">
          <cell r="D659" t="str">
            <v>Hospice in NF Daily Care (Average PDPM LTC rate)</v>
          </cell>
          <cell r="M659" t="str">
            <v>831RG027</v>
          </cell>
        </row>
        <row r="660">
          <cell r="D660" t="str">
            <v>Hospice in NF Daily Care (Average PDPM LTC rate)</v>
          </cell>
          <cell r="M660" t="str">
            <v>831RG027</v>
          </cell>
        </row>
        <row r="661">
          <cell r="D661" t="str">
            <v>Hospice in NF Daily Care (Average PDPM LTC rate)</v>
          </cell>
          <cell r="M661" t="str">
            <v>831RG028</v>
          </cell>
        </row>
        <row r="662">
          <cell r="D662" t="str">
            <v>Hospice in NF Daily Care (Average PDPM LTC rate)</v>
          </cell>
          <cell r="M662" t="str">
            <v>831RG028</v>
          </cell>
        </row>
        <row r="663">
          <cell r="D663" t="str">
            <v>Hospice in NF Daily Care (Average PDPM LTC rate)</v>
          </cell>
          <cell r="M663" t="str">
            <v>831RG029</v>
          </cell>
        </row>
        <row r="664">
          <cell r="D664" t="str">
            <v>Hospice in NF Daily Care (Average PDPM LTC rate)</v>
          </cell>
          <cell r="M664" t="str">
            <v>831RG029</v>
          </cell>
        </row>
        <row r="665">
          <cell r="D665" t="str">
            <v>Hospice in NF Daily Care (Average PDPM LTC rate)</v>
          </cell>
          <cell r="M665" t="str">
            <v>831RG030</v>
          </cell>
        </row>
        <row r="666">
          <cell r="D666" t="str">
            <v>Hospice in NF Daily Care (Average PDPM LTC rate)</v>
          </cell>
          <cell r="M666" t="str">
            <v>831RG030</v>
          </cell>
        </row>
        <row r="667">
          <cell r="D667" t="str">
            <v>Hospice in NF Daily Care (Average PDPM LTC rate)</v>
          </cell>
          <cell r="M667" t="str">
            <v>831RG031</v>
          </cell>
        </row>
        <row r="668">
          <cell r="D668" t="str">
            <v>Hospice in NF Daily Care (Average PDPM LTC rate)</v>
          </cell>
          <cell r="M668" t="str">
            <v>831RG031</v>
          </cell>
        </row>
        <row r="669">
          <cell r="D669" t="str">
            <v>Hospice in NF Daily Care (Average PDPM LTC rate)</v>
          </cell>
          <cell r="M669" t="str">
            <v>831RG032</v>
          </cell>
        </row>
        <row r="670">
          <cell r="D670" t="str">
            <v>Hospice in NF Daily Care (Average PDPM LTC rate)</v>
          </cell>
          <cell r="M670" t="str">
            <v>831RG032</v>
          </cell>
        </row>
        <row r="671">
          <cell r="D671" t="str">
            <v>Hospice in NF Daily Care (Average PDPM LTC rate)</v>
          </cell>
          <cell r="M671" t="str">
            <v>831RG033</v>
          </cell>
        </row>
        <row r="672">
          <cell r="D672" t="str">
            <v>Hospice in NF Daily Care (Average PDPM LTC rate)</v>
          </cell>
          <cell r="M672" t="str">
            <v>831RG033</v>
          </cell>
        </row>
        <row r="673">
          <cell r="D673" t="str">
            <v>Hospice in NF Daily Care (Average PDPM LTC rate)</v>
          </cell>
          <cell r="M673" t="str">
            <v>831RG034</v>
          </cell>
        </row>
        <row r="674">
          <cell r="D674" t="str">
            <v>Hospice in NF Daily Care (Average PDPM LTC rate)</v>
          </cell>
          <cell r="M674" t="str">
            <v>831RG034</v>
          </cell>
        </row>
        <row r="675">
          <cell r="D675" t="str">
            <v>Hospice in NF Daily Care (Average PDPM LTC rate)</v>
          </cell>
          <cell r="M675" t="str">
            <v>831RG035</v>
          </cell>
        </row>
        <row r="676">
          <cell r="D676" t="str">
            <v>Hospice in NF Daily Care (Average PDPM LTC rate)</v>
          </cell>
          <cell r="M676" t="str">
            <v>831RG035</v>
          </cell>
        </row>
        <row r="677">
          <cell r="D677" t="str">
            <v>Hospice in NF Daily Care (Average PDPM LTC rate)</v>
          </cell>
          <cell r="M677" t="str">
            <v>831RG036</v>
          </cell>
        </row>
        <row r="678">
          <cell r="D678" t="str">
            <v>Hospice in NF Daily Care (Average PDPM LTC rate)</v>
          </cell>
          <cell r="M678" t="str">
            <v>831RG036</v>
          </cell>
        </row>
        <row r="679">
          <cell r="D679"/>
          <cell r="M679" t="str">
            <v>115DG0970</v>
          </cell>
        </row>
        <row r="680">
          <cell r="D680" t="str">
            <v>NF Therapies and Therapy Assessments</v>
          </cell>
          <cell r="M680" t="str">
            <v>17G0452</v>
          </cell>
        </row>
        <row r="681">
          <cell r="D681" t="str">
            <v>NF Therapies and Therapy Assessments</v>
          </cell>
          <cell r="M681" t="str">
            <v>17G0453</v>
          </cell>
        </row>
        <row r="682">
          <cell r="D682" t="str">
            <v>NF Therapies and Therapy Assessments</v>
          </cell>
          <cell r="M682" t="str">
            <v>17G0453</v>
          </cell>
        </row>
        <row r="683">
          <cell r="D683" t="str">
            <v>NF Therapies and Therapy Assessments</v>
          </cell>
          <cell r="M683" t="str">
            <v>17G0453</v>
          </cell>
        </row>
        <row r="684">
          <cell r="D684" t="str">
            <v>NF Therapies and Therapy Assessments</v>
          </cell>
          <cell r="M684" t="str">
            <v>17G0453</v>
          </cell>
        </row>
        <row r="685">
          <cell r="D685" t="str">
            <v>NF Therapies and Therapy Assessments</v>
          </cell>
          <cell r="M685" t="str">
            <v>17G0467</v>
          </cell>
        </row>
        <row r="686">
          <cell r="D686" t="str">
            <v>NF Therapies and Therapy Assessments</v>
          </cell>
          <cell r="M686" t="str">
            <v>17G0468</v>
          </cell>
        </row>
        <row r="687">
          <cell r="D687" t="str">
            <v>NF Therapies and Therapy Assessments</v>
          </cell>
          <cell r="M687" t="str">
            <v>17G0468</v>
          </cell>
        </row>
        <row r="688">
          <cell r="D688" t="str">
            <v>NF Therapies and Therapy Assessments</v>
          </cell>
          <cell r="M688" t="str">
            <v>17G0468</v>
          </cell>
        </row>
        <row r="689">
          <cell r="D689" t="str">
            <v>NF Therapies and Therapy Assessments</v>
          </cell>
          <cell r="M689" t="str">
            <v>17G0468</v>
          </cell>
        </row>
        <row r="690">
          <cell r="D690" t="str">
            <v>NF Therapies and Therapy Assessments</v>
          </cell>
          <cell r="M690" t="str">
            <v>18G0454</v>
          </cell>
        </row>
        <row r="691">
          <cell r="D691" t="str">
            <v>NF Therapies and Therapy Assessments</v>
          </cell>
          <cell r="M691" t="str">
            <v>18G0455</v>
          </cell>
        </row>
        <row r="692">
          <cell r="D692" t="str">
            <v>NF Therapies and Therapy Assessments</v>
          </cell>
          <cell r="M692" t="str">
            <v>18G0455</v>
          </cell>
        </row>
        <row r="693">
          <cell r="D693" t="str">
            <v>NF Therapies and Therapy Assessments</v>
          </cell>
          <cell r="M693" t="str">
            <v>18G0455</v>
          </cell>
        </row>
        <row r="694">
          <cell r="D694" t="str">
            <v>NF Therapies and Therapy Assessments</v>
          </cell>
          <cell r="M694" t="str">
            <v>18G0455</v>
          </cell>
        </row>
        <row r="695">
          <cell r="D695" t="str">
            <v>NF Therapies and Therapy Assessments</v>
          </cell>
          <cell r="M695" t="str">
            <v>18G0469</v>
          </cell>
        </row>
        <row r="696">
          <cell r="D696" t="str">
            <v>NF Therapies and Therapy Assessments</v>
          </cell>
          <cell r="M696" t="str">
            <v>18G0470</v>
          </cell>
        </row>
        <row r="697">
          <cell r="D697" t="str">
            <v>NF Therapies and Therapy Assessments</v>
          </cell>
          <cell r="M697" t="str">
            <v>18G0470</v>
          </cell>
        </row>
        <row r="698">
          <cell r="D698" t="str">
            <v>NF Therapies and Therapy Assessments</v>
          </cell>
          <cell r="M698" t="str">
            <v>18G0470</v>
          </cell>
        </row>
        <row r="699">
          <cell r="D699" t="str">
            <v>NF Therapies and Therapy Assessments</v>
          </cell>
          <cell r="M699" t="str">
            <v>18G0470</v>
          </cell>
        </row>
        <row r="700">
          <cell r="D700" t="str">
            <v>NF Therapies and Therapy Assessments</v>
          </cell>
          <cell r="M700" t="str">
            <v>19G0456</v>
          </cell>
        </row>
        <row r="701">
          <cell r="D701" t="str">
            <v>NF Therapies and Therapy Assessments</v>
          </cell>
          <cell r="M701" t="str">
            <v>19G0457</v>
          </cell>
        </row>
        <row r="702">
          <cell r="D702" t="str">
            <v>NF Therapies and Therapy Assessments</v>
          </cell>
          <cell r="M702" t="str">
            <v>19G0457</v>
          </cell>
        </row>
        <row r="703">
          <cell r="D703" t="str">
            <v>NF Therapies and Therapy Assessments</v>
          </cell>
          <cell r="M703" t="str">
            <v>19G0457</v>
          </cell>
        </row>
        <row r="704">
          <cell r="D704" t="str">
            <v>NF Therapies and Therapy Assessments</v>
          </cell>
          <cell r="M704" t="str">
            <v>19G0457</v>
          </cell>
        </row>
        <row r="705">
          <cell r="D705" t="str">
            <v>NF Therapies and Therapy Assessments</v>
          </cell>
          <cell r="M705" t="str">
            <v>19G0457</v>
          </cell>
        </row>
        <row r="706">
          <cell r="D706" t="str">
            <v>NF Therapies and Therapy Assessments</v>
          </cell>
          <cell r="M706" t="str">
            <v>19G0471</v>
          </cell>
        </row>
        <row r="707">
          <cell r="D707" t="str">
            <v>NF Therapies and Therapy Assessments</v>
          </cell>
          <cell r="M707" t="str">
            <v>19G0472</v>
          </cell>
        </row>
        <row r="708">
          <cell r="D708" t="str">
            <v>NF Therapies and Therapy Assessments</v>
          </cell>
          <cell r="M708" t="str">
            <v>19G0472</v>
          </cell>
        </row>
        <row r="709">
          <cell r="D709" t="str">
            <v>NF Therapies and Therapy Assessments</v>
          </cell>
          <cell r="M709" t="str">
            <v>19G0472</v>
          </cell>
        </row>
        <row r="710">
          <cell r="D710" t="str">
            <v>NF Therapies and Therapy Assessments</v>
          </cell>
          <cell r="M710" t="str">
            <v>19G0472</v>
          </cell>
        </row>
        <row r="711">
          <cell r="D711" t="str">
            <v>NF Therapies and Therapy Assessments</v>
          </cell>
          <cell r="M711" t="str">
            <v>19G0472</v>
          </cell>
        </row>
        <row r="712">
          <cell r="D712" t="str">
            <v>NF Therapies and Therapy Assessments</v>
          </cell>
          <cell r="M712" t="str">
            <v>19G0472</v>
          </cell>
        </row>
        <row r="713">
          <cell r="D713" t="str">
            <v>NF Therapies and Therapy Assessments</v>
          </cell>
          <cell r="M713" t="str">
            <v>13AN0401</v>
          </cell>
        </row>
        <row r="714">
          <cell r="D714" t="str">
            <v>NF Therapies and Therapy Assessments</v>
          </cell>
          <cell r="M714" t="str">
            <v>17AG0461</v>
          </cell>
        </row>
        <row r="715">
          <cell r="D715" t="str">
            <v>NF Therapies and Therapy Assessments</v>
          </cell>
          <cell r="M715" t="str">
            <v>17AG0473</v>
          </cell>
        </row>
        <row r="716">
          <cell r="D716" t="str">
            <v>NF Therapies and Therapy Assessments</v>
          </cell>
          <cell r="M716" t="str">
            <v>17AEG0526</v>
          </cell>
        </row>
        <row r="717">
          <cell r="D717" t="str">
            <v>NF Therapies and Therapy Assessments</v>
          </cell>
          <cell r="M717" t="str">
            <v>17AEG0526</v>
          </cell>
        </row>
        <row r="718">
          <cell r="D718" t="str">
            <v>NF Therapies and Therapy Assessments</v>
          </cell>
          <cell r="M718" t="str">
            <v>17AEG0526</v>
          </cell>
        </row>
        <row r="719">
          <cell r="D719" t="str">
            <v>NF Therapies and Therapy Assessments</v>
          </cell>
          <cell r="M719" t="str">
            <v>17AEG0527</v>
          </cell>
        </row>
        <row r="720">
          <cell r="D720" t="str">
            <v>NF Therapies and Therapy Assessments</v>
          </cell>
          <cell r="M720" t="str">
            <v>17AEG0527</v>
          </cell>
        </row>
        <row r="721">
          <cell r="D721" t="str">
            <v>NF Therapies and Therapy Assessments</v>
          </cell>
          <cell r="M721" t="str">
            <v>17AEG0527</v>
          </cell>
        </row>
        <row r="722">
          <cell r="D722" t="str">
            <v>NF Therapies and Therapy Assessments</v>
          </cell>
          <cell r="M722" t="str">
            <v>17BG0479</v>
          </cell>
        </row>
        <row r="723">
          <cell r="D723" t="str">
            <v>NF Therapies and Therapy Assessments</v>
          </cell>
          <cell r="M723" t="str">
            <v>17BG0956</v>
          </cell>
        </row>
        <row r="724">
          <cell r="D724" t="str">
            <v>NF Therapies and Therapy Assessments</v>
          </cell>
          <cell r="M724" t="str">
            <v>17CG0481</v>
          </cell>
        </row>
        <row r="725">
          <cell r="D725" t="str">
            <v>NF Therapies and Therapy Assessments</v>
          </cell>
          <cell r="M725" t="str">
            <v>17CG0973</v>
          </cell>
        </row>
        <row r="726">
          <cell r="D726" t="str">
            <v>NF Therapies and Therapy Assessments</v>
          </cell>
          <cell r="M726" t="str">
            <v>18AG0463</v>
          </cell>
        </row>
        <row r="727">
          <cell r="D727" t="str">
            <v>NF Therapies and Therapy Assessments</v>
          </cell>
          <cell r="M727" t="str">
            <v>18AG0475</v>
          </cell>
        </row>
        <row r="728">
          <cell r="D728" t="str">
            <v>NF Therapies and Therapy Assessments</v>
          </cell>
          <cell r="M728" t="str">
            <v>18AEG0528</v>
          </cell>
        </row>
        <row r="729">
          <cell r="D729" t="str">
            <v>NF Therapies and Therapy Assessments</v>
          </cell>
          <cell r="M729" t="str">
            <v>18AEG0528</v>
          </cell>
        </row>
        <row r="730">
          <cell r="D730" t="str">
            <v>NF Therapies and Therapy Assessments</v>
          </cell>
          <cell r="M730" t="str">
            <v>18AEG0528</v>
          </cell>
        </row>
        <row r="731">
          <cell r="D731" t="str">
            <v>NF Therapies and Therapy Assessments</v>
          </cell>
          <cell r="M731" t="str">
            <v>18AEG0529</v>
          </cell>
        </row>
        <row r="732">
          <cell r="D732" t="str">
            <v>NF Therapies and Therapy Assessments</v>
          </cell>
          <cell r="M732" t="str">
            <v>18AEG0529</v>
          </cell>
        </row>
        <row r="733">
          <cell r="D733" t="str">
            <v>NF Therapies and Therapy Assessments</v>
          </cell>
          <cell r="M733" t="str">
            <v>18AEG0529</v>
          </cell>
        </row>
        <row r="734">
          <cell r="D734" t="str">
            <v>NF Therapies and Therapy Assessments</v>
          </cell>
          <cell r="M734" t="str">
            <v>18BG0480</v>
          </cell>
        </row>
        <row r="735">
          <cell r="D735" t="str">
            <v>NF Therapies and Therapy Assessments</v>
          </cell>
          <cell r="M735" t="str">
            <v>18BG0957</v>
          </cell>
        </row>
        <row r="736">
          <cell r="D736" t="str">
            <v>NF Therapies and Therapy Assessments</v>
          </cell>
          <cell r="M736" t="str">
            <v>18CG0482</v>
          </cell>
        </row>
        <row r="737">
          <cell r="D737" t="str">
            <v>NF Therapies and Therapy Assessments</v>
          </cell>
          <cell r="M737" t="str">
            <v>18CG0974</v>
          </cell>
        </row>
        <row r="738">
          <cell r="D738" t="str">
            <v>NF Therapies and Therapy Assessments</v>
          </cell>
          <cell r="M738" t="str">
            <v>19AG0465</v>
          </cell>
        </row>
        <row r="739">
          <cell r="D739" t="str">
            <v>NF Therapies and Therapy Assessments</v>
          </cell>
          <cell r="M739" t="str">
            <v>19AG0477</v>
          </cell>
        </row>
        <row r="740">
          <cell r="D740" t="str">
            <v>NF Therapies and Therapy Assessments</v>
          </cell>
          <cell r="M740" t="str">
            <v>19AG0478</v>
          </cell>
        </row>
        <row r="741">
          <cell r="D741" t="str">
            <v>NF Therapies and Therapy Assessments</v>
          </cell>
          <cell r="M741" t="str">
            <v>19AG0478</v>
          </cell>
        </row>
        <row r="742">
          <cell r="D742" t="str">
            <v>NF Therapies and Therapy Assessments</v>
          </cell>
          <cell r="M742" t="str">
            <v>19AG0478</v>
          </cell>
        </row>
        <row r="743">
          <cell r="D743" t="str">
            <v>NF Therapies and Therapy Assessments</v>
          </cell>
          <cell r="M743" t="str">
            <v>19AG0478</v>
          </cell>
        </row>
        <row r="744">
          <cell r="D744" t="str">
            <v>NF Therapies and Therapy Assessments</v>
          </cell>
          <cell r="M744" t="str">
            <v>19AEG0530</v>
          </cell>
        </row>
        <row r="745">
          <cell r="D745" t="str">
            <v>NF Therapies and Therapy Assessments</v>
          </cell>
          <cell r="M745" t="str">
            <v>19AEG0531</v>
          </cell>
        </row>
        <row r="746">
          <cell r="D746" t="str">
            <v>NF Therapies and Therapy Assessments</v>
          </cell>
          <cell r="M746" t="str">
            <v>19DG0483</v>
          </cell>
        </row>
        <row r="747">
          <cell r="D747" t="str">
            <v>NF Therapies and Therapy Assessments</v>
          </cell>
          <cell r="M747" t="str">
            <v>19DG0976</v>
          </cell>
        </row>
        <row r="748">
          <cell r="D748" t="str">
            <v>Daily Care (Average PDPM LTC rate)</v>
          </cell>
          <cell r="M748" t="str">
            <v>14N0500</v>
          </cell>
        </row>
        <row r="749">
          <cell r="D749" t="str">
            <v>Daily Care (Average PDPM LTC rate)</v>
          </cell>
          <cell r="M749" t="str">
            <v>14N0500</v>
          </cell>
        </row>
        <row r="750">
          <cell r="D750" t="str">
            <v>Daily Care (Average PDPM LTC rate)</v>
          </cell>
          <cell r="M750" t="str">
            <v>14N0500</v>
          </cell>
        </row>
        <row r="751">
          <cell r="D751" t="str">
            <v>Daily Care (Average PDPM LTC rate)</v>
          </cell>
          <cell r="M751" t="str">
            <v>14N0501</v>
          </cell>
        </row>
        <row r="752">
          <cell r="D752" t="str">
            <v>Daily Care (Average PDPM LTC rate)</v>
          </cell>
          <cell r="M752" t="str">
            <v>14N0501</v>
          </cell>
        </row>
        <row r="753">
          <cell r="D753" t="str">
            <v>Daily Care (Average PDPM LTC rate)</v>
          </cell>
          <cell r="M753" t="str">
            <v>14N0501</v>
          </cell>
        </row>
        <row r="754">
          <cell r="D754" t="str">
            <v>Daily Care (Average PDPM LTC rate)</v>
          </cell>
          <cell r="M754" t="str">
            <v>124N0502</v>
          </cell>
        </row>
        <row r="755">
          <cell r="D755" t="str">
            <v>Nursing Assessment/Evaluation</v>
          </cell>
          <cell r="M755" t="str">
            <v>213G0300</v>
          </cell>
        </row>
        <row r="756">
          <cell r="D756" t="str">
            <v>Nurse Delegation and Supervision</v>
          </cell>
          <cell r="M756" t="str">
            <v>213G0300</v>
          </cell>
        </row>
        <row r="757">
          <cell r="D757" t="str">
            <v>Registered Nurse (RN) and Specialized RN</v>
          </cell>
          <cell r="M757" t="str">
            <v>213G0300</v>
          </cell>
        </row>
        <row r="758">
          <cell r="D758" t="str">
            <v>Licensed Vocational Nurse (LVN) and Specialized LVN</v>
          </cell>
          <cell r="M758" t="str">
            <v>213G0301</v>
          </cell>
        </row>
        <row r="759">
          <cell r="D759" t="str">
            <v>Licensed Vocational Nurse (LVN) and Specialized LVN</v>
          </cell>
          <cell r="M759" t="str">
            <v>213G0301</v>
          </cell>
        </row>
        <row r="760">
          <cell r="D760" t="str">
            <v>Licensed Vocational Nurse (LVN) and Specialized LVN</v>
          </cell>
          <cell r="M760" t="str">
            <v>213AG0302</v>
          </cell>
        </row>
        <row r="761">
          <cell r="D761" t="str">
            <v>Licensed Vocational Nurse (LVN) and Specialized LVN</v>
          </cell>
          <cell r="M761" t="str">
            <v>213AG2202</v>
          </cell>
        </row>
        <row r="762">
          <cell r="D762" t="str">
            <v>Licensed Vocational Nurse (LVN) and Specialized LVN</v>
          </cell>
          <cell r="M762" t="str">
            <v>213AG2220</v>
          </cell>
        </row>
        <row r="763">
          <cell r="D763" t="str">
            <v>Licensed Vocational Nurse (LVN) and Specialized LVN</v>
          </cell>
          <cell r="M763" t="str">
            <v>213AG2238</v>
          </cell>
        </row>
        <row r="764">
          <cell r="D764" t="str">
            <v>CDS Licensed Vocational Nurse (LVN) and Specialized LVN</v>
          </cell>
          <cell r="M764" t="str">
            <v>213AVG0305</v>
          </cell>
        </row>
        <row r="765">
          <cell r="D765" t="str">
            <v>CDS Licensed Vocational Nurse (LVN) and Specialized LVN</v>
          </cell>
          <cell r="M765" t="str">
            <v>213AVG2203</v>
          </cell>
        </row>
        <row r="766">
          <cell r="D766" t="str">
            <v>CDS Licensed Vocational Nurse (LVN) and Specialized LVN</v>
          </cell>
          <cell r="M766" t="str">
            <v>213AVG2221</v>
          </cell>
        </row>
        <row r="767">
          <cell r="D767" t="str">
            <v>CDS Licensed Vocational Nurse (LVN) and Specialized LVN</v>
          </cell>
          <cell r="M767" t="str">
            <v>213AVG2239</v>
          </cell>
        </row>
        <row r="768">
          <cell r="D768" t="str">
            <v>Registered Nurse (RN) and Specialized RN</v>
          </cell>
          <cell r="M768" t="str">
            <v>213BG0303</v>
          </cell>
        </row>
        <row r="769">
          <cell r="D769" t="str">
            <v>Registered Nurse (RN) and Specialized RN</v>
          </cell>
          <cell r="M769" t="str">
            <v>213BG2204</v>
          </cell>
        </row>
        <row r="770">
          <cell r="D770" t="str">
            <v>Registered Nurse (RN) and Specialized RN</v>
          </cell>
          <cell r="M770" t="str">
            <v>213BG2222</v>
          </cell>
        </row>
        <row r="771">
          <cell r="D771" t="str">
            <v>Registered Nurse (RN) and Specialized RN</v>
          </cell>
          <cell r="M771" t="str">
            <v>213BG2240</v>
          </cell>
        </row>
        <row r="772">
          <cell r="D772" t="str">
            <v>CDS Registered Nurse (RN) and Specialized RN</v>
          </cell>
          <cell r="M772" t="str">
            <v>213BVG0304</v>
          </cell>
        </row>
        <row r="773">
          <cell r="D773" t="str">
            <v>CDS Registered Nurse (RN) and Specialized RN</v>
          </cell>
          <cell r="M773" t="str">
            <v>213BVG2205</v>
          </cell>
        </row>
        <row r="774">
          <cell r="D774" t="str">
            <v>CDS Registered Nurse (RN) and Specialized RN</v>
          </cell>
          <cell r="M774" t="str">
            <v>213BVG2223</v>
          </cell>
        </row>
        <row r="775">
          <cell r="D775" t="str">
            <v>CDS Registered Nurse (RN) and Specialized RN</v>
          </cell>
          <cell r="M775" t="str">
            <v>213BVG2241</v>
          </cell>
        </row>
        <row r="776">
          <cell r="D776" t="str">
            <v>Registered Nurse (RN) and Specialized RN</v>
          </cell>
          <cell r="M776" t="str">
            <v>213CG2206</v>
          </cell>
        </row>
        <row r="777">
          <cell r="D777" t="str">
            <v>Registered Nurse (RN) and Specialized RN</v>
          </cell>
          <cell r="M777" t="str">
            <v>213CG2224</v>
          </cell>
        </row>
        <row r="778">
          <cell r="D778" t="str">
            <v>Registered Nurse (RN) and Specialized RN</v>
          </cell>
          <cell r="M778" t="str">
            <v>213CG2242</v>
          </cell>
        </row>
        <row r="779">
          <cell r="D779" t="str">
            <v>Registered Nurse (RN) and Specialized RN</v>
          </cell>
          <cell r="M779" t="str">
            <v>213CT1002</v>
          </cell>
        </row>
        <row r="780">
          <cell r="D780" t="str">
            <v>CDS Registered Nurse (RN) and Specialized RN</v>
          </cell>
          <cell r="M780" t="str">
            <v>213CVG0306</v>
          </cell>
        </row>
        <row r="781">
          <cell r="D781" t="str">
            <v>CDS Registered Nurse (RN) and Specialized RN</v>
          </cell>
          <cell r="M781" t="str">
            <v>213CVG2207</v>
          </cell>
        </row>
        <row r="782">
          <cell r="D782" t="str">
            <v>CDS Registered Nurse (RN) and Specialized RN</v>
          </cell>
          <cell r="M782" t="str">
            <v>213CVG2225</v>
          </cell>
        </row>
        <row r="783">
          <cell r="D783" t="str">
            <v>CDS Registered Nurse (RN) and Specialized RN</v>
          </cell>
          <cell r="M783" t="str">
            <v>213CVG2243</v>
          </cell>
        </row>
        <row r="784">
          <cell r="D784" t="str">
            <v>Licensed Vocational Nurse (LVN) and Specialized LVN</v>
          </cell>
          <cell r="M784" t="str">
            <v>213DG2208</v>
          </cell>
        </row>
        <row r="785">
          <cell r="D785" t="str">
            <v>Licensed Vocational Nurse (LVN) and Specialized LVN</v>
          </cell>
          <cell r="M785" t="str">
            <v>213DG2226</v>
          </cell>
        </row>
        <row r="786">
          <cell r="D786" t="str">
            <v>Licensed Vocational Nurse (LVN) and Specialized LVN</v>
          </cell>
          <cell r="M786" t="str">
            <v>213DG2244</v>
          </cell>
        </row>
        <row r="787">
          <cell r="D787" t="str">
            <v>Licensed Vocational Nurse (LVN) and Specialized LVN</v>
          </cell>
          <cell r="M787" t="str">
            <v>213DT1003</v>
          </cell>
        </row>
        <row r="788">
          <cell r="D788" t="str">
            <v>CDS Licensed Vocational Nurse (LVN) and Specialized LVN</v>
          </cell>
          <cell r="M788" t="str">
            <v>213DVG0307</v>
          </cell>
        </row>
        <row r="789">
          <cell r="D789" t="str">
            <v>CDS Licensed Vocational Nurse (LVN) and Specialized LVN</v>
          </cell>
          <cell r="M789" t="str">
            <v>213DVG2209</v>
          </cell>
        </row>
        <row r="790">
          <cell r="D790" t="str">
            <v>CDS Licensed Vocational Nurse (LVN) and Specialized LVN</v>
          </cell>
          <cell r="M790" t="str">
            <v>213DVG2227</v>
          </cell>
        </row>
        <row r="791">
          <cell r="D791" t="str">
            <v>CDS Licensed Vocational Nurse (LVN) and Specialized LVN</v>
          </cell>
          <cell r="M791" t="str">
            <v>213DVG2245</v>
          </cell>
        </row>
        <row r="792">
          <cell r="D792" t="str">
            <v>Licensed Vocational Nurse (LVN) and Specialized LVN</v>
          </cell>
          <cell r="M792" t="str">
            <v>1613AG0302</v>
          </cell>
        </row>
        <row r="793">
          <cell r="D793" t="str">
            <v>Licensed Vocational Nurse (LVN) and Specialized LVN</v>
          </cell>
          <cell r="M793" t="str">
            <v>1613AG2214</v>
          </cell>
        </row>
        <row r="794">
          <cell r="D794" t="str">
            <v>Licensed Vocational Nurse (LVN) and Specialized LVN</v>
          </cell>
          <cell r="M794" t="str">
            <v>1613AG2232</v>
          </cell>
        </row>
        <row r="795">
          <cell r="D795" t="str">
            <v>Licensed Vocational Nurse (LVN) and Specialized LVN</v>
          </cell>
          <cell r="M795" t="str">
            <v>1613AG2250</v>
          </cell>
        </row>
        <row r="796">
          <cell r="D796" t="str">
            <v>Registered Nurse (RN) and Specialized RN</v>
          </cell>
          <cell r="M796" t="str">
            <v>1613BG0303</v>
          </cell>
        </row>
        <row r="797">
          <cell r="D797" t="str">
            <v>Registered Nurse (RN) and Specialized RN</v>
          </cell>
          <cell r="M797" t="str">
            <v>1613BG2215</v>
          </cell>
        </row>
        <row r="798">
          <cell r="D798" t="str">
            <v>Registered Nurse (RN) and Specialized RN</v>
          </cell>
          <cell r="M798" t="str">
            <v>1613BG2233</v>
          </cell>
        </row>
        <row r="799">
          <cell r="D799" t="str">
            <v>Registered Nurse (RN) and Specialized RN</v>
          </cell>
          <cell r="M799" t="str">
            <v>1613BG2251</v>
          </cell>
        </row>
        <row r="800">
          <cell r="D800" t="str">
            <v>Registered Nurse (RN) and Specialized RN</v>
          </cell>
          <cell r="M800" t="str">
            <v>1613CG2216</v>
          </cell>
        </row>
        <row r="801">
          <cell r="D801" t="str">
            <v>Registered Nurse (RN) and Specialized RN</v>
          </cell>
          <cell r="M801" t="str">
            <v>1613CG2234</v>
          </cell>
        </row>
        <row r="802">
          <cell r="D802" t="str">
            <v>Registered Nurse (RN) and Specialized RN</v>
          </cell>
          <cell r="M802" t="str">
            <v>1613CG2252</v>
          </cell>
        </row>
        <row r="803">
          <cell r="D803" t="str">
            <v>Registered Nurse (RN) and Specialized RN</v>
          </cell>
          <cell r="M803" t="str">
            <v>1613CT1002</v>
          </cell>
        </row>
        <row r="804">
          <cell r="D804" t="str">
            <v>Licensed Vocational Nurse (LVN) and Specialized LVN</v>
          </cell>
          <cell r="M804" t="str">
            <v>1613DG2217</v>
          </cell>
        </row>
        <row r="805">
          <cell r="D805" t="str">
            <v>Licensed Vocational Nurse (LVN) and Specialized LVN</v>
          </cell>
          <cell r="M805" t="str">
            <v>1613DG2235</v>
          </cell>
        </row>
        <row r="806">
          <cell r="D806" t="str">
            <v>Licensed Vocational Nurse (LVN) and Specialized LVN</v>
          </cell>
          <cell r="M806" t="str">
            <v>1613DG2253</v>
          </cell>
        </row>
        <row r="807">
          <cell r="D807" t="str">
            <v>Licensed Vocational Nurse (LVN) and Specialized LVN</v>
          </cell>
          <cell r="M807" t="str">
            <v>1613DT1003</v>
          </cell>
        </row>
        <row r="808">
          <cell r="D808" t="str">
            <v>Nursing Aide Training</v>
          </cell>
          <cell r="M808" t="str">
            <v>16N0700</v>
          </cell>
        </row>
        <row r="809">
          <cell r="D809" t="str">
            <v>Nursing Aide Training</v>
          </cell>
          <cell r="M809" t="str">
            <v>16N0701</v>
          </cell>
        </row>
        <row r="810">
          <cell r="D810" t="str">
            <v>Nursing Aide Training</v>
          </cell>
          <cell r="M810" t="str">
            <v>16N0702</v>
          </cell>
        </row>
        <row r="811">
          <cell r="D811" t="str">
            <v>Nursing Aide Training</v>
          </cell>
          <cell r="M811" t="str">
            <v>16N0703</v>
          </cell>
        </row>
        <row r="812">
          <cell r="D812" t="str">
            <v>Nursing Aide Training</v>
          </cell>
          <cell r="M812" t="str">
            <v>16N0704</v>
          </cell>
        </row>
        <row r="813">
          <cell r="D813" t="str">
            <v>Nursing Aide Training</v>
          </cell>
          <cell r="M813" t="str">
            <v>16N0705</v>
          </cell>
        </row>
        <row r="814">
          <cell r="D814" t="str">
            <v>Nursing Aide Training</v>
          </cell>
          <cell r="M814" t="str">
            <v>16N0706</v>
          </cell>
        </row>
        <row r="815">
          <cell r="D815" t="str">
            <v>Nursing Aide Training</v>
          </cell>
          <cell r="M815" t="str">
            <v>16N0707</v>
          </cell>
        </row>
        <row r="816">
          <cell r="D816" t="str">
            <v>Nursing Aide Training</v>
          </cell>
          <cell r="M816" t="str">
            <v>16N0708</v>
          </cell>
        </row>
        <row r="817">
          <cell r="D817"/>
          <cell r="M817" t="str">
            <v>1644G0231</v>
          </cell>
        </row>
        <row r="818">
          <cell r="D818"/>
          <cell r="M818" t="str">
            <v>1644G0231</v>
          </cell>
        </row>
        <row r="819">
          <cell r="D819"/>
          <cell r="M819" t="str">
            <v>262VG0222</v>
          </cell>
        </row>
        <row r="820">
          <cell r="D820" t="str">
            <v>Out-of-Home Respite</v>
          </cell>
          <cell r="M820" t="str">
            <v>211AG0128</v>
          </cell>
        </row>
        <row r="821">
          <cell r="D821" t="str">
            <v>Out-of-Home Respite</v>
          </cell>
          <cell r="M821" t="str">
            <v>211AG0170</v>
          </cell>
        </row>
        <row r="822">
          <cell r="D822" t="str">
            <v>CDS Out-of-Home Respite</v>
          </cell>
          <cell r="M822" t="str">
            <v>211AVG0196</v>
          </cell>
        </row>
        <row r="823">
          <cell r="D823" t="str">
            <v>Out-of-Home Respite</v>
          </cell>
          <cell r="M823" t="str">
            <v>711AG0129</v>
          </cell>
        </row>
        <row r="824">
          <cell r="D824" t="str">
            <v>Out-of-Home Respite</v>
          </cell>
          <cell r="M824" t="str">
            <v>711AG0130</v>
          </cell>
        </row>
        <row r="825">
          <cell r="D825" t="str">
            <v>Out-of-Home Respite</v>
          </cell>
          <cell r="M825" t="str">
            <v>711AG0130</v>
          </cell>
        </row>
        <row r="826">
          <cell r="D826" t="str">
            <v>Out-of-Home Respite</v>
          </cell>
          <cell r="M826" t="str">
            <v>711BG0131</v>
          </cell>
        </row>
        <row r="827">
          <cell r="D827" t="str">
            <v>Out-of-Home Respite</v>
          </cell>
          <cell r="M827" t="str">
            <v>711DG0141</v>
          </cell>
        </row>
        <row r="828">
          <cell r="D828" t="str">
            <v>Out-of-Home Respite</v>
          </cell>
          <cell r="M828" t="str">
            <v>711EG0148</v>
          </cell>
        </row>
        <row r="829">
          <cell r="D829" t="str">
            <v>Out-of-Home Respite</v>
          </cell>
          <cell r="M829" t="str">
            <v>711FG0155</v>
          </cell>
        </row>
        <row r="830">
          <cell r="D830" t="str">
            <v>Out-of-Home Respite</v>
          </cell>
          <cell r="M830" t="str">
            <v>711FG0155</v>
          </cell>
        </row>
        <row r="831">
          <cell r="D831" t="str">
            <v>Out-of-Home Respite</v>
          </cell>
          <cell r="M831" t="str">
            <v>1611AG0128</v>
          </cell>
        </row>
        <row r="832">
          <cell r="D832" t="str">
            <v>Out-of-Home Respite</v>
          </cell>
          <cell r="M832" t="str">
            <v>1611AG0170</v>
          </cell>
        </row>
        <row r="833">
          <cell r="D833" t="str">
            <v>CDS Out-of-Home Respite</v>
          </cell>
          <cell r="M833" t="str">
            <v>1611AVG0196</v>
          </cell>
        </row>
        <row r="834">
          <cell r="D834" t="str">
            <v>Registered Nurse (RN) and Specialized RN</v>
          </cell>
          <cell r="M834" t="str">
            <v>765G0817</v>
          </cell>
        </row>
        <row r="835">
          <cell r="D835" t="str">
            <v>Program All-inclusive Care Elderly (PACE)</v>
          </cell>
          <cell r="M835" t="str">
            <v>1139G2000</v>
          </cell>
        </row>
        <row r="836">
          <cell r="D836" t="str">
            <v>Program All-inclusive Care Elderly (PACE)</v>
          </cell>
          <cell r="M836" t="str">
            <v>1139AG2001</v>
          </cell>
        </row>
        <row r="837">
          <cell r="D837" t="str">
            <v>Program All-inclusive Care Elderly (PACE)</v>
          </cell>
          <cell r="M837" t="str">
            <v>1139BG2002</v>
          </cell>
        </row>
        <row r="838">
          <cell r="D838" t="str">
            <v>Habilitation</v>
          </cell>
          <cell r="M838" t="str">
            <v>210S0100</v>
          </cell>
        </row>
        <row r="839">
          <cell r="D839" t="str">
            <v>Habilitation</v>
          </cell>
          <cell r="M839" t="str">
            <v>210S0101</v>
          </cell>
        </row>
        <row r="840">
          <cell r="D840" t="str">
            <v>Habilitation</v>
          </cell>
          <cell r="M840" t="str">
            <v>248G0248</v>
          </cell>
        </row>
        <row r="841">
          <cell r="D841" t="str">
            <v>Habilitation</v>
          </cell>
          <cell r="M841" t="str">
            <v>210AS0105</v>
          </cell>
        </row>
        <row r="842">
          <cell r="D842" t="str">
            <v>Habilitation</v>
          </cell>
          <cell r="M842" t="str">
            <v>210AS0105</v>
          </cell>
        </row>
        <row r="843">
          <cell r="D843" t="str">
            <v>Habilitation</v>
          </cell>
          <cell r="M843" t="str">
            <v>210BS0107</v>
          </cell>
        </row>
        <row r="844">
          <cell r="D844" t="str">
            <v>PAS/HAB (CFC)</v>
          </cell>
          <cell r="M844" t="str">
            <v>210CFCG1108</v>
          </cell>
        </row>
        <row r="845">
          <cell r="D845" t="str">
            <v>Habilitation</v>
          </cell>
          <cell r="M845" t="str">
            <v>210CFCG1119</v>
          </cell>
        </row>
        <row r="846">
          <cell r="D846" t="str">
            <v>CDS PAS/HAB (CFC)</v>
          </cell>
          <cell r="M846" t="str">
            <v>210CFVG1109</v>
          </cell>
        </row>
        <row r="847">
          <cell r="D847" t="str">
            <v>CDS Habilitation</v>
          </cell>
          <cell r="M847" t="str">
            <v>210VG6085</v>
          </cell>
        </row>
        <row r="848">
          <cell r="D848" t="str">
            <v>CDS Habilitation</v>
          </cell>
          <cell r="M848" t="str">
            <v>210VG6086</v>
          </cell>
        </row>
        <row r="849">
          <cell r="D849"/>
          <cell r="M849" t="str">
            <v>217AG0705</v>
          </cell>
        </row>
        <row r="850">
          <cell r="D850"/>
          <cell r="M850" t="str">
            <v>217BG0706</v>
          </cell>
        </row>
        <row r="851">
          <cell r="D851" t="str">
            <v>CDS Habilitation</v>
          </cell>
          <cell r="M851" t="str">
            <v>248VG0249</v>
          </cell>
        </row>
        <row r="852">
          <cell r="D852" t="str">
            <v>PAS/HAB (CFC) and Transportation</v>
          </cell>
          <cell r="M852" t="str">
            <v>1617G0730</v>
          </cell>
        </row>
        <row r="853">
          <cell r="D853" t="str">
            <v>PAS/HAB (CFC) and Transportation</v>
          </cell>
          <cell r="M853" t="str">
            <v>1610CFCG1108</v>
          </cell>
        </row>
        <row r="854">
          <cell r="D854" t="str">
            <v>PAS/HAB (CFC) and Transportation</v>
          </cell>
          <cell r="M854" t="str">
            <v>1610CFCG1119</v>
          </cell>
        </row>
        <row r="855">
          <cell r="D855" t="str">
            <v>CDS PAS/HAB (CFC) and Transportation</v>
          </cell>
          <cell r="M855" t="str">
            <v>1610CFVG1109</v>
          </cell>
        </row>
        <row r="856">
          <cell r="D856" t="str">
            <v>CDS PAS/HAB (CFC) and Transportation</v>
          </cell>
          <cell r="M856" t="str">
            <v>1617VG0717</v>
          </cell>
        </row>
        <row r="857">
          <cell r="D857" t="str">
            <v>CDS PAS/HAB (CFC) and Transportation</v>
          </cell>
          <cell r="M857" t="str">
            <v>1617VG0718</v>
          </cell>
        </row>
        <row r="858">
          <cell r="D858"/>
          <cell r="M858" t="str">
            <v>1410HS0311</v>
          </cell>
        </row>
        <row r="859">
          <cell r="D859" t="str">
            <v>Occupational Therapy</v>
          </cell>
          <cell r="M859" t="str">
            <v>27G0400</v>
          </cell>
        </row>
        <row r="860">
          <cell r="D860" t="str">
            <v>Occupational Therapy</v>
          </cell>
          <cell r="M860" t="str">
            <v>27G0400</v>
          </cell>
        </row>
        <row r="861">
          <cell r="D861" t="str">
            <v>Occupational Therapy</v>
          </cell>
          <cell r="M861" t="str">
            <v>27G2200</v>
          </cell>
        </row>
        <row r="862">
          <cell r="D862" t="str">
            <v>Occupational Therapy</v>
          </cell>
          <cell r="M862" t="str">
            <v>27G2218</v>
          </cell>
        </row>
        <row r="863">
          <cell r="D863" t="str">
            <v>Occupational Therapy</v>
          </cell>
          <cell r="M863" t="str">
            <v>27G2236</v>
          </cell>
        </row>
        <row r="864">
          <cell r="D864" t="str">
            <v>Physical Therapy</v>
          </cell>
          <cell r="M864" t="str">
            <v>28G0401</v>
          </cell>
        </row>
        <row r="865">
          <cell r="D865" t="str">
            <v>Physical Therapy</v>
          </cell>
          <cell r="M865" t="str">
            <v>28G0401</v>
          </cell>
        </row>
        <row r="866">
          <cell r="D866" t="str">
            <v>Physical Therapy</v>
          </cell>
          <cell r="M866" t="str">
            <v>28G2201</v>
          </cell>
        </row>
        <row r="867">
          <cell r="D867" t="str">
            <v>Physical Therapy</v>
          </cell>
          <cell r="M867" t="str">
            <v>28G2219</v>
          </cell>
        </row>
        <row r="868">
          <cell r="D868" t="str">
            <v>Physical Therapy</v>
          </cell>
          <cell r="M868" t="str">
            <v>28G2237</v>
          </cell>
        </row>
        <row r="869">
          <cell r="D869" t="str">
            <v>Speech &amp; Language Therapy</v>
          </cell>
          <cell r="M869" t="str">
            <v>29G0402</v>
          </cell>
        </row>
        <row r="870">
          <cell r="D870" t="str">
            <v>Speech &amp; Language Therapy</v>
          </cell>
          <cell r="M870" t="str">
            <v>29G0402</v>
          </cell>
        </row>
        <row r="871">
          <cell r="D871" t="str">
            <v>CDS Occupational Therapy</v>
          </cell>
          <cell r="M871" t="str">
            <v>27VG0408</v>
          </cell>
        </row>
        <row r="872">
          <cell r="D872" t="str">
            <v>CDS Occupational Therapy</v>
          </cell>
          <cell r="M872" t="str">
            <v>27VG0408</v>
          </cell>
        </row>
        <row r="873">
          <cell r="D873" t="str">
            <v>CDS Occupational Therapy</v>
          </cell>
          <cell r="M873" t="str">
            <v>27VG2210</v>
          </cell>
        </row>
        <row r="874">
          <cell r="D874" t="str">
            <v>CDS Occupational Therapy</v>
          </cell>
          <cell r="M874" t="str">
            <v>27VG2228</v>
          </cell>
        </row>
        <row r="875">
          <cell r="D875" t="str">
            <v>CDS Occupational Therapy</v>
          </cell>
          <cell r="M875" t="str">
            <v>27VG2246</v>
          </cell>
        </row>
        <row r="876">
          <cell r="D876" t="str">
            <v>CDS Physical Therapy</v>
          </cell>
          <cell r="M876" t="str">
            <v>28VG0409</v>
          </cell>
        </row>
        <row r="877">
          <cell r="D877" t="str">
            <v>CDS Physical Therapy</v>
          </cell>
          <cell r="M877" t="str">
            <v>28VG0409</v>
          </cell>
        </row>
        <row r="878">
          <cell r="D878" t="str">
            <v>CDS Physical Therapy</v>
          </cell>
          <cell r="M878" t="str">
            <v>28VG2211</v>
          </cell>
        </row>
        <row r="879">
          <cell r="D879" t="str">
            <v>CDS Physical Therapy</v>
          </cell>
          <cell r="M879" t="str">
            <v>28VG2229</v>
          </cell>
        </row>
        <row r="880">
          <cell r="D880" t="str">
            <v>CDS Physical Therapy</v>
          </cell>
          <cell r="M880" t="str">
            <v>28VG2247</v>
          </cell>
        </row>
        <row r="881">
          <cell r="D881" t="str">
            <v>CDS Speech &amp; Language Therapy</v>
          </cell>
          <cell r="M881" t="str">
            <v>29VG0410</v>
          </cell>
        </row>
        <row r="882">
          <cell r="D882" t="str">
            <v>CDS Speech &amp; Language Therapy</v>
          </cell>
          <cell r="M882" t="str">
            <v>29VG0410</v>
          </cell>
        </row>
        <row r="883">
          <cell r="D883" t="str">
            <v>Occupational Therapy</v>
          </cell>
          <cell r="M883" t="str">
            <v>167G0400</v>
          </cell>
        </row>
        <row r="884">
          <cell r="D884" t="str">
            <v>Occupational Therapy</v>
          </cell>
          <cell r="M884" t="str">
            <v>167G0400</v>
          </cell>
        </row>
        <row r="885">
          <cell r="D885" t="str">
            <v>Occupational Therapy</v>
          </cell>
          <cell r="M885" t="str">
            <v>167G2212</v>
          </cell>
        </row>
        <row r="886">
          <cell r="D886" t="str">
            <v>Occupational Therapy</v>
          </cell>
          <cell r="M886" t="str">
            <v>167G2230</v>
          </cell>
        </row>
        <row r="887">
          <cell r="D887" t="str">
            <v>Occupational Therapy</v>
          </cell>
          <cell r="M887" t="str">
            <v>167G2248</v>
          </cell>
        </row>
        <row r="888">
          <cell r="D888" t="str">
            <v>Physical Therapy</v>
          </cell>
          <cell r="M888" t="str">
            <v>168G0401</v>
          </cell>
        </row>
        <row r="889">
          <cell r="D889" t="str">
            <v>Physical Therapy</v>
          </cell>
          <cell r="M889" t="str">
            <v>168G0401</v>
          </cell>
        </row>
        <row r="890">
          <cell r="D890" t="str">
            <v>Physical Therapy</v>
          </cell>
          <cell r="M890" t="str">
            <v>168G2213</v>
          </cell>
        </row>
        <row r="891">
          <cell r="D891" t="str">
            <v>Physical Therapy</v>
          </cell>
          <cell r="M891" t="str">
            <v>168G2231</v>
          </cell>
        </row>
        <row r="892">
          <cell r="D892" t="str">
            <v>Physical Therapy</v>
          </cell>
          <cell r="M892" t="str">
            <v>168G2249</v>
          </cell>
        </row>
        <row r="893">
          <cell r="D893" t="str">
            <v>Speech &amp; Language Therapy</v>
          </cell>
          <cell r="M893" t="str">
            <v>169G0402</v>
          </cell>
        </row>
        <row r="894">
          <cell r="D894" t="str">
            <v>Speech &amp; Language Therapy</v>
          </cell>
          <cell r="M894" t="str">
            <v>169G0402</v>
          </cell>
        </row>
        <row r="895">
          <cell r="D895" t="str">
            <v>Residential Care Title XX</v>
          </cell>
          <cell r="M895" t="str">
            <v>719IG0943</v>
          </cell>
        </row>
        <row r="896">
          <cell r="D896" t="str">
            <v>Residential Care Title XX</v>
          </cell>
          <cell r="M896" t="str">
            <v>719JG0944</v>
          </cell>
        </row>
        <row r="897">
          <cell r="D897" t="str">
            <v>Residential Care Title XX</v>
          </cell>
          <cell r="M897" t="str">
            <v>719KG0945</v>
          </cell>
        </row>
        <row r="898">
          <cell r="D898" t="str">
            <v>Residential Care Title XX</v>
          </cell>
          <cell r="M898" t="str">
            <v>719LG0946</v>
          </cell>
        </row>
        <row r="899">
          <cell r="D899" t="str">
            <v>Residential Care Title XX</v>
          </cell>
          <cell r="M899" t="str">
            <v>719MG0947</v>
          </cell>
        </row>
        <row r="900">
          <cell r="D900" t="str">
            <v>Residential Care Title XX</v>
          </cell>
          <cell r="M900" t="str">
            <v>719NG0948</v>
          </cell>
        </row>
        <row r="901">
          <cell r="D901" t="str">
            <v>Residential Care Title XX</v>
          </cell>
          <cell r="M901" t="str">
            <v>719OG0949</v>
          </cell>
        </row>
        <row r="902">
          <cell r="D902" t="str">
            <v>Requisition Fees</v>
          </cell>
          <cell r="M902" t="str">
            <v>241G0515</v>
          </cell>
        </row>
        <row r="903">
          <cell r="D903" t="str">
            <v>Requisition Fees</v>
          </cell>
          <cell r="M903" t="str">
            <v>241G0516</v>
          </cell>
        </row>
        <row r="904">
          <cell r="D904" t="str">
            <v>Requisition Fees</v>
          </cell>
          <cell r="M904" t="str">
            <v>241G0517</v>
          </cell>
        </row>
        <row r="905">
          <cell r="D905" t="str">
            <v>Requisition Fees</v>
          </cell>
          <cell r="M905" t="str">
            <v>241G0518</v>
          </cell>
        </row>
        <row r="906">
          <cell r="D906" t="str">
            <v>Requisition Fees</v>
          </cell>
          <cell r="M906" t="str">
            <v>241G0519</v>
          </cell>
        </row>
        <row r="907">
          <cell r="D907" t="str">
            <v>Requisition Fees</v>
          </cell>
          <cell r="M907" t="str">
            <v>241G0520</v>
          </cell>
        </row>
        <row r="908">
          <cell r="D908" t="str">
            <v>Requisition Fees</v>
          </cell>
          <cell r="M908" t="str">
            <v>241G0521</v>
          </cell>
        </row>
        <row r="909">
          <cell r="D909" t="str">
            <v>Requisition Fees</v>
          </cell>
          <cell r="M909" t="str">
            <v>241G0522</v>
          </cell>
        </row>
        <row r="910">
          <cell r="D910" t="str">
            <v>Requisition Fees</v>
          </cell>
          <cell r="M910" t="str">
            <v>241G0523</v>
          </cell>
        </row>
        <row r="911">
          <cell r="D911" t="str">
            <v>Requisition Fees</v>
          </cell>
          <cell r="M911" t="str">
            <v>241G0524</v>
          </cell>
        </row>
        <row r="912">
          <cell r="D912" t="str">
            <v>Requisition Fees</v>
          </cell>
          <cell r="M912" t="str">
            <v>241G0525</v>
          </cell>
        </row>
        <row r="913">
          <cell r="D913" t="str">
            <v>Requisition Fees</v>
          </cell>
          <cell r="M913" t="str">
            <v>253T2038</v>
          </cell>
        </row>
        <row r="914">
          <cell r="D914" t="str">
            <v>Requisition Fees</v>
          </cell>
          <cell r="M914" t="str">
            <v>241FG0648</v>
          </cell>
        </row>
        <row r="915">
          <cell r="D915" t="str">
            <v>Requisition Fees</v>
          </cell>
          <cell r="M915" t="str">
            <v>241FG0649</v>
          </cell>
        </row>
        <row r="916">
          <cell r="D916" t="str">
            <v>Requisition Fees</v>
          </cell>
          <cell r="M916" t="str">
            <v>241FG0650</v>
          </cell>
        </row>
        <row r="917">
          <cell r="D917" t="str">
            <v>Requisition Fees</v>
          </cell>
          <cell r="M917" t="str">
            <v>241FG0651</v>
          </cell>
        </row>
        <row r="918">
          <cell r="D918" t="str">
            <v>Requisition Fees</v>
          </cell>
          <cell r="M918" t="str">
            <v>241FG0652</v>
          </cell>
        </row>
        <row r="919">
          <cell r="D919" t="str">
            <v>Requisition Fees</v>
          </cell>
          <cell r="M919" t="str">
            <v>241FG0653</v>
          </cell>
        </row>
        <row r="920">
          <cell r="D920" t="str">
            <v>Requisition Fees</v>
          </cell>
          <cell r="M920" t="str">
            <v>241FG0654</v>
          </cell>
        </row>
        <row r="921">
          <cell r="D921" t="str">
            <v>Requisition Fees</v>
          </cell>
          <cell r="M921" t="str">
            <v>241FG0655</v>
          </cell>
        </row>
        <row r="922">
          <cell r="D922" t="str">
            <v>Requisition Fees</v>
          </cell>
          <cell r="M922" t="str">
            <v>241FG0656</v>
          </cell>
        </row>
        <row r="923">
          <cell r="D923" t="str">
            <v>Requisition Fees</v>
          </cell>
          <cell r="M923" t="str">
            <v>241FG0657</v>
          </cell>
        </row>
        <row r="924">
          <cell r="D924" t="str">
            <v>Requisition Fees</v>
          </cell>
          <cell r="M924" t="str">
            <v>241FG0658</v>
          </cell>
        </row>
        <row r="925">
          <cell r="D925" t="str">
            <v>Requisition Fees</v>
          </cell>
          <cell r="M925" t="str">
            <v>1641G0515</v>
          </cell>
        </row>
        <row r="926">
          <cell r="D926" t="str">
            <v>Requisition Fees</v>
          </cell>
          <cell r="M926" t="str">
            <v>1641G0516</v>
          </cell>
        </row>
        <row r="927">
          <cell r="D927" t="str">
            <v>Requisition Fees</v>
          </cell>
          <cell r="M927" t="str">
            <v>1641G0517</v>
          </cell>
        </row>
        <row r="928">
          <cell r="D928" t="str">
            <v>Requisition Fees</v>
          </cell>
          <cell r="M928" t="str">
            <v>1641G0518</v>
          </cell>
        </row>
        <row r="929">
          <cell r="D929" t="str">
            <v>Requisition Fees</v>
          </cell>
          <cell r="M929" t="str">
            <v>1641G0519</v>
          </cell>
        </row>
        <row r="930">
          <cell r="D930" t="str">
            <v>Requisition Fees</v>
          </cell>
          <cell r="M930" t="str">
            <v>1641G0520</v>
          </cell>
        </row>
        <row r="931">
          <cell r="D931" t="str">
            <v>Requisition Fees</v>
          </cell>
          <cell r="M931" t="str">
            <v>1641G0521</v>
          </cell>
        </row>
        <row r="932">
          <cell r="D932" t="str">
            <v>Requisition Fees</v>
          </cell>
          <cell r="M932" t="str">
            <v>1641G0522</v>
          </cell>
        </row>
        <row r="933">
          <cell r="D933" t="str">
            <v>Requisition Fees</v>
          </cell>
          <cell r="M933" t="str">
            <v>1641G0523</v>
          </cell>
        </row>
        <row r="934">
          <cell r="D934" t="str">
            <v>Requisition Fees</v>
          </cell>
          <cell r="M934" t="str">
            <v>1641G0524</v>
          </cell>
        </row>
        <row r="935">
          <cell r="D935" t="str">
            <v>Requisition Fees</v>
          </cell>
          <cell r="M935" t="str">
            <v>1641G0525</v>
          </cell>
        </row>
        <row r="936">
          <cell r="D936" t="str">
            <v>Requisition Fees</v>
          </cell>
          <cell r="M936" t="str">
            <v>1653T2038</v>
          </cell>
        </row>
        <row r="937">
          <cell r="D937" t="str">
            <v>Requisition Fees</v>
          </cell>
          <cell r="M937" t="str">
            <v>1641BG0623</v>
          </cell>
        </row>
        <row r="938">
          <cell r="D938" t="str">
            <v>Requisition Fees</v>
          </cell>
          <cell r="M938" t="str">
            <v>1641BG0624</v>
          </cell>
        </row>
        <row r="939">
          <cell r="D939" t="str">
            <v>Requisition Fees</v>
          </cell>
          <cell r="M939" t="str">
            <v>1641BG0625</v>
          </cell>
        </row>
        <row r="940">
          <cell r="D940" t="str">
            <v>Requisition Fees</v>
          </cell>
          <cell r="M940" t="str">
            <v>1641BG0626</v>
          </cell>
        </row>
        <row r="941">
          <cell r="D941" t="str">
            <v>Requisition Fees</v>
          </cell>
          <cell r="M941" t="str">
            <v>1641BG0627</v>
          </cell>
        </row>
        <row r="942">
          <cell r="D942" t="str">
            <v>Requisition Fees</v>
          </cell>
          <cell r="M942" t="str">
            <v>1641BG0628</v>
          </cell>
        </row>
        <row r="943">
          <cell r="D943" t="str">
            <v>Requisition Fees</v>
          </cell>
          <cell r="M943" t="str">
            <v>1641BG0629</v>
          </cell>
        </row>
        <row r="944">
          <cell r="D944" t="str">
            <v>Requisition Fees</v>
          </cell>
          <cell r="M944" t="str">
            <v>1641BG0630</v>
          </cell>
        </row>
        <row r="945">
          <cell r="D945" t="str">
            <v>Requisition Fees</v>
          </cell>
          <cell r="M945" t="str">
            <v>1641BG0631</v>
          </cell>
        </row>
        <row r="946">
          <cell r="D946" t="str">
            <v>Requisition Fees</v>
          </cell>
          <cell r="M946" t="str">
            <v>1641BG0632</v>
          </cell>
        </row>
        <row r="947">
          <cell r="D947" t="str">
            <v>Requisition Fees</v>
          </cell>
          <cell r="M947" t="str">
            <v>1641BG0633</v>
          </cell>
        </row>
        <row r="948">
          <cell r="D948" t="str">
            <v>Requisition Fees</v>
          </cell>
          <cell r="M948" t="str">
            <v>1641BG0634</v>
          </cell>
        </row>
        <row r="949">
          <cell r="D949" t="str">
            <v>Requisition Fees</v>
          </cell>
          <cell r="M949" t="str">
            <v>1641BG0635</v>
          </cell>
        </row>
        <row r="950">
          <cell r="D950" t="str">
            <v>Requisition Fees</v>
          </cell>
          <cell r="M950" t="str">
            <v>1641BG0636</v>
          </cell>
        </row>
        <row r="951">
          <cell r="D951" t="str">
            <v>Requisition Fees</v>
          </cell>
          <cell r="M951" t="str">
            <v>1641EG0637</v>
          </cell>
        </row>
        <row r="952">
          <cell r="D952" t="str">
            <v>Requisition Fees</v>
          </cell>
          <cell r="M952" t="str">
            <v>1641EG0638</v>
          </cell>
        </row>
        <row r="953">
          <cell r="D953" t="str">
            <v>Requisition Fees</v>
          </cell>
          <cell r="M953" t="str">
            <v>1641EG0639</v>
          </cell>
        </row>
        <row r="954">
          <cell r="D954" t="str">
            <v>Requisition Fees</v>
          </cell>
          <cell r="M954" t="str">
            <v>1641EG0640</v>
          </cell>
        </row>
        <row r="955">
          <cell r="D955" t="str">
            <v>Requisition Fees</v>
          </cell>
          <cell r="M955" t="str">
            <v>1641EG0641</v>
          </cell>
        </row>
        <row r="956">
          <cell r="D956" t="str">
            <v>Requisition Fees</v>
          </cell>
          <cell r="M956" t="str">
            <v>1641EG0642</v>
          </cell>
        </row>
        <row r="957">
          <cell r="D957" t="str">
            <v>Specialized Therapies</v>
          </cell>
          <cell r="M957" t="str">
            <v>242G0404</v>
          </cell>
        </row>
        <row r="958">
          <cell r="D958" t="str">
            <v>Specialized Therapies</v>
          </cell>
          <cell r="M958" t="str">
            <v>242G0404</v>
          </cell>
        </row>
        <row r="959">
          <cell r="D959" t="str">
            <v>Specialized Therapies</v>
          </cell>
          <cell r="M959" t="str">
            <v>242G0404</v>
          </cell>
        </row>
        <row r="960">
          <cell r="D960" t="str">
            <v>Specialized Therapies</v>
          </cell>
          <cell r="M960" t="str">
            <v>242AG0490</v>
          </cell>
        </row>
        <row r="961">
          <cell r="D961" t="str">
            <v>Specialized Therapies</v>
          </cell>
          <cell r="M961" t="str">
            <v>242BG0491</v>
          </cell>
        </row>
        <row r="962">
          <cell r="D962" t="str">
            <v>Specialized Therapies</v>
          </cell>
          <cell r="M962" t="str">
            <v>242BG0491</v>
          </cell>
        </row>
        <row r="963">
          <cell r="D963" t="str">
            <v>Specialized Therapies</v>
          </cell>
          <cell r="M963" t="str">
            <v>242CG0492</v>
          </cell>
        </row>
        <row r="964">
          <cell r="D964" t="str">
            <v>Specialized Therapies</v>
          </cell>
          <cell r="M964" t="str">
            <v>242CG0492</v>
          </cell>
        </row>
        <row r="965">
          <cell r="D965" t="str">
            <v>Specialized Therapies</v>
          </cell>
          <cell r="M965" t="str">
            <v>242DG0493</v>
          </cell>
        </row>
        <row r="966">
          <cell r="D966" t="str">
            <v>Specialized Therapies</v>
          </cell>
          <cell r="M966" t="str">
            <v>242EG0494</v>
          </cell>
        </row>
        <row r="967">
          <cell r="D967" t="str">
            <v>Specialized Therapies</v>
          </cell>
          <cell r="M967" t="str">
            <v>242EG0495</v>
          </cell>
        </row>
        <row r="968">
          <cell r="D968" t="str">
            <v>Specialized Therapies</v>
          </cell>
          <cell r="M968" t="str">
            <v>242EG0496</v>
          </cell>
        </row>
        <row r="969">
          <cell r="D969" t="str">
            <v>Specialized Therapies</v>
          </cell>
          <cell r="M969" t="str">
            <v>242FG0498</v>
          </cell>
        </row>
        <row r="970">
          <cell r="D970" t="str">
            <v>CDS Support Consultation (CFC and Non-CFC)</v>
          </cell>
          <cell r="M970" t="str">
            <v>257CFVG1115</v>
          </cell>
        </row>
        <row r="971">
          <cell r="D971" t="str">
            <v>CDS Support Consultation (CFC and Non-CFC)</v>
          </cell>
          <cell r="M971" t="str">
            <v>257VG0757</v>
          </cell>
        </row>
        <row r="972">
          <cell r="D972" t="str">
            <v>CDS Support Consultation (CFC and Non-CFC)</v>
          </cell>
          <cell r="M972" t="str">
            <v>757CVG0758</v>
          </cell>
        </row>
        <row r="973">
          <cell r="D973" t="str">
            <v>CDS Support Consultation (CFC and Non-CFC)</v>
          </cell>
          <cell r="M973" t="str">
            <v>757DVG0759</v>
          </cell>
        </row>
        <row r="974">
          <cell r="D974" t="str">
            <v>CDS Support Consultation (CFC and Non-CFC)</v>
          </cell>
          <cell r="M974" t="str">
            <v>757VG0757</v>
          </cell>
        </row>
        <row r="975">
          <cell r="D975" t="str">
            <v>CDS Support Consultation (CFC and Non-CFC)</v>
          </cell>
          <cell r="M975" t="str">
            <v>1657CFVG1115</v>
          </cell>
        </row>
        <row r="976">
          <cell r="D976" t="str">
            <v>CDS Support Consultation (CFC and Non-CFC)</v>
          </cell>
          <cell r="M976" t="str">
            <v>1657VG0757</v>
          </cell>
        </row>
        <row r="977">
          <cell r="D977" t="str">
            <v>Transition Assistance Services</v>
          </cell>
          <cell r="M977" t="str">
            <v>253AG0239</v>
          </cell>
        </row>
        <row r="978">
          <cell r="D978" t="str">
            <v>Hospice in ICF/IDD (Average Rate)</v>
          </cell>
          <cell r="M978" t="str">
            <v>831AF0238</v>
          </cell>
        </row>
        <row r="979">
          <cell r="D979" t="str">
            <v>Hospice in ICF/IDD (Average Rate)</v>
          </cell>
          <cell r="M979" t="str">
            <v>831AF0239</v>
          </cell>
        </row>
        <row r="980">
          <cell r="D980" t="str">
            <v>Hospice in ICF/IDD (Average Rate)</v>
          </cell>
          <cell r="M980" t="str">
            <v>831F0206</v>
          </cell>
        </row>
        <row r="981">
          <cell r="D981" t="str">
            <v>Transition Assistance Services</v>
          </cell>
          <cell r="M981" t="str">
            <v>61TF0220</v>
          </cell>
        </row>
        <row r="982">
          <cell r="D982" t="str">
            <v>Transition Assistance Services</v>
          </cell>
          <cell r="M982" t="str">
            <v>61TF0221</v>
          </cell>
        </row>
        <row r="983">
          <cell r="D983" t="str">
            <v>Transition Assistance Services</v>
          </cell>
          <cell r="M983" t="str">
            <v>61TF0222</v>
          </cell>
        </row>
        <row r="984">
          <cell r="D984" t="str">
            <v>Transition Assistance Services</v>
          </cell>
          <cell r="M984" t="str">
            <v>61TF0223</v>
          </cell>
        </row>
        <row r="985">
          <cell r="D985" t="str">
            <v>Transition Assistance Services</v>
          </cell>
          <cell r="M985" t="str">
            <v>61TF0224</v>
          </cell>
        </row>
        <row r="986">
          <cell r="D986" t="str">
            <v>Transition Assistance Services</v>
          </cell>
          <cell r="M986" t="str">
            <v>1653AG0239</v>
          </cell>
        </row>
        <row r="987">
          <cell r="D987" t="str">
            <v>Day Activity and Health Services (DAHS)</v>
          </cell>
          <cell r="M987" t="str">
            <v>S5101SH</v>
          </cell>
        </row>
        <row r="988">
          <cell r="D988" t="str">
            <v>Day Activity and Health Services (DAHS)</v>
          </cell>
          <cell r="M988" t="str">
            <v>S5101SH</v>
          </cell>
        </row>
        <row r="989">
          <cell r="D989" t="str">
            <v>Day Activity and Health Services (DAHS)</v>
          </cell>
          <cell r="M989" t="str">
            <v>S5101SHU6</v>
          </cell>
        </row>
        <row r="990">
          <cell r="D990" t="str">
            <v>Day Activity and Health Services (DAHS)</v>
          </cell>
          <cell r="M990" t="str">
            <v>S5101SHU6</v>
          </cell>
        </row>
        <row r="991">
          <cell r="D991" t="str">
            <v>Day Activity and Health Services (DAHS)</v>
          </cell>
          <cell r="M991" t="str">
            <v>S5101SK</v>
          </cell>
        </row>
        <row r="992">
          <cell r="D992" t="str">
            <v>Day Activity and Health Services (DAHS)</v>
          </cell>
          <cell r="M992" t="str">
            <v>S5101SK</v>
          </cell>
        </row>
        <row r="993">
          <cell r="D993" t="str">
            <v>Day Activity and Health Services (DAHS)</v>
          </cell>
          <cell r="M993" t="str">
            <v>S5101SKU6</v>
          </cell>
        </row>
        <row r="994">
          <cell r="D994" t="str">
            <v>Day Activity and Health Services (DAHS)</v>
          </cell>
          <cell r="M994" t="str">
            <v>S5101SKU6</v>
          </cell>
        </row>
        <row r="995">
          <cell r="D995" t="str">
            <v>Employment Assistance and Supported Employment</v>
          </cell>
          <cell r="M995" t="str">
            <v>H2023SHU1</v>
          </cell>
        </row>
        <row r="996">
          <cell r="D996" t="str">
            <v>Employment Assistance and Supported Employment</v>
          </cell>
          <cell r="M996" t="str">
            <v>H2023SHU2</v>
          </cell>
        </row>
        <row r="997">
          <cell r="D997" t="str">
            <v>CDS Employment Assistance and Supported Employment</v>
          </cell>
          <cell r="M997" t="str">
            <v>H2023SHUC</v>
          </cell>
        </row>
        <row r="998">
          <cell r="D998" t="str">
            <v>Employment Assistance and Supported Employment</v>
          </cell>
          <cell r="M998" t="str">
            <v>H2023SKU1</v>
          </cell>
        </row>
        <row r="999">
          <cell r="D999" t="str">
            <v>Employment Assistance and Supported Employment</v>
          </cell>
          <cell r="M999" t="str">
            <v>H2023SKU2</v>
          </cell>
        </row>
        <row r="1000">
          <cell r="D1000" t="str">
            <v>CDS Employment Assistance and Supported Employment</v>
          </cell>
          <cell r="M1000" t="str">
            <v>H2023SKUC</v>
          </cell>
        </row>
        <row r="1001">
          <cell r="D1001" t="str">
            <v>Employment Assistance and Supported Employment</v>
          </cell>
          <cell r="M1001" t="str">
            <v>H2025SHU1</v>
          </cell>
        </row>
        <row r="1002">
          <cell r="D1002" t="str">
            <v>Employment Assistance and Supported Employment</v>
          </cell>
          <cell r="M1002" t="str">
            <v>H2025SHU2</v>
          </cell>
        </row>
        <row r="1003">
          <cell r="D1003" t="str">
            <v>CDS Employment Assistance and Supported Employment</v>
          </cell>
          <cell r="M1003" t="str">
            <v>H2025SHUC</v>
          </cell>
        </row>
        <row r="1004">
          <cell r="D1004" t="str">
            <v>Employment Assistance and Supported Employment</v>
          </cell>
          <cell r="M1004" t="str">
            <v>H2025SKU1</v>
          </cell>
        </row>
        <row r="1005">
          <cell r="D1005" t="str">
            <v>Employment Assistance and Supported Employment</v>
          </cell>
          <cell r="M1005" t="str">
            <v>H2025SKU2</v>
          </cell>
        </row>
        <row r="1006">
          <cell r="D1006" t="str">
            <v>CDS Employment Assistance and Supported Employment</v>
          </cell>
          <cell r="M1006" t="str">
            <v>H2025SKUC</v>
          </cell>
        </row>
        <row r="1007">
          <cell r="D1007" t="str">
            <v>Emergency Response Services (CFC and Non-CFC)</v>
          </cell>
          <cell r="M1007" t="str">
            <v>S5160SH</v>
          </cell>
        </row>
        <row r="1008">
          <cell r="D1008" t="str">
            <v>Emergency Response Services (CFC and Non-CFC)</v>
          </cell>
          <cell r="M1008" t="str">
            <v>S5160SK</v>
          </cell>
        </row>
        <row r="1009">
          <cell r="D1009" t="str">
            <v>Emergency Response Services (CFC and Non-CFC)</v>
          </cell>
          <cell r="M1009" t="str">
            <v>S5161SHU2</v>
          </cell>
        </row>
        <row r="1010">
          <cell r="D1010" t="str">
            <v>Emergency Response Services (CFC and Non-CFC)</v>
          </cell>
          <cell r="M1010" t="str">
            <v>S5161SHU2U6</v>
          </cell>
        </row>
        <row r="1011">
          <cell r="D1011" t="str">
            <v>Emergency Response Services (CFC and Non-CFC)</v>
          </cell>
          <cell r="M1011" t="str">
            <v>S5161SKU2</v>
          </cell>
        </row>
        <row r="1012">
          <cell r="D1012" t="str">
            <v>Emergency Response Services (CFC and Non-CFC)</v>
          </cell>
          <cell r="M1012" t="str">
            <v>S5161SKU2U6</v>
          </cell>
        </row>
        <row r="1013">
          <cell r="D1013" t="str">
            <v>Registered Nurse (RN) and Specialized RN</v>
          </cell>
          <cell r="M1013" t="str">
            <v>S9482SHTDU1</v>
          </cell>
        </row>
        <row r="1014">
          <cell r="D1014" t="str">
            <v>Registered Nurse (RN) and Specialized RN</v>
          </cell>
          <cell r="M1014" t="str">
            <v>S9482SHTDU2</v>
          </cell>
        </row>
        <row r="1015">
          <cell r="D1015" t="str">
            <v>Registered Nurse (RN) and Specialized RN</v>
          </cell>
          <cell r="M1015" t="str">
            <v>S9482SHTDU7U1</v>
          </cell>
        </row>
        <row r="1016">
          <cell r="D1016" t="str">
            <v>Registered Nurse (RN) and Specialized RN</v>
          </cell>
          <cell r="M1016" t="str">
            <v>S9482SHTDU7U2</v>
          </cell>
        </row>
        <row r="1017">
          <cell r="D1017" t="str">
            <v>CDS Registered Nurse (RN) and Specialized RN</v>
          </cell>
          <cell r="M1017" t="str">
            <v>S9482SHTDU7UC</v>
          </cell>
        </row>
        <row r="1018">
          <cell r="D1018" t="str">
            <v>CDS Registered Nurse (RN) and Specialized RN</v>
          </cell>
          <cell r="M1018" t="str">
            <v>S9482SHTDUC</v>
          </cell>
        </row>
        <row r="1019">
          <cell r="D1019" t="str">
            <v>Licensed Vocational Nurse (LVN) and Specialized LVN</v>
          </cell>
          <cell r="M1019" t="str">
            <v>S9482SHTEU1</v>
          </cell>
        </row>
        <row r="1020">
          <cell r="D1020" t="str">
            <v>Licensed Vocational Nurse (LVN) and Specialized LVN</v>
          </cell>
          <cell r="M1020" t="str">
            <v>S9482SHTEU2</v>
          </cell>
        </row>
        <row r="1021">
          <cell r="D1021" t="str">
            <v>Licensed Vocational Nurse (LVN) and Specialized LVN</v>
          </cell>
          <cell r="M1021" t="str">
            <v>S9482SHTEU7U1</v>
          </cell>
        </row>
        <row r="1022">
          <cell r="D1022" t="str">
            <v>Licensed Vocational Nurse (LVN) and Specialized LVN</v>
          </cell>
          <cell r="M1022" t="str">
            <v>S9482SHTEU7U2</v>
          </cell>
        </row>
        <row r="1023">
          <cell r="D1023" t="str">
            <v>CDS Licensed Vocational Nurse (LVN) and Specialized LVN</v>
          </cell>
          <cell r="M1023" t="str">
            <v>S9482SHTEU7UC</v>
          </cell>
        </row>
        <row r="1024">
          <cell r="D1024" t="str">
            <v>CDS Licensed Vocational Nurse (LVN) and Specialized LVN</v>
          </cell>
          <cell r="M1024" t="str">
            <v>S9482SHTEUC</v>
          </cell>
        </row>
        <row r="1025">
          <cell r="D1025" t="str">
            <v>In Home Respite and Flexible Family Support</v>
          </cell>
          <cell r="M1025" t="str">
            <v>S9482SHU4TDU1</v>
          </cell>
        </row>
        <row r="1026">
          <cell r="D1026" t="str">
            <v>In Home Respite and Flexible Family Support</v>
          </cell>
          <cell r="M1026" t="str">
            <v>S9482SHU4TDU2</v>
          </cell>
        </row>
        <row r="1027">
          <cell r="D1027" t="str">
            <v>CDS In Home Respite and Flexible Family Support</v>
          </cell>
          <cell r="M1027" t="str">
            <v>S9482SHU4TDUC</v>
          </cell>
        </row>
        <row r="1028">
          <cell r="D1028" t="str">
            <v>In Home Respite and Flexible Family Support</v>
          </cell>
          <cell r="M1028" t="str">
            <v>S9482SHU4U1</v>
          </cell>
        </row>
        <row r="1029">
          <cell r="D1029" t="str">
            <v>In Home Respite and Flexible Family Support</v>
          </cell>
          <cell r="M1029" t="str">
            <v>S9482SHU4U2</v>
          </cell>
        </row>
        <row r="1030">
          <cell r="D1030" t="str">
            <v>CDS In Home Respite and Flexible Family Support</v>
          </cell>
          <cell r="M1030" t="str">
            <v>S9482SHU4UC</v>
          </cell>
        </row>
        <row r="1031">
          <cell r="D1031" t="str">
            <v>Registered Nurse (RN) and Specialized RN</v>
          </cell>
          <cell r="M1031" t="str">
            <v>S9482SKTDU1</v>
          </cell>
        </row>
        <row r="1032">
          <cell r="D1032" t="str">
            <v>Registered Nurse (RN) and Specialized RN</v>
          </cell>
          <cell r="M1032" t="str">
            <v>S9482SKTDU2</v>
          </cell>
        </row>
        <row r="1033">
          <cell r="D1033" t="str">
            <v>Registered Nurse (RN) and Specialized RN</v>
          </cell>
          <cell r="M1033" t="str">
            <v>S9482SKTDU7U1</v>
          </cell>
        </row>
        <row r="1034">
          <cell r="D1034" t="str">
            <v>Registered Nurse (RN) and Specialized RN</v>
          </cell>
          <cell r="M1034" t="str">
            <v>S9482SKTDU7U2</v>
          </cell>
        </row>
        <row r="1035">
          <cell r="D1035" t="str">
            <v>CDS Registered Nurse (RN) and Specialized RN</v>
          </cell>
          <cell r="M1035" t="str">
            <v>S9482SKTDU7UC</v>
          </cell>
        </row>
        <row r="1036">
          <cell r="D1036" t="str">
            <v>CDS Registered Nurse (RN) and Specialized RN</v>
          </cell>
          <cell r="M1036" t="str">
            <v>S9482SKTDUC</v>
          </cell>
        </row>
        <row r="1037">
          <cell r="D1037" t="str">
            <v>Licensed Vocational Nurse (LVN) and Specialized LVN</v>
          </cell>
          <cell r="M1037" t="str">
            <v>S9482SKTEU1</v>
          </cell>
        </row>
        <row r="1038">
          <cell r="D1038" t="str">
            <v>Licensed Vocational Nurse (LVN) and Specialized LVN</v>
          </cell>
          <cell r="M1038" t="str">
            <v>S9482SKTEU2</v>
          </cell>
        </row>
        <row r="1039">
          <cell r="D1039" t="str">
            <v>Licensed Vocational Nurse (LVN) and Specialized LVN</v>
          </cell>
          <cell r="M1039" t="str">
            <v>S9482SKTEU7U1</v>
          </cell>
        </row>
        <row r="1040">
          <cell r="D1040" t="str">
            <v>Licensed Vocational Nurse (LVN) and Specialized LVN</v>
          </cell>
          <cell r="M1040" t="str">
            <v>S9482SKTEU7U2</v>
          </cell>
        </row>
        <row r="1041">
          <cell r="D1041" t="str">
            <v>CDS Licensed Vocational Nurse (LVN) and Specialized LVN</v>
          </cell>
          <cell r="M1041" t="str">
            <v>S9482SKTEU7UC</v>
          </cell>
        </row>
        <row r="1042">
          <cell r="D1042" t="str">
            <v>CDS Licensed Vocational Nurse (LVN) and Specialized LVN</v>
          </cell>
          <cell r="M1042" t="str">
            <v>S9482SKTEUC</v>
          </cell>
        </row>
        <row r="1043">
          <cell r="D1043" t="str">
            <v>In Home Respite and Flexible Family Support</v>
          </cell>
          <cell r="M1043" t="str">
            <v>S9482SKU4TDU1</v>
          </cell>
        </row>
        <row r="1044">
          <cell r="D1044" t="str">
            <v>In Home Respite and Flexible Family Support</v>
          </cell>
          <cell r="M1044" t="str">
            <v>S9482SKU4TDU2</v>
          </cell>
        </row>
        <row r="1045">
          <cell r="D1045" t="str">
            <v>CDS In Home Respite and Flexible Family Support</v>
          </cell>
          <cell r="M1045" t="str">
            <v>S9482SKU4TDUC</v>
          </cell>
        </row>
        <row r="1046">
          <cell r="D1046" t="str">
            <v>In Home Respite and Flexible Family Support</v>
          </cell>
          <cell r="M1046" t="str">
            <v>S9482SKU4U1</v>
          </cell>
        </row>
        <row r="1047">
          <cell r="D1047" t="str">
            <v>In Home Respite and Flexible Family Support</v>
          </cell>
          <cell r="M1047" t="str">
            <v>S9482SKU4U2</v>
          </cell>
        </row>
        <row r="1048">
          <cell r="D1048" t="str">
            <v>CDS In Home Respite and Flexible Family Support</v>
          </cell>
          <cell r="M1048" t="str">
            <v>S9482SKU4UC</v>
          </cell>
        </row>
        <row r="1049">
          <cell r="D1049" t="str">
            <v>Financial Management Service Fee</v>
          </cell>
          <cell r="M1049" t="str">
            <v>T2040SHU9U1</v>
          </cell>
        </row>
        <row r="1050">
          <cell r="D1050" t="str">
            <v>Financial Management Service Fee</v>
          </cell>
          <cell r="M1050" t="str">
            <v>T2040SHU9U2</v>
          </cell>
        </row>
        <row r="1051">
          <cell r="D1051" t="str">
            <v>Financial Management Service Fee</v>
          </cell>
          <cell r="M1051" t="str">
            <v>T2040SHU9U2U6</v>
          </cell>
        </row>
        <row r="1052">
          <cell r="D1052" t="str">
            <v>Financial Management Service Fee</v>
          </cell>
          <cell r="M1052" t="str">
            <v>T2040SHU9U6</v>
          </cell>
        </row>
        <row r="1053">
          <cell r="D1053" t="str">
            <v>Financial Management Service Fee</v>
          </cell>
          <cell r="M1053" t="str">
            <v>T2040SKU9U1</v>
          </cell>
        </row>
        <row r="1054">
          <cell r="D1054" t="str">
            <v>Financial Management Service Fee</v>
          </cell>
          <cell r="M1054" t="str">
            <v>T2040SKU9U2</v>
          </cell>
        </row>
        <row r="1055">
          <cell r="D1055" t="str">
            <v>Financial Management Service Fee</v>
          </cell>
          <cell r="M1055" t="str">
            <v>T2040SKU9U2U6</v>
          </cell>
        </row>
        <row r="1056">
          <cell r="D1056" t="str">
            <v>Financial Management Service Fee</v>
          </cell>
          <cell r="M1056" t="str">
            <v>T2040SKU9U6</v>
          </cell>
        </row>
        <row r="1057">
          <cell r="D1057" t="str">
            <v>Registered Nurse (RN) and Specialized RN</v>
          </cell>
          <cell r="M1057" t="str">
            <v>T1005SHTDU1</v>
          </cell>
        </row>
        <row r="1058">
          <cell r="D1058" t="str">
            <v>Registered Nurse (RN) and Specialized RN</v>
          </cell>
          <cell r="M1058" t="str">
            <v>T1005SHTDU2</v>
          </cell>
        </row>
        <row r="1059">
          <cell r="D1059" t="str">
            <v>Registered Nurse (RN) and Specialized RN</v>
          </cell>
          <cell r="M1059" t="str">
            <v>T1005SHTDU7U1</v>
          </cell>
        </row>
        <row r="1060">
          <cell r="D1060" t="str">
            <v>Registered Nurse (RN) and Specialized RN</v>
          </cell>
          <cell r="M1060" t="str">
            <v>T1005SHTDU7U2</v>
          </cell>
        </row>
        <row r="1061">
          <cell r="D1061" t="str">
            <v>CDS Registered Nurse (RN) and Specialized RN</v>
          </cell>
          <cell r="M1061" t="str">
            <v>T1005SHTDU7UC</v>
          </cell>
        </row>
        <row r="1062">
          <cell r="D1062" t="str">
            <v>CDS Registered Nurse (RN) and Specialized RN</v>
          </cell>
          <cell r="M1062" t="str">
            <v>T1005SHTDUC</v>
          </cell>
        </row>
        <row r="1063">
          <cell r="D1063" t="str">
            <v>Licensed Vocational Nurse (LVN) and Specialized LVN</v>
          </cell>
          <cell r="M1063" t="str">
            <v>T1005SHTEU1</v>
          </cell>
        </row>
        <row r="1064">
          <cell r="D1064" t="str">
            <v>Licensed Vocational Nurse (LVN) and Specialized LVN</v>
          </cell>
          <cell r="M1064" t="str">
            <v>T1005SHTEU2</v>
          </cell>
        </row>
        <row r="1065">
          <cell r="D1065" t="str">
            <v>Licensed Vocational Nurse (LVN) and Specialized LVN</v>
          </cell>
          <cell r="M1065" t="str">
            <v>T1005SHTEU7U1</v>
          </cell>
        </row>
        <row r="1066">
          <cell r="D1066" t="str">
            <v>Licensed Vocational Nurse (LVN) and Specialized LVN</v>
          </cell>
          <cell r="M1066" t="str">
            <v>T1005SHTEU7U2</v>
          </cell>
        </row>
        <row r="1067">
          <cell r="D1067" t="str">
            <v>CDS Licensed Vocational Nurse (LVN) and Specialized LVN</v>
          </cell>
          <cell r="M1067" t="str">
            <v>T1005SHTEU7UC</v>
          </cell>
        </row>
        <row r="1068">
          <cell r="D1068" t="str">
            <v>CDS Licensed Vocational Nurse (LVN) and Specialized LVN</v>
          </cell>
          <cell r="M1068" t="str">
            <v>T1005SHTEUC</v>
          </cell>
        </row>
        <row r="1069">
          <cell r="D1069" t="str">
            <v>In Home Respite and Flexible Family Support</v>
          </cell>
          <cell r="M1069" t="str">
            <v>T1005SHU4TDU1</v>
          </cell>
        </row>
        <row r="1070">
          <cell r="D1070" t="str">
            <v>In Home Respite and Flexible Family Support</v>
          </cell>
          <cell r="M1070" t="str">
            <v>T1005SHU4TDU2</v>
          </cell>
        </row>
        <row r="1071">
          <cell r="D1071" t="str">
            <v>CDS In Home Respite and Flexible Family Support</v>
          </cell>
          <cell r="M1071" t="str">
            <v>T1005SHU4TDUC</v>
          </cell>
        </row>
        <row r="1072">
          <cell r="D1072" t="str">
            <v>In Home Respite and Flexible Family Support</v>
          </cell>
          <cell r="M1072" t="str">
            <v>T1005SHU4U1</v>
          </cell>
        </row>
        <row r="1073">
          <cell r="D1073" t="str">
            <v>In Home Respite and Flexible Family Support</v>
          </cell>
          <cell r="M1073" t="str">
            <v>T1005SHU4U2</v>
          </cell>
        </row>
        <row r="1074">
          <cell r="D1074" t="str">
            <v>CDS In Home Respite and Flexible Family Support</v>
          </cell>
          <cell r="M1074" t="str">
            <v>T1005SHU4UC</v>
          </cell>
        </row>
        <row r="1075">
          <cell r="D1075" t="str">
            <v>Registered Nurse (RN) and Specialized RN</v>
          </cell>
          <cell r="M1075" t="str">
            <v>T1005SKTDU1</v>
          </cell>
        </row>
        <row r="1076">
          <cell r="D1076" t="str">
            <v>Registered Nurse (RN) and Specialized RN</v>
          </cell>
          <cell r="M1076" t="str">
            <v>T1005SKTDU2</v>
          </cell>
        </row>
        <row r="1077">
          <cell r="D1077" t="str">
            <v>Registered Nurse (RN) and Specialized RN</v>
          </cell>
          <cell r="M1077" t="str">
            <v>T1005SKTDU7U1</v>
          </cell>
        </row>
        <row r="1078">
          <cell r="D1078" t="str">
            <v>Registered Nurse (RN) and Specialized RN</v>
          </cell>
          <cell r="M1078" t="str">
            <v>T1005SKTDU7U2</v>
          </cell>
        </row>
        <row r="1079">
          <cell r="D1079" t="str">
            <v>CDS Registered Nurse (RN) and Specialized RN</v>
          </cell>
          <cell r="M1079" t="str">
            <v>T1005SKTDU7UC</v>
          </cell>
        </row>
        <row r="1080">
          <cell r="D1080" t="str">
            <v>CDS Registered Nurse (RN) and Specialized RN</v>
          </cell>
          <cell r="M1080" t="str">
            <v>T1005SKTDUC</v>
          </cell>
        </row>
        <row r="1081">
          <cell r="D1081" t="str">
            <v>Licensed Vocational Nurse (LVN) and Specialized LVN</v>
          </cell>
          <cell r="M1081" t="str">
            <v>T1005SKTEU1</v>
          </cell>
        </row>
        <row r="1082">
          <cell r="D1082" t="str">
            <v>Licensed Vocational Nurse (LVN) and Specialized LVN</v>
          </cell>
          <cell r="M1082" t="str">
            <v>T1005SKTEU2</v>
          </cell>
        </row>
        <row r="1083">
          <cell r="D1083" t="str">
            <v>Licensed Vocational Nurse (LVN) and Specialized LVN</v>
          </cell>
          <cell r="M1083" t="str">
            <v>T1005SKTEU7U1</v>
          </cell>
        </row>
        <row r="1084">
          <cell r="D1084" t="str">
            <v>Licensed Vocational Nurse (LVN) and Specialized LVN</v>
          </cell>
          <cell r="M1084" t="str">
            <v>T1005SKTEU7U2</v>
          </cell>
        </row>
        <row r="1085">
          <cell r="D1085" t="str">
            <v>CDS Licensed Vocational Nurse (LVN) and Specialized LVN</v>
          </cell>
          <cell r="M1085" t="str">
            <v>T1005SKTEU7UC</v>
          </cell>
        </row>
        <row r="1086">
          <cell r="D1086" t="str">
            <v>CDS Licensed Vocational Nurse (LVN) and Specialized LVN</v>
          </cell>
          <cell r="M1086" t="str">
            <v>T1005SKTEUC</v>
          </cell>
        </row>
        <row r="1087">
          <cell r="D1087" t="str">
            <v>In Home Respite and Flexible Family Support</v>
          </cell>
          <cell r="M1087" t="str">
            <v>T1005SKU4TDU1</v>
          </cell>
        </row>
        <row r="1088">
          <cell r="D1088" t="str">
            <v>In Home Respite and Flexible Family Support</v>
          </cell>
          <cell r="M1088" t="str">
            <v>T1005SKU4TDU2</v>
          </cell>
        </row>
        <row r="1089">
          <cell r="D1089" t="str">
            <v>CDS In Home Respite and Flexible Family Support</v>
          </cell>
          <cell r="M1089" t="str">
            <v>T1005SKU4TDUC</v>
          </cell>
        </row>
        <row r="1090">
          <cell r="D1090" t="str">
            <v>In Home Respite and Flexible Family Support</v>
          </cell>
          <cell r="M1090" t="str">
            <v>T1005SKU4U1</v>
          </cell>
        </row>
        <row r="1091">
          <cell r="D1091" t="str">
            <v>In Home Respite and Flexible Family Support</v>
          </cell>
          <cell r="M1091" t="str">
            <v>T1005SKU4U2</v>
          </cell>
        </row>
        <row r="1092">
          <cell r="D1092" t="str">
            <v>CDS In Home Respite and Flexible Family Support</v>
          </cell>
          <cell r="M1092" t="str">
            <v>T1005SKU4UC</v>
          </cell>
        </row>
        <row r="1093">
          <cell r="D1093" t="str">
            <v>Nurse Delegation and Supervision</v>
          </cell>
          <cell r="M1093" t="str">
            <v>G0162SHU1</v>
          </cell>
        </row>
        <row r="1094">
          <cell r="D1094" t="str">
            <v>Nurse Delegation and Supervision</v>
          </cell>
          <cell r="M1094" t="str">
            <v>G0162SHU1U6</v>
          </cell>
        </row>
        <row r="1095">
          <cell r="D1095" t="str">
            <v>Nurse Delegation and Supervision</v>
          </cell>
          <cell r="M1095" t="str">
            <v>G0162SHU2</v>
          </cell>
        </row>
        <row r="1096">
          <cell r="D1096" t="str">
            <v>Nurse Delegation and Supervision</v>
          </cell>
          <cell r="M1096" t="str">
            <v>G0162SHU2U6</v>
          </cell>
        </row>
        <row r="1097">
          <cell r="D1097" t="str">
            <v>Nurse Delegation and Supervision</v>
          </cell>
          <cell r="M1097" t="str">
            <v>G0162SKU1</v>
          </cell>
        </row>
        <row r="1098">
          <cell r="D1098" t="str">
            <v>Nurse Delegation and Supervision</v>
          </cell>
          <cell r="M1098" t="str">
            <v>G0162SKU1U6</v>
          </cell>
        </row>
        <row r="1099">
          <cell r="D1099" t="str">
            <v>Nurse Delegation and Supervision</v>
          </cell>
          <cell r="M1099" t="str">
            <v>G0162SKU2</v>
          </cell>
        </row>
        <row r="1100">
          <cell r="D1100" t="str">
            <v>Nurse Delegation and Supervision</v>
          </cell>
          <cell r="M1100" t="str">
            <v>G0162SKU2U6</v>
          </cell>
        </row>
        <row r="1101">
          <cell r="D1101" t="str">
            <v>Nurse Delegation and Supervision</v>
          </cell>
          <cell r="M1101" t="str">
            <v>G0495SH</v>
          </cell>
        </row>
        <row r="1102">
          <cell r="D1102" t="str">
            <v>Nurse Delegation and Supervision</v>
          </cell>
          <cell r="M1102" t="str">
            <v>G0495SHU6</v>
          </cell>
        </row>
        <row r="1103">
          <cell r="D1103" t="str">
            <v>Nurse Delegation and Supervision</v>
          </cell>
          <cell r="M1103" t="str">
            <v>G0495SK</v>
          </cell>
        </row>
        <row r="1104">
          <cell r="D1104" t="str">
            <v>Nurse Delegation and Supervision</v>
          </cell>
          <cell r="M1104" t="str">
            <v>G0495SKU6</v>
          </cell>
        </row>
        <row r="1105">
          <cell r="D1105" t="str">
            <v>Out-of-Home Respite</v>
          </cell>
          <cell r="M1105" t="str">
            <v>S5151SH</v>
          </cell>
        </row>
        <row r="1106">
          <cell r="D1106" t="str">
            <v>Out-of-Home Respite</v>
          </cell>
          <cell r="M1106" t="str">
            <v>S5151SH</v>
          </cell>
        </row>
        <row r="1107">
          <cell r="D1107" t="str">
            <v>Out-of-Home Respite</v>
          </cell>
          <cell r="M1107" t="str">
            <v>S5151SH</v>
          </cell>
        </row>
        <row r="1108">
          <cell r="D1108" t="str">
            <v>Out-of-Home Respite</v>
          </cell>
          <cell r="M1108" t="str">
            <v>S5151SH</v>
          </cell>
        </row>
        <row r="1109">
          <cell r="D1109" t="str">
            <v>Out-of-Home Respite</v>
          </cell>
          <cell r="M1109" t="str">
            <v>S5151SH</v>
          </cell>
        </row>
        <row r="1110">
          <cell r="D1110" t="str">
            <v>Out-of-Home Respite</v>
          </cell>
          <cell r="M1110" t="str">
            <v>S5151SH</v>
          </cell>
        </row>
        <row r="1111">
          <cell r="D1111" t="str">
            <v>Out-of-Home Respite</v>
          </cell>
          <cell r="M1111" t="str">
            <v>S5151SH</v>
          </cell>
        </row>
        <row r="1112">
          <cell r="D1112" t="str">
            <v>Out-of-Home Respite</v>
          </cell>
          <cell r="M1112" t="str">
            <v>S5151SH</v>
          </cell>
        </row>
        <row r="1113">
          <cell r="D1113" t="str">
            <v>Out-of-Home Respite</v>
          </cell>
          <cell r="M1113" t="str">
            <v>S5151SH</v>
          </cell>
        </row>
        <row r="1114">
          <cell r="D1114" t="str">
            <v>Out-of-Home Respite</v>
          </cell>
          <cell r="M1114" t="str">
            <v>S5151SH</v>
          </cell>
        </row>
        <row r="1115">
          <cell r="D1115" t="str">
            <v>Out-of-Home Respite</v>
          </cell>
          <cell r="M1115" t="str">
            <v>S5151SHU1</v>
          </cell>
        </row>
        <row r="1116">
          <cell r="D1116" t="str">
            <v>Out-of-Home Respite</v>
          </cell>
          <cell r="M1116" t="str">
            <v>S5151SHU1</v>
          </cell>
        </row>
        <row r="1117">
          <cell r="D1117" t="str">
            <v>Out-of-Home Respite</v>
          </cell>
          <cell r="M1117" t="str">
            <v>S5151SHU1</v>
          </cell>
        </row>
        <row r="1118">
          <cell r="D1118" t="str">
            <v>Out-of-Home Respite</v>
          </cell>
          <cell r="M1118" t="str">
            <v>S5151SHU1</v>
          </cell>
        </row>
        <row r="1119">
          <cell r="D1119" t="str">
            <v>Out-of-Home Respite</v>
          </cell>
          <cell r="M1119" t="str">
            <v>S5151SHU1</v>
          </cell>
        </row>
        <row r="1120">
          <cell r="D1120" t="str">
            <v>Out-of-Home Respite</v>
          </cell>
          <cell r="M1120" t="str">
            <v>S5151SHU1</v>
          </cell>
        </row>
        <row r="1121">
          <cell r="D1121" t="str">
            <v>Out-of-Home Respite</v>
          </cell>
          <cell r="M1121" t="str">
            <v>S5151SHU1</v>
          </cell>
        </row>
        <row r="1122">
          <cell r="D1122" t="str">
            <v>Out-of-Home Respite</v>
          </cell>
          <cell r="M1122" t="str">
            <v>S5151SHU1</v>
          </cell>
        </row>
        <row r="1123">
          <cell r="D1123" t="str">
            <v>Out-of-Home Respite</v>
          </cell>
          <cell r="M1123" t="str">
            <v>S5151SHU1</v>
          </cell>
        </row>
        <row r="1124">
          <cell r="D1124" t="str">
            <v>Out-of-Home Respite</v>
          </cell>
          <cell r="M1124" t="str">
            <v>S5151SHU1</v>
          </cell>
        </row>
        <row r="1125">
          <cell r="D1125" t="str">
            <v>Out-of-Home Respite</v>
          </cell>
          <cell r="M1125" t="str">
            <v>S5151SHU2</v>
          </cell>
        </row>
        <row r="1126">
          <cell r="D1126" t="str">
            <v>Out-of-Home Respite</v>
          </cell>
          <cell r="M1126" t="str">
            <v>S5151SHU2</v>
          </cell>
        </row>
        <row r="1127">
          <cell r="D1127" t="str">
            <v>Out-of-Home Respite</v>
          </cell>
          <cell r="M1127" t="str">
            <v>S5151SHU2</v>
          </cell>
        </row>
        <row r="1128">
          <cell r="D1128" t="str">
            <v>Out-of-Home Respite</v>
          </cell>
          <cell r="M1128" t="str">
            <v>S5151SHU2</v>
          </cell>
        </row>
        <row r="1129">
          <cell r="D1129" t="str">
            <v>Out-of-Home Respite</v>
          </cell>
          <cell r="M1129" t="str">
            <v>S5151SHU2</v>
          </cell>
        </row>
        <row r="1130">
          <cell r="D1130" t="str">
            <v>Out-of-Home Respite</v>
          </cell>
          <cell r="M1130" t="str">
            <v>S5151SHU2</v>
          </cell>
        </row>
        <row r="1131">
          <cell r="D1131" t="str">
            <v>Out-of-Home Respite</v>
          </cell>
          <cell r="M1131" t="str">
            <v>S5151SHU2</v>
          </cell>
        </row>
        <row r="1132">
          <cell r="D1132" t="str">
            <v>Out-of-Home Respite</v>
          </cell>
          <cell r="M1132" t="str">
            <v>S5151SHU2</v>
          </cell>
        </row>
        <row r="1133">
          <cell r="D1133" t="str">
            <v>Out-of-Home Respite</v>
          </cell>
          <cell r="M1133" t="str">
            <v>S5151SHU2</v>
          </cell>
        </row>
        <row r="1134">
          <cell r="D1134" t="str">
            <v>Out-of-Home Respite</v>
          </cell>
          <cell r="M1134" t="str">
            <v>S5151SHU2</v>
          </cell>
        </row>
        <row r="1135">
          <cell r="D1135" t="str">
            <v>Out-of-Home Respite</v>
          </cell>
          <cell r="M1135" t="str">
            <v>S5151SHU3</v>
          </cell>
        </row>
        <row r="1136">
          <cell r="D1136" t="str">
            <v>Out-of-Home Respite</v>
          </cell>
          <cell r="M1136" t="str">
            <v>S5151SHU3</v>
          </cell>
        </row>
        <row r="1137">
          <cell r="D1137" t="str">
            <v>Out-of-Home Respite</v>
          </cell>
          <cell r="M1137" t="str">
            <v>S5151SHU3</v>
          </cell>
        </row>
        <row r="1138">
          <cell r="D1138" t="str">
            <v>Out-of-Home Respite</v>
          </cell>
          <cell r="M1138" t="str">
            <v>S5151SHU3</v>
          </cell>
        </row>
        <row r="1139">
          <cell r="D1139" t="str">
            <v>Out-of-Home Respite</v>
          </cell>
          <cell r="M1139" t="str">
            <v>S5151SHU3</v>
          </cell>
        </row>
        <row r="1140">
          <cell r="D1140" t="str">
            <v>Out-of-Home Respite</v>
          </cell>
          <cell r="M1140" t="str">
            <v>S5151SHU3</v>
          </cell>
        </row>
        <row r="1141">
          <cell r="D1141" t="str">
            <v>Out-of-Home Respite</v>
          </cell>
          <cell r="M1141" t="str">
            <v>S5151SHU3</v>
          </cell>
        </row>
        <row r="1142">
          <cell r="D1142" t="str">
            <v>Out-of-Home Respite</v>
          </cell>
          <cell r="M1142" t="str">
            <v>S5151SHU3</v>
          </cell>
        </row>
        <row r="1143">
          <cell r="D1143" t="str">
            <v>Out-of-Home Respite</v>
          </cell>
          <cell r="M1143" t="str">
            <v>S5151SHU3</v>
          </cell>
        </row>
        <row r="1144">
          <cell r="D1144" t="str">
            <v>Out-of-Home Respite</v>
          </cell>
          <cell r="M1144" t="str">
            <v>S5151SHU3</v>
          </cell>
        </row>
        <row r="1145">
          <cell r="D1145" t="str">
            <v>Out-of-Home Respite</v>
          </cell>
          <cell r="M1145" t="str">
            <v>S5151SK</v>
          </cell>
        </row>
        <row r="1146">
          <cell r="D1146" t="str">
            <v>Out-of-Home Respite</v>
          </cell>
          <cell r="M1146" t="str">
            <v>S5151SK</v>
          </cell>
        </row>
        <row r="1147">
          <cell r="D1147" t="str">
            <v>Out-of-Home Respite</v>
          </cell>
          <cell r="M1147" t="str">
            <v>S5151SK</v>
          </cell>
        </row>
        <row r="1148">
          <cell r="D1148" t="str">
            <v>Out-of-Home Respite</v>
          </cell>
          <cell r="M1148" t="str">
            <v>S5151SK</v>
          </cell>
        </row>
        <row r="1149">
          <cell r="D1149" t="str">
            <v>Out-of-Home Respite</v>
          </cell>
          <cell r="M1149" t="str">
            <v>S5151SK</v>
          </cell>
        </row>
        <row r="1150">
          <cell r="D1150" t="str">
            <v>Out-of-Home Respite</v>
          </cell>
          <cell r="M1150" t="str">
            <v>S5151SK</v>
          </cell>
        </row>
        <row r="1151">
          <cell r="D1151" t="str">
            <v>Out-of-Home Respite</v>
          </cell>
          <cell r="M1151" t="str">
            <v>S5151SK</v>
          </cell>
        </row>
        <row r="1152">
          <cell r="D1152" t="str">
            <v>Out-of-Home Respite</v>
          </cell>
          <cell r="M1152" t="str">
            <v>S5151SK</v>
          </cell>
        </row>
        <row r="1153">
          <cell r="D1153" t="str">
            <v>Out-of-Home Respite</v>
          </cell>
          <cell r="M1153" t="str">
            <v>S5151SK</v>
          </cell>
        </row>
        <row r="1154">
          <cell r="D1154" t="str">
            <v>Out-of-Home Respite</v>
          </cell>
          <cell r="M1154" t="str">
            <v>S5151SK</v>
          </cell>
        </row>
        <row r="1155">
          <cell r="D1155" t="str">
            <v>Out-of-Home Respite</v>
          </cell>
          <cell r="M1155" t="str">
            <v>S5151SKU1</v>
          </cell>
        </row>
        <row r="1156">
          <cell r="D1156" t="str">
            <v>Out-of-Home Respite</v>
          </cell>
          <cell r="M1156" t="str">
            <v>S5151SKU1</v>
          </cell>
        </row>
        <row r="1157">
          <cell r="D1157" t="str">
            <v>Out-of-Home Respite</v>
          </cell>
          <cell r="M1157" t="str">
            <v>S5151SKU1</v>
          </cell>
        </row>
        <row r="1158">
          <cell r="D1158" t="str">
            <v>Out-of-Home Respite</v>
          </cell>
          <cell r="M1158" t="str">
            <v>S5151SKU1</v>
          </cell>
        </row>
        <row r="1159">
          <cell r="D1159" t="str">
            <v>Out-of-Home Respite</v>
          </cell>
          <cell r="M1159" t="str">
            <v>S5151SKU1</v>
          </cell>
        </row>
        <row r="1160">
          <cell r="D1160" t="str">
            <v>Out-of-Home Respite</v>
          </cell>
          <cell r="M1160" t="str">
            <v>S5151SKU1</v>
          </cell>
        </row>
        <row r="1161">
          <cell r="D1161" t="str">
            <v>Out-of-Home Respite</v>
          </cell>
          <cell r="M1161" t="str">
            <v>S5151SKU1</v>
          </cell>
        </row>
        <row r="1162">
          <cell r="D1162" t="str">
            <v>Out-of-Home Respite</v>
          </cell>
          <cell r="M1162" t="str">
            <v>S5151SKU1</v>
          </cell>
        </row>
        <row r="1163">
          <cell r="D1163" t="str">
            <v>Out-of-Home Respite</v>
          </cell>
          <cell r="M1163" t="str">
            <v>S5151SKU1</v>
          </cell>
        </row>
        <row r="1164">
          <cell r="D1164" t="str">
            <v>Out-of-Home Respite</v>
          </cell>
          <cell r="M1164" t="str">
            <v>S5151SKU1</v>
          </cell>
        </row>
        <row r="1165">
          <cell r="D1165" t="str">
            <v>Out-of-Home Respite</v>
          </cell>
          <cell r="M1165" t="str">
            <v>S5151SKU2</v>
          </cell>
        </row>
        <row r="1166">
          <cell r="D1166" t="str">
            <v>Out-of-Home Respite</v>
          </cell>
          <cell r="M1166" t="str">
            <v>S5151SKU2</v>
          </cell>
        </row>
        <row r="1167">
          <cell r="D1167" t="str">
            <v>Out-of-Home Respite</v>
          </cell>
          <cell r="M1167" t="str">
            <v>S5151SKU2</v>
          </cell>
        </row>
        <row r="1168">
          <cell r="D1168" t="str">
            <v>Out-of-Home Respite</v>
          </cell>
          <cell r="M1168" t="str">
            <v>S5151SKU2</v>
          </cell>
        </row>
        <row r="1169">
          <cell r="D1169" t="str">
            <v>Out-of-Home Respite</v>
          </cell>
          <cell r="M1169" t="str">
            <v>S5151SKU2</v>
          </cell>
        </row>
        <row r="1170">
          <cell r="D1170" t="str">
            <v>Out-of-Home Respite</v>
          </cell>
          <cell r="M1170" t="str">
            <v>S5151SKU2</v>
          </cell>
        </row>
        <row r="1171">
          <cell r="D1171" t="str">
            <v>Out-of-Home Respite</v>
          </cell>
          <cell r="M1171" t="str">
            <v>S5151SKU2</v>
          </cell>
        </row>
        <row r="1172">
          <cell r="D1172" t="str">
            <v>Out-of-Home Respite</v>
          </cell>
          <cell r="M1172" t="str">
            <v>S5151SKU2</v>
          </cell>
        </row>
        <row r="1173">
          <cell r="D1173" t="str">
            <v>Out-of-Home Respite</v>
          </cell>
          <cell r="M1173" t="str">
            <v>S5151SKU2</v>
          </cell>
        </row>
        <row r="1174">
          <cell r="D1174" t="str">
            <v>Out-of-Home Respite</v>
          </cell>
          <cell r="M1174" t="str">
            <v>S5151SKU2</v>
          </cell>
        </row>
        <row r="1175">
          <cell r="D1175" t="str">
            <v>Out-of-Home Respite</v>
          </cell>
          <cell r="M1175" t="str">
            <v>S5151SKU3</v>
          </cell>
        </row>
        <row r="1176">
          <cell r="D1176" t="str">
            <v>Out-of-Home Respite</v>
          </cell>
          <cell r="M1176" t="str">
            <v>S5151SKU3</v>
          </cell>
        </row>
        <row r="1177">
          <cell r="D1177" t="str">
            <v>Out-of-Home Respite</v>
          </cell>
          <cell r="M1177" t="str">
            <v>S5151SKU3</v>
          </cell>
        </row>
        <row r="1178">
          <cell r="D1178" t="str">
            <v>Out-of-Home Respite</v>
          </cell>
          <cell r="M1178" t="str">
            <v>S5151SKU3</v>
          </cell>
        </row>
        <row r="1179">
          <cell r="D1179" t="str">
            <v>Out-of-Home Respite</v>
          </cell>
          <cell r="M1179" t="str">
            <v>S5151SKU3</v>
          </cell>
        </row>
        <row r="1180">
          <cell r="D1180" t="str">
            <v>Out-of-Home Respite</v>
          </cell>
          <cell r="M1180" t="str">
            <v>S5151SKU3</v>
          </cell>
        </row>
        <row r="1181">
          <cell r="D1181" t="str">
            <v>Out-of-Home Respite</v>
          </cell>
          <cell r="M1181" t="str">
            <v>S5151SKU3</v>
          </cell>
        </row>
        <row r="1182">
          <cell r="D1182" t="str">
            <v>Out-of-Home Respite</v>
          </cell>
          <cell r="M1182" t="str">
            <v>S5151SKU3</v>
          </cell>
        </row>
        <row r="1183">
          <cell r="D1183" t="str">
            <v>Out-of-Home Respite</v>
          </cell>
          <cell r="M1183" t="str">
            <v>S5151SKU3</v>
          </cell>
        </row>
        <row r="1184">
          <cell r="D1184" t="str">
            <v>Out-of-Home Respite</v>
          </cell>
          <cell r="M1184" t="str">
            <v>S5151SKU3</v>
          </cell>
        </row>
        <row r="1185">
          <cell r="D1185" t="str">
            <v>Out-of-Home Respite</v>
          </cell>
          <cell r="M1185" t="str">
            <v>T2027SH</v>
          </cell>
        </row>
        <row r="1186">
          <cell r="D1186" t="str">
            <v>Out-of-Home Respite</v>
          </cell>
          <cell r="M1186" t="str">
            <v>T2027SK</v>
          </cell>
        </row>
        <row r="1187">
          <cell r="D1187" t="str">
            <v>PCS (CFC and Non-CFC)</v>
          </cell>
          <cell r="M1187" t="str">
            <v>T1019SHU2</v>
          </cell>
        </row>
        <row r="1188">
          <cell r="D1188" t="str">
            <v>PCS (CFC and Non-CFC)</v>
          </cell>
          <cell r="M1188" t="str">
            <v>T1019SHU9U1</v>
          </cell>
        </row>
        <row r="1189">
          <cell r="D1189" t="str">
            <v>PCS (CFC and Non-CFC)</v>
          </cell>
          <cell r="M1189" t="str">
            <v>T1019SHU9U1U6</v>
          </cell>
        </row>
        <row r="1190">
          <cell r="D1190" t="str">
            <v>PCS (CFC and Non-CFC)</v>
          </cell>
          <cell r="M1190" t="str">
            <v>T1019SHU9U2</v>
          </cell>
        </row>
        <row r="1191">
          <cell r="D1191" t="str">
            <v>PCS (CFC and Non-CFC)</v>
          </cell>
          <cell r="M1191" t="str">
            <v>T1019SHU9U2U6</v>
          </cell>
        </row>
        <row r="1192">
          <cell r="D1192" t="str">
            <v>PCS (CFC and Non-CFC)</v>
          </cell>
          <cell r="M1192" t="str">
            <v>T1019SHU9UC</v>
          </cell>
        </row>
        <row r="1193">
          <cell r="D1193" t="str">
            <v>PCS (CFC and Non-CFC)</v>
          </cell>
          <cell r="M1193" t="str">
            <v>T1019SHU9UCU6</v>
          </cell>
        </row>
        <row r="1194">
          <cell r="D1194" t="str">
            <v>PCS (CFC and Non-CFC)</v>
          </cell>
          <cell r="M1194" t="str">
            <v>T1019SKU2</v>
          </cell>
        </row>
        <row r="1195">
          <cell r="D1195" t="str">
            <v>CFC Habilitation and Attendant Care</v>
          </cell>
          <cell r="M1195" t="str">
            <v>T1019SKU9U1</v>
          </cell>
        </row>
        <row r="1196">
          <cell r="D1196" t="str">
            <v>CFC Habilitation and Attendant Care</v>
          </cell>
          <cell r="M1196" t="str">
            <v>T1019SKU9U1U6</v>
          </cell>
        </row>
        <row r="1197">
          <cell r="D1197" t="str">
            <v>CFC Habilitation and Attendant Care</v>
          </cell>
          <cell r="M1197" t="str">
            <v>T1019SKU9U2</v>
          </cell>
        </row>
        <row r="1198">
          <cell r="D1198" t="str">
            <v>CFC Habilitation and Attendant Care</v>
          </cell>
          <cell r="M1198" t="str">
            <v>T1019SKU9U2U6</v>
          </cell>
        </row>
        <row r="1199">
          <cell r="D1199" t="str">
            <v>CDS CFC Habilitation and Attendant Care</v>
          </cell>
          <cell r="M1199" t="str">
            <v>T1019SKU9UC</v>
          </cell>
        </row>
        <row r="1200">
          <cell r="D1200" t="str">
            <v>CDS CFC Habilitation and Attendant Care</v>
          </cell>
          <cell r="M1200" t="str">
            <v>T1019SKU9UCU6</v>
          </cell>
        </row>
        <row r="1201">
          <cell r="D1201" t="str">
            <v>PCS (CFC and Non-CFC)</v>
          </cell>
          <cell r="M1201" t="str">
            <v>T1019SHU1</v>
          </cell>
        </row>
        <row r="1202">
          <cell r="D1202" t="str">
            <v>PCS (CFC and Non-CFC)</v>
          </cell>
          <cell r="M1202" t="str">
            <v>T1019SHUBU1</v>
          </cell>
        </row>
        <row r="1203">
          <cell r="D1203" t="str">
            <v>PCS (CFC and Non-CFC)</v>
          </cell>
          <cell r="M1203" t="str">
            <v>T1019SHUBU2</v>
          </cell>
        </row>
        <row r="1204">
          <cell r="D1204" t="str">
            <v>CDS PCS (CFC and Non-CFC)</v>
          </cell>
          <cell r="M1204" t="str">
            <v>T1019SHUBUC</v>
          </cell>
        </row>
        <row r="1205">
          <cell r="D1205" t="str">
            <v>CDS PCS (CFC and Non-CFC)</v>
          </cell>
          <cell r="M1205" t="str">
            <v>T1019SHUC</v>
          </cell>
        </row>
        <row r="1206">
          <cell r="D1206" t="str">
            <v>PCS (CFC and Non-CFC)</v>
          </cell>
          <cell r="M1206" t="str">
            <v>T1019SHUDU1</v>
          </cell>
        </row>
        <row r="1207">
          <cell r="D1207" t="str">
            <v>PCS (CFC and Non-CFC)</v>
          </cell>
          <cell r="M1207" t="str">
            <v>T1019SHUDU1U6</v>
          </cell>
        </row>
        <row r="1208">
          <cell r="D1208" t="str">
            <v>PCS (CFC and Non-CFC)</v>
          </cell>
          <cell r="M1208" t="str">
            <v>T1019SHUDU2</v>
          </cell>
        </row>
        <row r="1209">
          <cell r="D1209" t="str">
            <v>PCS (CFC and Non-CFC)</v>
          </cell>
          <cell r="M1209" t="str">
            <v>T1019SHUDU2U6</v>
          </cell>
        </row>
        <row r="1210">
          <cell r="D1210" t="str">
            <v>CDS PCS (CFC and Non-CFC)</v>
          </cell>
          <cell r="M1210" t="str">
            <v>T1019SHUDUC</v>
          </cell>
        </row>
        <row r="1211">
          <cell r="D1211" t="str">
            <v>CDS PCS (CFC and Non-CFC)</v>
          </cell>
          <cell r="M1211" t="str">
            <v>T1019SHUDUCU6</v>
          </cell>
        </row>
        <row r="1212">
          <cell r="D1212" t="str">
            <v>PCS (CFC and Non-CFC)</v>
          </cell>
          <cell r="M1212" t="str">
            <v>T1019SKU1</v>
          </cell>
        </row>
        <row r="1213">
          <cell r="D1213" t="str">
            <v>PCS (CFC and Non-CFC)</v>
          </cell>
          <cell r="M1213" t="str">
            <v>T1019SKUBU1</v>
          </cell>
        </row>
        <row r="1214">
          <cell r="D1214" t="str">
            <v>PCS (CFC and Non-CFC)</v>
          </cell>
          <cell r="M1214" t="str">
            <v>T1019SKUBU2</v>
          </cell>
        </row>
        <row r="1215">
          <cell r="D1215" t="str">
            <v>CDS PCS (CFC and Non-CFC)</v>
          </cell>
          <cell r="M1215" t="str">
            <v>T1019SKUBUC</v>
          </cell>
        </row>
        <row r="1216">
          <cell r="D1216" t="str">
            <v>CDS PCS (CFC and Non-CFC)</v>
          </cell>
          <cell r="M1216" t="str">
            <v>T1019SKUC</v>
          </cell>
        </row>
        <row r="1217">
          <cell r="D1217" t="str">
            <v>PCS (CFC and Non-CFC)</v>
          </cell>
          <cell r="M1217" t="str">
            <v>T1019SKUDU1</v>
          </cell>
        </row>
        <row r="1218">
          <cell r="D1218" t="str">
            <v>PCS (CFC and Non-CFC)</v>
          </cell>
          <cell r="M1218" t="str">
            <v>T1019SKUDU1U6</v>
          </cell>
        </row>
        <row r="1219">
          <cell r="D1219" t="str">
            <v>PCS (CFC and Non-CFC)</v>
          </cell>
          <cell r="M1219" t="str">
            <v>T1019SKUDU2</v>
          </cell>
        </row>
        <row r="1220">
          <cell r="D1220" t="str">
            <v>PCS (CFC and Non-CFC)</v>
          </cell>
          <cell r="M1220" t="str">
            <v>T1019SKUDU2U6</v>
          </cell>
        </row>
        <row r="1221">
          <cell r="D1221" t="str">
            <v>CDS PCS (CFC and Non-CFC)</v>
          </cell>
          <cell r="M1221" t="str">
            <v>T1019SKUDUC</v>
          </cell>
        </row>
        <row r="1222">
          <cell r="D1222" t="str">
            <v>CDS PCS (CFC and Non-CFC)</v>
          </cell>
          <cell r="M1222" t="str">
            <v>T1019SKUDUCU6</v>
          </cell>
        </row>
        <row r="1223">
          <cell r="D1223" t="str">
            <v>Prescribed Pediatric Extended Care</v>
          </cell>
          <cell r="M1223" t="str">
            <v>T1025SH</v>
          </cell>
        </row>
        <row r="1224">
          <cell r="D1224" t="str">
            <v>Prescribed Pediatric Extended Care</v>
          </cell>
          <cell r="M1224" t="str">
            <v>T1025SHU6</v>
          </cell>
        </row>
        <row r="1225">
          <cell r="D1225" t="str">
            <v>Prescribed Pediatric Extended Care</v>
          </cell>
          <cell r="M1225" t="str">
            <v>T1025SK</v>
          </cell>
        </row>
        <row r="1226">
          <cell r="D1226" t="str">
            <v>Prescribed Pediatric Extended Care</v>
          </cell>
          <cell r="M1226" t="str">
            <v>T1025SKU6</v>
          </cell>
        </row>
        <row r="1227">
          <cell r="D1227" t="str">
            <v>Prescribed Pediatric Extended Care</v>
          </cell>
          <cell r="M1227" t="str">
            <v>T1026SH</v>
          </cell>
        </row>
        <row r="1228">
          <cell r="D1228" t="str">
            <v>Prescribed Pediatric Extended Care</v>
          </cell>
          <cell r="M1228" t="str">
            <v>T1026SHU6</v>
          </cell>
        </row>
        <row r="1229">
          <cell r="D1229" t="str">
            <v>Prescribed Pediatric Extended Care</v>
          </cell>
          <cell r="M1229" t="str">
            <v>T1026SK</v>
          </cell>
        </row>
        <row r="1230">
          <cell r="D1230" t="str">
            <v>Prescribed Pediatric Extended Care</v>
          </cell>
          <cell r="M1230" t="str">
            <v>T1026SKU6</v>
          </cell>
        </row>
        <row r="1231">
          <cell r="D1231" t="str">
            <v>Prescribed Pediatric Extended Care - Transportation</v>
          </cell>
          <cell r="M1231" t="str">
            <v>T2002SH</v>
          </cell>
        </row>
        <row r="1232">
          <cell r="D1232" t="str">
            <v>Prescribed Pediatric Extended Care - Transportation</v>
          </cell>
          <cell r="M1232" t="str">
            <v>T2002SHU6</v>
          </cell>
        </row>
        <row r="1233">
          <cell r="D1233" t="str">
            <v>Prescribed Pediatric Extended Care - Transportation</v>
          </cell>
          <cell r="M1233" t="str">
            <v>T2002SK</v>
          </cell>
        </row>
        <row r="1234">
          <cell r="D1234" t="str">
            <v>Prescribed Pediatric Extended Care - Transportation</v>
          </cell>
          <cell r="M1234" t="str">
            <v>T2002SKU6</v>
          </cell>
        </row>
        <row r="1235">
          <cell r="D1235" t="str">
            <v>Requisition Fees</v>
          </cell>
          <cell r="M1235" t="str">
            <v>T2038SH</v>
          </cell>
        </row>
        <row r="1236">
          <cell r="D1236" t="str">
            <v>Requisition Fees</v>
          </cell>
          <cell r="M1236" t="str">
            <v>T2038SK</v>
          </cell>
        </row>
        <row r="1237">
          <cell r="D1237" t="str">
            <v>Adult Foster Care</v>
          </cell>
          <cell r="M1237" t="str">
            <v>S5140MPU1</v>
          </cell>
        </row>
        <row r="1238">
          <cell r="D1238" t="str">
            <v>Adult Foster Care</v>
          </cell>
          <cell r="M1238" t="str">
            <v>S5140MPU2</v>
          </cell>
        </row>
        <row r="1239">
          <cell r="D1239" t="str">
            <v>Adult Foster Care</v>
          </cell>
          <cell r="M1239" t="str">
            <v>S5140MPU3</v>
          </cell>
        </row>
        <row r="1240">
          <cell r="D1240" t="str">
            <v>Adult Foster Care</v>
          </cell>
          <cell r="M1240" t="str">
            <v>S5140SPU1</v>
          </cell>
        </row>
        <row r="1241">
          <cell r="D1241" t="str">
            <v>Adult Foster Care</v>
          </cell>
          <cell r="M1241" t="str">
            <v>S5140SPU2</v>
          </cell>
        </row>
        <row r="1242">
          <cell r="D1242" t="str">
            <v>Adult Foster Care</v>
          </cell>
          <cell r="M1242" t="str">
            <v>S5140SPU3</v>
          </cell>
        </row>
        <row r="1243">
          <cell r="D1243" t="str">
            <v>Assisted Living Services</v>
          </cell>
          <cell r="M1243" t="str">
            <v>T2031MPU1</v>
          </cell>
        </row>
        <row r="1244">
          <cell r="D1244" t="str">
            <v>Assisted Living Services</v>
          </cell>
          <cell r="M1244" t="str">
            <v>T2031MPU2</v>
          </cell>
        </row>
        <row r="1245">
          <cell r="D1245" t="str">
            <v>Assisted Living Services</v>
          </cell>
          <cell r="M1245" t="str">
            <v>T2031MPU3</v>
          </cell>
        </row>
        <row r="1246">
          <cell r="D1246" t="str">
            <v>Assisted Living Services</v>
          </cell>
          <cell r="M1246" t="str">
            <v>T2031MPU4</v>
          </cell>
        </row>
        <row r="1247">
          <cell r="D1247" t="str">
            <v>Assisted Living Services</v>
          </cell>
          <cell r="M1247" t="str">
            <v>T2031MPU5</v>
          </cell>
        </row>
        <row r="1248">
          <cell r="D1248" t="str">
            <v>Assisted Living Services</v>
          </cell>
          <cell r="M1248" t="str">
            <v>T2031MPU6</v>
          </cell>
        </row>
        <row r="1249">
          <cell r="D1249" t="str">
            <v>Assisted Living Services</v>
          </cell>
          <cell r="M1249" t="str">
            <v>T2031MPUAU1</v>
          </cell>
        </row>
        <row r="1250">
          <cell r="D1250" t="str">
            <v>Assisted Living Services</v>
          </cell>
          <cell r="M1250" t="str">
            <v>T2031MPUAU2</v>
          </cell>
        </row>
        <row r="1251">
          <cell r="D1251" t="str">
            <v>Assisted Living Services</v>
          </cell>
          <cell r="M1251" t="str">
            <v>T2031MPUAU3</v>
          </cell>
        </row>
        <row r="1252">
          <cell r="D1252" t="str">
            <v>Assisted Living Services</v>
          </cell>
          <cell r="M1252" t="str">
            <v>T2031MPUAU4</v>
          </cell>
        </row>
        <row r="1253">
          <cell r="D1253" t="str">
            <v>Assisted Living Services</v>
          </cell>
          <cell r="M1253" t="str">
            <v>T2031MPUAU5</v>
          </cell>
        </row>
        <row r="1254">
          <cell r="D1254" t="str">
            <v>Assisted Living Services</v>
          </cell>
          <cell r="M1254" t="str">
            <v>T2031MPUAU6</v>
          </cell>
        </row>
        <row r="1255">
          <cell r="D1255" t="str">
            <v>Assisted Living Services</v>
          </cell>
          <cell r="M1255" t="str">
            <v>T2031MPUBU1</v>
          </cell>
        </row>
        <row r="1256">
          <cell r="D1256" t="str">
            <v>Assisted Living Services</v>
          </cell>
          <cell r="M1256" t="str">
            <v>T2031MPUBU2</v>
          </cell>
        </row>
        <row r="1257">
          <cell r="D1257" t="str">
            <v>Assisted Living Services</v>
          </cell>
          <cell r="M1257" t="str">
            <v>T2031MPUBU3</v>
          </cell>
        </row>
        <row r="1258">
          <cell r="D1258" t="str">
            <v>Assisted Living Services</v>
          </cell>
          <cell r="M1258" t="str">
            <v>T2031MPUBU4</v>
          </cell>
        </row>
        <row r="1259">
          <cell r="D1259" t="str">
            <v>Assisted Living Services</v>
          </cell>
          <cell r="M1259" t="str">
            <v>T2031MPUBU5</v>
          </cell>
        </row>
        <row r="1260">
          <cell r="D1260" t="str">
            <v>Assisted Living Services</v>
          </cell>
          <cell r="M1260" t="str">
            <v>T2031MPUBU6</v>
          </cell>
        </row>
        <row r="1261">
          <cell r="D1261" t="str">
            <v>Assisted Living Services</v>
          </cell>
          <cell r="M1261" t="str">
            <v>T2031SPU1</v>
          </cell>
        </row>
        <row r="1262">
          <cell r="D1262" t="str">
            <v>Assisted Living Services</v>
          </cell>
          <cell r="M1262" t="str">
            <v>T2031SPU2</v>
          </cell>
        </row>
        <row r="1263">
          <cell r="D1263" t="str">
            <v>Assisted Living Services</v>
          </cell>
          <cell r="M1263" t="str">
            <v>T2031SPU3</v>
          </cell>
        </row>
        <row r="1264">
          <cell r="D1264" t="str">
            <v>Assisted Living Services</v>
          </cell>
          <cell r="M1264" t="str">
            <v>T2031SPU4</v>
          </cell>
        </row>
        <row r="1265">
          <cell r="D1265" t="str">
            <v>Assisted Living Services</v>
          </cell>
          <cell r="M1265" t="str">
            <v>T2031SPU5</v>
          </cell>
        </row>
        <row r="1266">
          <cell r="D1266" t="str">
            <v>Assisted Living Services</v>
          </cell>
          <cell r="M1266" t="str">
            <v>T2031SPU6</v>
          </cell>
        </row>
        <row r="1267">
          <cell r="D1267" t="str">
            <v>Assisted Living Services</v>
          </cell>
          <cell r="M1267" t="str">
            <v>T2031SPUAU1</v>
          </cell>
        </row>
        <row r="1268">
          <cell r="D1268" t="str">
            <v>Assisted Living Services</v>
          </cell>
          <cell r="M1268" t="str">
            <v>T2031SPUAU2</v>
          </cell>
        </row>
        <row r="1269">
          <cell r="D1269" t="str">
            <v>Assisted Living Services</v>
          </cell>
          <cell r="M1269" t="str">
            <v>T2031SPUAU3</v>
          </cell>
        </row>
        <row r="1270">
          <cell r="D1270" t="str">
            <v>Assisted Living Services</v>
          </cell>
          <cell r="M1270" t="str">
            <v>T2031SPUAU4</v>
          </cell>
        </row>
        <row r="1271">
          <cell r="D1271" t="str">
            <v>Assisted Living Services</v>
          </cell>
          <cell r="M1271" t="str">
            <v>T2031SPUAU5</v>
          </cell>
        </row>
        <row r="1272">
          <cell r="D1272" t="str">
            <v>Assisted Living Services</v>
          </cell>
          <cell r="M1272" t="str">
            <v>T2031SPUAU6</v>
          </cell>
        </row>
        <row r="1273">
          <cell r="D1273" t="str">
            <v>Assisted Living Services</v>
          </cell>
          <cell r="M1273" t="str">
            <v>T2031SPUBU1</v>
          </cell>
        </row>
        <row r="1274">
          <cell r="D1274" t="str">
            <v>Assisted Living Services</v>
          </cell>
          <cell r="M1274" t="str">
            <v>T2031SPUBU2</v>
          </cell>
        </row>
        <row r="1275">
          <cell r="D1275" t="str">
            <v>Assisted Living Services</v>
          </cell>
          <cell r="M1275" t="str">
            <v>T2031SPUBU3</v>
          </cell>
        </row>
        <row r="1276">
          <cell r="D1276" t="str">
            <v>Assisted Living Services</v>
          </cell>
          <cell r="M1276" t="str">
            <v>T2031SPUBU4</v>
          </cell>
        </row>
        <row r="1277">
          <cell r="D1277" t="str">
            <v>Assisted Living Services</v>
          </cell>
          <cell r="M1277" t="str">
            <v>T2031SPUBU5</v>
          </cell>
        </row>
        <row r="1278">
          <cell r="D1278" t="str">
            <v>Assisted Living Services</v>
          </cell>
          <cell r="M1278" t="str">
            <v>T2031SPUBU6</v>
          </cell>
        </row>
        <row r="1279">
          <cell r="D1279" t="str">
            <v>Cognitive Rehabilitative Therapy</v>
          </cell>
          <cell r="M1279" t="str">
            <v>97129MPU3</v>
          </cell>
        </row>
        <row r="1280">
          <cell r="D1280" t="str">
            <v>CDS Cognitive Rehabilitative Therapy</v>
          </cell>
          <cell r="M1280" t="str">
            <v>97129MPU3UC</v>
          </cell>
        </row>
        <row r="1281">
          <cell r="D1281" t="str">
            <v>Cognitive Rehabilitative Therapy</v>
          </cell>
          <cell r="M1281" t="str">
            <v>97129MPU3UD</v>
          </cell>
        </row>
        <row r="1282">
          <cell r="D1282" t="str">
            <v>Cognitive Rehabilitative Therapy</v>
          </cell>
          <cell r="M1282" t="str">
            <v>97129SPU3</v>
          </cell>
        </row>
        <row r="1283">
          <cell r="D1283" t="str">
            <v>CDS Cognitive Rehabilitative Therapy</v>
          </cell>
          <cell r="M1283" t="str">
            <v>97129SPU3UC</v>
          </cell>
        </row>
        <row r="1284">
          <cell r="D1284" t="str">
            <v>Cognitive Rehabilitative Therapy</v>
          </cell>
          <cell r="M1284" t="str">
            <v>97129SPU3UD</v>
          </cell>
        </row>
        <row r="1285">
          <cell r="D1285" t="str">
            <v>Cognitive Rehabilitative Therapy</v>
          </cell>
          <cell r="M1285" t="str">
            <v>97130MPU3</v>
          </cell>
        </row>
        <row r="1286">
          <cell r="D1286" t="str">
            <v>CDS Cognitive Rehabilitative Therapy</v>
          </cell>
          <cell r="M1286" t="str">
            <v>97130MPU3UC</v>
          </cell>
        </row>
        <row r="1287">
          <cell r="D1287" t="str">
            <v>Cognitive Rehabilitative Therapy</v>
          </cell>
          <cell r="M1287" t="str">
            <v>97130MPU3UD</v>
          </cell>
        </row>
        <row r="1288">
          <cell r="D1288" t="str">
            <v>Cognitive Rehabilitative Therapy</v>
          </cell>
          <cell r="M1288" t="str">
            <v>97130SPU3</v>
          </cell>
        </row>
        <row r="1289">
          <cell r="D1289" t="str">
            <v>CDS Cognitive Rehabilitative Therapy</v>
          </cell>
          <cell r="M1289" t="str">
            <v>97130SPU3UC</v>
          </cell>
        </row>
        <row r="1290">
          <cell r="D1290" t="str">
            <v>Cognitive Rehabilitative Therapy</v>
          </cell>
          <cell r="M1290" t="str">
            <v>97130SPU3UD</v>
          </cell>
        </row>
        <row r="1291">
          <cell r="D1291" t="str">
            <v>Cognitive Rehabilitative Therapy</v>
          </cell>
          <cell r="M1291" t="str">
            <v>97537MPU3</v>
          </cell>
        </row>
        <row r="1292">
          <cell r="D1292" t="str">
            <v>CDS Cognitive Rehabilitative Therapy</v>
          </cell>
          <cell r="M1292" t="str">
            <v>97537MPU3UC</v>
          </cell>
        </row>
        <row r="1293">
          <cell r="D1293" t="str">
            <v>Cognitive Rehabilitative Therapy</v>
          </cell>
          <cell r="M1293" t="str">
            <v>97537MPU3UD</v>
          </cell>
        </row>
        <row r="1294">
          <cell r="D1294" t="str">
            <v>Cognitive Rehabilitative Therapy</v>
          </cell>
          <cell r="M1294" t="str">
            <v>97537SPU3</v>
          </cell>
        </row>
        <row r="1295">
          <cell r="D1295" t="str">
            <v>CDS Cognitive Rehabilitative Therapy</v>
          </cell>
          <cell r="M1295" t="str">
            <v>97537SPU3UC</v>
          </cell>
        </row>
        <row r="1296">
          <cell r="D1296" t="str">
            <v>Cognitive Rehabilitative Therapy</v>
          </cell>
          <cell r="M1296" t="str">
            <v>97537SPU3UD</v>
          </cell>
        </row>
        <row r="1297">
          <cell r="D1297" t="str">
            <v>Day Activity and Health Services (DAHS)</v>
          </cell>
          <cell r="M1297" t="str">
            <v>S5101MP</v>
          </cell>
        </row>
        <row r="1298">
          <cell r="D1298" t="str">
            <v>Day Activity and Health Services (DAHS)</v>
          </cell>
          <cell r="M1298" t="str">
            <v>S5101MP</v>
          </cell>
        </row>
        <row r="1299">
          <cell r="D1299" t="str">
            <v>Day Activity and Health Services (DAHS)</v>
          </cell>
          <cell r="M1299" t="str">
            <v>S5101SP</v>
          </cell>
        </row>
        <row r="1300">
          <cell r="D1300" t="str">
            <v>Day Activity and Health Services (DAHS)</v>
          </cell>
          <cell r="M1300" t="str">
            <v>S5101SP</v>
          </cell>
        </row>
        <row r="1301">
          <cell r="D1301" t="str">
            <v>Employment Assistance and Supported Employment</v>
          </cell>
          <cell r="M1301" t="str">
            <v>H2023MPU3</v>
          </cell>
        </row>
        <row r="1302">
          <cell r="D1302" t="str">
            <v>CDS Employment Assistance and Supported Employment</v>
          </cell>
          <cell r="M1302" t="str">
            <v>H2023MPU3UC</v>
          </cell>
        </row>
        <row r="1303">
          <cell r="D1303" t="str">
            <v>Employment Assistance and Supported Employment</v>
          </cell>
          <cell r="M1303" t="str">
            <v>H2023MPU3UD</v>
          </cell>
        </row>
        <row r="1304">
          <cell r="D1304" t="str">
            <v>Employment Assistance and Supported Employment</v>
          </cell>
          <cell r="M1304" t="str">
            <v>H2023SPU3</v>
          </cell>
        </row>
        <row r="1305">
          <cell r="D1305" t="str">
            <v>CDS Employment Assistance and Supported Employment</v>
          </cell>
          <cell r="M1305" t="str">
            <v>H2023SPU3UC</v>
          </cell>
        </row>
        <row r="1306">
          <cell r="D1306" t="str">
            <v>Employment Assistance and Supported Employment</v>
          </cell>
          <cell r="M1306" t="str">
            <v>H2023SPU3UD</v>
          </cell>
        </row>
        <row r="1307">
          <cell r="D1307" t="str">
            <v>Employment Assistance and Supported Employment</v>
          </cell>
          <cell r="M1307" t="str">
            <v>H2025MPU3</v>
          </cell>
        </row>
        <row r="1308">
          <cell r="D1308" t="str">
            <v>CDS Employment Assistance and Supported Employment</v>
          </cell>
          <cell r="M1308" t="str">
            <v>H2025MPU3UC</v>
          </cell>
        </row>
        <row r="1309">
          <cell r="D1309" t="str">
            <v>Employment Assistance and Supported Employment</v>
          </cell>
          <cell r="M1309" t="str">
            <v>H2025MPU3UD</v>
          </cell>
        </row>
        <row r="1310">
          <cell r="D1310" t="str">
            <v>Employment Assistance and Supported Employment</v>
          </cell>
          <cell r="M1310" t="str">
            <v>H2025SPU3</v>
          </cell>
        </row>
        <row r="1311">
          <cell r="D1311" t="str">
            <v>CDS Employment Assistance and Supported Employment</v>
          </cell>
          <cell r="M1311" t="str">
            <v>H2025SPU3UC</v>
          </cell>
        </row>
        <row r="1312">
          <cell r="D1312" t="str">
            <v>Employment Assistance and Supported Employment</v>
          </cell>
          <cell r="M1312" t="str">
            <v>H2025SPU3UD</v>
          </cell>
        </row>
        <row r="1313">
          <cell r="D1313" t="str">
            <v>Emergency Response Services (CFC and Non-CFC)</v>
          </cell>
          <cell r="M1313" t="str">
            <v>S5160MP</v>
          </cell>
        </row>
        <row r="1314">
          <cell r="D1314" t="str">
            <v>Emergency Response Services (CFC and Non-CFC)</v>
          </cell>
          <cell r="M1314" t="str">
            <v>S5160MP</v>
          </cell>
        </row>
        <row r="1315">
          <cell r="D1315" t="str">
            <v>Emergency Response Services (CFC and Non-CFC)</v>
          </cell>
          <cell r="M1315" t="str">
            <v>S5160SP</v>
          </cell>
        </row>
        <row r="1316">
          <cell r="D1316" t="str">
            <v>Emergency Response Services (CFC and Non-CFC)</v>
          </cell>
          <cell r="M1316" t="str">
            <v>S5160SP</v>
          </cell>
        </row>
        <row r="1317">
          <cell r="D1317" t="str">
            <v>Emergency Response Services (CFC and Non-CFC)</v>
          </cell>
          <cell r="M1317" t="str">
            <v>S5161MPU3</v>
          </cell>
        </row>
        <row r="1318">
          <cell r="D1318" t="str">
            <v>Emergency Response Services (CFC and Non-CFC)</v>
          </cell>
          <cell r="M1318" t="str">
            <v>S5161MPU3U7</v>
          </cell>
        </row>
        <row r="1319">
          <cell r="D1319" t="str">
            <v>Emergency Response Services (CFC and Non-CFC)</v>
          </cell>
          <cell r="M1319" t="str">
            <v>S5161MPU5U7</v>
          </cell>
        </row>
        <row r="1320">
          <cell r="D1320" t="str">
            <v>Emergency Response Services (CFC and Non-CFC)</v>
          </cell>
          <cell r="M1320" t="str">
            <v>S5161SPU3</v>
          </cell>
        </row>
        <row r="1321">
          <cell r="D1321" t="str">
            <v>Emergency Response Services (CFC and Non-CFC)</v>
          </cell>
          <cell r="M1321" t="str">
            <v>S5161SPU3U7</v>
          </cell>
        </row>
        <row r="1322">
          <cell r="D1322" t="str">
            <v>Emergency Response Services (CFC and Non-CFC)</v>
          </cell>
          <cell r="M1322" t="str">
            <v>S5161SPU5U7</v>
          </cell>
        </row>
        <row r="1323">
          <cell r="D1323" t="str">
            <v>Financial Management Service Fee</v>
          </cell>
          <cell r="M1323" t="str">
            <v>T2040MPU3U9</v>
          </cell>
        </row>
        <row r="1324">
          <cell r="D1324" t="str">
            <v>Financial Management Service Fee</v>
          </cell>
          <cell r="M1324" t="str">
            <v>T2040MPU3U9U7</v>
          </cell>
        </row>
        <row r="1325">
          <cell r="D1325" t="str">
            <v>Financial Management Service Fee</v>
          </cell>
          <cell r="M1325" t="str">
            <v>T2040MPU5U9</v>
          </cell>
        </row>
        <row r="1326">
          <cell r="D1326" t="str">
            <v>Financial Management Service Fee</v>
          </cell>
          <cell r="M1326" t="str">
            <v>T2040MPU5U9U7</v>
          </cell>
        </row>
        <row r="1327">
          <cell r="D1327" t="str">
            <v>Financial Management Service Fee</v>
          </cell>
          <cell r="M1327" t="str">
            <v>T2040SPU3U9</v>
          </cell>
        </row>
        <row r="1328">
          <cell r="D1328" t="str">
            <v>Financial Management Service Fee</v>
          </cell>
          <cell r="M1328" t="str">
            <v>T2040SPU3U9U7</v>
          </cell>
        </row>
        <row r="1329">
          <cell r="D1329" t="str">
            <v>Financial Management Service Fee</v>
          </cell>
          <cell r="M1329" t="str">
            <v>T2040SPU5U9</v>
          </cell>
        </row>
        <row r="1330">
          <cell r="D1330" t="str">
            <v>Financial Management Service Fee</v>
          </cell>
          <cell r="M1330" t="str">
            <v>T2040SPU5U9U7</v>
          </cell>
        </row>
        <row r="1331">
          <cell r="D1331" t="str">
            <v>Home Delivered Meals</v>
          </cell>
          <cell r="M1331" t="str">
            <v>S5170MP</v>
          </cell>
        </row>
        <row r="1332">
          <cell r="D1332" t="str">
            <v>Home Delivered Meals</v>
          </cell>
          <cell r="M1332" t="str">
            <v>S5170SP</v>
          </cell>
        </row>
        <row r="1333">
          <cell r="D1333" t="str">
            <v>In Home Respite</v>
          </cell>
          <cell r="M1333" t="str">
            <v>T1005MPU3</v>
          </cell>
        </row>
        <row r="1334">
          <cell r="D1334" t="str">
            <v>CDS In Home Respite</v>
          </cell>
          <cell r="M1334" t="str">
            <v>T1005MPU3UC</v>
          </cell>
        </row>
        <row r="1335">
          <cell r="D1335" t="str">
            <v>In Home Respite</v>
          </cell>
          <cell r="M1335" t="str">
            <v>T1005MPU3UD</v>
          </cell>
        </row>
        <row r="1336">
          <cell r="D1336" t="str">
            <v>In Home Respite</v>
          </cell>
          <cell r="M1336" t="str">
            <v>T1005SPU3</v>
          </cell>
        </row>
        <row r="1337">
          <cell r="D1337" t="str">
            <v>CDS In Home Respite</v>
          </cell>
          <cell r="M1337" t="str">
            <v>T1005SPU3UC</v>
          </cell>
        </row>
        <row r="1338">
          <cell r="D1338" t="str">
            <v>In Home Respite</v>
          </cell>
          <cell r="M1338" t="str">
            <v>T1005SPU3UD</v>
          </cell>
        </row>
        <row r="1339">
          <cell r="D1339" t="str">
            <v>Daily Care (Average PDPM LTC rate)</v>
          </cell>
          <cell r="M1339" t="str">
            <v>BA1MP</v>
          </cell>
        </row>
        <row r="1340">
          <cell r="D1340" t="str">
            <v>Daily Care (Average PDPM LTC rate)</v>
          </cell>
          <cell r="M1340" t="str">
            <v>BA1SP</v>
          </cell>
        </row>
        <row r="1341">
          <cell r="D1341" t="str">
            <v>Daily Care (Average PDPM LTC rate)</v>
          </cell>
          <cell r="M1341" t="str">
            <v>BA2MP</v>
          </cell>
        </row>
        <row r="1342">
          <cell r="D1342" t="str">
            <v>Daily Care (Average PDPM LTC rate)</v>
          </cell>
          <cell r="M1342" t="str">
            <v>BA2SP</v>
          </cell>
        </row>
        <row r="1343">
          <cell r="D1343" t="str">
            <v>Daily Care (Average PDPM LTC rate)</v>
          </cell>
          <cell r="M1343" t="str">
            <v>BB1MP</v>
          </cell>
        </row>
        <row r="1344">
          <cell r="D1344" t="str">
            <v>Daily Care (Average PDPM LTC rate)</v>
          </cell>
          <cell r="M1344" t="str">
            <v>BB1SP</v>
          </cell>
        </row>
        <row r="1345">
          <cell r="D1345" t="str">
            <v>Daily Care (Average PDPM LTC rate)</v>
          </cell>
          <cell r="M1345" t="str">
            <v>BB2MP</v>
          </cell>
        </row>
        <row r="1346">
          <cell r="D1346" t="str">
            <v>Daily Care (Average PDPM LTC rate)</v>
          </cell>
          <cell r="M1346" t="str">
            <v>BB2SP</v>
          </cell>
        </row>
        <row r="1347">
          <cell r="D1347" t="str">
            <v>Daily Care (Average PDPM LTC rate)</v>
          </cell>
          <cell r="M1347" t="str">
            <v>BC1MP</v>
          </cell>
        </row>
        <row r="1348">
          <cell r="D1348" t="str">
            <v>Daily Care (Average PDPM LTC rate)</v>
          </cell>
          <cell r="M1348" t="str">
            <v>BC1SP</v>
          </cell>
        </row>
        <row r="1349">
          <cell r="D1349" t="str">
            <v>Daily Care (Average PDPM LTC rate)</v>
          </cell>
          <cell r="M1349" t="str">
            <v>CA1MP</v>
          </cell>
        </row>
        <row r="1350">
          <cell r="D1350" t="str">
            <v>Daily Care (Average PDPM LTC rate)</v>
          </cell>
          <cell r="M1350" t="str">
            <v>CA1SP</v>
          </cell>
        </row>
        <row r="1351">
          <cell r="D1351" t="str">
            <v>Daily Care (Average PDPM LTC rate)</v>
          </cell>
          <cell r="M1351" t="str">
            <v>CA2MP</v>
          </cell>
        </row>
        <row r="1352">
          <cell r="D1352" t="str">
            <v>Daily Care (Average PDPM LTC rate)</v>
          </cell>
          <cell r="M1352" t="str">
            <v>CA2SP</v>
          </cell>
        </row>
        <row r="1353">
          <cell r="D1353" t="str">
            <v>Daily Care (Average PDPM LTC rate)</v>
          </cell>
          <cell r="M1353" t="str">
            <v>CB1MP</v>
          </cell>
        </row>
        <row r="1354">
          <cell r="D1354" t="str">
            <v>Daily Care (Average PDPM LTC rate)</v>
          </cell>
          <cell r="M1354" t="str">
            <v>CB1SP</v>
          </cell>
        </row>
        <row r="1355">
          <cell r="D1355" t="str">
            <v>Daily Care (Average PDPM LTC rate)</v>
          </cell>
          <cell r="M1355" t="str">
            <v>CB2MP</v>
          </cell>
        </row>
        <row r="1356">
          <cell r="D1356" t="str">
            <v>Daily Care (Average PDPM LTC rate)</v>
          </cell>
          <cell r="M1356" t="str">
            <v>CB2SP</v>
          </cell>
        </row>
        <row r="1357">
          <cell r="D1357" t="str">
            <v>Daily Care (Average PDPM LTC rate)</v>
          </cell>
          <cell r="M1357" t="str">
            <v>CC1MP</v>
          </cell>
        </row>
        <row r="1358">
          <cell r="D1358" t="str">
            <v>Daily Care (Average PDPM LTC rate)</v>
          </cell>
          <cell r="M1358" t="str">
            <v>CC1SP</v>
          </cell>
        </row>
        <row r="1359">
          <cell r="D1359" t="str">
            <v>Daily Care (Average PDPM LTC rate)</v>
          </cell>
          <cell r="M1359" t="str">
            <v>CC2MP</v>
          </cell>
        </row>
        <row r="1360">
          <cell r="D1360" t="str">
            <v>Daily Care (Average PDPM LTC rate)</v>
          </cell>
          <cell r="M1360" t="str">
            <v>CC2SP</v>
          </cell>
        </row>
        <row r="1361">
          <cell r="D1361" t="str">
            <v>Daily Care (Average PDPM LTC rate)</v>
          </cell>
          <cell r="M1361" t="str">
            <v>IA1MP</v>
          </cell>
        </row>
        <row r="1362">
          <cell r="D1362" t="str">
            <v>Daily Care (Average PDPM LTC rate)</v>
          </cell>
          <cell r="M1362" t="str">
            <v>IA1SP</v>
          </cell>
        </row>
        <row r="1363">
          <cell r="D1363" t="str">
            <v>Daily Care (Average PDPM LTC rate)</v>
          </cell>
          <cell r="M1363" t="str">
            <v>IA2MP</v>
          </cell>
        </row>
        <row r="1364">
          <cell r="D1364" t="str">
            <v>Daily Care (Average PDPM LTC rate)</v>
          </cell>
          <cell r="M1364" t="str">
            <v>IA2SP</v>
          </cell>
        </row>
        <row r="1365">
          <cell r="D1365" t="str">
            <v>Daily Care (Average PDPM LTC rate)</v>
          </cell>
          <cell r="M1365" t="str">
            <v>IB1MP</v>
          </cell>
        </row>
        <row r="1366">
          <cell r="D1366" t="str">
            <v>Daily Care (Average PDPM LTC rate)</v>
          </cell>
          <cell r="M1366" t="str">
            <v>IB1SP</v>
          </cell>
        </row>
        <row r="1367">
          <cell r="D1367" t="str">
            <v>Daily Care (Average PDPM LTC rate)</v>
          </cell>
          <cell r="M1367" t="str">
            <v>IB2MP</v>
          </cell>
        </row>
        <row r="1368">
          <cell r="D1368" t="str">
            <v>Daily Care (Average PDPM LTC rate)</v>
          </cell>
          <cell r="M1368" t="str">
            <v>IB2SP</v>
          </cell>
        </row>
        <row r="1369">
          <cell r="D1369" t="str">
            <v>Daily Care (Average PDPM LTC rate)</v>
          </cell>
          <cell r="M1369" t="str">
            <v>PA1MP</v>
          </cell>
        </row>
        <row r="1370">
          <cell r="D1370" t="str">
            <v>Daily Care (Average PDPM LTC rate)</v>
          </cell>
          <cell r="M1370" t="str">
            <v>PA1SP</v>
          </cell>
        </row>
        <row r="1371">
          <cell r="D1371" t="str">
            <v>Daily Care (Average PDPM LTC rate)</v>
          </cell>
          <cell r="M1371" t="str">
            <v>PA2MP</v>
          </cell>
        </row>
        <row r="1372">
          <cell r="D1372" t="str">
            <v>Daily Care (Average PDPM LTC rate)</v>
          </cell>
          <cell r="M1372" t="str">
            <v>PA2SP</v>
          </cell>
        </row>
        <row r="1373">
          <cell r="D1373" t="str">
            <v>Daily Care (Average PDPM LTC rate)</v>
          </cell>
          <cell r="M1373" t="str">
            <v>PB1MP</v>
          </cell>
        </row>
        <row r="1374">
          <cell r="D1374" t="str">
            <v>Daily Care (Average PDPM LTC rate)</v>
          </cell>
          <cell r="M1374" t="str">
            <v>PB1SP</v>
          </cell>
        </row>
        <row r="1375">
          <cell r="D1375" t="str">
            <v>Daily Care (Average PDPM LTC rate)</v>
          </cell>
          <cell r="M1375" t="str">
            <v>PB2MP</v>
          </cell>
        </row>
        <row r="1376">
          <cell r="D1376" t="str">
            <v>Daily Care (Average PDPM LTC rate)</v>
          </cell>
          <cell r="M1376" t="str">
            <v>PB2SP</v>
          </cell>
        </row>
        <row r="1377">
          <cell r="D1377" t="str">
            <v>Daily Care (Average PDPM LTC rate)</v>
          </cell>
          <cell r="M1377" t="str">
            <v>PC1MP</v>
          </cell>
        </row>
        <row r="1378">
          <cell r="D1378" t="str">
            <v>Daily Care (Average PDPM LTC rate)</v>
          </cell>
          <cell r="M1378" t="str">
            <v>PC1SP</v>
          </cell>
        </row>
        <row r="1379">
          <cell r="D1379" t="str">
            <v>Daily Care (Average PDPM LTC rate)</v>
          </cell>
          <cell r="M1379" t="str">
            <v>PC2MP</v>
          </cell>
        </row>
        <row r="1380">
          <cell r="D1380" t="str">
            <v>Daily Care (Average PDPM LTC rate)</v>
          </cell>
          <cell r="M1380" t="str">
            <v>PC2SP</v>
          </cell>
        </row>
        <row r="1381">
          <cell r="D1381" t="str">
            <v>Daily Care (Average PDPM LTC rate)</v>
          </cell>
          <cell r="M1381" t="str">
            <v>PCEMP</v>
          </cell>
        </row>
        <row r="1382">
          <cell r="D1382" t="str">
            <v>Daily Care (Average PDPM LTC rate)</v>
          </cell>
          <cell r="M1382" t="str">
            <v>PCESP</v>
          </cell>
        </row>
        <row r="1383">
          <cell r="D1383" t="str">
            <v>Daily Care (Average PDPM LTC rate)</v>
          </cell>
          <cell r="M1383" t="str">
            <v>PD1MP</v>
          </cell>
        </row>
        <row r="1384">
          <cell r="D1384" t="str">
            <v>Daily Care (Average PDPM LTC rate)</v>
          </cell>
          <cell r="M1384" t="str">
            <v>PD1SP</v>
          </cell>
        </row>
        <row r="1385">
          <cell r="D1385" t="str">
            <v>Daily Care (Average PDPM LTC rate)</v>
          </cell>
          <cell r="M1385" t="str">
            <v>PD2MP</v>
          </cell>
        </row>
        <row r="1386">
          <cell r="D1386" t="str">
            <v>Daily Care (Average PDPM LTC rate)</v>
          </cell>
          <cell r="M1386" t="str">
            <v>PD2SP</v>
          </cell>
        </row>
        <row r="1387">
          <cell r="D1387" t="str">
            <v>Daily Care (Average PDPM LTC rate)</v>
          </cell>
          <cell r="M1387" t="str">
            <v>PE1MP</v>
          </cell>
        </row>
        <row r="1388">
          <cell r="D1388" t="str">
            <v>Daily Care (Average PDPM LTC rate)</v>
          </cell>
          <cell r="M1388" t="str">
            <v>PE1SP</v>
          </cell>
        </row>
        <row r="1389">
          <cell r="D1389" t="str">
            <v>Daily Care (Average PDPM LTC rate)</v>
          </cell>
          <cell r="M1389" t="str">
            <v>PE2MP</v>
          </cell>
        </row>
        <row r="1390">
          <cell r="D1390" t="str">
            <v>Daily Care (Average PDPM LTC rate)</v>
          </cell>
          <cell r="M1390" t="str">
            <v>PE2SP</v>
          </cell>
        </row>
        <row r="1391">
          <cell r="D1391" t="str">
            <v>Daily Care (Average PDPM LTC rate)</v>
          </cell>
          <cell r="M1391" t="str">
            <v>RAAMP</v>
          </cell>
        </row>
        <row r="1392">
          <cell r="D1392" t="str">
            <v>Daily Care (Average PDPM LTC rate)</v>
          </cell>
          <cell r="M1392" t="str">
            <v>RAASP</v>
          </cell>
        </row>
        <row r="1393">
          <cell r="D1393" t="str">
            <v>Daily Care (Average PDPM LTC rate)</v>
          </cell>
          <cell r="M1393" t="str">
            <v>RABMP</v>
          </cell>
        </row>
        <row r="1394">
          <cell r="D1394" t="str">
            <v>Daily Care (Average PDPM LTC rate)</v>
          </cell>
          <cell r="M1394" t="str">
            <v>RABSP</v>
          </cell>
        </row>
        <row r="1395">
          <cell r="D1395" t="str">
            <v>Daily Care (Average PDPM LTC rate)</v>
          </cell>
          <cell r="M1395" t="str">
            <v>RACMP</v>
          </cell>
        </row>
        <row r="1396">
          <cell r="D1396" t="str">
            <v>Daily Care (Average PDPM LTC rate)</v>
          </cell>
          <cell r="M1396" t="str">
            <v>RACSP</v>
          </cell>
        </row>
        <row r="1397">
          <cell r="D1397" t="str">
            <v>Daily Care (Average PDPM LTC rate)</v>
          </cell>
          <cell r="M1397" t="str">
            <v>RADMP</v>
          </cell>
        </row>
        <row r="1398">
          <cell r="D1398" t="str">
            <v>Daily Care (Average PDPM LTC rate)</v>
          </cell>
          <cell r="M1398" t="str">
            <v>RADSP</v>
          </cell>
        </row>
        <row r="1399">
          <cell r="D1399" t="str">
            <v>Daily Care (Average PDPM LTC rate)</v>
          </cell>
          <cell r="M1399" t="str">
            <v>SE1MP</v>
          </cell>
        </row>
        <row r="1400">
          <cell r="D1400" t="str">
            <v>Daily Care (Average PDPM LTC rate)</v>
          </cell>
          <cell r="M1400" t="str">
            <v>SE1SP</v>
          </cell>
        </row>
        <row r="1401">
          <cell r="D1401" t="str">
            <v>Daily Care (Average PDPM LTC rate)</v>
          </cell>
          <cell r="M1401" t="str">
            <v>SE2MP</v>
          </cell>
        </row>
        <row r="1402">
          <cell r="D1402" t="str">
            <v>Daily Care (Average PDPM LTC rate)</v>
          </cell>
          <cell r="M1402" t="str">
            <v>SE2SP</v>
          </cell>
        </row>
        <row r="1403">
          <cell r="D1403" t="str">
            <v>Daily Care (Average PDPM LTC rate)</v>
          </cell>
          <cell r="M1403" t="str">
            <v>SE3MP</v>
          </cell>
        </row>
        <row r="1404">
          <cell r="D1404" t="str">
            <v>Daily Care (Average PDPM LTC rate)</v>
          </cell>
          <cell r="M1404" t="str">
            <v>SE3SP</v>
          </cell>
        </row>
        <row r="1405">
          <cell r="D1405" t="str">
            <v>Daily Care (Average PDPM LTC rate)</v>
          </cell>
          <cell r="M1405" t="str">
            <v>SSAMP</v>
          </cell>
        </row>
        <row r="1406">
          <cell r="D1406" t="str">
            <v>Daily Care (Average PDPM LTC rate)</v>
          </cell>
          <cell r="M1406" t="str">
            <v>SSASP</v>
          </cell>
        </row>
        <row r="1407">
          <cell r="D1407" t="str">
            <v>Daily Care (Average PDPM LTC rate)</v>
          </cell>
          <cell r="M1407" t="str">
            <v>SSBMP</v>
          </cell>
        </row>
        <row r="1408">
          <cell r="D1408" t="str">
            <v>Daily Care (Average PDPM LTC rate)</v>
          </cell>
          <cell r="M1408" t="str">
            <v>SSBSP</v>
          </cell>
        </row>
        <row r="1409">
          <cell r="D1409" t="str">
            <v>Daily Care (Average PDPM LTC rate)</v>
          </cell>
          <cell r="M1409" t="str">
            <v>SSCMP</v>
          </cell>
        </row>
        <row r="1410">
          <cell r="D1410" t="str">
            <v>Daily Care (Average PDPM LTC rate)</v>
          </cell>
          <cell r="M1410" t="str">
            <v>SSCSP</v>
          </cell>
        </row>
        <row r="1411">
          <cell r="D1411" t="str">
            <v>Registered Nurse (RN) and Specialized RN</v>
          </cell>
          <cell r="M1411" t="str">
            <v>S9123MPU3</v>
          </cell>
        </row>
        <row r="1412">
          <cell r="D1412" t="str">
            <v>Registered Nurse (RN) and Specialized RN</v>
          </cell>
          <cell r="M1412" t="str">
            <v>S9123MPU3UA</v>
          </cell>
        </row>
        <row r="1413">
          <cell r="D1413" t="str">
            <v>CDS Registered Nurse (RN) and Specialized RN</v>
          </cell>
          <cell r="M1413" t="str">
            <v>S9123MPU3UC</v>
          </cell>
        </row>
        <row r="1414">
          <cell r="D1414" t="str">
            <v>CDS Registered Nurse (RN) and Specialized RN</v>
          </cell>
          <cell r="M1414" t="str">
            <v>S9123MPU3UCUA</v>
          </cell>
        </row>
        <row r="1415">
          <cell r="D1415" t="str">
            <v>Registered Nurse (RN) and Specialized RN</v>
          </cell>
          <cell r="M1415" t="str">
            <v>S9123MPU3UD</v>
          </cell>
        </row>
        <row r="1416">
          <cell r="D1416" t="str">
            <v>Registered Nurse (RN) and Specialized RN</v>
          </cell>
          <cell r="M1416" t="str">
            <v>S9123MPU3UDUA</v>
          </cell>
        </row>
        <row r="1417">
          <cell r="D1417" t="str">
            <v>Registered Nurse (RN) and Specialized RN</v>
          </cell>
          <cell r="M1417" t="str">
            <v>S9123SPU3</v>
          </cell>
        </row>
        <row r="1418">
          <cell r="D1418" t="str">
            <v>Registered Nurse (RN) and Specialized RN</v>
          </cell>
          <cell r="M1418" t="str">
            <v>S9123SPU3UA</v>
          </cell>
        </row>
        <row r="1419">
          <cell r="D1419" t="str">
            <v>CDS Registered Nurse (RN) and Specialized RN</v>
          </cell>
          <cell r="M1419" t="str">
            <v>S9123SPU3UC</v>
          </cell>
        </row>
        <row r="1420">
          <cell r="D1420" t="str">
            <v>CDS Registered Nurse (RN) and Specialized RN</v>
          </cell>
          <cell r="M1420" t="str">
            <v>S9123SPU3UCUA</v>
          </cell>
        </row>
        <row r="1421">
          <cell r="D1421" t="str">
            <v>Registered Nurse (RN) and Specialized RN</v>
          </cell>
          <cell r="M1421" t="str">
            <v>S9123SPU3UD</v>
          </cell>
        </row>
        <row r="1422">
          <cell r="D1422" t="str">
            <v>Registered Nurse (RN) and Specialized RN</v>
          </cell>
          <cell r="M1422" t="str">
            <v>S9123SPU3UDUA</v>
          </cell>
        </row>
        <row r="1423">
          <cell r="D1423" t="str">
            <v>Licensed Vocational Nurse (LVN) and Specialized LVN</v>
          </cell>
          <cell r="M1423" t="str">
            <v>S9124MPU3</v>
          </cell>
        </row>
        <row r="1424">
          <cell r="D1424" t="str">
            <v>Licensed Vocational Nurse (LVN) and Specialized LVN</v>
          </cell>
          <cell r="M1424" t="str">
            <v>S9124MPU3UA</v>
          </cell>
        </row>
        <row r="1425">
          <cell r="D1425" t="str">
            <v>CDS Licensed Vocational Nurse (LVN) and Specialized LVN</v>
          </cell>
          <cell r="M1425" t="str">
            <v>S9124MPU3UC</v>
          </cell>
        </row>
        <row r="1426">
          <cell r="D1426" t="str">
            <v>CDS Licensed Vocational Nurse (LVN) and Specialized LVN</v>
          </cell>
          <cell r="M1426" t="str">
            <v>S9124MPU3UCUA</v>
          </cell>
        </row>
        <row r="1427">
          <cell r="D1427" t="str">
            <v>Licensed Vocational Nurse (LVN) and Specialized LVN</v>
          </cell>
          <cell r="M1427" t="str">
            <v>S9124MPU3UD</v>
          </cell>
        </row>
        <row r="1428">
          <cell r="D1428" t="str">
            <v>Licensed Vocational Nurse (LVN) and Specialized LVN</v>
          </cell>
          <cell r="M1428" t="str">
            <v>S9124MPU3UDUA</v>
          </cell>
        </row>
        <row r="1429">
          <cell r="D1429" t="str">
            <v>Licensed Vocational Nurse (LVN) and Specialized LVN</v>
          </cell>
          <cell r="M1429" t="str">
            <v>S9124SPU3</v>
          </cell>
        </row>
        <row r="1430">
          <cell r="D1430" t="str">
            <v>Licensed Vocational Nurse (LVN) and Specialized LVN</v>
          </cell>
          <cell r="M1430" t="str">
            <v>S9124SPU3UA</v>
          </cell>
        </row>
        <row r="1431">
          <cell r="D1431" t="str">
            <v>CDS Licensed Vocational Nurse (LVN) and Specialized LVN</v>
          </cell>
          <cell r="M1431" t="str">
            <v>S9124SPU3UC</v>
          </cell>
        </row>
        <row r="1432">
          <cell r="D1432" t="str">
            <v>CDS Licensed Vocational Nurse (LVN) and Specialized LVN</v>
          </cell>
          <cell r="M1432" t="str">
            <v>S9124SPU3UCUA</v>
          </cell>
        </row>
        <row r="1433">
          <cell r="D1433" t="str">
            <v>Licensed Vocational Nurse (LVN) and Specialized LVN</v>
          </cell>
          <cell r="M1433" t="str">
            <v>S9124SPU3UD</v>
          </cell>
        </row>
        <row r="1434">
          <cell r="D1434" t="str">
            <v>Licensed Vocational Nurse (LVN) and Specialized LVN</v>
          </cell>
          <cell r="M1434" t="str">
            <v>S9124SPU3UDUA</v>
          </cell>
        </row>
        <row r="1435">
          <cell r="D1435" t="str">
            <v>Nursing Assessment/Evaluation</v>
          </cell>
          <cell r="M1435" t="str">
            <v>T1001MP</v>
          </cell>
        </row>
        <row r="1436">
          <cell r="D1436" t="str">
            <v>Nursing Assessment/Evaluation</v>
          </cell>
          <cell r="M1436" t="str">
            <v>T1001SP</v>
          </cell>
        </row>
        <row r="1437">
          <cell r="D1437" t="str">
            <v>Out-of-Home Respite</v>
          </cell>
          <cell r="M1437" t="str">
            <v>S5151MPU8U9U1</v>
          </cell>
        </row>
        <row r="1438">
          <cell r="D1438" t="str">
            <v>Out-of-Home Respite</v>
          </cell>
          <cell r="M1438" t="str">
            <v>S5151MPU8U9U2</v>
          </cell>
        </row>
        <row r="1439">
          <cell r="D1439" t="str">
            <v>Out-of-Home Respite</v>
          </cell>
          <cell r="M1439" t="str">
            <v>S5151MPU8U9U3</v>
          </cell>
        </row>
        <row r="1440">
          <cell r="D1440" t="str">
            <v>Out-of-Home Respite</v>
          </cell>
          <cell r="M1440" t="str">
            <v>S5151MPU8U9U4</v>
          </cell>
        </row>
        <row r="1441">
          <cell r="D1441" t="str">
            <v>Out-of-Home Respite</v>
          </cell>
          <cell r="M1441" t="str">
            <v>S5151MPU8U9U5</v>
          </cell>
        </row>
        <row r="1442">
          <cell r="D1442" t="str">
            <v>Out-of-Home Respite</v>
          </cell>
          <cell r="M1442" t="str">
            <v>S5151MPU8U9U6</v>
          </cell>
        </row>
        <row r="1443">
          <cell r="D1443" t="str">
            <v>Out-of-Home Respite</v>
          </cell>
          <cell r="M1443" t="str">
            <v>S5151MPU8UAU1</v>
          </cell>
        </row>
        <row r="1444">
          <cell r="D1444" t="str">
            <v>Out-of-Home Respite</v>
          </cell>
          <cell r="M1444" t="str">
            <v>S5151MPU8UAU2</v>
          </cell>
        </row>
        <row r="1445">
          <cell r="D1445" t="str">
            <v>Out-of-Home Respite</v>
          </cell>
          <cell r="M1445" t="str">
            <v>S5151MPU8UAU3</v>
          </cell>
        </row>
        <row r="1446">
          <cell r="D1446" t="str">
            <v>Out-of-Home Respite</v>
          </cell>
          <cell r="M1446" t="str">
            <v>S5151MPU8UAU4</v>
          </cell>
        </row>
        <row r="1447">
          <cell r="D1447" t="str">
            <v>Out-of-Home Respite</v>
          </cell>
          <cell r="M1447" t="str">
            <v>S5151MPU8UAU5</v>
          </cell>
        </row>
        <row r="1448">
          <cell r="D1448" t="str">
            <v>Out-of-Home Respite</v>
          </cell>
          <cell r="M1448" t="str">
            <v>S5151MPU8UAU6</v>
          </cell>
        </row>
        <row r="1449">
          <cell r="D1449" t="str">
            <v>Out-of-Home Respite</v>
          </cell>
          <cell r="M1449" t="str">
            <v>S5151MPU8UBU1</v>
          </cell>
        </row>
        <row r="1450">
          <cell r="D1450" t="str">
            <v>Out-of-Home Respite</v>
          </cell>
          <cell r="M1450" t="str">
            <v>S5151MPU8UBU2</v>
          </cell>
        </row>
        <row r="1451">
          <cell r="D1451" t="str">
            <v>Out-of-Home Respite</v>
          </cell>
          <cell r="M1451" t="str">
            <v>S5151MPU8UBU3</v>
          </cell>
        </row>
        <row r="1452">
          <cell r="D1452" t="str">
            <v>Out-of-Home Respite</v>
          </cell>
          <cell r="M1452" t="str">
            <v>S5151MPU8UBU4</v>
          </cell>
        </row>
        <row r="1453">
          <cell r="D1453" t="str">
            <v>Out-of-Home Respite</v>
          </cell>
          <cell r="M1453" t="str">
            <v>S5151MPU8UBU5</v>
          </cell>
        </row>
        <row r="1454">
          <cell r="D1454" t="str">
            <v>Out-of-Home Respite</v>
          </cell>
          <cell r="M1454" t="str">
            <v>S5151MPU8UBU6</v>
          </cell>
        </row>
        <row r="1455">
          <cell r="D1455" t="str">
            <v>Out-of-Home Respite</v>
          </cell>
          <cell r="M1455" t="str">
            <v>S5151MPUC</v>
          </cell>
        </row>
        <row r="1456">
          <cell r="D1456" t="str">
            <v>Out-of-Home Respite</v>
          </cell>
          <cell r="M1456" t="str">
            <v>S5151MPUDU1</v>
          </cell>
        </row>
        <row r="1457">
          <cell r="D1457" t="str">
            <v>Out-of-Home Respite</v>
          </cell>
          <cell r="M1457" t="str">
            <v>S5151MPUDU2</v>
          </cell>
        </row>
        <row r="1458">
          <cell r="D1458" t="str">
            <v>Out-of-Home Respite</v>
          </cell>
          <cell r="M1458" t="str">
            <v>S5151MPUDU3</v>
          </cell>
        </row>
        <row r="1459">
          <cell r="D1459" t="str">
            <v>Out-of-Home Respite</v>
          </cell>
          <cell r="M1459" t="str">
            <v>S5151SPU8U9U1</v>
          </cell>
        </row>
        <row r="1460">
          <cell r="D1460" t="str">
            <v>Out-of-Home Respite</v>
          </cell>
          <cell r="M1460" t="str">
            <v>S5151SPU8U9U2</v>
          </cell>
        </row>
        <row r="1461">
          <cell r="D1461" t="str">
            <v>Out-of-Home Respite</v>
          </cell>
          <cell r="M1461" t="str">
            <v>S5151SPU8U9U3</v>
          </cell>
        </row>
        <row r="1462">
          <cell r="D1462" t="str">
            <v>Out-of-Home Respite</v>
          </cell>
          <cell r="M1462" t="str">
            <v>S5151SPU8U9U4</v>
          </cell>
        </row>
        <row r="1463">
          <cell r="D1463" t="str">
            <v>Out-of-Home Respite</v>
          </cell>
          <cell r="M1463" t="str">
            <v>S5151SPU8U9U5</v>
          </cell>
        </row>
        <row r="1464">
          <cell r="D1464" t="str">
            <v>Out-of-Home Respite</v>
          </cell>
          <cell r="M1464" t="str">
            <v>S5151SPU8U9U6</v>
          </cell>
        </row>
        <row r="1465">
          <cell r="D1465" t="str">
            <v>Out-of-Home Respite</v>
          </cell>
          <cell r="M1465" t="str">
            <v>S5151SPU8UAU1</v>
          </cell>
        </row>
        <row r="1466">
          <cell r="D1466" t="str">
            <v>Out-of-Home Respite</v>
          </cell>
          <cell r="M1466" t="str">
            <v>S5151SPU8UAU2</v>
          </cell>
        </row>
        <row r="1467">
          <cell r="D1467" t="str">
            <v>Out-of-Home Respite</v>
          </cell>
          <cell r="M1467" t="str">
            <v>S5151SPU8UAU3</v>
          </cell>
        </row>
        <row r="1468">
          <cell r="D1468" t="str">
            <v>Out-of-Home Respite</v>
          </cell>
          <cell r="M1468" t="str">
            <v>S5151SPU8UAU4</v>
          </cell>
        </row>
        <row r="1469">
          <cell r="D1469" t="str">
            <v>Out-of-Home Respite</v>
          </cell>
          <cell r="M1469" t="str">
            <v>S5151SPU8UAU5</v>
          </cell>
        </row>
        <row r="1470">
          <cell r="D1470" t="str">
            <v>Out-of-Home Respite</v>
          </cell>
          <cell r="M1470" t="str">
            <v>S5151SPU8UAU6</v>
          </cell>
        </row>
        <row r="1471">
          <cell r="D1471" t="str">
            <v>Out-of-Home Respite</v>
          </cell>
          <cell r="M1471" t="str">
            <v>S5151SPU8UBU1</v>
          </cell>
        </row>
        <row r="1472">
          <cell r="D1472" t="str">
            <v>Out-of-Home Respite</v>
          </cell>
          <cell r="M1472" t="str">
            <v>S5151SPU8UBU2</v>
          </cell>
        </row>
        <row r="1473">
          <cell r="D1473" t="str">
            <v>Out-of-Home Respite</v>
          </cell>
          <cell r="M1473" t="str">
            <v>S5151SPU8UBU3</v>
          </cell>
        </row>
        <row r="1474">
          <cell r="D1474" t="str">
            <v>Out-of-Home Respite</v>
          </cell>
          <cell r="M1474" t="str">
            <v>S5151SPU8UBU4</v>
          </cell>
        </row>
        <row r="1475">
          <cell r="D1475" t="str">
            <v>Out-of-Home Respite</v>
          </cell>
          <cell r="M1475" t="str">
            <v>S5151SPU8UBU5</v>
          </cell>
        </row>
        <row r="1476">
          <cell r="D1476" t="str">
            <v>Out-of-Home Respite</v>
          </cell>
          <cell r="M1476" t="str">
            <v>S5151SPU8UBU6</v>
          </cell>
        </row>
        <row r="1477">
          <cell r="D1477" t="str">
            <v>Out-of-Home Respite</v>
          </cell>
          <cell r="M1477" t="str">
            <v>S5151SPUC</v>
          </cell>
        </row>
        <row r="1478">
          <cell r="D1478" t="str">
            <v>Out-of-Home Respite</v>
          </cell>
          <cell r="M1478" t="str">
            <v>S5151SPUDU1</v>
          </cell>
        </row>
        <row r="1479">
          <cell r="D1479" t="str">
            <v>Out-of-Home Respite</v>
          </cell>
          <cell r="M1479" t="str">
            <v>S5151SPUDU2</v>
          </cell>
        </row>
        <row r="1480">
          <cell r="D1480" t="str">
            <v>Out-of-Home Respite</v>
          </cell>
          <cell r="M1480" t="str">
            <v>S5151SPUDU3</v>
          </cell>
        </row>
        <row r="1481">
          <cell r="D1481" t="str">
            <v>PAS/HAB (CFC and Non-CFC)</v>
          </cell>
          <cell r="M1481" t="str">
            <v>S5125MPU3</v>
          </cell>
        </row>
        <row r="1482">
          <cell r="D1482" t="str">
            <v>PAS/HAB (CFC and Non-CFC)</v>
          </cell>
          <cell r="M1482" t="str">
            <v>S5125MPU3U1</v>
          </cell>
        </row>
        <row r="1483">
          <cell r="D1483" t="str">
            <v>CDS PAS/HAB (CFC and Non-CFC)</v>
          </cell>
          <cell r="M1483" t="str">
            <v>S5125MPU3U1UC</v>
          </cell>
        </row>
        <row r="1484">
          <cell r="D1484" t="str">
            <v>PAS/HAB (CFC and Non-CFC)</v>
          </cell>
          <cell r="M1484" t="str">
            <v>S5125MPU3U1UD</v>
          </cell>
        </row>
        <row r="1485">
          <cell r="D1485" t="str">
            <v>PAS/HAB (CFC and Non-CFC)</v>
          </cell>
          <cell r="M1485" t="str">
            <v>S5125MPU3U7</v>
          </cell>
        </row>
        <row r="1486">
          <cell r="D1486" t="str">
            <v>CDS PAS/HAB (CFC and Non-CFC)</v>
          </cell>
          <cell r="M1486" t="str">
            <v>S5125MPU3U7UC</v>
          </cell>
        </row>
        <row r="1487">
          <cell r="D1487" t="str">
            <v>PAS/HAB (CFC and Non-CFC)</v>
          </cell>
          <cell r="M1487" t="str">
            <v>S5125MPU3U7UD</v>
          </cell>
        </row>
        <row r="1488">
          <cell r="D1488" t="str">
            <v>CDS PAS/HAB (CFC and Non-CFC)</v>
          </cell>
          <cell r="M1488" t="str">
            <v>S5125MPU3UC</v>
          </cell>
        </row>
        <row r="1489">
          <cell r="D1489" t="str">
            <v>PAS/HAB (CFC and Non-CFC)</v>
          </cell>
          <cell r="M1489" t="str">
            <v>S5125MPU3UD</v>
          </cell>
        </row>
        <row r="1490">
          <cell r="D1490" t="str">
            <v>PAS/HAB (CFC and Non-CFC)</v>
          </cell>
          <cell r="M1490" t="str">
            <v>S5125MPU5</v>
          </cell>
        </row>
        <row r="1491">
          <cell r="D1491" t="str">
            <v>PAS/HAB (CFC and Non-CFC)</v>
          </cell>
          <cell r="M1491" t="str">
            <v>S5125MPU5U7</v>
          </cell>
        </row>
        <row r="1492">
          <cell r="D1492" t="str">
            <v>CDS PAS/HAB (CFC and Non-CFC)</v>
          </cell>
          <cell r="M1492" t="str">
            <v>S5125MPU5U7UC</v>
          </cell>
        </row>
        <row r="1493">
          <cell r="D1493" t="str">
            <v>PAS/HAB (CFC and Non-CFC)</v>
          </cell>
          <cell r="M1493" t="str">
            <v>S5125MPU5U7UD</v>
          </cell>
        </row>
        <row r="1494">
          <cell r="D1494" t="str">
            <v>CDS PAS/HAB (CFC and Non-CFC)</v>
          </cell>
          <cell r="M1494" t="str">
            <v>S5125MPU5UC</v>
          </cell>
        </row>
        <row r="1495">
          <cell r="D1495" t="str">
            <v>PAS/HAB (CFC and Non-CFC)</v>
          </cell>
          <cell r="M1495" t="str">
            <v>S5125MPU5UD</v>
          </cell>
        </row>
        <row r="1496">
          <cell r="D1496" t="str">
            <v>PAS/HAB (CFC and Non-CFC)</v>
          </cell>
          <cell r="M1496" t="str">
            <v>S5125SPU3</v>
          </cell>
        </row>
        <row r="1497">
          <cell r="D1497" t="str">
            <v>PAS/HAB (CFC and Non-CFC)</v>
          </cell>
          <cell r="M1497" t="str">
            <v>S5125SPU3U1</v>
          </cell>
        </row>
        <row r="1498">
          <cell r="D1498" t="str">
            <v>CDS PAS/HAB (CFC and Non-CFC)</v>
          </cell>
          <cell r="M1498" t="str">
            <v>S5125SPU3U1UC</v>
          </cell>
        </row>
        <row r="1499">
          <cell r="D1499" t="str">
            <v>PAS/HAB (CFC and Non-CFC)</v>
          </cell>
          <cell r="M1499" t="str">
            <v>S5125SPU3U1UD</v>
          </cell>
        </row>
        <row r="1500">
          <cell r="D1500" t="str">
            <v>PAS/HAB (CFC and Non-CFC)</v>
          </cell>
          <cell r="M1500" t="str">
            <v>S5125SPU3U7</v>
          </cell>
        </row>
        <row r="1501">
          <cell r="D1501" t="str">
            <v>CDS PAS/HAB (CFC and Non-CFC)</v>
          </cell>
          <cell r="M1501" t="str">
            <v>S5125SPU3U7UC</v>
          </cell>
        </row>
        <row r="1502">
          <cell r="D1502" t="str">
            <v>PAS/HAB (CFC and Non-CFC)</v>
          </cell>
          <cell r="M1502" t="str">
            <v>S5125SPU3U7UD</v>
          </cell>
        </row>
        <row r="1503">
          <cell r="D1503" t="str">
            <v>CDS PAS/HAB (CFC and Non-CFC)</v>
          </cell>
          <cell r="M1503" t="str">
            <v>S5125SPU3UC</v>
          </cell>
        </row>
        <row r="1504">
          <cell r="D1504" t="str">
            <v>PAS/HAB (CFC and Non-CFC)</v>
          </cell>
          <cell r="M1504" t="str">
            <v>S5125SPU3UD</v>
          </cell>
        </row>
        <row r="1505">
          <cell r="D1505" t="str">
            <v>PAS/HAB (CFC and Non-CFC)</v>
          </cell>
          <cell r="M1505" t="str">
            <v>S5125SPU5</v>
          </cell>
        </row>
        <row r="1506">
          <cell r="D1506" t="str">
            <v>PAS/HAB (CFC and Non-CFC)</v>
          </cell>
          <cell r="M1506" t="str">
            <v>S5125SPU5U7</v>
          </cell>
        </row>
        <row r="1507">
          <cell r="D1507" t="str">
            <v>CDS PAS/HAB (CFC and Non-CFC)</v>
          </cell>
          <cell r="M1507" t="str">
            <v>S5125SPU5U7UC</v>
          </cell>
        </row>
        <row r="1508">
          <cell r="D1508" t="str">
            <v>PAS/HAB (CFC and Non-CFC)</v>
          </cell>
          <cell r="M1508" t="str">
            <v>S5125SPU5U7UD</v>
          </cell>
        </row>
        <row r="1509">
          <cell r="D1509" t="str">
            <v>CDS PAS/HAB (CFC and Non-CFC)</v>
          </cell>
          <cell r="M1509" t="str">
            <v>S5125SPU5UC</v>
          </cell>
        </row>
        <row r="1510">
          <cell r="D1510" t="str">
            <v>PAS/HAB (CFC and Non-CFC)</v>
          </cell>
          <cell r="M1510" t="str">
            <v>S5125SPU5UD</v>
          </cell>
        </row>
        <row r="1511">
          <cell r="D1511" t="str">
            <v>Habilitation (CFC)</v>
          </cell>
          <cell r="M1511" t="str">
            <v>T2017MPU3U7</v>
          </cell>
        </row>
        <row r="1512">
          <cell r="D1512" t="str">
            <v>CDS Habilitation (CFC)</v>
          </cell>
          <cell r="M1512" t="str">
            <v>T2017MPU3U7UC</v>
          </cell>
        </row>
        <row r="1513">
          <cell r="D1513" t="str">
            <v>Habilitation (CFC)</v>
          </cell>
          <cell r="M1513" t="str">
            <v>T2017MPU3U7UD</v>
          </cell>
        </row>
        <row r="1514">
          <cell r="D1514" t="str">
            <v>Habilitation (CFC)</v>
          </cell>
          <cell r="M1514" t="str">
            <v>T2017MPU5U7</v>
          </cell>
        </row>
        <row r="1515">
          <cell r="D1515" t="str">
            <v>CDS Habilitation (CFC)</v>
          </cell>
          <cell r="M1515" t="str">
            <v>T2017MPU5U7UC</v>
          </cell>
        </row>
        <row r="1516">
          <cell r="D1516" t="str">
            <v>Habilitation (CFC)</v>
          </cell>
          <cell r="M1516" t="str">
            <v>T2017MPU5U7UD</v>
          </cell>
        </row>
        <row r="1517">
          <cell r="D1517" t="str">
            <v>Habilitation (CFC)</v>
          </cell>
          <cell r="M1517" t="str">
            <v>T2017SPU3U7</v>
          </cell>
        </row>
        <row r="1518">
          <cell r="D1518" t="str">
            <v>CDS Habilitation (CFC)</v>
          </cell>
          <cell r="M1518" t="str">
            <v>T2017SPU3U7UC</v>
          </cell>
        </row>
        <row r="1519">
          <cell r="D1519" t="str">
            <v>Habilitation (CFC)</v>
          </cell>
          <cell r="M1519" t="str">
            <v>T2017SPU3U7UD</v>
          </cell>
        </row>
        <row r="1520">
          <cell r="D1520" t="str">
            <v>Habilitation (CFC)</v>
          </cell>
          <cell r="M1520" t="str">
            <v>T2017SPU5U7</v>
          </cell>
        </row>
        <row r="1521">
          <cell r="D1521" t="str">
            <v>CDS Habilitation (CFC)</v>
          </cell>
          <cell r="M1521" t="str">
            <v>T2017SPU5U7UC</v>
          </cell>
        </row>
        <row r="1522">
          <cell r="D1522" t="str">
            <v>Habilitation (CFC)</v>
          </cell>
          <cell r="M1522" t="str">
            <v>T2017SPU5U7UD</v>
          </cell>
        </row>
        <row r="1523">
          <cell r="D1523" t="str">
            <v>Speech &amp; Language Therapy</v>
          </cell>
          <cell r="M1523" t="str">
            <v>S9128MPU3</v>
          </cell>
        </row>
        <row r="1524">
          <cell r="D1524" t="str">
            <v>CDS Speech &amp; Language Therapy</v>
          </cell>
          <cell r="M1524" t="str">
            <v>S9128MPU3UC</v>
          </cell>
        </row>
        <row r="1525">
          <cell r="D1525" t="str">
            <v>Speech &amp; Language Therapy</v>
          </cell>
          <cell r="M1525" t="str">
            <v>S9128MPU3UD</v>
          </cell>
        </row>
        <row r="1526">
          <cell r="D1526" t="str">
            <v>Speech &amp; Language Therapy</v>
          </cell>
          <cell r="M1526" t="str">
            <v>S9128SPU3</v>
          </cell>
        </row>
        <row r="1527">
          <cell r="D1527" t="str">
            <v>CDS Speech &amp; Language Therapy</v>
          </cell>
          <cell r="M1527" t="str">
            <v>S9128SPU3UC</v>
          </cell>
        </row>
        <row r="1528">
          <cell r="D1528" t="str">
            <v>Speech &amp; Language Therapy</v>
          </cell>
          <cell r="M1528" t="str">
            <v>S9128SPU3UD</v>
          </cell>
        </row>
        <row r="1529">
          <cell r="D1529" t="str">
            <v>Occupational Therapy</v>
          </cell>
          <cell r="M1529" t="str">
            <v>S9129MPU3</v>
          </cell>
        </row>
        <row r="1530">
          <cell r="D1530" t="str">
            <v>CDS Occupational Therapy</v>
          </cell>
          <cell r="M1530" t="str">
            <v>S9129MPU3UC</v>
          </cell>
        </row>
        <row r="1531">
          <cell r="D1531" t="str">
            <v>Occupational Therapy</v>
          </cell>
          <cell r="M1531" t="str">
            <v>S9129MPU3UD</v>
          </cell>
        </row>
        <row r="1532">
          <cell r="D1532" t="str">
            <v>Occupational Therapy</v>
          </cell>
          <cell r="M1532" t="str">
            <v>S9129SPU3</v>
          </cell>
        </row>
        <row r="1533">
          <cell r="D1533" t="str">
            <v>CDS Occupational Therapy</v>
          </cell>
          <cell r="M1533" t="str">
            <v>S9129SPU3UC</v>
          </cell>
        </row>
        <row r="1534">
          <cell r="D1534" t="str">
            <v>Occupational Therapy</v>
          </cell>
          <cell r="M1534" t="str">
            <v>S9129SPU3UD</v>
          </cell>
        </row>
        <row r="1535">
          <cell r="D1535" t="str">
            <v>Physical Therapy</v>
          </cell>
          <cell r="M1535" t="str">
            <v>S9131MPU3</v>
          </cell>
        </row>
        <row r="1536">
          <cell r="D1536" t="str">
            <v>CDS Physical Therapy</v>
          </cell>
          <cell r="M1536" t="str">
            <v>S9131MPU3UC</v>
          </cell>
        </row>
        <row r="1537">
          <cell r="D1537" t="str">
            <v>Physical Therapy</v>
          </cell>
          <cell r="M1537" t="str">
            <v>S9131MPU3UD</v>
          </cell>
        </row>
        <row r="1538">
          <cell r="D1538" t="str">
            <v>Physical Therapy</v>
          </cell>
          <cell r="M1538" t="str">
            <v>S9131SPU3</v>
          </cell>
        </row>
        <row r="1539">
          <cell r="D1539" t="str">
            <v>CDS Physical Therapy</v>
          </cell>
          <cell r="M1539" t="str">
            <v>S9131SPU3UC</v>
          </cell>
        </row>
        <row r="1540">
          <cell r="D1540" t="str">
            <v>Physical Therapy</v>
          </cell>
          <cell r="M1540" t="str">
            <v>S9131SPU3UD</v>
          </cell>
        </row>
        <row r="1541">
          <cell r="D1541" t="str">
            <v>Requisition Fees</v>
          </cell>
          <cell r="M1541" t="str">
            <v>T2038MP</v>
          </cell>
        </row>
        <row r="1542">
          <cell r="D1542" t="str">
            <v>Requisition Fees</v>
          </cell>
          <cell r="M1542" t="str">
            <v>T2038SP</v>
          </cell>
        </row>
        <row r="1543">
          <cell r="D1543" t="str">
            <v>Non-Emergency Transportation</v>
          </cell>
          <cell r="M1543" t="str">
            <v>T2003MP</v>
          </cell>
        </row>
        <row r="1544">
          <cell r="D1544" t="str">
            <v>Non-Emergency Transportation</v>
          </cell>
          <cell r="M1544" t="str">
            <v>T2003SP</v>
          </cell>
        </row>
        <row r="1545">
          <cell r="D1545" t="str">
            <v>Home and Community-Based Services - Adult Mental Health (HCBS-AMH)</v>
          </cell>
          <cell r="M1545" t="str">
            <v>T2031HKHE</v>
          </cell>
        </row>
        <row r="1546">
          <cell r="D1546" t="str">
            <v>Home and Community-Based Services - Adult Mental Health (HCBS-AMH)</v>
          </cell>
          <cell r="M1546" t="str">
            <v>H2013HKHE</v>
          </cell>
        </row>
        <row r="1547">
          <cell r="D1547" t="str">
            <v>Home and Community-Based Services - Adult Mental Health (HCBS-AMH)</v>
          </cell>
          <cell r="M1547" t="str">
            <v>S5130HKHE</v>
          </cell>
        </row>
        <row r="1548">
          <cell r="D1548" t="str">
            <v>Home and Community-Based Services - Adult Mental Health (HCBS-AMH)</v>
          </cell>
          <cell r="M1548" t="str">
            <v>H0036HKHE</v>
          </cell>
        </row>
        <row r="1549">
          <cell r="D1549" t="str">
            <v>Home and Community-Based Services - Adult Mental Health (HCBS-AMH)</v>
          </cell>
          <cell r="M1549" t="str">
            <v>H2025HKHE</v>
          </cell>
        </row>
        <row r="1550">
          <cell r="D1550" t="str">
            <v>Home and Community-Based Services - Adult Mental Health (HCBS-AMH)</v>
          </cell>
          <cell r="M1550" t="str">
            <v>H2023HKHE</v>
          </cell>
        </row>
        <row r="1551">
          <cell r="D1551" t="str">
            <v>Home and Community-Based Services - Adult Mental Health (HCBS-AMH)</v>
          </cell>
          <cell r="M1551" t="str">
            <v>S5170HKHE</v>
          </cell>
        </row>
        <row r="1552">
          <cell r="D1552" t="str">
            <v>Home and Community-Based Services - Adult Mental Health (HCBS-AMH)</v>
          </cell>
          <cell r="M1552" t="str">
            <v>S5170HKHE</v>
          </cell>
        </row>
        <row r="1553">
          <cell r="D1553" t="str">
            <v>Home and Community-Based Services - Adult Mental Health (HCBS-AMH)</v>
          </cell>
          <cell r="M1553" t="str">
            <v>S5136HKHE</v>
          </cell>
        </row>
        <row r="1554">
          <cell r="D1554" t="str">
            <v>Home and Community-Based Services - Adult Mental Health (HCBS-AMH)</v>
          </cell>
          <cell r="M1554" t="str">
            <v>S9124HKHE</v>
          </cell>
        </row>
        <row r="1555">
          <cell r="D1555" t="str">
            <v>Home and Community-Based Services - Adult Mental Health (HCBS-AMH)</v>
          </cell>
          <cell r="M1555" t="str">
            <v>S9123HKHE</v>
          </cell>
        </row>
        <row r="1556">
          <cell r="D1556" t="str">
            <v>Home and Community-Based Services - Adult Mental Health (HCBS-AMH)</v>
          </cell>
          <cell r="M1556" t="str">
            <v>H0038HKHE</v>
          </cell>
        </row>
        <row r="1557">
          <cell r="D1557" t="str">
            <v>Home and Community-Based Services - Adult Mental Health (HCBS-AMH)</v>
          </cell>
          <cell r="M1557" t="str">
            <v>H2019HKHQ</v>
          </cell>
        </row>
        <row r="1558">
          <cell r="D1558" t="str">
            <v>Home and Community-Based Services - Adult Mental Health (HCBS-AMH)</v>
          </cell>
          <cell r="M1558" t="str">
            <v>H2019HKHE</v>
          </cell>
        </row>
        <row r="1559">
          <cell r="D1559" t="str">
            <v>Home and Community-Based Services - Adult Mental Health (HCBS-AMH)</v>
          </cell>
          <cell r="M1559" t="str">
            <v>H2015HKHE</v>
          </cell>
        </row>
        <row r="1560">
          <cell r="D1560" t="str">
            <v>Home and Community-Based Services - Adult Mental Health (HCBS-AMH)</v>
          </cell>
          <cell r="M1560" t="str">
            <v>T2033HKHE</v>
          </cell>
        </row>
        <row r="1561">
          <cell r="D1561" t="str">
            <v>Home and Community-Based Services - Adult Mental Health (HCBS-AMH)</v>
          </cell>
          <cell r="M1561" t="str">
            <v>H0001HKHH</v>
          </cell>
        </row>
        <row r="1562">
          <cell r="D1562" t="str">
            <v>Home and Community-Based Services - Adult Mental Health (HCBS-AMH)</v>
          </cell>
          <cell r="M1562" t="str">
            <v>H0004HKHE</v>
          </cell>
        </row>
        <row r="1563">
          <cell r="D1563" t="str">
            <v>Home and Community-Based Services - Adult Mental Health (HCBS-AMH)</v>
          </cell>
          <cell r="M1563" t="str">
            <v>T2038HKHE</v>
          </cell>
        </row>
        <row r="1564">
          <cell r="D1564" t="str">
            <v>Home and Community-Based Services - Adult Mental Health (HCBS-AMH)</v>
          </cell>
          <cell r="M1564" t="str">
            <v>A0080HKHE</v>
          </cell>
        </row>
        <row r="1565">
          <cell r="D1565" t="str">
            <v>Professional Services: Art Therapy, Music Therapy, Animal-assisted Therapy, Recreational Therapy, Licensed Nutritional Counseling</v>
          </cell>
          <cell r="M1565" t="str">
            <v>H2032U5</v>
          </cell>
        </row>
        <row r="1566">
          <cell r="D1566" t="str">
            <v>Professional Services: Art Therapy, Music Therapy, Animal-assisted Therapy, Recreational Therapy, Licensed Nutritional Counseling</v>
          </cell>
          <cell r="M1566" t="str">
            <v>H2032U1</v>
          </cell>
        </row>
        <row r="1567">
          <cell r="D1567" t="str">
            <v>Professional Services: Art Therapy, Music Therapy, Animal-assisted Therapy, Recreational Therapy, Licensed Nutritional Counseling</v>
          </cell>
          <cell r="M1567" t="str">
            <v>H2032U6</v>
          </cell>
        </row>
        <row r="1568">
          <cell r="D1568" t="str">
            <v>Professional Services: Art Therapy, Music Therapy, Animal-assisted Therapy, Recreational Therapy, Licensed Nutritional Counseling</v>
          </cell>
          <cell r="M1568" t="str">
            <v>H2032U3</v>
          </cell>
        </row>
        <row r="1569">
          <cell r="D1569" t="str">
            <v>Professional Services: Art Therapy, Music Therapy, Animal-assisted Therapy, Recreational Therapy, Licensed Nutritional Counseling</v>
          </cell>
          <cell r="M1569" t="str">
            <v>H2032TG</v>
          </cell>
        </row>
        <row r="1570">
          <cell r="D1570" t="str">
            <v>Professional Services: Art Therapy, Music Therapy, Animal-assisted Therapy, Recreational Therapy, Licensed Nutritional Counseling</v>
          </cell>
          <cell r="M1570" t="str">
            <v>H2032TF</v>
          </cell>
        </row>
        <row r="1571">
          <cell r="D1571" t="str">
            <v>Professional Services: Art Therapy, Music Therapy, Animal-assisted Therapy, Recreational Therapy, Licensed Nutritional Counseling</v>
          </cell>
          <cell r="M1571" t="str">
            <v>H2032U9</v>
          </cell>
        </row>
        <row r="1572">
          <cell r="D1572" t="str">
            <v>Professional Services: Art Therapy, Music Therapy, Animal-assisted Therapy, Recreational Therapy, Licensed Nutritional Counseling</v>
          </cell>
          <cell r="M1572" t="str">
            <v>H2032U7</v>
          </cell>
        </row>
        <row r="1573">
          <cell r="D1573" t="str">
            <v>Professional Services: Art Therapy, Music Therapy, Animal-assisted Therapy, Recreational Therapy, Licensed Nutritional Counseling</v>
          </cell>
          <cell r="M1573" t="str">
            <v>H2032HQ</v>
          </cell>
        </row>
        <row r="1574">
          <cell r="D1574" t="str">
            <v>Professional Services: Art Therapy, Music Therapy, Animal-assisted Therapy, Recreational Therapy, Licensed Nutritional Counseling</v>
          </cell>
          <cell r="M1574" t="str">
            <v>H2032HE</v>
          </cell>
        </row>
        <row r="1575">
          <cell r="D1575" t="str">
            <v>Requisition Fees</v>
          </cell>
          <cell r="M1575" t="str">
            <v>YES-Req</v>
          </cell>
        </row>
        <row r="1576">
          <cell r="D1576" t="str">
            <v>Family Supports</v>
          </cell>
          <cell r="M1576" t="str">
            <v>H0038HA</v>
          </cell>
        </row>
        <row r="1577">
          <cell r="D1577" t="str">
            <v>Family Supports</v>
          </cell>
          <cell r="M1577" t="str">
            <v>H0038HQ</v>
          </cell>
        </row>
        <row r="1578">
          <cell r="D1578" t="str">
            <v>Non-Medical Transportation</v>
          </cell>
          <cell r="M1578" t="str">
            <v>T2003HA</v>
          </cell>
        </row>
        <row r="1579">
          <cell r="D1579" t="str">
            <v xml:space="preserve">Paraprofessional Services </v>
          </cell>
          <cell r="M1579" t="str">
            <v>H2021HA</v>
          </cell>
        </row>
        <row r="1580">
          <cell r="D1580" t="str">
            <v xml:space="preserve">Paraprofessional Services </v>
          </cell>
          <cell r="M1580" t="str">
            <v>H2021HQ</v>
          </cell>
        </row>
        <row r="1581">
          <cell r="D1581" t="str">
            <v>Pre-Engagement Fee</v>
          </cell>
          <cell r="M1581" t="str">
            <v>T2041HA</v>
          </cell>
        </row>
        <row r="1582">
          <cell r="D1582" t="str">
            <v>In Home Respite</v>
          </cell>
          <cell r="M1582" t="str">
            <v>T2027HA</v>
          </cell>
        </row>
        <row r="1583">
          <cell r="D1583" t="str">
            <v>Out-of-Home Respite</v>
          </cell>
          <cell r="M1583" t="str">
            <v>T2027U9</v>
          </cell>
        </row>
        <row r="1584">
          <cell r="D1584" t="str">
            <v>Out-of-Home Respite</v>
          </cell>
          <cell r="M1584" t="str">
            <v>T2025HT</v>
          </cell>
        </row>
        <row r="1585">
          <cell r="D1585" t="str">
            <v>Out-of-Home Respite</v>
          </cell>
          <cell r="M1585" t="str">
            <v>T2025ET</v>
          </cell>
        </row>
        <row r="1586">
          <cell r="D1586" t="str">
            <v>Out-of-Home Respite</v>
          </cell>
          <cell r="M1586" t="str">
            <v>T2025HR</v>
          </cell>
        </row>
        <row r="1587">
          <cell r="D1587" t="str">
            <v>Out-of-Home Respite</v>
          </cell>
          <cell r="M1587" t="str">
            <v>T1005U2UB</v>
          </cell>
        </row>
        <row r="1588">
          <cell r="D1588" t="str">
            <v>Out-of-Home Respite</v>
          </cell>
          <cell r="M1588" t="str">
            <v>T1005U2UC</v>
          </cell>
        </row>
        <row r="1589">
          <cell r="D1589" t="str">
            <v>Out-of-Home Respite</v>
          </cell>
          <cell r="M1589" t="str">
            <v>T1005U1UB</v>
          </cell>
        </row>
        <row r="1590">
          <cell r="D1590" t="str">
            <v>Out-of-Home Respite</v>
          </cell>
          <cell r="M1590" t="str">
            <v>T1005U1UC</v>
          </cell>
        </row>
        <row r="1591">
          <cell r="D1591" t="str">
            <v>Out-of-Home Respite</v>
          </cell>
          <cell r="M1591" t="str">
            <v>T1005UAUB</v>
          </cell>
        </row>
        <row r="1592">
          <cell r="D1592" t="str">
            <v>Out-of-Home Respite</v>
          </cell>
          <cell r="M1592" t="str">
            <v>T1005UAUC</v>
          </cell>
        </row>
        <row r="1593">
          <cell r="D1593" t="str">
            <v>Out-of-Home Respite</v>
          </cell>
          <cell r="M1593" t="str">
            <v>T1005HKUB</v>
          </cell>
        </row>
        <row r="1594">
          <cell r="D1594" t="str">
            <v>Out-of-Home Respite</v>
          </cell>
          <cell r="M1594" t="str">
            <v>T1005HKUC</v>
          </cell>
        </row>
        <row r="1595">
          <cell r="D1595" t="str">
            <v>Out-of-Home Respite</v>
          </cell>
          <cell r="M1595" t="str">
            <v>S5150UAUB</v>
          </cell>
        </row>
        <row r="1596">
          <cell r="D1596" t="str">
            <v>Out-of-Home Respite</v>
          </cell>
          <cell r="M1596" t="str">
            <v>S5150UAUC</v>
          </cell>
        </row>
        <row r="1597">
          <cell r="D1597" t="str">
            <v>Out-of-Home Respite</v>
          </cell>
          <cell r="M1597" t="str">
            <v>S5150HKUB</v>
          </cell>
        </row>
        <row r="1598">
          <cell r="D1598" t="str">
            <v>Out-of-Home Respite</v>
          </cell>
          <cell r="M1598" t="str">
            <v>S5150HKUC</v>
          </cell>
        </row>
        <row r="1599">
          <cell r="D1599" t="str">
            <v>Supportive Family based Alternatives</v>
          </cell>
          <cell r="M1599" t="str">
            <v>H2020HT</v>
          </cell>
        </row>
        <row r="1600">
          <cell r="D1600" t="str">
            <v>Supportive Family based Alternatives</v>
          </cell>
          <cell r="M1600" t="str">
            <v>H2020HR</v>
          </cell>
        </row>
        <row r="1601">
          <cell r="D1601" t="str">
            <v>Employment Assistance and Supported Employment</v>
          </cell>
          <cell r="M1601" t="str">
            <v>H2023UD</v>
          </cell>
        </row>
        <row r="1602">
          <cell r="D1602" t="str">
            <v>Employment Assistance and Supported Employment</v>
          </cell>
          <cell r="M1602" t="str">
            <v>H2025UD</v>
          </cell>
        </row>
        <row r="1603">
          <cell r="D1603" t="str">
            <v>Community Living Supports (Bachelor's Degree)</v>
          </cell>
          <cell r="M1603" t="str">
            <v>H2015HN</v>
          </cell>
        </row>
        <row r="1604">
          <cell r="D1604" t="str">
            <v>Community Living Supports (Bachelor's Degree)</v>
          </cell>
          <cell r="M1604" t="str">
            <v>H2015HQHN</v>
          </cell>
        </row>
        <row r="1605">
          <cell r="D1605" t="str">
            <v>Community Living Supports (Master's Degree)</v>
          </cell>
          <cell r="M1605" t="str">
            <v>H2015HO</v>
          </cell>
        </row>
        <row r="1606">
          <cell r="D1606" t="str">
            <v>Community Living Supports (Master's Degree)</v>
          </cell>
          <cell r="M1606" t="str">
            <v>H2015HQHO</v>
          </cell>
        </row>
        <row r="1607">
          <cell r="D1607" t="str">
            <v>Transitional Services</v>
          </cell>
          <cell r="M1607" t="str">
            <v>T2038HA</v>
          </cell>
        </row>
        <row r="1608">
          <cell r="D1608" t="str">
            <v>PCS (CFC and Non-CFC)</v>
          </cell>
          <cell r="M1608" t="str">
            <v>T1019U9U1</v>
          </cell>
        </row>
        <row r="1609">
          <cell r="D1609" t="str">
            <v>PCS (CFC and Non-CFC)</v>
          </cell>
          <cell r="M1609" t="str">
            <v>T1019UDU1</v>
          </cell>
        </row>
        <row r="1610">
          <cell r="D1610" t="str">
            <v>PCS (CFC and Non-CFC)</v>
          </cell>
          <cell r="M1610" t="str">
            <v>T1019UD</v>
          </cell>
        </row>
        <row r="1611">
          <cell r="D1611" t="str">
            <v>Financial Management Service Fee</v>
          </cell>
          <cell r="M1611" t="str">
            <v>T1019U8</v>
          </cell>
        </row>
        <row r="1612">
          <cell r="D1612" t="str">
            <v>CDS PCS (CFC and Non-CFC)</v>
          </cell>
          <cell r="M1612" t="str">
            <v>T1019U4</v>
          </cell>
        </row>
        <row r="1613">
          <cell r="D1613" t="str">
            <v>Financial Management Service Fee</v>
          </cell>
          <cell r="M1613" t="str">
            <v>T1019U5</v>
          </cell>
        </row>
        <row r="1614">
          <cell r="D1614" t="str">
            <v>PCS (CFC and Non-CFC)</v>
          </cell>
          <cell r="M1614" t="str">
            <v>T1019U9</v>
          </cell>
        </row>
        <row r="1615">
          <cell r="D1615" t="str">
            <v>CDS PCS (CFC and Non-CFC)</v>
          </cell>
          <cell r="M1615" t="str">
            <v>T1019U7</v>
          </cell>
        </row>
        <row r="1616">
          <cell r="D1616" t="str">
            <v>CDS PCS (CFC and Non-CFC)</v>
          </cell>
          <cell r="M1616" t="str">
            <v>T1019UB</v>
          </cell>
        </row>
        <row r="1617">
          <cell r="D1617" t="str">
            <v>PCS (CFC and Non-CFC)</v>
          </cell>
          <cell r="M1617" t="str">
            <v>T1019U6</v>
          </cell>
        </row>
        <row r="1618">
          <cell r="D1618" t="str">
            <v>PCS (CFC and Non-CFC)</v>
          </cell>
          <cell r="M1618" t="str">
            <v>T1019UA</v>
          </cell>
        </row>
        <row r="1619">
          <cell r="D1619" t="str">
            <v>Financial Management Service Fee</v>
          </cell>
          <cell r="M1619" t="str">
            <v>T1019SHU8</v>
          </cell>
        </row>
        <row r="1620">
          <cell r="D1620" t="str">
            <v>Financial Management Service Fee</v>
          </cell>
          <cell r="M1620" t="str">
            <v>T1019SHU5</v>
          </cell>
        </row>
        <row r="1621">
          <cell r="D1621" t="str">
            <v>Home Delivered Meals</v>
          </cell>
          <cell r="M1621" t="str">
            <v>S5170SPU7</v>
          </cell>
        </row>
        <row r="1622">
          <cell r="D1622" t="str">
            <v>Home Delivered Meals</v>
          </cell>
          <cell r="M1622" t="str">
            <v>S5170MPU7</v>
          </cell>
        </row>
        <row r="1623">
          <cell r="D1623" t="str">
            <v>Occupational Therapy</v>
          </cell>
          <cell r="M1623" t="str">
            <v>S9129SPU7U5</v>
          </cell>
        </row>
        <row r="1624">
          <cell r="D1624" t="str">
            <v>Occupational Therapy</v>
          </cell>
          <cell r="M1624" t="str">
            <v>S9129MPU7U5</v>
          </cell>
        </row>
        <row r="1625">
          <cell r="D1625" t="str">
            <v>Physical Therapy</v>
          </cell>
          <cell r="M1625" t="str">
            <v>S9131SPU7U5</v>
          </cell>
        </row>
        <row r="1626">
          <cell r="D1626" t="str">
            <v>Physical Therapy</v>
          </cell>
          <cell r="M1626" t="str">
            <v>S9131MPU7U5</v>
          </cell>
        </row>
        <row r="1627">
          <cell r="D1627" t="str">
            <v>Speech &amp; Language Therapy</v>
          </cell>
          <cell r="M1627" t="str">
            <v>S9128SPU7U5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w To"/>
      <sheetName val="Combined Bill Code List"/>
      <sheetName val="Modifiers"/>
      <sheetName val="Dupe Bill Code Combos"/>
      <sheetName val="Bill Code Combo + Syntax Codes"/>
      <sheetName val="Place Srvc, Mod-CPT"/>
      <sheetName val="Mod Cd for Dupes"/>
      <sheetName val="Rev Cd for Dupes"/>
      <sheetName val="CPT-HCPCS for Dupes"/>
      <sheetName val="SP_SK Rows Prior Oct 2022 updat"/>
      <sheetName val="Pivot"/>
      <sheetName val="RE Pivot"/>
      <sheetName val="Attendant Service List"/>
      <sheetName val="RE Service Matrix"/>
      <sheetName val="SK Modifier Legend 2021"/>
      <sheetName val="Rate Methodology"/>
      <sheetName val="Risk Group List"/>
      <sheetName val="LTSS Strategy List"/>
    </sheetNames>
    <sheetDataSet>
      <sheetData sheetId="0"/>
      <sheetData sheetId="1">
        <row r="1">
          <cell r="A1" t="str">
            <v>HHSC Provider Finance Department: LTSS Bill Code List</v>
          </cell>
          <cell r="C1"/>
          <cell r="D1"/>
          <cell r="E1" t="str">
            <v>Grayed out rows are expired bill codes</v>
          </cell>
          <cell r="F1"/>
        </row>
        <row r="2">
          <cell r="A2" t="str">
            <v>Version 2/16/2024</v>
          </cell>
          <cell r="C2"/>
          <cell r="D2"/>
          <cell r="E2"/>
        </row>
        <row r="3">
          <cell r="A3" t="str">
            <v>Funding Authority</v>
          </cell>
          <cell r="C3" t="str">
            <v>Program Name</v>
          </cell>
          <cell r="D3" t="str">
            <v>Service Category</v>
          </cell>
          <cell r="E3" t="str">
            <v>Revised Service Description</v>
          </cell>
          <cell r="F3" t="str">
            <v>Bill Code Combo</v>
          </cell>
          <cell r="P3" t="str">
            <v>CFC</v>
          </cell>
        </row>
        <row r="4">
          <cell r="A4" t="str">
            <v>State Plan (Title XIX)</v>
          </cell>
          <cell r="C4" t="str">
            <v>CAS</v>
          </cell>
          <cell r="D4" t="str">
            <v>CAS/FC/PHC PAS</v>
          </cell>
          <cell r="E4" t="str">
            <v>CAS (SRO) NON-PRIORITY</v>
          </cell>
          <cell r="F4" t="str">
            <v>717DSG0756</v>
          </cell>
        </row>
        <row r="5">
          <cell r="A5" t="str">
            <v>State Plan (Title XIX)</v>
          </cell>
          <cell r="C5" t="str">
            <v>CAS</v>
          </cell>
          <cell r="D5" t="str">
            <v>CAS/FC/PHC PAS</v>
          </cell>
          <cell r="E5" t="str">
            <v>CAS (SRO) PRIORITY</v>
          </cell>
          <cell r="F5" t="str">
            <v>717DSG0755</v>
          </cell>
        </row>
        <row r="6">
          <cell r="A6" t="str">
            <v>State Plan (Title XIX)</v>
          </cell>
          <cell r="C6" t="str">
            <v>CAS</v>
          </cell>
          <cell r="D6" t="str">
            <v>CAS/FC/PHC PAS</v>
          </cell>
          <cell r="E6" t="str">
            <v>COMMUNITY ATTENDANT SERVICES (1929B) LEVEL 1 (NON-PRIORITY) (CDS)</v>
          </cell>
          <cell r="F6" t="str">
            <v>717DVG0749</v>
          </cell>
        </row>
        <row r="7">
          <cell r="A7" t="str">
            <v>State Plan (Title XIX)</v>
          </cell>
          <cell r="C7" t="str">
            <v>CAS</v>
          </cell>
          <cell r="D7" t="str">
            <v>CAS/FC/PHC PAS</v>
          </cell>
          <cell r="E7" t="str">
            <v>COMMUNITY ATTENDANT SERVICES (1929B) LEVEL 2 (PRIORITY) (CDS)</v>
          </cell>
          <cell r="F7" t="str">
            <v>717DVG0748</v>
          </cell>
        </row>
        <row r="8">
          <cell r="A8" t="str">
            <v>State Plan (Title XIX)</v>
          </cell>
          <cell r="C8" t="str">
            <v>CAS</v>
          </cell>
          <cell r="D8" t="str">
            <v>CAS/FC/PHC PAS</v>
          </cell>
          <cell r="E8" t="str">
            <v>PAS COMMUNITY ATTENDANT SERVICES (1929B) LVL 1 (NON-PRIORITY) (AO)</v>
          </cell>
          <cell r="F8" t="str">
            <v>717DG0743</v>
          </cell>
        </row>
        <row r="9">
          <cell r="A9" t="str">
            <v>State Plan (Title XIX)</v>
          </cell>
          <cell r="C9" t="str">
            <v>CAS</v>
          </cell>
          <cell r="D9" t="str">
            <v>CAS/FC/PHC PAS</v>
          </cell>
          <cell r="E9" t="str">
            <v>PAS COMMUNITY ATTENDANT SERVICES (1929B) LVL 2 (PRIORITY) (AO)</v>
          </cell>
          <cell r="F9" t="str">
            <v>717DG0742</v>
          </cell>
        </row>
        <row r="10">
          <cell r="A10" t="str">
            <v>State Plan (Title XIX)</v>
          </cell>
          <cell r="C10" t="str">
            <v>CAS</v>
          </cell>
          <cell r="D10" t="str">
            <v>CAS/FC/PHC PAS</v>
          </cell>
          <cell r="E10" t="str">
            <v>PAS COMMUNITY ATTENDANT SERVICES (CDS)</v>
          </cell>
          <cell r="F10" t="str">
            <v>717DVG0750</v>
          </cell>
        </row>
        <row r="11">
          <cell r="A11" t="str">
            <v>State Plan (Title XIX)</v>
          </cell>
          <cell r="C11" t="str">
            <v>CAS</v>
          </cell>
          <cell r="D11" t="str">
            <v>Support Consultation</v>
          </cell>
          <cell r="E11" t="str">
            <v>CAS SUPPORT CONSULTATION (CDS)</v>
          </cell>
          <cell r="F11" t="str">
            <v>757DVG0759</v>
          </cell>
        </row>
        <row r="12">
          <cell r="A12" t="str">
            <v>State Plan (Title XIX)</v>
          </cell>
          <cell r="C12" t="str">
            <v>CAS</v>
          </cell>
          <cell r="D12" t="str">
            <v>Taxes/Benefits</v>
          </cell>
          <cell r="E12" t="str">
            <v>COMMUNITY ATTENDANT SERVICES (1929B) LEVEL 1 (NON-PRIORITY) (CDS) ES/BENEFITS</v>
          </cell>
          <cell r="F12" t="str">
            <v>717DVG6064</v>
          </cell>
        </row>
        <row r="13">
          <cell r="A13" t="str">
            <v>State Plan (Title XIX)</v>
          </cell>
          <cell r="C13" t="str">
            <v>CAS</v>
          </cell>
          <cell r="D13" t="str">
            <v>Taxes/Benefits</v>
          </cell>
          <cell r="E13" t="str">
            <v>COMMUNITY ATTENDANT SERVICES (1929B) LEVEL 1 (NON-PRIORITY) (CDS) TAXES</v>
          </cell>
          <cell r="F13" t="str">
            <v>717DVG6063</v>
          </cell>
        </row>
        <row r="14">
          <cell r="A14" t="str">
            <v>State Plan (Title XIX)</v>
          </cell>
          <cell r="C14" t="str">
            <v>CAS</v>
          </cell>
          <cell r="D14" t="str">
            <v>Taxes/Benefits</v>
          </cell>
          <cell r="E14" t="str">
            <v>COMMUNITY ATTENDANT SERVICES (1929B) LEVEL 2 (PRIORITY) (CDS) ES/BENEFITS</v>
          </cell>
          <cell r="F14" t="str">
            <v>717DVG6066</v>
          </cell>
        </row>
        <row r="15">
          <cell r="A15" t="str">
            <v>State Plan (Title XIX)</v>
          </cell>
          <cell r="C15" t="str">
            <v>CAS</v>
          </cell>
          <cell r="D15" t="str">
            <v>Taxes/Benefits</v>
          </cell>
          <cell r="E15" t="str">
            <v>COMMUNITY ATTENDANT SERVICES (1929B) LEVEL 2 (PRIORITY) (CDS) TAXES</v>
          </cell>
          <cell r="F15" t="str">
            <v>717DVG6065</v>
          </cell>
        </row>
        <row r="16">
          <cell r="A16" t="str">
            <v>Title XX</v>
          </cell>
          <cell r="C16" t="str">
            <v>CCAD</v>
          </cell>
          <cell r="D16" t="str">
            <v>AFC</v>
          </cell>
          <cell r="E16" t="str">
            <v>ADULT FOSTER CARE CCAD LEVEL</v>
          </cell>
          <cell r="F16" t="str">
            <v>718G0803</v>
          </cell>
        </row>
        <row r="17">
          <cell r="A17" t="str">
            <v>Title XX</v>
          </cell>
          <cell r="C17" t="str">
            <v>CCAD</v>
          </cell>
          <cell r="D17" t="str">
            <v>FMS</v>
          </cell>
          <cell r="E17" t="str">
            <v>CCAD MONTHLY ADMINISTRATION FEE (CDS)</v>
          </cell>
          <cell r="F17" t="str">
            <v>763VG0227</v>
          </cell>
        </row>
        <row r="18">
          <cell r="A18" t="str">
            <v>Title XX</v>
          </cell>
          <cell r="C18" t="str">
            <v>CCAD</v>
          </cell>
          <cell r="D18" t="str">
            <v>FMS</v>
          </cell>
          <cell r="E18" t="str">
            <v>CCAD ORIENTATION FEE (CDS)</v>
          </cell>
          <cell r="F18" t="str">
            <v>762VG0223</v>
          </cell>
        </row>
        <row r="19">
          <cell r="A19" t="str">
            <v>Title XX</v>
          </cell>
          <cell r="C19" t="str">
            <v>CCAD</v>
          </cell>
          <cell r="D19" t="str">
            <v>In Home Respite</v>
          </cell>
          <cell r="E19" t="str">
            <v>RESPITE PERSONAL ASSISTANCE SERVICES</v>
          </cell>
          <cell r="F19" t="str">
            <v>711G0121</v>
          </cell>
        </row>
        <row r="20">
          <cell r="A20" t="str">
            <v>Title XX</v>
          </cell>
          <cell r="C20" t="str">
            <v>CCAD</v>
          </cell>
          <cell r="D20" t="str">
            <v>In Home Respite</v>
          </cell>
          <cell r="E20" t="str">
            <v>RESPITE SITTER SERVICES</v>
          </cell>
          <cell r="F20" t="str">
            <v>711G0122</v>
          </cell>
        </row>
        <row r="21">
          <cell r="A21" t="str">
            <v>Title XX</v>
          </cell>
          <cell r="C21" t="str">
            <v>CCAD</v>
          </cell>
          <cell r="D21" t="str">
            <v>Out of Home Respite</v>
          </cell>
          <cell r="E21" t="str">
            <v>RESPITE ADULT DAY CARE</v>
          </cell>
          <cell r="F21" t="str">
            <v>711AG0129</v>
          </cell>
        </row>
        <row r="22">
          <cell r="A22" t="str">
            <v>Title XX</v>
          </cell>
          <cell r="C22" t="str">
            <v>CCAD</v>
          </cell>
          <cell r="D22" t="str">
            <v>Out of Home Respite</v>
          </cell>
          <cell r="E22" t="str">
            <v>RESPITE ADULT FOSTER CARE CCAD LEVEL</v>
          </cell>
          <cell r="F22" t="str">
            <v>711BG0131</v>
          </cell>
        </row>
        <row r="23">
          <cell r="A23" t="str">
            <v>Title XX</v>
          </cell>
          <cell r="C23" t="str">
            <v>CCAD</v>
          </cell>
          <cell r="D23" t="str">
            <v>Out of Home Respite</v>
          </cell>
          <cell r="E23" t="str">
            <v>RESPITE HOSPITAL</v>
          </cell>
          <cell r="F23" t="str">
            <v>711AG0130</v>
          </cell>
        </row>
        <row r="24">
          <cell r="A24" t="str">
            <v>Title XX</v>
          </cell>
          <cell r="C24" t="str">
            <v>CCAD</v>
          </cell>
          <cell r="D24" t="str">
            <v>Out of Home Respite</v>
          </cell>
          <cell r="E24" t="str">
            <v>RESPITE HOSPITAL</v>
          </cell>
          <cell r="F24" t="str">
            <v>711AG0130</v>
          </cell>
        </row>
        <row r="25">
          <cell r="A25" t="str">
            <v>Title XX</v>
          </cell>
          <cell r="C25" t="str">
            <v>CCAD</v>
          </cell>
          <cell r="D25" t="str">
            <v>Out of Home Respite</v>
          </cell>
          <cell r="E25" t="str">
            <v xml:space="preserve">RESPITE NURSING FACILITY (CCAD) </v>
          </cell>
          <cell r="F25" t="str">
            <v>711FG0155</v>
          </cell>
        </row>
        <row r="26">
          <cell r="A26" t="str">
            <v>Title XX</v>
          </cell>
          <cell r="C26" t="str">
            <v>CCAD</v>
          </cell>
          <cell r="D26" t="str">
            <v>Out of Home Respite</v>
          </cell>
          <cell r="E26" t="str">
            <v xml:space="preserve">RESPITE NURSING FACILITY (CCAD) </v>
          </cell>
          <cell r="F26" t="str">
            <v>711FG0155</v>
          </cell>
        </row>
        <row r="27">
          <cell r="A27" t="str">
            <v>Title XX</v>
          </cell>
          <cell r="C27" t="str">
            <v>CCAD</v>
          </cell>
          <cell r="D27" t="str">
            <v>Out of Home Respite</v>
          </cell>
          <cell r="E27" t="str">
            <v xml:space="preserve">RESPITE RESIDENTIAL CARE APT (CCAD) </v>
          </cell>
          <cell r="F27" t="str">
            <v>711DG0141</v>
          </cell>
        </row>
        <row r="28">
          <cell r="A28" t="str">
            <v>Title XX</v>
          </cell>
          <cell r="C28" t="str">
            <v>CCAD</v>
          </cell>
          <cell r="D28" t="str">
            <v>Out of Home Respite</v>
          </cell>
          <cell r="E28" t="str">
            <v xml:space="preserve">RESPITE RESIDENTIAL CARE NON APT (CCAD) </v>
          </cell>
          <cell r="F28" t="str">
            <v>711EG0148</v>
          </cell>
        </row>
        <row r="29">
          <cell r="A29" t="str">
            <v>Title XX</v>
          </cell>
          <cell r="C29" t="str">
            <v>CCAD</v>
          </cell>
          <cell r="D29" t="str">
            <v>Overnight Support Services</v>
          </cell>
          <cell r="E29" t="str">
            <v>OVERNIGHT SUPPORT SERVICES</v>
          </cell>
          <cell r="F29" t="str">
            <v>765G0817</v>
          </cell>
        </row>
        <row r="30">
          <cell r="A30" t="str">
            <v>1915(c) waiver</v>
          </cell>
          <cell r="C30" t="str">
            <v>CLASS</v>
          </cell>
          <cell r="D30" t="str">
            <v xml:space="preserve">Adaptive Aids/DME </v>
          </cell>
          <cell r="E30" t="str">
            <v xml:space="preserve">ADAPTIVE AIDS PERSONAL CARE ITEMS (CONSUMERABLE SUPPLIES/DIAPER/BED PAD/ENSURE) </v>
          </cell>
          <cell r="F30" t="str">
            <v>215G0500</v>
          </cell>
        </row>
        <row r="31">
          <cell r="A31" t="str">
            <v>1915(c) waiver</v>
          </cell>
          <cell r="C31" t="str">
            <v>CLASS</v>
          </cell>
          <cell r="D31" t="str">
            <v xml:space="preserve">Adaptive Aids/DME </v>
          </cell>
          <cell r="E31" t="str">
            <v>ADAPTIVE AIDS TRANSPORTATION</v>
          </cell>
          <cell r="F31" t="str">
            <v>215G0500</v>
          </cell>
        </row>
        <row r="32">
          <cell r="A32" t="str">
            <v>1915(c) waiver</v>
          </cell>
          <cell r="C32" t="str">
            <v>CLASS</v>
          </cell>
          <cell r="D32" t="str">
            <v xml:space="preserve">Adaptive Aids/DME </v>
          </cell>
          <cell r="E32" t="str">
            <v xml:space="preserve">DME MEDICAL EQUIPMENT (NOT OTHERWISE SPECIFIED) </v>
          </cell>
          <cell r="F32" t="str">
            <v>215G0500</v>
          </cell>
        </row>
        <row r="33">
          <cell r="A33" t="str">
            <v>1915(c) waiver</v>
          </cell>
          <cell r="C33" t="str">
            <v>CLASS</v>
          </cell>
          <cell r="D33" t="str">
            <v xml:space="preserve">Adaptive Aids/DME </v>
          </cell>
          <cell r="E33" t="str">
            <v xml:space="preserve">DME MISCELLANEOUS (HOSPITAL BEDS/VENTILATOR) </v>
          </cell>
          <cell r="F33" t="str">
            <v>215G0500</v>
          </cell>
        </row>
        <row r="34">
          <cell r="A34" t="str">
            <v>1915(c) waiver</v>
          </cell>
          <cell r="C34" t="str">
            <v>CLASS</v>
          </cell>
          <cell r="D34" t="str">
            <v xml:space="preserve">Adaptive Aids/DME </v>
          </cell>
          <cell r="E34" t="str">
            <v>DME ROLLING CHAIR</v>
          </cell>
          <cell r="F34" t="str">
            <v>215G0500</v>
          </cell>
        </row>
        <row r="35">
          <cell r="A35" t="str">
            <v>1915(c) waiver</v>
          </cell>
          <cell r="C35" t="str">
            <v>CLASS</v>
          </cell>
          <cell r="D35" t="str">
            <v xml:space="preserve">Adaptive Aids/DME </v>
          </cell>
          <cell r="E35" t="str">
            <v>DME VEHICLE MODIFICATIONS TO INCLUDE LIFT</v>
          </cell>
          <cell r="F35" t="str">
            <v>215G0500</v>
          </cell>
        </row>
        <row r="36">
          <cell r="A36" t="str">
            <v>1915(c) waiver</v>
          </cell>
          <cell r="C36" t="str">
            <v>CLASS</v>
          </cell>
          <cell r="D36" t="str">
            <v xml:space="preserve">Adaptive Aids/DME </v>
          </cell>
          <cell r="E36" t="str">
            <v>DME WHEELCHAIR/STROLLERS</v>
          </cell>
          <cell r="F36" t="str">
            <v>215G0500</v>
          </cell>
        </row>
        <row r="37">
          <cell r="A37" t="str">
            <v>1915(c) waiver</v>
          </cell>
          <cell r="C37" t="str">
            <v>CLASS</v>
          </cell>
          <cell r="D37" t="str">
            <v xml:space="preserve">Adaptive Aids/DME </v>
          </cell>
          <cell r="E37" t="str">
            <v>DME/ADAPTIVE AIDS ELECTRONIC AUGMENTIVE COMMUNICATION DEVICES/AIDS/EQUIPMENT</v>
          </cell>
          <cell r="F37" t="str">
            <v>215G0500</v>
          </cell>
        </row>
        <row r="38">
          <cell r="A38" t="str">
            <v>1915(c) waiver</v>
          </cell>
          <cell r="C38" t="str">
            <v>CLASS</v>
          </cell>
          <cell r="D38" t="str">
            <v xml:space="preserve">Adaptive Aids/DME </v>
          </cell>
          <cell r="E38" t="str">
            <v>DME/ADAPTIVE AIDS NON-ELECTRONIC AUGMENTIVE COMMUNICATIONS AIDS AND EQUIPMENT</v>
          </cell>
          <cell r="F38" t="str">
            <v>215G0500</v>
          </cell>
        </row>
        <row r="39">
          <cell r="A39" t="str">
            <v>1915(c) waiver</v>
          </cell>
          <cell r="C39" t="str">
            <v>CLASS</v>
          </cell>
          <cell r="D39" t="str">
            <v xml:space="preserve">Adaptive Aids/DME </v>
          </cell>
          <cell r="E39" t="str">
            <v xml:space="preserve">DME/ADAPTIVE AIDS OTHER (IN HOME/NON-VEHICLE LIFT) </v>
          </cell>
          <cell r="F39" t="str">
            <v>215G0500</v>
          </cell>
        </row>
        <row r="40">
          <cell r="A40" t="str">
            <v>1915(c) waiver</v>
          </cell>
          <cell r="C40" t="str">
            <v>CLASS</v>
          </cell>
          <cell r="D40" t="str">
            <v xml:space="preserve">Adaptive Aids/DME </v>
          </cell>
          <cell r="E40" t="str">
            <v>MEDICAL SUPPLIES - (NOT OTHERWISE SPECIFIED)</v>
          </cell>
          <cell r="F40" t="str">
            <v>215G0500</v>
          </cell>
        </row>
        <row r="41">
          <cell r="A41" t="str">
            <v>1915(c) waiver</v>
          </cell>
          <cell r="C41" t="str">
            <v>CLASS</v>
          </cell>
          <cell r="D41" t="str">
            <v xml:space="preserve">Adaptive Aids/DME </v>
          </cell>
          <cell r="E41" t="str">
            <v>SPECIFICATIONS ADAPTIVE AIDS</v>
          </cell>
          <cell r="F41" t="str">
            <v>241CG0607</v>
          </cell>
        </row>
        <row r="42">
          <cell r="A42" t="str">
            <v>1915(c) waiver</v>
          </cell>
          <cell r="C42" t="str">
            <v>CLASS</v>
          </cell>
          <cell r="D42" t="str">
            <v>Assessment or Evaluation</v>
          </cell>
          <cell r="E42" t="str">
            <v>CASE MANAGEMENT PARTIAL ASSESSMENT</v>
          </cell>
          <cell r="F42" t="str">
            <v>240G0203</v>
          </cell>
        </row>
        <row r="43">
          <cell r="A43" t="str">
            <v>1915(c) waiver</v>
          </cell>
          <cell r="C43" t="str">
            <v>CLASS</v>
          </cell>
          <cell r="D43" t="str">
            <v>Assessment or Evaluation</v>
          </cell>
          <cell r="E43" t="str">
            <v>DSA FULL ASSESSMENTS</v>
          </cell>
          <cell r="F43" t="str">
            <v>240BG0208</v>
          </cell>
        </row>
        <row r="44">
          <cell r="A44" t="str">
            <v>1915(c) waiver</v>
          </cell>
          <cell r="C44" t="str">
            <v>CLASS</v>
          </cell>
          <cell r="D44" t="str">
            <v>Assessment or Evaluation</v>
          </cell>
          <cell r="E44" t="str">
            <v>DSA PARTIAL ASSESSMENTS</v>
          </cell>
          <cell r="F44" t="str">
            <v>240BG0209</v>
          </cell>
        </row>
        <row r="45">
          <cell r="A45" t="str">
            <v>1915(c) waiver</v>
          </cell>
          <cell r="C45" t="str">
            <v>CLASS</v>
          </cell>
          <cell r="D45" t="str">
            <v>Assessment or Evaluation</v>
          </cell>
          <cell r="E45" t="str">
            <v>PSYCHOLOGICAL SERVICES PROFESSIONAL ASSESSMENT -ABL</v>
          </cell>
          <cell r="F45" t="str">
            <v>214G0403</v>
          </cell>
        </row>
        <row r="46">
          <cell r="A46" t="str">
            <v>1915(c) waiver</v>
          </cell>
          <cell r="C46" t="str">
            <v>CLASS</v>
          </cell>
          <cell r="D46" t="str">
            <v>Audiology</v>
          </cell>
          <cell r="E46" t="str">
            <v>AUDIOLOGY</v>
          </cell>
          <cell r="F46" t="str">
            <v>235U0300</v>
          </cell>
        </row>
        <row r="47">
          <cell r="A47" t="str">
            <v>1915(c) waiver</v>
          </cell>
          <cell r="C47" t="str">
            <v>CLASS</v>
          </cell>
          <cell r="D47" t="str">
            <v>Audiology</v>
          </cell>
          <cell r="E47" t="str">
            <v>AUDITORY INTEGRATION/ENHANCEMENT TRAINING</v>
          </cell>
          <cell r="F47" t="str">
            <v>235BU0306</v>
          </cell>
        </row>
        <row r="48">
          <cell r="A48" t="str">
            <v>1915(c) waiver</v>
          </cell>
          <cell r="C48" t="str">
            <v>CLASS</v>
          </cell>
          <cell r="D48" t="str">
            <v>Behavioral</v>
          </cell>
          <cell r="E48" t="str">
            <v>BEHAVIORAL SUPPORT</v>
          </cell>
          <cell r="F48" t="str">
            <v>243AH2019</v>
          </cell>
        </row>
        <row r="49">
          <cell r="A49" t="str">
            <v>1915(c) waiver</v>
          </cell>
          <cell r="C49" t="str">
            <v>CLASS</v>
          </cell>
          <cell r="D49" t="str">
            <v>Case Management</v>
          </cell>
          <cell r="E49" t="str">
            <v>CASE MANAGEMENT FIXED RATE</v>
          </cell>
          <cell r="F49" t="str">
            <v>212G0201</v>
          </cell>
        </row>
        <row r="50">
          <cell r="A50" t="str">
            <v>Title XX</v>
          </cell>
          <cell r="C50" t="str">
            <v>CLASS</v>
          </cell>
          <cell r="D50" t="str">
            <v>CMPAS</v>
          </cell>
          <cell r="E50" t="str">
            <v xml:space="preserve">CMPAS CLIENT DIRECTED SERVICES (AO) </v>
          </cell>
          <cell r="F50" t="str">
            <v>227AG0723</v>
          </cell>
        </row>
        <row r="51">
          <cell r="A51" t="str">
            <v>Title XX</v>
          </cell>
          <cell r="C51" t="str">
            <v>CLASS</v>
          </cell>
          <cell r="D51" t="str">
            <v>CMPAS</v>
          </cell>
          <cell r="E51" t="str">
            <v>CMPAS CLIENT DIRECTED SERVICES (CDS)</v>
          </cell>
          <cell r="F51" t="str">
            <v>227AG0722</v>
          </cell>
        </row>
        <row r="52">
          <cell r="A52" t="str">
            <v>1915(c) waiver</v>
          </cell>
          <cell r="C52" t="str">
            <v>CLASS</v>
          </cell>
          <cell r="D52" t="str">
            <v>CRT</v>
          </cell>
          <cell r="E52" t="str">
            <v>COGNITIVE REHABILITATION THERAPY</v>
          </cell>
          <cell r="F52" t="str">
            <v>261G6089</v>
          </cell>
        </row>
        <row r="53">
          <cell r="A53" t="str">
            <v>1915(c) waiver</v>
          </cell>
          <cell r="C53" t="str">
            <v>CLASS</v>
          </cell>
          <cell r="D53" t="str">
            <v>CRT</v>
          </cell>
          <cell r="E53" t="str">
            <v>COGNITIVE REHABILITATION THERAPY</v>
          </cell>
          <cell r="F53" t="str">
            <v>261G6089</v>
          </cell>
        </row>
        <row r="54">
          <cell r="A54" t="str">
            <v>1915(c) waiver</v>
          </cell>
          <cell r="C54" t="str">
            <v>CLASS</v>
          </cell>
          <cell r="D54" t="str">
            <v>CRT</v>
          </cell>
          <cell r="E54" t="str">
            <v>COGNITIVE REHABILITATION THERAPY (CDS)</v>
          </cell>
          <cell r="F54" t="str">
            <v>261VG6090</v>
          </cell>
        </row>
        <row r="55">
          <cell r="A55" t="str">
            <v>1915(c) waiver</v>
          </cell>
          <cell r="C55" t="str">
            <v>CLASS</v>
          </cell>
          <cell r="D55" t="str">
            <v>CRT</v>
          </cell>
          <cell r="E55" t="str">
            <v>COGNITIVE REHABILITATION THERAPY (CDS)</v>
          </cell>
          <cell r="F55" t="str">
            <v>261VG6090</v>
          </cell>
        </row>
        <row r="56">
          <cell r="A56" t="str">
            <v>1915(c) waiver</v>
          </cell>
          <cell r="C56" t="str">
            <v>CLASS</v>
          </cell>
          <cell r="D56" t="str">
            <v>DBMD and CLASS Assessments</v>
          </cell>
          <cell r="E56" t="str">
            <v>CASE MANAGEMENT FULL ASSESSMENT</v>
          </cell>
          <cell r="F56" t="str">
            <v>240G0204</v>
          </cell>
        </row>
        <row r="57">
          <cell r="A57" t="str">
            <v>1915(c) waiver</v>
          </cell>
          <cell r="C57" t="str">
            <v>CLASS</v>
          </cell>
          <cell r="D57" t="str">
            <v>Dental</v>
          </cell>
          <cell r="E57" t="str">
            <v>Dental</v>
          </cell>
          <cell r="F57" t="str">
            <v>25AN0601</v>
          </cell>
        </row>
        <row r="58">
          <cell r="A58" t="str">
            <v>1915(c) waiver</v>
          </cell>
          <cell r="C58" t="str">
            <v>CLASS</v>
          </cell>
          <cell r="D58" t="str">
            <v>Dental</v>
          </cell>
          <cell r="E58" t="str">
            <v>Dental</v>
          </cell>
          <cell r="F58" t="str">
            <v>25BN0602</v>
          </cell>
        </row>
        <row r="59">
          <cell r="A59" t="str">
            <v>1915(c) waiver</v>
          </cell>
          <cell r="C59" t="str">
            <v>CLASS</v>
          </cell>
          <cell r="D59" t="str">
            <v>Dietary</v>
          </cell>
          <cell r="E59" t="str">
            <v>DIETARY/NUTRITIONAL SERVICES</v>
          </cell>
          <cell r="F59" t="str">
            <v>234U0210</v>
          </cell>
        </row>
        <row r="60">
          <cell r="A60" t="str">
            <v>1915(c) waiver</v>
          </cell>
          <cell r="C60" t="str">
            <v>CLASS</v>
          </cell>
          <cell r="D60" t="str">
            <v>Dietary</v>
          </cell>
          <cell r="E60" t="str">
            <v>DIETARY/NUTRITIONAL SERVICES</v>
          </cell>
          <cell r="F60" t="str">
            <v>234U0210</v>
          </cell>
        </row>
        <row r="61">
          <cell r="A61" t="str">
            <v>1915(c) waiver</v>
          </cell>
          <cell r="C61" t="str">
            <v>CLASS</v>
          </cell>
          <cell r="D61" t="str">
            <v>Employment Services</v>
          </cell>
          <cell r="E61" t="str">
            <v>CLASS (CDS) -SUPPORTED EMPLOYMENT</v>
          </cell>
          <cell r="F61" t="str">
            <v>237VH2027</v>
          </cell>
        </row>
        <row r="62">
          <cell r="A62" t="str">
            <v>1915(c) waiver</v>
          </cell>
          <cell r="C62" t="str">
            <v>CLASS</v>
          </cell>
          <cell r="D62" t="str">
            <v>Employment Services</v>
          </cell>
          <cell r="E62" t="str">
            <v>CLASS SUPPORTED EMPLOYMENT (AO)</v>
          </cell>
          <cell r="F62" t="str">
            <v>237H2025</v>
          </cell>
        </row>
        <row r="63">
          <cell r="A63" t="str">
            <v>1915(c) waiver</v>
          </cell>
          <cell r="C63" t="str">
            <v>CLASS</v>
          </cell>
          <cell r="D63" t="str">
            <v>Employment Services</v>
          </cell>
          <cell r="E63" t="str">
            <v>EMPLOYMENT ASSISTANCE (AO)</v>
          </cell>
          <cell r="F63" t="str">
            <v>254H2026</v>
          </cell>
        </row>
        <row r="64">
          <cell r="A64" t="str">
            <v>1915(c) waiver</v>
          </cell>
          <cell r="C64" t="str">
            <v>CLASS</v>
          </cell>
          <cell r="D64" t="str">
            <v>Employment Services</v>
          </cell>
          <cell r="E64" t="str">
            <v>EMPLOYMENT ASSISTANCE (CDS)</v>
          </cell>
          <cell r="F64" t="str">
            <v>254VH2029</v>
          </cell>
        </row>
        <row r="65">
          <cell r="A65" t="str">
            <v>State Plan (Title XIX)</v>
          </cell>
          <cell r="C65" t="str">
            <v>CLASS</v>
          </cell>
          <cell r="D65" t="str">
            <v>ERS</v>
          </cell>
          <cell r="E65" t="str">
            <v>CFC ERS ONGOING MONTHS</v>
          </cell>
          <cell r="F65" t="str">
            <v>220CFCG1114</v>
          </cell>
        </row>
        <row r="66">
          <cell r="A66" t="str">
            <v>State Plan (Title XIX)</v>
          </cell>
          <cell r="C66" t="str">
            <v>CLASS</v>
          </cell>
          <cell r="D66" t="str">
            <v>ERS</v>
          </cell>
          <cell r="E66" t="str">
            <v>CFC ERS PURCHASE ONLY</v>
          </cell>
          <cell r="F66" t="str">
            <v>220CFCG1113</v>
          </cell>
        </row>
        <row r="67">
          <cell r="A67" t="str">
            <v>State Plan (Title XIX)</v>
          </cell>
          <cell r="C67" t="str">
            <v>CLASS</v>
          </cell>
          <cell r="D67" t="str">
            <v>ERS</v>
          </cell>
          <cell r="E67" t="str">
            <v>CFC ERS; INITIAL MONTH</v>
          </cell>
          <cell r="F67" t="str">
            <v>220CFCG1112</v>
          </cell>
        </row>
        <row r="68">
          <cell r="A68" t="str">
            <v>1915(c) waiver</v>
          </cell>
          <cell r="C68" t="str">
            <v>CLASS</v>
          </cell>
          <cell r="D68" t="str">
            <v>Family/Community Support</v>
          </cell>
          <cell r="E68" t="str">
            <v>CONTINUED FAMILY SUPPORT</v>
          </cell>
          <cell r="F68" t="str">
            <v>255AH0041</v>
          </cell>
        </row>
        <row r="69">
          <cell r="A69" t="str">
            <v>1915(c) waiver</v>
          </cell>
          <cell r="C69" t="str">
            <v>CLASS</v>
          </cell>
          <cell r="D69" t="str">
            <v>Family/Community Support</v>
          </cell>
          <cell r="E69" t="str">
            <v>SUPPORT FAMILY SERVICES</v>
          </cell>
          <cell r="F69" t="str">
            <v>255S5145</v>
          </cell>
        </row>
        <row r="70">
          <cell r="A70" t="str">
            <v>1915(c) waiver</v>
          </cell>
          <cell r="C70" t="str">
            <v>CLASS</v>
          </cell>
          <cell r="D70" t="str">
            <v>FMS</v>
          </cell>
          <cell r="E70" t="str">
            <v xml:space="preserve">AGENCY ADMIN HABILITATION (CDS) </v>
          </cell>
          <cell r="F70" t="str">
            <v>210S0124</v>
          </cell>
        </row>
        <row r="71">
          <cell r="A71" t="str">
            <v>State Plan (Title XIX)</v>
          </cell>
          <cell r="C71" t="str">
            <v>CLASS</v>
          </cell>
          <cell r="D71" t="str">
            <v>FMS</v>
          </cell>
          <cell r="E71" t="str">
            <v>CFC FMS (CDS)</v>
          </cell>
          <cell r="F71" t="str">
            <v>263CFVG1118</v>
          </cell>
        </row>
        <row r="72">
          <cell r="A72" t="str">
            <v>1915(c) waiver</v>
          </cell>
          <cell r="C72" t="str">
            <v>CLASS</v>
          </cell>
          <cell r="D72" t="str">
            <v>FMS</v>
          </cell>
          <cell r="E72" t="str">
            <v>CLASS MONTHLY ADMINISTRATION FEE (CDS)</v>
          </cell>
          <cell r="F72" t="str">
            <v>263VG0226</v>
          </cell>
        </row>
        <row r="73">
          <cell r="A73" t="str">
            <v>1915(c) waiver</v>
          </cell>
          <cell r="C73" t="str">
            <v>CLASS</v>
          </cell>
          <cell r="D73" t="str">
            <v>Home Modifications</v>
          </cell>
          <cell r="E73" t="str">
            <v>HOME MODIFICATIONS</v>
          </cell>
          <cell r="F73" t="str">
            <v>216G0608</v>
          </cell>
        </row>
        <row r="74">
          <cell r="A74" t="str">
            <v>1915(c) waiver</v>
          </cell>
          <cell r="C74" t="str">
            <v>CLASS</v>
          </cell>
          <cell r="D74" t="str">
            <v>Home Modifications</v>
          </cell>
          <cell r="E74" t="str">
            <v>INSPECTIONS HM MODS</v>
          </cell>
          <cell r="F74" t="str">
            <v>241GG0659</v>
          </cell>
        </row>
        <row r="75">
          <cell r="A75" t="str">
            <v>1915(c) waiver</v>
          </cell>
          <cell r="C75" t="str">
            <v>CLASS</v>
          </cell>
          <cell r="D75" t="str">
            <v>Home Modifications</v>
          </cell>
          <cell r="E75" t="str">
            <v>SPECIFICATIONS HM MODS</v>
          </cell>
          <cell r="F75" t="str">
            <v>241DG0604</v>
          </cell>
        </row>
        <row r="76">
          <cell r="A76" t="str">
            <v>1915(c) waiver</v>
          </cell>
          <cell r="C76" t="str">
            <v>CLASS</v>
          </cell>
          <cell r="D76" t="str">
            <v>In Home Respite</v>
          </cell>
          <cell r="E76" t="str">
            <v xml:space="preserve">AGENCY ADMIN IN HOME RESPITE (CDS) </v>
          </cell>
          <cell r="F76" t="str">
            <v>211G0171</v>
          </cell>
        </row>
        <row r="77">
          <cell r="A77" t="str">
            <v>1915(c) waiver</v>
          </cell>
          <cell r="C77" t="str">
            <v>CLASS</v>
          </cell>
          <cell r="D77" t="str">
            <v>In Home Respite</v>
          </cell>
          <cell r="E77" t="str">
            <v>RESPITE IN-HOME (CDS)</v>
          </cell>
          <cell r="F77" t="str">
            <v>211PVG0197</v>
          </cell>
        </row>
        <row r="78">
          <cell r="A78" t="str">
            <v>1915(c) waiver</v>
          </cell>
          <cell r="C78" t="str">
            <v>CLASS</v>
          </cell>
          <cell r="D78" t="str">
            <v>In Home Respite</v>
          </cell>
          <cell r="E78" t="str">
            <v>RESPITE IN-HOME (CDS) INDIVIDUAL</v>
          </cell>
          <cell r="F78" t="str">
            <v>211G0101</v>
          </cell>
        </row>
        <row r="79">
          <cell r="A79" t="str">
            <v>1915(c) waiver</v>
          </cell>
          <cell r="C79" t="str">
            <v>CLASS</v>
          </cell>
          <cell r="D79" t="str">
            <v>In Home Respite</v>
          </cell>
          <cell r="E79" t="str">
            <v>RESPITE-IN HOME RESPITE-DSA</v>
          </cell>
          <cell r="F79" t="str">
            <v>211G0100</v>
          </cell>
        </row>
        <row r="80">
          <cell r="A80" t="str">
            <v>1915(c) waiver</v>
          </cell>
          <cell r="C80" t="str">
            <v>CLASS</v>
          </cell>
          <cell r="D80" t="str">
            <v>Nursing</v>
          </cell>
          <cell r="E80" t="str">
            <v>(CDS) NURSING LVN</v>
          </cell>
          <cell r="F80" t="str">
            <v>213AVG0305</v>
          </cell>
        </row>
        <row r="81">
          <cell r="A81" t="str">
            <v>1915(c) waiver</v>
          </cell>
          <cell r="C81" t="str">
            <v>CLASS</v>
          </cell>
          <cell r="D81" t="str">
            <v>Nursing</v>
          </cell>
          <cell r="E81" t="str">
            <v>(CDS) NURSING RN</v>
          </cell>
          <cell r="F81" t="str">
            <v>213BVG0304</v>
          </cell>
        </row>
        <row r="82">
          <cell r="A82" t="str">
            <v>1915(c) waiver</v>
          </cell>
          <cell r="C82" t="str">
            <v>CLASS</v>
          </cell>
          <cell r="D82" t="str">
            <v>Nursing</v>
          </cell>
          <cell r="E82" t="str">
            <v>(CDS) SPECIALIZED NURSING LVN</v>
          </cell>
          <cell r="F82" t="str">
            <v>213DVG0307</v>
          </cell>
        </row>
        <row r="83">
          <cell r="A83" t="str">
            <v>1915(c) waiver</v>
          </cell>
          <cell r="C83" t="str">
            <v>CLASS</v>
          </cell>
          <cell r="D83" t="str">
            <v>Nursing</v>
          </cell>
          <cell r="E83" t="str">
            <v>(CDS) SPECIALIZED NURSING RN</v>
          </cell>
          <cell r="F83" t="str">
            <v>213CVG0306</v>
          </cell>
        </row>
        <row r="84">
          <cell r="A84" t="str">
            <v>1915(c) waiver</v>
          </cell>
          <cell r="C84" t="str">
            <v>CLASS</v>
          </cell>
          <cell r="D84" t="str">
            <v>Nursing</v>
          </cell>
          <cell r="E84" t="str">
            <v>NURSING CARE LVN-SKILLED CARE PROVIDED IN THE CLIENT'S HOME</v>
          </cell>
          <cell r="F84" t="str">
            <v>213G0301</v>
          </cell>
        </row>
        <row r="85">
          <cell r="A85" t="str">
            <v>1915(c) waiver</v>
          </cell>
          <cell r="C85" t="str">
            <v>CLASS</v>
          </cell>
          <cell r="D85" t="str">
            <v>Nursing</v>
          </cell>
          <cell r="E85" t="str">
            <v>NURSING CARE LVN-SKILLED CARE PROVIDED IN THE CLIENT'S HOME</v>
          </cell>
          <cell r="F85" t="str">
            <v>213G0301</v>
          </cell>
        </row>
        <row r="86">
          <cell r="A86" t="str">
            <v>1915(c) waiver</v>
          </cell>
          <cell r="C86" t="str">
            <v>CLASS</v>
          </cell>
          <cell r="D86" t="str">
            <v>Nursing</v>
          </cell>
          <cell r="E86" t="str">
            <v>NURSING SERVICES BY LPN/LVN</v>
          </cell>
          <cell r="F86" t="str">
            <v>213AG0302</v>
          </cell>
        </row>
        <row r="87">
          <cell r="A87" t="str">
            <v>1915(c) waiver</v>
          </cell>
          <cell r="C87" t="str">
            <v>CLASS</v>
          </cell>
          <cell r="D87" t="str">
            <v>Nursing</v>
          </cell>
          <cell r="E87" t="str">
            <v>NURSING SERVICES RN</v>
          </cell>
          <cell r="F87" t="str">
            <v>213BG0303</v>
          </cell>
        </row>
        <row r="88">
          <cell r="A88" t="str">
            <v>1915(c) waiver</v>
          </cell>
          <cell r="C88" t="str">
            <v>CLASS</v>
          </cell>
          <cell r="D88" t="str">
            <v>Nursing</v>
          </cell>
          <cell r="E88" t="str">
            <v>SPECIALIZED NURSING LVN</v>
          </cell>
          <cell r="F88" t="str">
            <v>213DT1003</v>
          </cell>
        </row>
        <row r="89">
          <cell r="A89" t="str">
            <v>1915(c) waiver</v>
          </cell>
          <cell r="C89" t="str">
            <v>CLASS</v>
          </cell>
          <cell r="D89" t="str">
            <v>Nursing</v>
          </cell>
          <cell r="E89" t="str">
            <v>SPECIALIZED NURSING RN</v>
          </cell>
          <cell r="F89" t="str">
            <v>213CT1002</v>
          </cell>
        </row>
        <row r="90">
          <cell r="A90" t="str">
            <v>1915(c) waiver</v>
          </cell>
          <cell r="C90" t="str">
            <v>CLASS</v>
          </cell>
          <cell r="D90" t="str">
            <v>Other Administrative Fees</v>
          </cell>
          <cell r="E90" t="str">
            <v>CLASS ORIENTATION FEE (CDS)</v>
          </cell>
          <cell r="F90" t="str">
            <v>262VG0222</v>
          </cell>
        </row>
        <row r="91">
          <cell r="A91" t="str">
            <v>1915(c) waiver</v>
          </cell>
          <cell r="C91" t="str">
            <v>CLASS</v>
          </cell>
          <cell r="D91" t="str">
            <v>Out of Home Respite</v>
          </cell>
          <cell r="E91" t="str">
            <v xml:space="preserve">AGENCY ADMIN OUT OF HOME RESPITE (CDS) </v>
          </cell>
          <cell r="F91" t="str">
            <v>211AG0170</v>
          </cell>
        </row>
        <row r="92">
          <cell r="A92" t="str">
            <v>1915(c) waiver</v>
          </cell>
          <cell r="C92" t="str">
            <v>CLASS</v>
          </cell>
          <cell r="D92" t="str">
            <v>Out of Home Respite</v>
          </cell>
          <cell r="E92" t="str">
            <v>RESPITE OUT-OF-HOME</v>
          </cell>
          <cell r="F92" t="str">
            <v>211AG0128</v>
          </cell>
        </row>
        <row r="93">
          <cell r="A93" t="str">
            <v>1915(c) waiver</v>
          </cell>
          <cell r="C93" t="str">
            <v>CLASS</v>
          </cell>
          <cell r="D93" t="str">
            <v>Out of Home Respite</v>
          </cell>
          <cell r="E93" t="str">
            <v>RESPITE OUT-OF-HOME (CDS)</v>
          </cell>
          <cell r="F93" t="str">
            <v>211AVG0196</v>
          </cell>
        </row>
        <row r="94">
          <cell r="A94" t="str">
            <v>State Plan (Title XIX)</v>
          </cell>
          <cell r="C94" t="str">
            <v>CLASS</v>
          </cell>
          <cell r="D94" t="str">
            <v>PAS/HAB</v>
          </cell>
          <cell r="E94" t="str">
            <v>CFC PAS/HAB</v>
          </cell>
          <cell r="F94" t="str">
            <v>210CFCG1108</v>
          </cell>
        </row>
        <row r="95">
          <cell r="A95" t="str">
            <v>State Plan (Title XIX)</v>
          </cell>
          <cell r="C95" t="str">
            <v>CLASS</v>
          </cell>
          <cell r="D95" t="str">
            <v>PAS/HAB</v>
          </cell>
          <cell r="E95" t="str">
            <v>CFC PAS/HAB (CDS)</v>
          </cell>
          <cell r="F95" t="str">
            <v>210CFVG1109</v>
          </cell>
        </row>
        <row r="96">
          <cell r="A96" t="str">
            <v>1915(c) waiver</v>
          </cell>
          <cell r="C96" t="str">
            <v>CLASS</v>
          </cell>
          <cell r="D96" t="str">
            <v>PAS/HAB</v>
          </cell>
          <cell r="E96" t="str">
            <v>HAB TRANSPORTATION</v>
          </cell>
          <cell r="F96" t="str">
            <v>248G0248</v>
          </cell>
        </row>
        <row r="97">
          <cell r="A97" t="str">
            <v>1915(c) waiver</v>
          </cell>
          <cell r="C97" t="str">
            <v>CLASS</v>
          </cell>
          <cell r="D97" t="str">
            <v>PAS/HAB</v>
          </cell>
          <cell r="E97" t="str">
            <v>HAB TRANSPORTATION (CDS)</v>
          </cell>
          <cell r="F97" t="str">
            <v>248VG0249</v>
          </cell>
        </row>
        <row r="98">
          <cell r="A98" t="str">
            <v>1915(c) waiver</v>
          </cell>
          <cell r="C98" t="str">
            <v>CLASS</v>
          </cell>
          <cell r="D98" t="str">
            <v>PAS/HAB</v>
          </cell>
          <cell r="E98" t="str">
            <v>HABILITATION ADLS</v>
          </cell>
          <cell r="F98" t="str">
            <v>210S0101</v>
          </cell>
        </row>
        <row r="99">
          <cell r="A99" t="str">
            <v>1915(c) waiver</v>
          </cell>
          <cell r="C99" t="str">
            <v>CLASS</v>
          </cell>
          <cell r="D99" t="str">
            <v>PAS/HAB</v>
          </cell>
          <cell r="E99" t="str">
            <v>HABILITATION ADL'S (CDS)</v>
          </cell>
          <cell r="F99" t="str">
            <v>210VG6086</v>
          </cell>
        </row>
        <row r="100">
          <cell r="A100" t="str">
            <v>1915(c) waiver</v>
          </cell>
          <cell r="C100" t="str">
            <v>CLASS</v>
          </cell>
          <cell r="D100" t="str">
            <v>PAS/HAB</v>
          </cell>
          <cell r="E100" t="str">
            <v>HABILITATION ATTENDANT CARE SERVICES DELEGATED NURSING</v>
          </cell>
          <cell r="F100" t="str">
            <v>210AS0105</v>
          </cell>
        </row>
        <row r="101">
          <cell r="A101" t="str">
            <v>1915(c) waiver</v>
          </cell>
          <cell r="C101" t="str">
            <v>CLASS</v>
          </cell>
          <cell r="D101" t="str">
            <v>PAS/HAB</v>
          </cell>
          <cell r="E101" t="str">
            <v>HABILITATION PREVOCATIONAL</v>
          </cell>
          <cell r="F101" t="str">
            <v>210BS0107</v>
          </cell>
        </row>
        <row r="102">
          <cell r="A102" t="str">
            <v>1915(c) waiver</v>
          </cell>
          <cell r="C102" t="str">
            <v>CLASS</v>
          </cell>
          <cell r="D102" t="str">
            <v>PAS/HAB</v>
          </cell>
          <cell r="E102" t="str">
            <v>HABILITATION TRAINING</v>
          </cell>
          <cell r="F102" t="str">
            <v>210S0100</v>
          </cell>
        </row>
        <row r="103">
          <cell r="A103" t="str">
            <v>1915(c) waiver</v>
          </cell>
          <cell r="C103" t="str">
            <v>CLASS</v>
          </cell>
          <cell r="D103" t="str">
            <v>PAS/HAB</v>
          </cell>
          <cell r="E103" t="str">
            <v>HABILITATION TRAINING (CDS)</v>
          </cell>
          <cell r="F103" t="str">
            <v>210VG6085</v>
          </cell>
        </row>
        <row r="104">
          <cell r="A104" t="str">
            <v>1915(c) waiver</v>
          </cell>
          <cell r="C104" t="str">
            <v>CLASS</v>
          </cell>
          <cell r="D104" t="str">
            <v>PAS/HAB</v>
          </cell>
          <cell r="E104" t="str">
            <v>PAS DELEGATED (FOR FUTURE USE) (AO)</v>
          </cell>
          <cell r="F104" t="str">
            <v>217AG0705</v>
          </cell>
        </row>
        <row r="105">
          <cell r="A105" t="str">
            <v>1915(c) waiver</v>
          </cell>
          <cell r="C105" t="str">
            <v>CLASS</v>
          </cell>
          <cell r="D105" t="str">
            <v>PAS/HAB</v>
          </cell>
          <cell r="E105" t="str">
            <v>PAS PROTECTIVE SUPERVISION (FOR FUTURE USE) (AO)</v>
          </cell>
          <cell r="F105" t="str">
            <v>217BG0706</v>
          </cell>
        </row>
        <row r="106">
          <cell r="A106" t="str">
            <v>1915(c) waiver</v>
          </cell>
          <cell r="C106" t="str">
            <v>CLASS</v>
          </cell>
          <cell r="D106" t="str">
            <v>PT/OT/ST</v>
          </cell>
          <cell r="E106" t="str">
            <v>In-Home OCCUPATIONAL THERAPY - CDS - EVV OHFH</v>
          </cell>
          <cell r="F106" t="str">
            <v>27VG2210</v>
          </cell>
        </row>
        <row r="107">
          <cell r="A107" t="str">
            <v>1915(c) waiver</v>
          </cell>
          <cell r="C107" t="str">
            <v>CLASS</v>
          </cell>
          <cell r="D107" t="str">
            <v>PT/OT/ST</v>
          </cell>
          <cell r="E107" t="str">
            <v>In-Home OCCUPATIONAL THERAPY - CDS - Other Residential Types</v>
          </cell>
          <cell r="F107" t="str">
            <v>27VG2228</v>
          </cell>
        </row>
        <row r="108">
          <cell r="A108" t="str">
            <v>1915(c) waiver</v>
          </cell>
          <cell r="C108" t="str">
            <v>CLASS</v>
          </cell>
          <cell r="D108" t="str">
            <v>PT/OT/ST</v>
          </cell>
          <cell r="E108" t="str">
            <v>In-Home OCCUPATIONAL THERAPY - EVV OHFH</v>
          </cell>
          <cell r="F108" t="str">
            <v>27G2200</v>
          </cell>
        </row>
        <row r="109">
          <cell r="A109" t="str">
            <v>1915(c) waiver</v>
          </cell>
          <cell r="C109" t="str">
            <v>CLASS</v>
          </cell>
          <cell r="D109" t="str">
            <v>PT/OT/ST</v>
          </cell>
          <cell r="E109" t="str">
            <v>In-Home OCCUPATIONAL THERAPY - Other Residential Types</v>
          </cell>
          <cell r="F109" t="str">
            <v>27G2218</v>
          </cell>
        </row>
        <row r="110">
          <cell r="A110" t="str">
            <v>1915(c) waiver</v>
          </cell>
          <cell r="C110" t="str">
            <v>CLASS</v>
          </cell>
          <cell r="D110" t="str">
            <v>PT/OT/ST</v>
          </cell>
          <cell r="E110" t="str">
            <v>In-Home PHYSICAL THERAPY - CDS - EVV OHFH</v>
          </cell>
          <cell r="F110" t="str">
            <v>28VG2211</v>
          </cell>
        </row>
        <row r="111">
          <cell r="A111" t="str">
            <v>1915(c) waiver</v>
          </cell>
          <cell r="C111" t="str">
            <v>CLASS</v>
          </cell>
          <cell r="D111" t="str">
            <v>PT/OT/ST</v>
          </cell>
          <cell r="E111" t="str">
            <v>In-Home PHYSICAL THERAPY - CDS - Other Residential Types</v>
          </cell>
          <cell r="F111" t="str">
            <v>28VG2229</v>
          </cell>
        </row>
        <row r="112">
          <cell r="A112" t="str">
            <v>1915(c) waiver</v>
          </cell>
          <cell r="C112" t="str">
            <v>CLASS</v>
          </cell>
          <cell r="D112" t="str">
            <v>PT/OT/ST</v>
          </cell>
          <cell r="E112" t="str">
            <v>In-Home PHYSICAL THERAPY - EVV OHFH</v>
          </cell>
          <cell r="F112" t="str">
            <v>28G2201</v>
          </cell>
        </row>
        <row r="113">
          <cell r="A113" t="str">
            <v>1915(c) waiver</v>
          </cell>
          <cell r="C113" t="str">
            <v>CLASS</v>
          </cell>
          <cell r="D113" t="str">
            <v>PT/OT/ST</v>
          </cell>
          <cell r="E113" t="str">
            <v>In-Home PHYSICAL THERAPY - Other Residential Types</v>
          </cell>
          <cell r="F113" t="str">
            <v>28G2219</v>
          </cell>
        </row>
        <row r="114">
          <cell r="A114" t="str">
            <v>1915(c) waiver</v>
          </cell>
          <cell r="C114" t="str">
            <v>CLASS</v>
          </cell>
          <cell r="D114" t="str">
            <v>PT/OT/ST</v>
          </cell>
          <cell r="E114" t="str">
            <v>OCCUPATIONAL THERAPY</v>
          </cell>
          <cell r="F114" t="str">
            <v>27G0400</v>
          </cell>
        </row>
        <row r="115">
          <cell r="A115" t="str">
            <v>1915(c) waiver</v>
          </cell>
          <cell r="C115" t="str">
            <v>CLASS</v>
          </cell>
          <cell r="D115" t="str">
            <v>PT/OT/ST</v>
          </cell>
          <cell r="E115" t="str">
            <v>OCCUPATIONAL THERAPY - CDS - Out-of-Home</v>
          </cell>
          <cell r="F115" t="str">
            <v>27VG2246</v>
          </cell>
        </row>
        <row r="116">
          <cell r="A116" t="str">
            <v>1915(c) waiver</v>
          </cell>
          <cell r="C116" t="str">
            <v>CLASS</v>
          </cell>
          <cell r="D116" t="str">
            <v>PT/OT/ST</v>
          </cell>
          <cell r="E116" t="str">
            <v>OCCUPATIONAL THERAPY - Out-of-Home</v>
          </cell>
          <cell r="F116" t="str">
            <v>27G2236</v>
          </cell>
        </row>
        <row r="117">
          <cell r="A117" t="str">
            <v>1915(c) waiver</v>
          </cell>
          <cell r="C117" t="str">
            <v>CLASS</v>
          </cell>
          <cell r="D117" t="str">
            <v>PT/OT/ST</v>
          </cell>
          <cell r="E117" t="str">
            <v>OCCUPATIONAL THERAPY (CDS)</v>
          </cell>
          <cell r="F117" t="str">
            <v>27VG0408</v>
          </cell>
        </row>
        <row r="118">
          <cell r="A118" t="str">
            <v>1915(c) waiver</v>
          </cell>
          <cell r="C118" t="str">
            <v>CLASS</v>
          </cell>
          <cell r="D118" t="str">
            <v>PT/OT/ST</v>
          </cell>
          <cell r="E118" t="str">
            <v>OCCUPATIONAL THERAPY (CDS) TELEHEALTH</v>
          </cell>
          <cell r="F118" t="str">
            <v>27VG0408</v>
          </cell>
        </row>
        <row r="119">
          <cell r="A119" t="str">
            <v>1915(c) waiver</v>
          </cell>
          <cell r="C119" t="str">
            <v>CLASS</v>
          </cell>
          <cell r="D119" t="str">
            <v>PT/OT/ST</v>
          </cell>
          <cell r="E119" t="str">
            <v>OCCUPATIONAL THERAPY- TELEHEALTH</v>
          </cell>
          <cell r="F119" t="str">
            <v>27G0400</v>
          </cell>
        </row>
        <row r="120">
          <cell r="A120" t="str">
            <v>1915(c) waiver</v>
          </cell>
          <cell r="C120" t="str">
            <v>CLASS</v>
          </cell>
          <cell r="D120" t="str">
            <v>PT/OT/ST</v>
          </cell>
          <cell r="E120" t="str">
            <v>PHYSICAL THERAPY</v>
          </cell>
          <cell r="F120" t="str">
            <v>28G0401</v>
          </cell>
        </row>
        <row r="121">
          <cell r="A121" t="str">
            <v>1915(c) waiver</v>
          </cell>
          <cell r="C121" t="str">
            <v>CLASS</v>
          </cell>
          <cell r="D121" t="str">
            <v>PT/OT/ST</v>
          </cell>
          <cell r="E121" t="str">
            <v>PHYSICAL THERAPY - CDS - Out-of-Home</v>
          </cell>
          <cell r="F121" t="str">
            <v>28VG2247</v>
          </cell>
        </row>
        <row r="122">
          <cell r="A122" t="str">
            <v>1915(c) waiver</v>
          </cell>
          <cell r="C122" t="str">
            <v>CLASS</v>
          </cell>
          <cell r="D122" t="str">
            <v>PT/OT/ST</v>
          </cell>
          <cell r="E122" t="str">
            <v>PHYSICAL THERAPY - Out-of-Home</v>
          </cell>
          <cell r="F122" t="str">
            <v>28G2237</v>
          </cell>
        </row>
        <row r="123">
          <cell r="A123" t="str">
            <v>1915(c) waiver</v>
          </cell>
          <cell r="C123" t="str">
            <v>CLASS</v>
          </cell>
          <cell r="D123" t="str">
            <v>PT/OT/ST</v>
          </cell>
          <cell r="E123" t="str">
            <v>PHYSICAL THERAPY (CDS)</v>
          </cell>
          <cell r="F123" t="str">
            <v>28VG0409</v>
          </cell>
        </row>
        <row r="124">
          <cell r="A124" t="str">
            <v>1915(c) waiver</v>
          </cell>
          <cell r="C124" t="str">
            <v>CLASS</v>
          </cell>
          <cell r="D124" t="str">
            <v>PT/OT/ST</v>
          </cell>
          <cell r="E124" t="str">
            <v>PHYSICAL THERAPY (CDS) TELEHEALTH</v>
          </cell>
          <cell r="F124" t="str">
            <v>28VG0409</v>
          </cell>
        </row>
        <row r="125">
          <cell r="A125" t="str">
            <v>1915(c) waiver</v>
          </cell>
          <cell r="C125" t="str">
            <v>CLASS</v>
          </cell>
          <cell r="D125" t="str">
            <v>PT/OT/ST</v>
          </cell>
          <cell r="E125" t="str">
            <v>PHYSICAL THERAPY- TELEHEALTH</v>
          </cell>
          <cell r="F125" t="str">
            <v>28G0401</v>
          </cell>
        </row>
        <row r="126">
          <cell r="A126" t="str">
            <v>1915(c) waiver</v>
          </cell>
          <cell r="C126" t="str">
            <v>CLASS</v>
          </cell>
          <cell r="D126" t="str">
            <v>PT/OT/ST</v>
          </cell>
          <cell r="E126" t="str">
            <v>SPEECH THERAPY</v>
          </cell>
          <cell r="F126" t="str">
            <v>29G0402</v>
          </cell>
        </row>
        <row r="127">
          <cell r="A127" t="str">
            <v>1915(c) waiver</v>
          </cell>
          <cell r="C127" t="str">
            <v>CLASS</v>
          </cell>
          <cell r="D127" t="str">
            <v>PT/OT/ST</v>
          </cell>
          <cell r="E127" t="str">
            <v>SPEECH THERAPY- TELEHEALTH</v>
          </cell>
          <cell r="F127" t="str">
            <v>29G0402</v>
          </cell>
        </row>
        <row r="128">
          <cell r="A128" t="str">
            <v>1915(c) waiver</v>
          </cell>
          <cell r="C128" t="str">
            <v>CLASS</v>
          </cell>
          <cell r="D128" t="str">
            <v>PT/OT/ST</v>
          </cell>
          <cell r="E128" t="str">
            <v>SPEECH/LANGUAGE PATHOLOGY THERAPY (CDS)</v>
          </cell>
          <cell r="F128" t="str">
            <v>29VG0410</v>
          </cell>
        </row>
        <row r="129">
          <cell r="A129" t="str">
            <v>1915(c) waiver</v>
          </cell>
          <cell r="C129" t="str">
            <v>CLASS</v>
          </cell>
          <cell r="D129" t="str">
            <v>PT/OT/ST</v>
          </cell>
          <cell r="E129" t="str">
            <v>SPEECH/LANGUAGE PATHOLOGY THERAPY (CDS) TELEHEALTH</v>
          </cell>
          <cell r="F129" t="str">
            <v>29VG0410</v>
          </cell>
        </row>
        <row r="130">
          <cell r="A130" t="str">
            <v>1915(c) waiver</v>
          </cell>
          <cell r="C130" t="str">
            <v>CLASS</v>
          </cell>
          <cell r="D130" t="str">
            <v>Requisition Fees</v>
          </cell>
          <cell r="E130" t="str">
            <v>ADP AIDES/REQUISITION FEES 0.00 499.99</v>
          </cell>
          <cell r="F130" t="str">
            <v>241G0515</v>
          </cell>
        </row>
        <row r="131">
          <cell r="A131" t="str">
            <v>1915(c) waiver</v>
          </cell>
          <cell r="C131" t="str">
            <v>CLASS</v>
          </cell>
          <cell r="D131" t="str">
            <v>Requisition Fees</v>
          </cell>
          <cell r="E131" t="str">
            <v>ADP AIDES/REQUISITION FEES 1000.00 1499.99</v>
          </cell>
          <cell r="F131" t="str">
            <v>241G0517</v>
          </cell>
        </row>
        <row r="132">
          <cell r="A132" t="str">
            <v>1915(c) waiver</v>
          </cell>
          <cell r="C132" t="str">
            <v>CLASS</v>
          </cell>
          <cell r="D132" t="str">
            <v>Requisition Fees</v>
          </cell>
          <cell r="E132" t="str">
            <v>ADP AIDES/REQUISITION FEES 1500.00 1999.99</v>
          </cell>
          <cell r="F132" t="str">
            <v>241G0518</v>
          </cell>
        </row>
        <row r="133">
          <cell r="A133" t="str">
            <v>1915(c) waiver</v>
          </cell>
          <cell r="C133" t="str">
            <v>CLASS</v>
          </cell>
          <cell r="D133" t="str">
            <v>Requisition Fees</v>
          </cell>
          <cell r="E133" t="str">
            <v>ADP AIDES/REQUISITION FEES 2000.00 2499.99</v>
          </cell>
          <cell r="F133" t="str">
            <v>241G0519</v>
          </cell>
        </row>
        <row r="134">
          <cell r="A134" t="str">
            <v>1915(c) waiver</v>
          </cell>
          <cell r="C134" t="str">
            <v>CLASS</v>
          </cell>
          <cell r="D134" t="str">
            <v>Requisition Fees</v>
          </cell>
          <cell r="E134" t="str">
            <v>ADP AIDES/REQUISITION FEES 2500.00 2999.99</v>
          </cell>
          <cell r="F134" t="str">
            <v>241G0520</v>
          </cell>
        </row>
        <row r="135">
          <cell r="A135" t="str">
            <v>1915(c) waiver</v>
          </cell>
          <cell r="C135" t="str">
            <v>CLASS</v>
          </cell>
          <cell r="D135" t="str">
            <v>Requisition Fees</v>
          </cell>
          <cell r="E135" t="str">
            <v>ADP AIDES/REQUISITION FEES 3000.00 3499.99</v>
          </cell>
          <cell r="F135" t="str">
            <v>241G0521</v>
          </cell>
        </row>
        <row r="136">
          <cell r="A136" t="str">
            <v>1915(c) waiver</v>
          </cell>
          <cell r="C136" t="str">
            <v>CLASS</v>
          </cell>
          <cell r="D136" t="str">
            <v>Requisition Fees</v>
          </cell>
          <cell r="E136" t="str">
            <v>ADP AIDES/REQUISITION FEES 3500.00 3999.99</v>
          </cell>
          <cell r="F136" t="str">
            <v>241G0522</v>
          </cell>
        </row>
        <row r="137">
          <cell r="A137" t="str">
            <v>1915(c) waiver</v>
          </cell>
          <cell r="C137" t="str">
            <v>CLASS</v>
          </cell>
          <cell r="D137" t="str">
            <v>Requisition Fees</v>
          </cell>
          <cell r="E137" t="str">
            <v>ADP AIDES/REQUISITION FEES 4000.00 4499.99</v>
          </cell>
          <cell r="F137" t="str">
            <v>241G0523</v>
          </cell>
        </row>
        <row r="138">
          <cell r="A138" t="str">
            <v>1915(c) waiver</v>
          </cell>
          <cell r="C138" t="str">
            <v>CLASS</v>
          </cell>
          <cell r="D138" t="str">
            <v>Requisition Fees</v>
          </cell>
          <cell r="E138" t="str">
            <v>ADP AIDES/REQUISITION FEES 4500.00 4999.99</v>
          </cell>
          <cell r="F138" t="str">
            <v>241G0524</v>
          </cell>
        </row>
        <row r="139">
          <cell r="A139" t="str">
            <v>1915(c) waiver</v>
          </cell>
          <cell r="C139" t="str">
            <v>CLASS</v>
          </cell>
          <cell r="D139" t="str">
            <v>Requisition Fees</v>
          </cell>
          <cell r="E139" t="str">
            <v>ADP AIDES/REQUISITION FEES 500.00 999.99</v>
          </cell>
          <cell r="F139" t="str">
            <v>241G0516</v>
          </cell>
        </row>
        <row r="140">
          <cell r="A140" t="str">
            <v>1915(c) waiver</v>
          </cell>
          <cell r="C140" t="str">
            <v>CLASS</v>
          </cell>
          <cell r="D140" t="str">
            <v>Requisition Fees</v>
          </cell>
          <cell r="E140" t="str">
            <v>ADP AIDES/REQUISITION FEES 5000.00 OVER</v>
          </cell>
          <cell r="F140" t="str">
            <v>241G0525</v>
          </cell>
        </row>
        <row r="141">
          <cell r="A141" t="str">
            <v>1915(c) waiver</v>
          </cell>
          <cell r="C141" t="str">
            <v>CLASS</v>
          </cell>
          <cell r="D141" t="str">
            <v>Requisition Fees</v>
          </cell>
          <cell r="E141" t="str">
            <v>SPECIALIZED THERAPIES/REQ FEES 0.00 499.99</v>
          </cell>
          <cell r="F141" t="str">
            <v>241FG0648</v>
          </cell>
        </row>
        <row r="142">
          <cell r="A142" t="str">
            <v>1915(c) waiver</v>
          </cell>
          <cell r="C142" t="str">
            <v>CLASS</v>
          </cell>
          <cell r="D142" t="str">
            <v>Requisition Fees</v>
          </cell>
          <cell r="E142" t="str">
            <v>SPECIALIZED THERAPIES/REQ FEES 1000.00 1499.99</v>
          </cell>
          <cell r="F142" t="str">
            <v>241FG0650</v>
          </cell>
        </row>
        <row r="143">
          <cell r="A143" t="str">
            <v>1915(c) waiver</v>
          </cell>
          <cell r="C143" t="str">
            <v>CLASS</v>
          </cell>
          <cell r="D143" t="str">
            <v>Requisition Fees</v>
          </cell>
          <cell r="E143" t="str">
            <v>SPECIALIZED THERAPIES/REQ FEES 1500.00 1999.99</v>
          </cell>
          <cell r="F143" t="str">
            <v>241FG0651</v>
          </cell>
        </row>
        <row r="144">
          <cell r="A144" t="str">
            <v>1915(c) waiver</v>
          </cell>
          <cell r="C144" t="str">
            <v>CLASS</v>
          </cell>
          <cell r="D144" t="str">
            <v>Requisition Fees</v>
          </cell>
          <cell r="E144" t="str">
            <v>SPECIALIZED THERAPIES/REQ FEES 2000.00 2499.99</v>
          </cell>
          <cell r="F144" t="str">
            <v>241FG0652</v>
          </cell>
        </row>
        <row r="145">
          <cell r="A145" t="str">
            <v>1915(c) waiver</v>
          </cell>
          <cell r="C145" t="str">
            <v>CLASS</v>
          </cell>
          <cell r="D145" t="str">
            <v>Requisition Fees</v>
          </cell>
          <cell r="E145" t="str">
            <v>SPECIALIZED THERAPIES/REQ FEES 2500.00 2999.99</v>
          </cell>
          <cell r="F145" t="str">
            <v>241FG0653</v>
          </cell>
        </row>
        <row r="146">
          <cell r="A146" t="str">
            <v>1915(c) waiver</v>
          </cell>
          <cell r="C146" t="str">
            <v>CLASS</v>
          </cell>
          <cell r="D146" t="str">
            <v>Requisition Fees</v>
          </cell>
          <cell r="E146" t="str">
            <v>SPECIALIZED THERAPIES/REQ FEES 3000.00 3499.99</v>
          </cell>
          <cell r="F146" t="str">
            <v>241FG0654</v>
          </cell>
        </row>
        <row r="147">
          <cell r="A147" t="str">
            <v>1915(c) waiver</v>
          </cell>
          <cell r="C147" t="str">
            <v>CLASS</v>
          </cell>
          <cell r="D147" t="str">
            <v>Requisition Fees</v>
          </cell>
          <cell r="E147" t="str">
            <v>SPECIALIZED THERAPIES/REQ FEES 3500.00 3499.99</v>
          </cell>
          <cell r="F147" t="str">
            <v>241FG0655</v>
          </cell>
        </row>
        <row r="148">
          <cell r="A148" t="str">
            <v>1915(c) waiver</v>
          </cell>
          <cell r="C148" t="str">
            <v>CLASS</v>
          </cell>
          <cell r="D148" t="str">
            <v>Requisition Fees</v>
          </cell>
          <cell r="E148" t="str">
            <v>SPECIALIZED THERAPIES/REQ FEES 4000.00 4499.99</v>
          </cell>
          <cell r="F148" t="str">
            <v>241FG0656</v>
          </cell>
        </row>
        <row r="149">
          <cell r="A149" t="str">
            <v>1915(c) waiver</v>
          </cell>
          <cell r="C149" t="str">
            <v>CLASS</v>
          </cell>
          <cell r="D149" t="str">
            <v>Requisition Fees</v>
          </cell>
          <cell r="E149" t="str">
            <v>SPECIALIZED THERAPIES/REQ FEES 4500.00 4999.99</v>
          </cell>
          <cell r="F149" t="str">
            <v>241FG0657</v>
          </cell>
        </row>
        <row r="150">
          <cell r="A150" t="str">
            <v>1915(c) waiver</v>
          </cell>
          <cell r="C150" t="str">
            <v>CLASS</v>
          </cell>
          <cell r="D150" t="str">
            <v>Requisition Fees</v>
          </cell>
          <cell r="E150" t="str">
            <v>SPECIALIZED THERAPIES/REQ FEES 500.00 999.99</v>
          </cell>
          <cell r="F150" t="str">
            <v>241FG0649</v>
          </cell>
        </row>
        <row r="151">
          <cell r="A151" t="str">
            <v>1915(c) waiver</v>
          </cell>
          <cell r="C151" t="str">
            <v>CLASS</v>
          </cell>
          <cell r="D151" t="str">
            <v>Requisition Fees</v>
          </cell>
          <cell r="E151" t="str">
            <v>SPECIALIZED THERAPIES/REQ FEES 5000.00 OVER</v>
          </cell>
          <cell r="F151" t="str">
            <v>241FG0658</v>
          </cell>
        </row>
        <row r="152">
          <cell r="A152" t="str">
            <v>1915(c) waiver</v>
          </cell>
          <cell r="C152" t="str">
            <v>CLASS</v>
          </cell>
          <cell r="D152" t="str">
            <v>TAS At Cost</v>
          </cell>
          <cell r="E152" t="str">
            <v>TRANSITION ASSISTANCE SERVICES (TAS)</v>
          </cell>
          <cell r="F152" t="str">
            <v>253T2038</v>
          </cell>
        </row>
        <row r="153">
          <cell r="A153" t="str">
            <v>1915(c) waiver</v>
          </cell>
          <cell r="C153" t="str">
            <v>CLASS</v>
          </cell>
          <cell r="D153" t="str">
            <v>Specialized Therapies</v>
          </cell>
          <cell r="E153" t="str">
            <v>AQUATIC THERAPY</v>
          </cell>
          <cell r="F153" t="str">
            <v>242DG0493</v>
          </cell>
        </row>
        <row r="154">
          <cell r="A154" t="str">
            <v>1915(c) waiver</v>
          </cell>
          <cell r="C154" t="str">
            <v>CLASS</v>
          </cell>
          <cell r="D154" t="str">
            <v>Specialized Therapies</v>
          </cell>
          <cell r="E154" t="str">
            <v>HIPPOTHERAPY BY OT</v>
          </cell>
          <cell r="F154" t="str">
            <v>242EG0495</v>
          </cell>
        </row>
        <row r="155">
          <cell r="A155" t="str">
            <v>1915(c) waiver</v>
          </cell>
          <cell r="C155" t="str">
            <v>CLASS</v>
          </cell>
          <cell r="D155" t="str">
            <v>Specialized Therapies</v>
          </cell>
          <cell r="E155" t="str">
            <v>HIPPOTHERAPY BY PT</v>
          </cell>
          <cell r="F155" t="str">
            <v>242EG0496</v>
          </cell>
        </row>
        <row r="156">
          <cell r="A156" t="str">
            <v>1915(c) waiver</v>
          </cell>
          <cell r="C156" t="str">
            <v>CLASS</v>
          </cell>
          <cell r="D156" t="str">
            <v>Specialized Therapies</v>
          </cell>
          <cell r="E156" t="str">
            <v>HIPPOTHERAPY CERTIFIED RIDING INSTRUCTOR</v>
          </cell>
          <cell r="F156" t="str">
            <v>242EG0494</v>
          </cell>
        </row>
        <row r="157">
          <cell r="A157" t="str">
            <v>1915(c) waiver</v>
          </cell>
          <cell r="C157" t="str">
            <v>CLASS</v>
          </cell>
          <cell r="D157" t="str">
            <v>Specialized Therapies</v>
          </cell>
          <cell r="E157" t="str">
            <v>MASSAGE THERAPY</v>
          </cell>
          <cell r="F157" t="str">
            <v>242AG0490</v>
          </cell>
        </row>
        <row r="158">
          <cell r="A158" t="str">
            <v>1915(c) waiver</v>
          </cell>
          <cell r="C158" t="str">
            <v>CLASS</v>
          </cell>
          <cell r="D158" t="str">
            <v>Specialized Therapies</v>
          </cell>
          <cell r="E158" t="str">
            <v>MUSIC THERAPY</v>
          </cell>
          <cell r="F158" t="str">
            <v>242CG0492</v>
          </cell>
        </row>
        <row r="159">
          <cell r="A159" t="str">
            <v>1915(c) waiver</v>
          </cell>
          <cell r="C159" t="str">
            <v>CLASS</v>
          </cell>
          <cell r="D159" t="str">
            <v>Specialized Therapies</v>
          </cell>
          <cell r="E159" t="str">
            <v>MUSIC THERAPY</v>
          </cell>
          <cell r="F159" t="str">
            <v>242CG0492</v>
          </cell>
        </row>
        <row r="160">
          <cell r="A160" t="str">
            <v>1915(c) waiver</v>
          </cell>
          <cell r="C160" t="str">
            <v>CLASS</v>
          </cell>
          <cell r="D160" t="str">
            <v>Specialized Therapies</v>
          </cell>
          <cell r="E160" t="str">
            <v>RECREATIONAL THERAPY</v>
          </cell>
          <cell r="F160" t="str">
            <v>242BG0491</v>
          </cell>
        </row>
        <row r="161">
          <cell r="A161" t="str">
            <v>1915(c) waiver</v>
          </cell>
          <cell r="C161" t="str">
            <v>CLASS</v>
          </cell>
          <cell r="D161" t="str">
            <v>Specialized Therapies</v>
          </cell>
          <cell r="E161" t="str">
            <v>RECREATIONAL THERAPY</v>
          </cell>
          <cell r="F161" t="str">
            <v>242BG0491</v>
          </cell>
        </row>
        <row r="162">
          <cell r="A162" t="str">
            <v>1915(c) waiver</v>
          </cell>
          <cell r="C162" t="str">
            <v>CLASS</v>
          </cell>
          <cell r="D162" t="str">
            <v>Specialized Therapies</v>
          </cell>
          <cell r="E162" t="str">
            <v>SPECIALIZED THERAPIES - ACTIVITY THERAPY - FUTURE USE</v>
          </cell>
          <cell r="F162" t="str">
            <v>242G0404</v>
          </cell>
        </row>
        <row r="163">
          <cell r="A163" t="str">
            <v>1915(c) waiver</v>
          </cell>
          <cell r="C163" t="str">
            <v>CLASS</v>
          </cell>
          <cell r="D163" t="str">
            <v>Specialized Therapies</v>
          </cell>
          <cell r="E163" t="str">
            <v>SPECIALIZED THERAPIES AT HOME</v>
          </cell>
          <cell r="F163" t="str">
            <v>242G0404</v>
          </cell>
        </row>
        <row r="164">
          <cell r="A164" t="str">
            <v>1915(c) waiver</v>
          </cell>
          <cell r="C164" t="str">
            <v>CLASS</v>
          </cell>
          <cell r="D164" t="str">
            <v>Specialized Therapies</v>
          </cell>
          <cell r="E164" t="str">
            <v>SPECIALIZED THERAPIES IN COMMUNITY-FUTURE USE</v>
          </cell>
          <cell r="F164" t="str">
            <v>242G0404</v>
          </cell>
        </row>
        <row r="165">
          <cell r="A165" t="str">
            <v>1915(c) waiver</v>
          </cell>
          <cell r="C165" t="str">
            <v>CLASS</v>
          </cell>
          <cell r="D165" t="str">
            <v>Specialized Therapies</v>
          </cell>
          <cell r="E165" t="str">
            <v>THERAPEUTIC HORSEBACK RIDING</v>
          </cell>
          <cell r="F165" t="str">
            <v>242FG0498</v>
          </cell>
        </row>
        <row r="166">
          <cell r="A166" t="str">
            <v>State Plan (Title XIX)</v>
          </cell>
          <cell r="C166" t="str">
            <v>CLASS</v>
          </cell>
          <cell r="D166" t="str">
            <v>Support Consultation</v>
          </cell>
          <cell r="E166" t="str">
            <v>CFC SUPPORT CONSULTATION (CDS)</v>
          </cell>
          <cell r="F166" t="str">
            <v>257CFVG1115</v>
          </cell>
        </row>
        <row r="167">
          <cell r="A167" t="str">
            <v>1915(c) waiver</v>
          </cell>
          <cell r="C167" t="str">
            <v>CLASS</v>
          </cell>
          <cell r="D167" t="str">
            <v>Support Consultation</v>
          </cell>
          <cell r="E167" t="str">
            <v>SUPPORT CONSULTATION (CDS)</v>
          </cell>
          <cell r="F167" t="str">
            <v>257VG0757</v>
          </cell>
        </row>
        <row r="168">
          <cell r="A168" t="str">
            <v>1915(c) waiver</v>
          </cell>
          <cell r="C168" t="str">
            <v>CLASS</v>
          </cell>
          <cell r="D168" t="str">
            <v>TAS</v>
          </cell>
          <cell r="E168" t="str">
            <v>Transition Assistance Services (TAS) Fee</v>
          </cell>
          <cell r="F168" t="str">
            <v>253AG0239</v>
          </cell>
        </row>
        <row r="169">
          <cell r="A169" t="str">
            <v>State Plan (Title XIX)</v>
          </cell>
          <cell r="C169" t="str">
            <v>CLASS</v>
          </cell>
          <cell r="D169" t="str">
            <v>Taxes/Benefits</v>
          </cell>
          <cell r="E169" t="str">
            <v>CFC PAS/HAB, (CDS) ES/BENEFITS</v>
          </cell>
          <cell r="F169" t="str">
            <v>210CFVG1111</v>
          </cell>
        </row>
        <row r="170">
          <cell r="A170" t="str">
            <v>State Plan (Title XIX)</v>
          </cell>
          <cell r="C170" t="str">
            <v>CLASS</v>
          </cell>
          <cell r="D170" t="str">
            <v>Taxes/Benefits</v>
          </cell>
          <cell r="E170" t="str">
            <v>CFC PAS/HAB; (CDS) TAXES</v>
          </cell>
          <cell r="F170" t="str">
            <v>210CFVG1110</v>
          </cell>
        </row>
        <row r="171">
          <cell r="A171" t="str">
            <v>State Plan (Title XIX)</v>
          </cell>
          <cell r="C171" t="str">
            <v>CLASS</v>
          </cell>
          <cell r="D171" t="str">
            <v>Taxes/Benefits</v>
          </cell>
          <cell r="E171" t="str">
            <v>CFC SUPPORT CONSULTATION (CDS) ES/BENEFITS</v>
          </cell>
          <cell r="F171" t="str">
            <v>257CFVG1117</v>
          </cell>
        </row>
        <row r="172">
          <cell r="A172" t="str">
            <v>State Plan (Title XIX)</v>
          </cell>
          <cell r="C172" t="str">
            <v>CLASS</v>
          </cell>
          <cell r="D172" t="str">
            <v>Taxes/Benefits</v>
          </cell>
          <cell r="E172" t="str">
            <v>CFC SUPPORT CONSULTATION (CDS) TAXES</v>
          </cell>
          <cell r="F172" t="str">
            <v>257CFVG1116</v>
          </cell>
        </row>
        <row r="173">
          <cell r="A173" t="str">
            <v>1915(c) waiver</v>
          </cell>
          <cell r="C173" t="str">
            <v>CLASS</v>
          </cell>
          <cell r="D173" t="str">
            <v>Taxes/Benefits</v>
          </cell>
          <cell r="E173" t="str">
            <v>COGNITIVE REHABILITATION THERAPY (CDS) ES/BENEFITS</v>
          </cell>
          <cell r="F173" t="str">
            <v>261VG6092</v>
          </cell>
        </row>
        <row r="174">
          <cell r="A174" t="str">
            <v>1915(c) waiver</v>
          </cell>
          <cell r="C174" t="str">
            <v>CLASS</v>
          </cell>
          <cell r="D174" t="str">
            <v>Taxes/Benefits</v>
          </cell>
          <cell r="E174" t="str">
            <v>COGNITIVE REHABILITATION THERAPY (CDS) ES/BENEFITS</v>
          </cell>
          <cell r="F174" t="str">
            <v>261VG6092</v>
          </cell>
        </row>
        <row r="175">
          <cell r="A175" t="str">
            <v>1915(c) waiver</v>
          </cell>
          <cell r="C175" t="str">
            <v>CLASS</v>
          </cell>
          <cell r="D175" t="str">
            <v>Taxes/Benefits</v>
          </cell>
          <cell r="E175" t="str">
            <v>COGNITIVE REHABILITATION THERAPY (CDS) TAXES</v>
          </cell>
          <cell r="F175" t="str">
            <v>261VG6091</v>
          </cell>
        </row>
        <row r="176">
          <cell r="A176" t="str">
            <v>1915(c) waiver</v>
          </cell>
          <cell r="C176" t="str">
            <v>CLASS</v>
          </cell>
          <cell r="D176" t="str">
            <v>Taxes/Benefits</v>
          </cell>
          <cell r="E176" t="str">
            <v>COGNITIVE REHABILITATION THERAPY (CDS) TAXES</v>
          </cell>
          <cell r="F176" t="str">
            <v>261VG6091</v>
          </cell>
        </row>
        <row r="177">
          <cell r="A177" t="str">
            <v>1915(c) waiver</v>
          </cell>
          <cell r="C177" t="str">
            <v>CLASS</v>
          </cell>
          <cell r="D177" t="str">
            <v>Taxes/Benefits</v>
          </cell>
          <cell r="E177" t="str">
            <v>EMPLOYMENT ASSISTANCE (CDS) ES/BENEFITS</v>
          </cell>
          <cell r="F177" t="str">
            <v>254VG6078</v>
          </cell>
        </row>
        <row r="178">
          <cell r="A178" t="str">
            <v>1915(c) waiver</v>
          </cell>
          <cell r="C178" t="str">
            <v>CLASS</v>
          </cell>
          <cell r="D178" t="str">
            <v>Taxes/Benefits</v>
          </cell>
          <cell r="E178" t="str">
            <v>EMPLOYMENT ASSISTANCE (CDS) TAXES</v>
          </cell>
          <cell r="F178" t="str">
            <v>254VG6077</v>
          </cell>
        </row>
        <row r="179">
          <cell r="A179" t="str">
            <v>1915(c) waiver</v>
          </cell>
          <cell r="C179" t="str">
            <v>CLASS</v>
          </cell>
          <cell r="D179" t="str">
            <v>Taxes/Benefits</v>
          </cell>
          <cell r="E179" t="str">
            <v>HAB TRANSPORTATION (CDS) ES/BENEFITS</v>
          </cell>
          <cell r="F179" t="str">
            <v>248VG0251</v>
          </cell>
        </row>
        <row r="180">
          <cell r="A180" t="str">
            <v>1915(c) waiver</v>
          </cell>
          <cell r="C180" t="str">
            <v>CLASS</v>
          </cell>
          <cell r="D180" t="str">
            <v>Taxes/Benefits</v>
          </cell>
          <cell r="E180" t="str">
            <v>HAB TRANSPORTATION (CDS) TAXES</v>
          </cell>
          <cell r="F180" t="str">
            <v>248VG0250</v>
          </cell>
        </row>
        <row r="181">
          <cell r="A181" t="str">
            <v>1915(c) waiver</v>
          </cell>
          <cell r="C181" t="str">
            <v>CLASS</v>
          </cell>
          <cell r="D181" t="str">
            <v>Taxes/Benefits</v>
          </cell>
          <cell r="E181" t="str">
            <v>HABILITATION (CDS) ES/BENEFITS</v>
          </cell>
          <cell r="F181" t="str">
            <v>210VG6088</v>
          </cell>
        </row>
        <row r="182">
          <cell r="A182" t="str">
            <v>1915(c) waiver</v>
          </cell>
          <cell r="C182" t="str">
            <v>CLASS</v>
          </cell>
          <cell r="D182" t="str">
            <v>Taxes/Benefits</v>
          </cell>
          <cell r="E182" t="str">
            <v>HABILITATION (CDS) TAXES</v>
          </cell>
          <cell r="F182" t="str">
            <v>210VG6087</v>
          </cell>
        </row>
        <row r="183">
          <cell r="A183" t="str">
            <v>1915(c) waiver</v>
          </cell>
          <cell r="C183" t="str">
            <v>CLASS</v>
          </cell>
          <cell r="D183" t="str">
            <v>Taxes/Benefits</v>
          </cell>
          <cell r="E183" t="str">
            <v>NURSING LVN (CDS) ES/BENEFITS</v>
          </cell>
          <cell r="F183" t="str">
            <v>213AVG6042</v>
          </cell>
        </row>
        <row r="184">
          <cell r="A184" t="str">
            <v>1915(c) waiver</v>
          </cell>
          <cell r="C184" t="str">
            <v>CLASS</v>
          </cell>
          <cell r="D184" t="str">
            <v>Taxes/Benefits</v>
          </cell>
          <cell r="E184" t="str">
            <v>NURSING LVN (CDS) TAXES</v>
          </cell>
          <cell r="F184" t="str">
            <v>213AVG6041</v>
          </cell>
        </row>
        <row r="185">
          <cell r="A185" t="str">
            <v>1915(c) waiver</v>
          </cell>
          <cell r="C185" t="str">
            <v>CLASS</v>
          </cell>
          <cell r="D185" t="str">
            <v>Taxes/Benefits</v>
          </cell>
          <cell r="E185" t="str">
            <v>NURSING RN (CDS) ES/BENEFITS</v>
          </cell>
          <cell r="F185" t="str">
            <v>213BVG6044</v>
          </cell>
        </row>
        <row r="186">
          <cell r="A186" t="str">
            <v>1915(c) waiver</v>
          </cell>
          <cell r="C186" t="str">
            <v>CLASS</v>
          </cell>
          <cell r="D186" t="str">
            <v>Taxes/Benefits</v>
          </cell>
          <cell r="E186" t="str">
            <v>NURSING RN (CDS) TAXES</v>
          </cell>
          <cell r="F186" t="str">
            <v>213BVG6043</v>
          </cell>
        </row>
        <row r="187">
          <cell r="A187" t="str">
            <v>1915(c) waiver</v>
          </cell>
          <cell r="C187" t="str">
            <v>CLASS</v>
          </cell>
          <cell r="D187" t="str">
            <v>Taxes/Benefits</v>
          </cell>
          <cell r="E187" t="str">
            <v>OCCUPATIONAL THERAPY (CDS) ES/BENEFITS</v>
          </cell>
          <cell r="F187" t="str">
            <v>27VG6080</v>
          </cell>
        </row>
        <row r="188">
          <cell r="A188" t="str">
            <v>1915(c) waiver</v>
          </cell>
          <cell r="C188" t="str">
            <v>CLASS</v>
          </cell>
          <cell r="D188" t="str">
            <v>Taxes/Benefits</v>
          </cell>
          <cell r="E188" t="str">
            <v>OCCUPATIONAL THERAPY (CDS) TAXES</v>
          </cell>
          <cell r="F188" t="str">
            <v>27VG6079</v>
          </cell>
        </row>
        <row r="189">
          <cell r="A189" t="str">
            <v>1915(c) waiver</v>
          </cell>
          <cell r="C189" t="str">
            <v>CLASS</v>
          </cell>
          <cell r="D189" t="str">
            <v>Taxes/Benefits</v>
          </cell>
          <cell r="E189" t="str">
            <v>PHYSICAL THERAPY (CDS) ES/BENEFITS</v>
          </cell>
          <cell r="F189" t="str">
            <v>28VG6082</v>
          </cell>
        </row>
        <row r="190">
          <cell r="A190" t="str">
            <v>1915(c) waiver</v>
          </cell>
          <cell r="C190" t="str">
            <v>CLASS</v>
          </cell>
          <cell r="D190" t="str">
            <v>Taxes/Benefits</v>
          </cell>
          <cell r="E190" t="str">
            <v>PHYSICAL THERAPY (CDS) TAXES</v>
          </cell>
          <cell r="F190" t="str">
            <v>28VG6081</v>
          </cell>
        </row>
        <row r="191">
          <cell r="A191" t="str">
            <v>1915(c) waiver</v>
          </cell>
          <cell r="C191" t="str">
            <v>CLASS</v>
          </cell>
          <cell r="D191" t="str">
            <v>Taxes/Benefits</v>
          </cell>
          <cell r="E191" t="str">
            <v>RESPITE IN-HOME (CDS) ES/BENEFITS</v>
          </cell>
          <cell r="F191" t="str">
            <v>211PVG6012</v>
          </cell>
        </row>
        <row r="192">
          <cell r="A192" t="str">
            <v>1915(c) waiver</v>
          </cell>
          <cell r="C192" t="str">
            <v>CLASS</v>
          </cell>
          <cell r="D192" t="str">
            <v>Taxes/Benefits</v>
          </cell>
          <cell r="E192" t="str">
            <v>RESPITE IN-HOME (CDS) TAXES</v>
          </cell>
          <cell r="F192" t="str">
            <v>211PVG6011</v>
          </cell>
        </row>
        <row r="193">
          <cell r="A193" t="str">
            <v>1915(c) waiver</v>
          </cell>
          <cell r="C193" t="str">
            <v>CLASS</v>
          </cell>
          <cell r="D193" t="str">
            <v>Taxes/Benefits</v>
          </cell>
          <cell r="E193" t="str">
            <v>RESPITE OUT-OF-HOME (CDS) ES/BENEFITS</v>
          </cell>
          <cell r="F193" t="str">
            <v>211AVG6004</v>
          </cell>
        </row>
        <row r="194">
          <cell r="A194" t="str">
            <v>1915(c) waiver</v>
          </cell>
          <cell r="C194" t="str">
            <v>CLASS</v>
          </cell>
          <cell r="D194" t="str">
            <v>Taxes/Benefits</v>
          </cell>
          <cell r="E194" t="str">
            <v>RESPITE OUT-OF-HOME (CDS) TAXES</v>
          </cell>
          <cell r="F194" t="str">
            <v>211AVG6003</v>
          </cell>
        </row>
        <row r="195">
          <cell r="A195" t="str">
            <v>1915(c) waiver</v>
          </cell>
          <cell r="C195" t="str">
            <v>CLASS</v>
          </cell>
          <cell r="D195" t="str">
            <v>Taxes/Benefits</v>
          </cell>
          <cell r="E195" t="str">
            <v>SPECIALIZED NURSING LVN (CDS) ES/BENEFITS</v>
          </cell>
          <cell r="F195" t="str">
            <v>213DVG6050</v>
          </cell>
        </row>
        <row r="196">
          <cell r="A196" t="str">
            <v>1915(c) waiver</v>
          </cell>
          <cell r="C196" t="str">
            <v>CLASS</v>
          </cell>
          <cell r="D196" t="str">
            <v>Taxes/Benefits</v>
          </cell>
          <cell r="E196" t="str">
            <v>SPECIALIZED NURSING LVN (CDS) TAXES</v>
          </cell>
          <cell r="F196" t="str">
            <v>213DVG6049</v>
          </cell>
        </row>
        <row r="197">
          <cell r="A197" t="str">
            <v>1915(c) waiver</v>
          </cell>
          <cell r="C197" t="str">
            <v>CLASS</v>
          </cell>
          <cell r="D197" t="str">
            <v>Taxes/Benefits</v>
          </cell>
          <cell r="E197" t="str">
            <v>SPECIALIZED NURSING RN (CDS) ES/BENEFITS</v>
          </cell>
          <cell r="F197" t="str">
            <v>213CVG6046</v>
          </cell>
        </row>
        <row r="198">
          <cell r="A198" t="str">
            <v>1915(c) waiver</v>
          </cell>
          <cell r="C198" t="str">
            <v>CLASS</v>
          </cell>
          <cell r="D198" t="str">
            <v>Taxes/Benefits</v>
          </cell>
          <cell r="E198" t="str">
            <v>SPECIALIZED NURSING RN (CDS) TAXES</v>
          </cell>
          <cell r="F198" t="str">
            <v>213CVG6045</v>
          </cell>
        </row>
        <row r="199">
          <cell r="A199" t="str">
            <v>1915(c) waiver</v>
          </cell>
          <cell r="C199" t="str">
            <v>CLASS</v>
          </cell>
          <cell r="D199" t="str">
            <v>Taxes/Benefits</v>
          </cell>
          <cell r="E199" t="str">
            <v>SPEECH/LANGUAGE PATHOLOGY THERAPY (CDS) ES/BENEFITS</v>
          </cell>
          <cell r="F199" t="str">
            <v>29VG6084</v>
          </cell>
        </row>
        <row r="200">
          <cell r="A200" t="str">
            <v>1915(c) waiver</v>
          </cell>
          <cell r="C200" t="str">
            <v>CLASS</v>
          </cell>
          <cell r="D200" t="str">
            <v>Taxes/Benefits</v>
          </cell>
          <cell r="E200" t="str">
            <v>SPEECH/LANGUAGE PATHOLOGY THERAPY (CDS) TAXES</v>
          </cell>
          <cell r="F200" t="str">
            <v>29VG6083</v>
          </cell>
        </row>
        <row r="201">
          <cell r="A201" t="str">
            <v>1915(c) waiver</v>
          </cell>
          <cell r="C201" t="str">
            <v>CLASS</v>
          </cell>
          <cell r="D201" t="str">
            <v>Taxes/Benefits</v>
          </cell>
          <cell r="E201" t="str">
            <v>SUPPORTED EMPLOYMENT (CDS) ES/BENEFITS</v>
          </cell>
          <cell r="F201" t="str">
            <v>237VG6068</v>
          </cell>
        </row>
        <row r="202">
          <cell r="A202" t="str">
            <v>1915(c) waiver</v>
          </cell>
          <cell r="C202" t="str">
            <v>CLASS</v>
          </cell>
          <cell r="D202" t="str">
            <v>Taxes/Benefits</v>
          </cell>
          <cell r="E202" t="str">
            <v>SUPPORTED EMPLOYMENT (CDS) TAXES</v>
          </cell>
          <cell r="F202" t="str">
            <v>237VG6067</v>
          </cell>
        </row>
        <row r="203">
          <cell r="A203" t="str">
            <v>1915(c) waiver</v>
          </cell>
          <cell r="C203" t="str">
            <v>CLASS</v>
          </cell>
          <cell r="E203" t="str">
            <v>HABILITATION PERSONAL CARE SERVICES NURSING</v>
          </cell>
          <cell r="F203" t="str">
            <v>210AS0105</v>
          </cell>
        </row>
        <row r="204">
          <cell r="A204" t="str">
            <v>1915(c) waiver</v>
          </cell>
          <cell r="C204" t="str">
            <v>CLASS</v>
          </cell>
          <cell r="D204" t="str">
            <v>Nursing</v>
          </cell>
          <cell r="E204" t="str">
            <v>CDS NURSING LVN - Out-of-Home</v>
          </cell>
          <cell r="F204" t="str">
            <v>213AVG2239</v>
          </cell>
        </row>
        <row r="205">
          <cell r="A205" t="str">
            <v>1915(c) waiver</v>
          </cell>
          <cell r="C205" t="str">
            <v>CLASS</v>
          </cell>
          <cell r="D205" t="str">
            <v>Nursing</v>
          </cell>
          <cell r="E205" t="str">
            <v>CDS NURSING RN - Out-of-Home</v>
          </cell>
          <cell r="F205" t="str">
            <v>213BVG2241</v>
          </cell>
        </row>
        <row r="206">
          <cell r="A206" t="str">
            <v>1915(c) waiver</v>
          </cell>
          <cell r="C206" t="str">
            <v>CLASS</v>
          </cell>
          <cell r="D206" t="str">
            <v>Nursing</v>
          </cell>
          <cell r="E206" t="str">
            <v>CDS SPECIALIZED NURSING LVN - Out-of-Home</v>
          </cell>
          <cell r="F206" t="str">
            <v>213DVG2245</v>
          </cell>
        </row>
        <row r="207">
          <cell r="A207" t="str">
            <v>1915(c) waiver</v>
          </cell>
          <cell r="C207" t="str">
            <v>CLASS</v>
          </cell>
          <cell r="D207" t="str">
            <v>Nursing</v>
          </cell>
          <cell r="E207" t="str">
            <v>CDS SPECIALIZED NURSING RN - Out-of-Home</v>
          </cell>
          <cell r="F207" t="str">
            <v>213CVG2243</v>
          </cell>
        </row>
        <row r="208">
          <cell r="A208" t="str">
            <v>1915(c) waiver</v>
          </cell>
          <cell r="C208" t="str">
            <v>CLASS</v>
          </cell>
          <cell r="D208" t="str">
            <v>Nursing</v>
          </cell>
          <cell r="E208" t="str">
            <v>In-Home CDS NURSING LVN - EVV OHFH</v>
          </cell>
          <cell r="F208" t="str">
            <v>213AVG2203</v>
          </cell>
        </row>
        <row r="209">
          <cell r="A209" t="str">
            <v>1915(c) waiver</v>
          </cell>
          <cell r="C209" t="str">
            <v>CLASS</v>
          </cell>
          <cell r="D209" t="str">
            <v>Nursing</v>
          </cell>
          <cell r="E209" t="str">
            <v>In-Home CDS NURSING LVN - Other Residential Types</v>
          </cell>
          <cell r="F209" t="str">
            <v>213AVG2221</v>
          </cell>
        </row>
        <row r="210">
          <cell r="A210" t="str">
            <v>1915(c) waiver</v>
          </cell>
          <cell r="C210" t="str">
            <v>CLASS</v>
          </cell>
          <cell r="D210" t="str">
            <v>Nursing</v>
          </cell>
          <cell r="E210" t="str">
            <v>In-Home CDS NURSING RN - EVV OHFH</v>
          </cell>
          <cell r="F210" t="str">
            <v>213BVG2205</v>
          </cell>
        </row>
        <row r="211">
          <cell r="A211" t="str">
            <v>1915(c) waiver</v>
          </cell>
          <cell r="C211" t="str">
            <v>CLASS</v>
          </cell>
          <cell r="D211" t="str">
            <v>Nursing</v>
          </cell>
          <cell r="E211" t="str">
            <v>In-Home CDS NURSING RN - Other Residential Types</v>
          </cell>
          <cell r="F211" t="str">
            <v>213BVG2223</v>
          </cell>
        </row>
        <row r="212">
          <cell r="A212" t="str">
            <v>1915(c) waiver</v>
          </cell>
          <cell r="C212" t="str">
            <v>CLASS</v>
          </cell>
          <cell r="D212" t="str">
            <v>Nursing</v>
          </cell>
          <cell r="E212" t="str">
            <v>In-Home CDS SPECIALIZED NURSING LVN - EVV OHFH</v>
          </cell>
          <cell r="F212" t="str">
            <v>213DVG2209</v>
          </cell>
        </row>
        <row r="213">
          <cell r="A213" t="str">
            <v>1915(c) waiver</v>
          </cell>
          <cell r="C213" t="str">
            <v>CLASS</v>
          </cell>
          <cell r="D213" t="str">
            <v>Nursing</v>
          </cell>
          <cell r="E213" t="str">
            <v>In-Home CDS SPECIALIZED NURSING LVN - Other Residential Types</v>
          </cell>
          <cell r="F213" t="str">
            <v>213DVG2227</v>
          </cell>
        </row>
        <row r="214">
          <cell r="A214" t="str">
            <v>1915(c) waiver</v>
          </cell>
          <cell r="C214" t="str">
            <v>CLASS</v>
          </cell>
          <cell r="D214" t="str">
            <v>Nursing</v>
          </cell>
          <cell r="E214" t="str">
            <v>In-Home CDS SPECIALIZED NURSING RN - EVV OHFH</v>
          </cell>
          <cell r="F214" t="str">
            <v>213CVG2207</v>
          </cell>
        </row>
        <row r="215">
          <cell r="A215" t="str">
            <v>1915(c) waiver</v>
          </cell>
          <cell r="C215" t="str">
            <v>CLASS</v>
          </cell>
          <cell r="D215" t="str">
            <v>Nursing</v>
          </cell>
          <cell r="E215" t="str">
            <v>In-Home CDS SPECIALIZED NURSING RN - Other Residential Types</v>
          </cell>
          <cell r="F215" t="str">
            <v>213CVG2225</v>
          </cell>
        </row>
        <row r="216">
          <cell r="A216" t="str">
            <v>1915(c) waiver</v>
          </cell>
          <cell r="C216" t="str">
            <v>CLASS</v>
          </cell>
          <cell r="D216" t="str">
            <v>Nursing</v>
          </cell>
          <cell r="E216" t="str">
            <v>In-Home NURSING SERVICES - RN - EVV OHFH</v>
          </cell>
          <cell r="F216" t="str">
            <v>213BG2204</v>
          </cell>
        </row>
        <row r="217">
          <cell r="A217" t="str">
            <v>1915(c) waiver</v>
          </cell>
          <cell r="C217" t="str">
            <v>CLASS</v>
          </cell>
          <cell r="D217" t="str">
            <v>Nursing</v>
          </cell>
          <cell r="E217" t="str">
            <v>In-Home NURSING SERVICES - RN - Other Residential Types</v>
          </cell>
          <cell r="F217" t="str">
            <v>213BG2222</v>
          </cell>
        </row>
        <row r="218">
          <cell r="A218" t="str">
            <v>1915(c) waiver</v>
          </cell>
          <cell r="C218" t="str">
            <v>CLASS</v>
          </cell>
          <cell r="D218" t="str">
            <v>Nursing</v>
          </cell>
          <cell r="E218" t="str">
            <v>In-Home NURSING SERVICES BY LPN/LVN - EVV OHFH</v>
          </cell>
          <cell r="F218" t="str">
            <v>213AG2202</v>
          </cell>
        </row>
        <row r="219">
          <cell r="A219" t="str">
            <v>1915(c) waiver</v>
          </cell>
          <cell r="C219" t="str">
            <v>CLASS</v>
          </cell>
          <cell r="D219" t="str">
            <v>Nursing</v>
          </cell>
          <cell r="E219" t="str">
            <v>In-Home NURSING SERVICES BY LPN/LVN - Other Residential Types</v>
          </cell>
          <cell r="F219" t="str">
            <v>213AG2220</v>
          </cell>
        </row>
        <row r="220">
          <cell r="A220" t="str">
            <v>1915(c) waiver</v>
          </cell>
          <cell r="C220" t="str">
            <v>CLASS</v>
          </cell>
          <cell r="D220" t="str">
            <v>Nursing</v>
          </cell>
          <cell r="E220" t="str">
            <v>In-Home SPECIALIZED NURSING LVN - EVV OHFH</v>
          </cell>
          <cell r="F220" t="str">
            <v>213DG2208</v>
          </cell>
        </row>
        <row r="221">
          <cell r="A221" t="str">
            <v>1915(c) waiver</v>
          </cell>
          <cell r="C221" t="str">
            <v>CLASS</v>
          </cell>
          <cell r="D221" t="str">
            <v>Nursing</v>
          </cell>
          <cell r="E221" t="str">
            <v>In-Home SPECIALIZED NURSING LVN - Other Residential Types</v>
          </cell>
          <cell r="F221" t="str">
            <v>213DG2226</v>
          </cell>
        </row>
        <row r="222">
          <cell r="A222" t="str">
            <v>1915(c) waiver</v>
          </cell>
          <cell r="C222" t="str">
            <v>CLASS</v>
          </cell>
          <cell r="D222" t="str">
            <v>Nursing</v>
          </cell>
          <cell r="E222" t="str">
            <v>In-Home SPECIALIZED NURSING RN - EVV OHFH</v>
          </cell>
          <cell r="F222" t="str">
            <v>213CG2206</v>
          </cell>
        </row>
        <row r="223">
          <cell r="A223" t="str">
            <v>1915(c) waiver</v>
          </cell>
          <cell r="C223" t="str">
            <v>CLASS</v>
          </cell>
          <cell r="D223" t="str">
            <v>Nursing</v>
          </cell>
          <cell r="E223" t="str">
            <v>In-Home SPECIALIZED NURSING RN - Other Residential Types</v>
          </cell>
          <cell r="F223" t="str">
            <v>213CG2224</v>
          </cell>
        </row>
        <row r="224">
          <cell r="A224" t="str">
            <v>1915(c) waiver</v>
          </cell>
          <cell r="C224" t="str">
            <v>CLASS</v>
          </cell>
          <cell r="D224" t="str">
            <v>Nursing</v>
          </cell>
          <cell r="E224" t="str">
            <v>NURSING CARE RN-SKILLED CARE PROVIDED IN THE CLIENT'S HOME</v>
          </cell>
          <cell r="F224" t="str">
            <v>213G0300</v>
          </cell>
        </row>
        <row r="225">
          <cell r="A225" t="str">
            <v>1915(c) waiver</v>
          </cell>
          <cell r="C225" t="str">
            <v>CLASS</v>
          </cell>
          <cell r="D225" t="str">
            <v>Nursing</v>
          </cell>
          <cell r="E225" t="str">
            <v>NURSING SERVICES - RN - Out-of-Home</v>
          </cell>
          <cell r="F225" t="str">
            <v>213BG2240</v>
          </cell>
        </row>
        <row r="226">
          <cell r="A226" t="str">
            <v>1915(c) waiver</v>
          </cell>
          <cell r="C226" t="str">
            <v>CLASS</v>
          </cell>
          <cell r="D226" t="str">
            <v>Nursing</v>
          </cell>
          <cell r="E226" t="str">
            <v>NURSING SERVICES BY LPN/LVN - Out-of-Home</v>
          </cell>
          <cell r="F226" t="str">
            <v>213AG2238</v>
          </cell>
        </row>
        <row r="227">
          <cell r="A227" t="str">
            <v>1915(c) waiver</v>
          </cell>
          <cell r="C227" t="str">
            <v>CLASS</v>
          </cell>
          <cell r="D227" t="str">
            <v>Nursing</v>
          </cell>
          <cell r="E227" t="str">
            <v>NURSING SERVICES RN TRAINING/RN DELEGATION/MONITORING AND SUPERVISION PARTIAL UNIT</v>
          </cell>
          <cell r="F227" t="str">
            <v>213G0300</v>
          </cell>
        </row>
        <row r="228">
          <cell r="A228" t="str">
            <v>1915(c) waiver</v>
          </cell>
          <cell r="C228" t="str">
            <v>CLASS</v>
          </cell>
          <cell r="D228" t="str">
            <v>Nursing</v>
          </cell>
          <cell r="E228" t="str">
            <v>RN-NURSING ASSESSMENT/EVALUATION (ANNUAL REASSESSMENTS/HEALTH AND SAFETY/AND POST-HOSPITALIZATION)</v>
          </cell>
          <cell r="F228" t="str">
            <v>213G0300</v>
          </cell>
        </row>
        <row r="229">
          <cell r="A229" t="str">
            <v>1915(c) waiver</v>
          </cell>
          <cell r="C229" t="str">
            <v>CLASS</v>
          </cell>
          <cell r="D229" t="str">
            <v>Nursing</v>
          </cell>
          <cell r="E229" t="str">
            <v>SPECIALIZED NURSING LVN - Out-of-Home</v>
          </cell>
          <cell r="F229" t="str">
            <v>213DG2244</v>
          </cell>
        </row>
        <row r="230">
          <cell r="A230" t="str">
            <v>1915(c) waiver</v>
          </cell>
          <cell r="C230" t="str">
            <v>CLASS</v>
          </cell>
          <cell r="D230" t="str">
            <v>Nursing</v>
          </cell>
          <cell r="E230" t="str">
            <v>SPECIALIZED NURSING RN - Out-of-Home</v>
          </cell>
          <cell r="F230" t="str">
            <v>213CG2242</v>
          </cell>
        </row>
        <row r="231">
          <cell r="A231" t="str">
            <v>1915(c) waiver</v>
          </cell>
          <cell r="C231" t="str">
            <v>CLASS</v>
          </cell>
          <cell r="D231" t="str">
            <v>PAS/HAB</v>
          </cell>
          <cell r="E231" t="str">
            <v xml:space="preserve">SERVICE PLANNING TEAM (SPT) MEETING </v>
          </cell>
          <cell r="F231" t="str">
            <v>210CFCG1119</v>
          </cell>
        </row>
        <row r="232">
          <cell r="A232" t="str">
            <v>Title XX</v>
          </cell>
          <cell r="C232" t="str">
            <v>CMPAS</v>
          </cell>
          <cell r="D232" t="str">
            <v>CMPAS</v>
          </cell>
          <cell r="E232" t="str">
            <v>CMPAS CLIENT DIRECTED SERVICES (CDS)</v>
          </cell>
          <cell r="F232" t="str">
            <v>727AG0722</v>
          </cell>
        </row>
        <row r="233">
          <cell r="A233" t="str">
            <v>Title XX</v>
          </cell>
          <cell r="C233" t="str">
            <v>CMPAS</v>
          </cell>
          <cell r="D233" t="str">
            <v>CMPAS</v>
          </cell>
          <cell r="E233" t="str">
            <v>CONSUMER MANAGED PERSONAL ATTENDANT SERVICES (AO)</v>
          </cell>
          <cell r="F233" t="str">
            <v>727G0720</v>
          </cell>
        </row>
        <row r="234">
          <cell r="A234" t="str">
            <v>None (Texas Human Resources Code)</v>
          </cell>
          <cell r="C234" t="str">
            <v>CRS</v>
          </cell>
          <cell r="D234" t="str">
            <v>PARS Non-Residential Core Srvc</v>
          </cell>
          <cell r="E234" t="str">
            <v>Aquatic Therapy Group</v>
          </cell>
          <cell r="F234" t="str">
            <v>CRS-PARS-NRS-AQG</v>
          </cell>
        </row>
        <row r="235">
          <cell r="A235" t="str">
            <v>None (Texas Human Resources Code)</v>
          </cell>
          <cell r="C235" t="str">
            <v>CRS</v>
          </cell>
          <cell r="D235" t="str">
            <v>PARS Non-Residential Core Srvc</v>
          </cell>
          <cell r="E235" t="str">
            <v>Aquatic Therapy Individuals</v>
          </cell>
          <cell r="F235" t="str">
            <v>CRS-PARS-NRS-AQI</v>
          </cell>
        </row>
        <row r="236">
          <cell r="A236" t="str">
            <v>None (Texas Human Resources Code)</v>
          </cell>
          <cell r="C236" t="str">
            <v>CRS</v>
          </cell>
          <cell r="D236" t="str">
            <v>PARS Non-Residential Core Srvc</v>
          </cell>
          <cell r="E236" t="str">
            <v>Aquatic Therapy Small Group</v>
          </cell>
          <cell r="F236" t="str">
            <v>CRS-PARS-NRS-AQSG</v>
          </cell>
        </row>
        <row r="237">
          <cell r="A237" t="str">
            <v>None (Texas Human Resources Code)</v>
          </cell>
          <cell r="C237" t="str">
            <v>CRS</v>
          </cell>
          <cell r="D237" t="str">
            <v>PARS Non-Residential Core Srvc</v>
          </cell>
          <cell r="E237" t="str">
            <v>Art Therapy Group</v>
          </cell>
          <cell r="F237" t="str">
            <v>CRS-PARS-NRS-ATG</v>
          </cell>
        </row>
        <row r="238">
          <cell r="A238" t="str">
            <v>None (Texas Human Resources Code)</v>
          </cell>
          <cell r="C238" t="str">
            <v>CRS</v>
          </cell>
          <cell r="D238" t="str">
            <v>PARS Non-Residential Core Srvc</v>
          </cell>
          <cell r="E238" t="str">
            <v>Art Therapy Individual</v>
          </cell>
          <cell r="F238" t="str">
            <v>CRS-PARS-NRS-ATI</v>
          </cell>
        </row>
        <row r="239">
          <cell r="A239" t="str">
            <v>None (Texas Human Resources Code)</v>
          </cell>
          <cell r="C239" t="str">
            <v>CRS</v>
          </cell>
          <cell r="D239" t="str">
            <v>PARS Non-Residential Core Srvc</v>
          </cell>
          <cell r="E239" t="str">
            <v>Art Therapy Small Group</v>
          </cell>
          <cell r="F239" t="str">
            <v>CRS-PARS-NRS-ATSG</v>
          </cell>
        </row>
        <row r="240">
          <cell r="A240" t="str">
            <v>None (Texas Human Resources Code)</v>
          </cell>
          <cell r="C240" t="str">
            <v>CRS</v>
          </cell>
          <cell r="D240" t="str">
            <v>PARS Non-Residential Core Srvc</v>
          </cell>
          <cell r="E240" t="str">
            <v>Behavior Management Individual</v>
          </cell>
          <cell r="F240" t="str">
            <v>CRS-PARS-NRS-BMI</v>
          </cell>
        </row>
        <row r="241">
          <cell r="A241" t="str">
            <v>None (Texas Human Resources Code)</v>
          </cell>
          <cell r="C241" t="str">
            <v>CRS</v>
          </cell>
          <cell r="D241" t="str">
            <v>PARS Non-Residential Core Srvc</v>
          </cell>
          <cell r="E241" t="str">
            <v>Case Management Individual</v>
          </cell>
          <cell r="F241" t="str">
            <v>CRS-PARS-NRS-CMI</v>
          </cell>
        </row>
        <row r="242">
          <cell r="A242" t="str">
            <v>None (Texas Human Resources Code)</v>
          </cell>
          <cell r="C242" t="str">
            <v>CRS</v>
          </cell>
          <cell r="D242" t="str">
            <v>PARS Non-Residential Core Srvc</v>
          </cell>
          <cell r="E242" t="str">
            <v>Chemical Dependency Group</v>
          </cell>
          <cell r="F242" t="str">
            <v>CRS-PARS-NRS-CDG</v>
          </cell>
        </row>
        <row r="243">
          <cell r="A243" t="str">
            <v>None (Texas Human Resources Code)</v>
          </cell>
          <cell r="C243" t="str">
            <v>CRS</v>
          </cell>
          <cell r="D243" t="str">
            <v>PARS Non-Residential Core Srvc</v>
          </cell>
          <cell r="E243" t="str">
            <v>Chemical Dependency Individual</v>
          </cell>
          <cell r="F243" t="str">
            <v>CRS-PARS-NRS-CDI</v>
          </cell>
        </row>
        <row r="244">
          <cell r="A244" t="str">
            <v>None (Texas Human Resources Code)</v>
          </cell>
          <cell r="C244" t="str">
            <v>CRS</v>
          </cell>
          <cell r="D244" t="str">
            <v>PARS Non-Residential Core Srvc</v>
          </cell>
          <cell r="E244" t="str">
            <v>Chemical Dependency Small Group</v>
          </cell>
          <cell r="F244" t="str">
            <v>CRS-PARS-NRS-CDSG</v>
          </cell>
        </row>
        <row r="245">
          <cell r="A245" t="str">
            <v>None (Texas Human Resources Code)</v>
          </cell>
          <cell r="C245" t="str">
            <v>CRS</v>
          </cell>
          <cell r="D245" t="str">
            <v>PARS Non-Residential Core Srvc</v>
          </cell>
          <cell r="E245" t="str">
            <v>Cognitive Rehabilitation Therapy Group</v>
          </cell>
          <cell r="F245" t="str">
            <v>CRS-PARS-NRS-CRTG</v>
          </cell>
        </row>
        <row r="246">
          <cell r="A246" t="str">
            <v>None (Texas Human Resources Code)</v>
          </cell>
          <cell r="C246" t="str">
            <v>CRS</v>
          </cell>
          <cell r="D246" t="str">
            <v>PARS Non-Residential Core Srvc</v>
          </cell>
          <cell r="E246" t="str">
            <v>Cognitive Rehabilitation Therapy Individual</v>
          </cell>
          <cell r="F246" t="str">
            <v>CRS-PARS-NRS-CRTI</v>
          </cell>
        </row>
        <row r="247">
          <cell r="A247" t="str">
            <v>None (Texas Human Resources Code)</v>
          </cell>
          <cell r="C247" t="str">
            <v>CRS</v>
          </cell>
          <cell r="D247" t="str">
            <v>PARS Non-Residential Core Srvc</v>
          </cell>
          <cell r="E247" t="str">
            <v>Cognitive Rehabilitation Therapy Small Group</v>
          </cell>
          <cell r="F247" t="str">
            <v>CRS-PARS-NRS-CRTSG</v>
          </cell>
        </row>
        <row r="248">
          <cell r="A248" t="str">
            <v>None (Texas Human Resources Code)</v>
          </cell>
          <cell r="C248" t="str">
            <v>CRS</v>
          </cell>
          <cell r="D248" t="str">
            <v>PARS Non-Residential Core Srvc</v>
          </cell>
          <cell r="E248" t="str">
            <v>Family Therapy Group</v>
          </cell>
          <cell r="F248" t="str">
            <v>CRS-PARS-NRS-FTG</v>
          </cell>
        </row>
        <row r="249">
          <cell r="A249" t="str">
            <v>None (Texas Human Resources Code)</v>
          </cell>
          <cell r="C249" t="str">
            <v>CRS</v>
          </cell>
          <cell r="D249" t="str">
            <v>PARS Non-Residential Core Srvc</v>
          </cell>
          <cell r="E249" t="str">
            <v>Family Therapy Individual</v>
          </cell>
          <cell r="F249" t="str">
            <v>CRS-PARS-NRS-FTI</v>
          </cell>
        </row>
        <row r="250">
          <cell r="A250" t="str">
            <v>None (Texas Human Resources Code)</v>
          </cell>
          <cell r="C250" t="str">
            <v>CRS</v>
          </cell>
          <cell r="D250" t="str">
            <v>PARS Non-Residential Core Srvc</v>
          </cell>
          <cell r="E250" t="str">
            <v>Massage Therapy</v>
          </cell>
          <cell r="F250" t="str">
            <v>CRS-PARS-NRS-MT</v>
          </cell>
        </row>
        <row r="251">
          <cell r="A251" t="str">
            <v>None (Texas Human Resources Code)</v>
          </cell>
          <cell r="C251" t="str">
            <v>CRS</v>
          </cell>
          <cell r="D251" t="str">
            <v>PARS Non-Residential Core Srvc</v>
          </cell>
          <cell r="E251" t="str">
            <v>Mental Health Counseling Group</v>
          </cell>
          <cell r="F251" t="str">
            <v>CRS-PARS-NRS-MHCG</v>
          </cell>
        </row>
        <row r="252">
          <cell r="A252" t="str">
            <v>None (Texas Human Resources Code)</v>
          </cell>
          <cell r="C252" t="str">
            <v>CRS</v>
          </cell>
          <cell r="D252" t="str">
            <v>PARS Non-Residential Core Srvc</v>
          </cell>
          <cell r="E252" t="str">
            <v>Mental Health Counseling Individual</v>
          </cell>
          <cell r="F252" t="str">
            <v>CRS-PARS-NRS-MHCI</v>
          </cell>
        </row>
        <row r="253">
          <cell r="A253" t="str">
            <v>None (Texas Human Resources Code)</v>
          </cell>
          <cell r="C253" t="str">
            <v>CRS</v>
          </cell>
          <cell r="D253" t="str">
            <v>PARS Non-Residential Core Srvc</v>
          </cell>
          <cell r="E253" t="str">
            <v>Mental Health Counseling Small Group</v>
          </cell>
          <cell r="F253" t="str">
            <v>CRS-PARS-NRS-MHCSG</v>
          </cell>
        </row>
        <row r="254">
          <cell r="A254" t="str">
            <v>None (Texas Human Resources Code)</v>
          </cell>
          <cell r="C254" t="str">
            <v>CRS</v>
          </cell>
          <cell r="D254" t="str">
            <v>PARS Non-Residential Core Srvc</v>
          </cell>
          <cell r="E254" t="str">
            <v>Music Therapy Group</v>
          </cell>
          <cell r="F254" t="str">
            <v>CRS-PARS-NRS-MTG</v>
          </cell>
        </row>
        <row r="255">
          <cell r="A255" t="str">
            <v>None (Texas Human Resources Code)</v>
          </cell>
          <cell r="C255" t="str">
            <v>CRS</v>
          </cell>
          <cell r="D255" t="str">
            <v>PARS Non-Residential Core Srvc</v>
          </cell>
          <cell r="E255" t="str">
            <v>Music Therapy Individual</v>
          </cell>
          <cell r="F255" t="str">
            <v>CRS-PARS-NRS-MTI</v>
          </cell>
        </row>
        <row r="256">
          <cell r="A256" t="str">
            <v>None (Texas Human Resources Code)</v>
          </cell>
          <cell r="C256" t="str">
            <v>CRS</v>
          </cell>
          <cell r="D256" t="str">
            <v>PARS Non-Residential Core Srvc</v>
          </cell>
          <cell r="E256" t="str">
            <v>Music Therapy Small Group</v>
          </cell>
          <cell r="F256" t="str">
            <v>CRS-PARS-NRS-MTSG</v>
          </cell>
        </row>
        <row r="257">
          <cell r="A257" t="str">
            <v>None (Texas Human Resources Code)</v>
          </cell>
          <cell r="C257" t="str">
            <v>CRS</v>
          </cell>
          <cell r="D257" t="str">
            <v>PARS Non-Residential Core Srvc</v>
          </cell>
          <cell r="E257" t="str">
            <v>Neuropsychiatric Services Evaluation</v>
          </cell>
          <cell r="F257" t="str">
            <v>CRS-PARS-NRS-PiNSE</v>
          </cell>
        </row>
        <row r="258">
          <cell r="A258" t="str">
            <v>None (Texas Human Resources Code)</v>
          </cell>
          <cell r="C258" t="str">
            <v>CRS</v>
          </cell>
          <cell r="D258" t="str">
            <v>PARS Non-Residential Core Srvc</v>
          </cell>
          <cell r="E258" t="str">
            <v>Neuropsychiatric Services Group</v>
          </cell>
          <cell r="F258" t="str">
            <v>CRS-PARS-NRS-PiNSG</v>
          </cell>
        </row>
        <row r="259">
          <cell r="A259" t="str">
            <v>None (Texas Human Resources Code)</v>
          </cell>
          <cell r="C259" t="str">
            <v>CRS</v>
          </cell>
          <cell r="D259" t="str">
            <v>PARS Non-Residential Core Srvc</v>
          </cell>
          <cell r="E259" t="str">
            <v>Neuropsychiatric Services Individual</v>
          </cell>
          <cell r="F259" t="str">
            <v>CRS-PARS-NRS-PiNSI</v>
          </cell>
        </row>
        <row r="260">
          <cell r="A260" t="str">
            <v>None (Texas Human Resources Code)</v>
          </cell>
          <cell r="C260" t="str">
            <v>CRS</v>
          </cell>
          <cell r="D260" t="str">
            <v>PARS Non-Residential Core Srvc</v>
          </cell>
          <cell r="E260" t="str">
            <v>Neuropsychiatric Services Re-evaluation</v>
          </cell>
          <cell r="F260" t="str">
            <v>CRS-PARS-NRS-PiNSR</v>
          </cell>
        </row>
        <row r="261">
          <cell r="A261" t="str">
            <v>None (Texas Human Resources Code)</v>
          </cell>
          <cell r="C261" t="str">
            <v>CRS</v>
          </cell>
          <cell r="D261" t="str">
            <v>PARS Non-Residential Core Srvc</v>
          </cell>
          <cell r="E261" t="str">
            <v>Neuropsychiatric Services Small Group</v>
          </cell>
          <cell r="F261" t="str">
            <v>CRS-PARS-NRS-PiNSSG</v>
          </cell>
        </row>
        <row r="262">
          <cell r="A262" t="str">
            <v>None (Texas Human Resources Code)</v>
          </cell>
          <cell r="C262" t="str">
            <v>CRS</v>
          </cell>
          <cell r="D262" t="str">
            <v>PARS Non-Residential Core Srvc</v>
          </cell>
          <cell r="E262" t="str">
            <v>Neuropsychological Services Evaluation</v>
          </cell>
          <cell r="F262" t="str">
            <v>CRS-PARS-NRS-PoNSE</v>
          </cell>
        </row>
        <row r="263">
          <cell r="A263" t="str">
            <v>None (Texas Human Resources Code)</v>
          </cell>
          <cell r="C263" t="str">
            <v>CRS</v>
          </cell>
          <cell r="D263" t="str">
            <v>PARS Non-Residential Core Srvc</v>
          </cell>
          <cell r="E263" t="str">
            <v>Neuropsychological Services Group</v>
          </cell>
          <cell r="F263" t="str">
            <v>CRS-PARS-NRS-PoNSG</v>
          </cell>
        </row>
        <row r="264">
          <cell r="A264" t="str">
            <v>None (Texas Human Resources Code)</v>
          </cell>
          <cell r="C264" t="str">
            <v>CRS</v>
          </cell>
          <cell r="D264" t="str">
            <v>PARS Non-Residential Core Srvc</v>
          </cell>
          <cell r="E264" t="str">
            <v>Neuropsychological Services Individual</v>
          </cell>
          <cell r="F264" t="str">
            <v>CRS-PARS-NRS-PoNSI</v>
          </cell>
        </row>
        <row r="265">
          <cell r="A265" t="str">
            <v>None (Texas Human Resources Code)</v>
          </cell>
          <cell r="C265" t="str">
            <v>CRS</v>
          </cell>
          <cell r="D265" t="str">
            <v>PARS Non-Residential Core Srvc</v>
          </cell>
          <cell r="E265" t="str">
            <v>Neuropsychological Services Re-evaluation</v>
          </cell>
          <cell r="F265" t="str">
            <v>CRS-PARS-NRS-PoNSR</v>
          </cell>
        </row>
        <row r="266">
          <cell r="A266" t="str">
            <v>None (Texas Human Resources Code)</v>
          </cell>
          <cell r="C266" t="str">
            <v>CRS</v>
          </cell>
          <cell r="D266" t="str">
            <v>PARS Non-Residential Core Srvc</v>
          </cell>
          <cell r="E266" t="str">
            <v>Neuropsychological Services Small Group</v>
          </cell>
          <cell r="F266" t="str">
            <v>CRS-PARS-NRS-PoNSSG</v>
          </cell>
        </row>
        <row r="267">
          <cell r="A267" t="str">
            <v>None (Texas Human Resources Code)</v>
          </cell>
          <cell r="C267" t="str">
            <v>CRS</v>
          </cell>
          <cell r="D267" t="str">
            <v>PARS Non-Residential Core Srvc</v>
          </cell>
          <cell r="E267" t="str">
            <v>Occupational Therapy Evaluation</v>
          </cell>
          <cell r="F267" t="str">
            <v>CRS-PARS-NRS-OTE</v>
          </cell>
        </row>
        <row r="268">
          <cell r="A268" t="str">
            <v>None (Texas Human Resources Code)</v>
          </cell>
          <cell r="C268" t="str">
            <v>CRS</v>
          </cell>
          <cell r="D268" t="str">
            <v>PARS Non-Residential Core Srvc</v>
          </cell>
          <cell r="E268" t="str">
            <v>Occupational Therapy Group</v>
          </cell>
          <cell r="F268" t="str">
            <v>CRS-PARS-NRS-OTG</v>
          </cell>
        </row>
        <row r="269">
          <cell r="A269" t="str">
            <v>None (Texas Human Resources Code)</v>
          </cell>
          <cell r="C269" t="str">
            <v>CRS</v>
          </cell>
          <cell r="D269" t="str">
            <v>PARS Non-Residential Core Srvc</v>
          </cell>
          <cell r="E269" t="str">
            <v>Occupational Therapy Individual</v>
          </cell>
          <cell r="F269" t="str">
            <v>CRS-PARS-NRS-OTI</v>
          </cell>
        </row>
        <row r="270">
          <cell r="A270" t="str">
            <v>None (Texas Human Resources Code)</v>
          </cell>
          <cell r="C270" t="str">
            <v>CRS</v>
          </cell>
          <cell r="D270" t="str">
            <v>PARS Non-Residential Core Srvc</v>
          </cell>
          <cell r="E270" t="str">
            <v>Occupational Therapy Re-evaluation</v>
          </cell>
          <cell r="F270" t="str">
            <v>CRS-PARS-NRS-OTR</v>
          </cell>
        </row>
        <row r="271">
          <cell r="A271" t="str">
            <v>None (Texas Human Resources Code)</v>
          </cell>
          <cell r="C271" t="str">
            <v>CRS</v>
          </cell>
          <cell r="D271" t="str">
            <v>PARS Non-Residential Core Srvc</v>
          </cell>
          <cell r="E271" t="str">
            <v>Occupational Therapy Small Group</v>
          </cell>
          <cell r="F271" t="str">
            <v>CRS-PARS-NRS-OTSG</v>
          </cell>
        </row>
        <row r="272">
          <cell r="A272" t="str">
            <v>None (Texas Human Resources Code)</v>
          </cell>
          <cell r="C272" t="str">
            <v>CRS</v>
          </cell>
          <cell r="D272" t="str">
            <v>PARS Non-Residential Core Srvc</v>
          </cell>
          <cell r="E272" t="str">
            <v>Physical Therapy Evaluation</v>
          </cell>
          <cell r="F272" t="str">
            <v>CRS-PARS-NRS-PTE</v>
          </cell>
        </row>
        <row r="273">
          <cell r="A273" t="str">
            <v>None (Texas Human Resources Code)</v>
          </cell>
          <cell r="C273" t="str">
            <v>CRS</v>
          </cell>
          <cell r="D273" t="str">
            <v>PARS Non-Residential Core Srvc</v>
          </cell>
          <cell r="E273" t="str">
            <v>Physical Therapy Group</v>
          </cell>
          <cell r="F273" t="str">
            <v>CRS-PARS-NRS-PTG</v>
          </cell>
        </row>
        <row r="274">
          <cell r="A274" t="str">
            <v>None (Texas Human Resources Code)</v>
          </cell>
          <cell r="C274" t="str">
            <v>CRS</v>
          </cell>
          <cell r="D274" t="str">
            <v>PARS Non-Residential Core Srvc</v>
          </cell>
          <cell r="E274" t="str">
            <v>Physical Therapy Individual</v>
          </cell>
          <cell r="F274" t="str">
            <v>CRS-PARS-NRS-PTI</v>
          </cell>
        </row>
        <row r="275">
          <cell r="A275" t="str">
            <v>None (Texas Human Resources Code)</v>
          </cell>
          <cell r="C275" t="str">
            <v>CRS</v>
          </cell>
          <cell r="D275" t="str">
            <v>PARS Non-Residential Core Srvc</v>
          </cell>
          <cell r="E275" t="str">
            <v>Physical Therapy Re-evaluation</v>
          </cell>
          <cell r="F275" t="str">
            <v>CRS-PARS-NRS-PTR</v>
          </cell>
        </row>
        <row r="276">
          <cell r="A276" t="str">
            <v>None (Texas Human Resources Code)</v>
          </cell>
          <cell r="C276" t="str">
            <v>CRS</v>
          </cell>
          <cell r="D276" t="str">
            <v>PARS Non-Residential Core Srvc</v>
          </cell>
          <cell r="E276" t="str">
            <v>Physical Therapy Small Group</v>
          </cell>
          <cell r="F276" t="str">
            <v>CRS-PARS-NRS-PTSG</v>
          </cell>
        </row>
        <row r="277">
          <cell r="A277" t="str">
            <v>None (Texas Human Resources Code)</v>
          </cell>
          <cell r="C277" t="str">
            <v>CRS</v>
          </cell>
          <cell r="D277" t="str">
            <v>PARS Non-Residential Core Srvc</v>
          </cell>
          <cell r="E277" t="str">
            <v>Recreational Therapy Group</v>
          </cell>
          <cell r="F277" t="str">
            <v>CRS-PARS-NRS-RTG</v>
          </cell>
        </row>
        <row r="278">
          <cell r="A278" t="str">
            <v>None (Texas Human Resources Code)</v>
          </cell>
          <cell r="C278" t="str">
            <v>CRS</v>
          </cell>
          <cell r="D278" t="str">
            <v>PARS Non-Residential Core Srvc</v>
          </cell>
          <cell r="E278" t="str">
            <v>Recreational Therapy Individual</v>
          </cell>
          <cell r="F278" t="str">
            <v>CRS-PARS-NRS-RTI</v>
          </cell>
        </row>
        <row r="279">
          <cell r="A279" t="str">
            <v>None (Texas Human Resources Code)</v>
          </cell>
          <cell r="C279" t="str">
            <v>CRS</v>
          </cell>
          <cell r="D279" t="str">
            <v>PARS Non-Residential Core Srvc</v>
          </cell>
          <cell r="E279" t="str">
            <v>Recreational Therapy Small Group</v>
          </cell>
          <cell r="F279" t="str">
            <v>CRS-PARS-NRS-RTSG</v>
          </cell>
        </row>
        <row r="280">
          <cell r="A280" t="str">
            <v>None (Texas Human Resources Code)</v>
          </cell>
          <cell r="C280" t="str">
            <v>CRS</v>
          </cell>
          <cell r="D280" t="str">
            <v>PARS Non-Residential Core Srvc</v>
          </cell>
          <cell r="E280" t="str">
            <v>Speech/Language Pathology Evaluation</v>
          </cell>
          <cell r="F280" t="str">
            <v>CRS-PARS-NRS-SPE</v>
          </cell>
        </row>
        <row r="281">
          <cell r="A281" t="str">
            <v>None (Texas Human Resources Code)</v>
          </cell>
          <cell r="C281" t="str">
            <v>CRS</v>
          </cell>
          <cell r="D281" t="str">
            <v>PARS Non-Residential Core Srvc</v>
          </cell>
          <cell r="E281" t="str">
            <v>Speech/Language Pathology Group</v>
          </cell>
          <cell r="F281" t="str">
            <v>CRS-PARS-NRS-SPG</v>
          </cell>
        </row>
        <row r="282">
          <cell r="A282" t="str">
            <v>None (Texas Human Resources Code)</v>
          </cell>
          <cell r="C282" t="str">
            <v>CRS</v>
          </cell>
          <cell r="D282" t="str">
            <v>PARS Non-Residential Core Srvc</v>
          </cell>
          <cell r="E282" t="str">
            <v>Speech/Language Pathology Individual</v>
          </cell>
          <cell r="F282" t="str">
            <v>CRS-PARS-NRS-SPI</v>
          </cell>
        </row>
        <row r="283">
          <cell r="A283" t="str">
            <v>None (Texas Human Resources Code)</v>
          </cell>
          <cell r="C283" t="str">
            <v>CRS</v>
          </cell>
          <cell r="D283" t="str">
            <v>PARS Non-Residential Core Srvc</v>
          </cell>
          <cell r="E283" t="str">
            <v>Speech/Language Pathology Re-evaluation</v>
          </cell>
          <cell r="F283" t="str">
            <v>CRS-PARS-NRS-SPR</v>
          </cell>
        </row>
        <row r="284">
          <cell r="A284" t="str">
            <v>None (Texas Human Resources Code)</v>
          </cell>
          <cell r="C284" t="str">
            <v>CRS</v>
          </cell>
          <cell r="D284" t="str">
            <v>PARS Non-Residential Core Srvc</v>
          </cell>
          <cell r="E284" t="str">
            <v>Speech/Language Pathology Small Group</v>
          </cell>
          <cell r="F284" t="str">
            <v>CRS-PARS-NRS-SPSG</v>
          </cell>
        </row>
        <row r="285">
          <cell r="A285" t="str">
            <v>None (Texas Human Resources Code)</v>
          </cell>
          <cell r="C285" t="str">
            <v>CRS</v>
          </cell>
          <cell r="D285" t="str">
            <v>PARS Non-Residential Core Srvc</v>
          </cell>
          <cell r="E285" t="str">
            <v xml:space="preserve">Weighted Average Rate </v>
          </cell>
          <cell r="F285" t="str">
            <v>CRS-PARS-N-RCS-W-AVG</v>
          </cell>
        </row>
        <row r="286">
          <cell r="A286" t="str">
            <v>None (Texas Human Resources Code)</v>
          </cell>
          <cell r="C286" t="str">
            <v>CRS</v>
          </cell>
          <cell r="D286" t="str">
            <v>PARS Non-Residential Non-Core</v>
          </cell>
          <cell r="E286" t="str">
            <v>Certified Brain Injury Specialist (CBIS) Individual</v>
          </cell>
          <cell r="F286" t="str">
            <v>CRS-PARS-NRS-CBIS-I</v>
          </cell>
        </row>
        <row r="287">
          <cell r="A287" t="str">
            <v>None (Texas Human Resources Code)</v>
          </cell>
          <cell r="C287" t="str">
            <v>CRS</v>
          </cell>
          <cell r="D287" t="str">
            <v>PARS Non-Residential Non-Core</v>
          </cell>
          <cell r="E287" t="str">
            <v>Community Independence Supports-Paraprofessional Individual</v>
          </cell>
          <cell r="F287" t="str">
            <v>CRS-PARS-NRS-CISI</v>
          </cell>
        </row>
        <row r="288">
          <cell r="A288" t="str">
            <v>None (Texas Human Resources Code)</v>
          </cell>
          <cell r="C288" t="str">
            <v>CRS</v>
          </cell>
          <cell r="D288" t="str">
            <v>PARS Non-Residential Non-Core</v>
          </cell>
          <cell r="E288" t="str">
            <v>Medical Team Conference with patient and/or family not present</v>
          </cell>
          <cell r="F288" t="str">
            <v>CRS-PARS-NRS-MTCwpafnp</v>
          </cell>
        </row>
        <row r="289">
          <cell r="A289" t="str">
            <v>None (Texas Human Resources Code)</v>
          </cell>
          <cell r="C289" t="str">
            <v>CRS</v>
          </cell>
          <cell r="D289" t="str">
            <v>PARS Non-Residential Non-Core</v>
          </cell>
          <cell r="E289" t="str">
            <v>Medical Team Conference with patient and/or family present</v>
          </cell>
          <cell r="F289" t="str">
            <v>CRS-PARS-NRS-MTCwpafp</v>
          </cell>
        </row>
        <row r="290">
          <cell r="A290" t="str">
            <v>None (Texas Human Resources Code)</v>
          </cell>
          <cell r="C290" t="str">
            <v>CRS</v>
          </cell>
          <cell r="D290" t="str">
            <v>PARS Non-Residential Non-Core</v>
          </cell>
          <cell r="E290" t="str">
            <v>Non-residential Community-based</v>
          </cell>
          <cell r="F290" t="str">
            <v>CRS-PARS-NRS-NRCB</v>
          </cell>
        </row>
        <row r="291">
          <cell r="A291" t="str">
            <v>None (Texas Human Resources Code)</v>
          </cell>
          <cell r="C291" t="str">
            <v>CRS</v>
          </cell>
          <cell r="D291" t="str">
            <v>PARS Non-Residential Non-Core</v>
          </cell>
          <cell r="E291" t="str">
            <v>Non-residential Facility-based</v>
          </cell>
          <cell r="F291" t="str">
            <v>CRS-PARS-NRS-NRFB</v>
          </cell>
        </row>
        <row r="292">
          <cell r="A292" t="str">
            <v>None (Texas Human Resources Code)</v>
          </cell>
          <cell r="C292" t="str">
            <v>CRS</v>
          </cell>
          <cell r="D292" t="str">
            <v>PARS Non-Residential Non-Core</v>
          </cell>
          <cell r="E292" t="str">
            <v xml:space="preserve">Transportation per day (Transportation can be billed one time per day for core service delivery) </v>
          </cell>
          <cell r="F292" t="str">
            <v>CRS-PARS-NRS-TPD</v>
          </cell>
        </row>
        <row r="293">
          <cell r="A293" t="str">
            <v>None (Texas Human Resources Code)</v>
          </cell>
          <cell r="C293" t="str">
            <v>CRS</v>
          </cell>
          <cell r="D293" t="str">
            <v>PARS Residential Core Srvc</v>
          </cell>
          <cell r="E293" t="str">
            <v>Residential Services Base</v>
          </cell>
          <cell r="F293" t="str">
            <v>CRS-PARS-RS-B</v>
          </cell>
        </row>
        <row r="294">
          <cell r="A294" t="str">
            <v>None (Texas Human Resources Code)</v>
          </cell>
          <cell r="C294" t="str">
            <v>CRS</v>
          </cell>
          <cell r="D294" t="str">
            <v>PARS Residential Core Srvc</v>
          </cell>
          <cell r="E294" t="str">
            <v>Residential Services Base Core Tier 1</v>
          </cell>
          <cell r="F294" t="str">
            <v>CRS-PARS-RS-BC1</v>
          </cell>
        </row>
        <row r="295">
          <cell r="A295" t="str">
            <v>None (Texas Human Resources Code)</v>
          </cell>
          <cell r="C295" t="str">
            <v>CRS</v>
          </cell>
          <cell r="D295" t="str">
            <v>PARS Residential Core Srvc</v>
          </cell>
          <cell r="E295" t="str">
            <v>Residential Services Base Core Tier 2</v>
          </cell>
          <cell r="F295" t="str">
            <v>CRS-PARS-RS-BC2</v>
          </cell>
        </row>
        <row r="296">
          <cell r="A296" t="str">
            <v>None (Texas Human Resources Code)</v>
          </cell>
          <cell r="C296" t="str">
            <v>CRS</v>
          </cell>
          <cell r="D296" t="str">
            <v>PARS Residential Core Srvc</v>
          </cell>
          <cell r="E296" t="str">
            <v>Residential Services Base Core Tier 3</v>
          </cell>
          <cell r="F296" t="str">
            <v>CRS-PARS-RS-BC3</v>
          </cell>
        </row>
        <row r="297">
          <cell r="A297" t="str">
            <v>None (Texas Human Resources Code)</v>
          </cell>
          <cell r="C297" t="str">
            <v>CRS</v>
          </cell>
          <cell r="D297" t="str">
            <v>PARS Residential Core Srvc</v>
          </cell>
          <cell r="E297" t="str">
            <v>Residential Services Base Core Tier 4</v>
          </cell>
          <cell r="F297" t="str">
            <v>CRS-PARS-RS-BC4</v>
          </cell>
        </row>
        <row r="298">
          <cell r="A298" t="str">
            <v>None (Texas Human Resources Code)</v>
          </cell>
          <cell r="C298" t="str">
            <v>CRS</v>
          </cell>
          <cell r="D298" t="str">
            <v>PARS Residential Core Srvc</v>
          </cell>
          <cell r="E298" t="str">
            <v>Residential Services Base Core Tier 5</v>
          </cell>
          <cell r="F298" t="str">
            <v>CRS-PARS-RS-BC5</v>
          </cell>
        </row>
        <row r="299">
          <cell r="A299" t="str">
            <v>None (Texas Human Resources Code)</v>
          </cell>
          <cell r="C299" t="str">
            <v>CRS</v>
          </cell>
          <cell r="D299" t="str">
            <v>PARS Residential Core Srvc</v>
          </cell>
          <cell r="E299" t="str">
            <v>Residential Services Base Core Tier 6</v>
          </cell>
          <cell r="F299" t="str">
            <v>CRS-PARS-RS-BC6</v>
          </cell>
        </row>
        <row r="300">
          <cell r="A300" t="str">
            <v>None (Texas Human Resources Code)</v>
          </cell>
          <cell r="C300" t="str">
            <v>CRS</v>
          </cell>
          <cell r="D300" t="str">
            <v>PARS Residential Core Srvc</v>
          </cell>
          <cell r="E300" t="str">
            <v>Residential Services Base Core Tier 7</v>
          </cell>
          <cell r="F300" t="str">
            <v>CRS-PARS-RS-BC7</v>
          </cell>
        </row>
        <row r="301">
          <cell r="A301" t="str">
            <v>None (Texas Human Resources Code)</v>
          </cell>
          <cell r="C301" t="str">
            <v>CRS</v>
          </cell>
          <cell r="D301" t="str">
            <v>PARS Residential Core Srvc</v>
          </cell>
          <cell r="E301" t="str">
            <v>Residential Services Base Core Tier 8</v>
          </cell>
          <cell r="F301" t="str">
            <v>CRS-PARS-RS-BC8</v>
          </cell>
        </row>
        <row r="302">
          <cell r="A302" t="str">
            <v>None (Texas Human Resources Code)</v>
          </cell>
          <cell r="C302" t="str">
            <v>CRS</v>
          </cell>
          <cell r="D302" t="str">
            <v>PARS Residential Core Srvc</v>
          </cell>
          <cell r="E302" t="str">
            <v>Residential Services Base Plus</v>
          </cell>
          <cell r="F302" t="str">
            <v>CRS-PARS-RS-BP</v>
          </cell>
        </row>
        <row r="303">
          <cell r="A303" t="str">
            <v>State Plan (Title XIX)</v>
          </cell>
          <cell r="C303" t="str">
            <v>DAHS</v>
          </cell>
          <cell r="D303" t="str">
            <v>DAHS</v>
          </cell>
          <cell r="E303" t="str">
            <v>DAY ACTIVITY AND HEALTH SERVICES (DAHS) TITLE XIX</v>
          </cell>
          <cell r="F303" t="str">
            <v>729C0200</v>
          </cell>
        </row>
        <row r="304">
          <cell r="A304" t="str">
            <v>Title XX</v>
          </cell>
          <cell r="C304" t="str">
            <v>DAHS</v>
          </cell>
          <cell r="D304" t="str">
            <v>DAHS</v>
          </cell>
          <cell r="E304" t="str">
            <v>DAY ACTIVITY/HEALTH SERVICES (DAHS) TITLE XX</v>
          </cell>
          <cell r="F304" t="str">
            <v>729AC0202</v>
          </cell>
        </row>
        <row r="305">
          <cell r="A305" t="str">
            <v>1915(c) waiver</v>
          </cell>
          <cell r="C305" t="str">
            <v>DBMD</v>
          </cell>
          <cell r="D305" t="str">
            <v xml:space="preserve">Adaptive Aids/DME </v>
          </cell>
          <cell r="E305" t="str">
            <v xml:space="preserve">ADAPTIVE AIDS PERSONAL CARE ITEMS (CONSUMERABLE SUPPLIES/DIAPERS/BED PADS/ENSURE) </v>
          </cell>
          <cell r="F305" t="str">
            <v>1615G0500</v>
          </cell>
        </row>
        <row r="306">
          <cell r="A306" t="str">
            <v>1915(c) waiver</v>
          </cell>
          <cell r="C306" t="str">
            <v>DBMD</v>
          </cell>
          <cell r="D306" t="str">
            <v xml:space="preserve">Adaptive Aids/DME </v>
          </cell>
          <cell r="E306" t="str">
            <v>ADAPTIVE AIDS TRANSPORTATION</v>
          </cell>
          <cell r="F306" t="str">
            <v>1615G0500</v>
          </cell>
        </row>
        <row r="307">
          <cell r="A307" t="str">
            <v>1915(c) waiver</v>
          </cell>
          <cell r="C307" t="str">
            <v>DBMD</v>
          </cell>
          <cell r="D307" t="str">
            <v xml:space="preserve">Adaptive Aids/DME </v>
          </cell>
          <cell r="E307" t="str">
            <v xml:space="preserve">DME MEDICAL EQUIPMENT (NOS) </v>
          </cell>
          <cell r="F307" t="str">
            <v>1615G0500</v>
          </cell>
        </row>
        <row r="308">
          <cell r="A308" t="str">
            <v>1915(c) waiver</v>
          </cell>
          <cell r="C308" t="str">
            <v>DBMD</v>
          </cell>
          <cell r="D308" t="str">
            <v xml:space="preserve">Adaptive Aids/DME </v>
          </cell>
          <cell r="E308" t="str">
            <v xml:space="preserve">DME MISCELLANEOUS (HOSPITAL BEDS/VENTILATOR) </v>
          </cell>
          <cell r="F308" t="str">
            <v>1615G0500</v>
          </cell>
        </row>
        <row r="309">
          <cell r="A309" t="str">
            <v>1915(c) waiver</v>
          </cell>
          <cell r="C309" t="str">
            <v>DBMD</v>
          </cell>
          <cell r="D309" t="str">
            <v xml:space="preserve">Adaptive Aids/DME </v>
          </cell>
          <cell r="E309" t="str">
            <v>DME ROLLABOUT CHAIR</v>
          </cell>
          <cell r="F309" t="str">
            <v>1615G0500</v>
          </cell>
        </row>
        <row r="310">
          <cell r="A310" t="str">
            <v>1915(c) waiver</v>
          </cell>
          <cell r="C310" t="str">
            <v>DBMD</v>
          </cell>
          <cell r="D310" t="str">
            <v xml:space="preserve">Adaptive Aids/DME </v>
          </cell>
          <cell r="E310" t="str">
            <v>DME STANDARD WHEELCHAIR</v>
          </cell>
          <cell r="F310" t="str">
            <v>1615G0500</v>
          </cell>
        </row>
        <row r="311">
          <cell r="A311" t="str">
            <v>1915(c) waiver</v>
          </cell>
          <cell r="C311" t="str">
            <v>DBMD</v>
          </cell>
          <cell r="D311" t="str">
            <v xml:space="preserve">Adaptive Aids/DME </v>
          </cell>
          <cell r="E311" t="str">
            <v>DME VEHICLE MODIFICATIONS TO INCLUDE LIFT</v>
          </cell>
          <cell r="F311" t="str">
            <v>1615G0500</v>
          </cell>
        </row>
        <row r="312">
          <cell r="A312" t="str">
            <v>1915(c) waiver</v>
          </cell>
          <cell r="C312" t="str">
            <v>DBMD</v>
          </cell>
          <cell r="D312" t="str">
            <v xml:space="preserve">Adaptive Aids/DME </v>
          </cell>
          <cell r="E312" t="str">
            <v>DME/ADAPTIVE AIDS - COMMUNICATION DEVICE</v>
          </cell>
          <cell r="F312" t="str">
            <v>1615G0500</v>
          </cell>
        </row>
        <row r="313">
          <cell r="A313" t="str">
            <v>1915(c) waiver</v>
          </cell>
          <cell r="C313" t="str">
            <v>DBMD</v>
          </cell>
          <cell r="D313" t="str">
            <v xml:space="preserve">Adaptive Aids/DME </v>
          </cell>
          <cell r="E313" t="str">
            <v>DME/ADAPTIVE AIDS COMMUNICATION OTHER</v>
          </cell>
          <cell r="F313" t="str">
            <v>1615G0500</v>
          </cell>
        </row>
        <row r="314">
          <cell r="A314" t="str">
            <v>1915(c) waiver</v>
          </cell>
          <cell r="C314" t="str">
            <v>DBMD</v>
          </cell>
          <cell r="D314" t="str">
            <v xml:space="preserve">Adaptive Aids/DME </v>
          </cell>
          <cell r="E314" t="str">
            <v xml:space="preserve">DME/ADAPTIVE AIDS OTHER (IN HOME/NON-VEHICLE LIFT) </v>
          </cell>
          <cell r="F314" t="str">
            <v>1615G0500</v>
          </cell>
        </row>
        <row r="315">
          <cell r="A315" t="str">
            <v>1915(c) waiver</v>
          </cell>
          <cell r="C315" t="str">
            <v>DBMD</v>
          </cell>
          <cell r="D315" t="str">
            <v xml:space="preserve">Adaptive Aids/DME </v>
          </cell>
          <cell r="E315" t="str">
            <v>MEDICAL SUPPLIES</v>
          </cell>
          <cell r="F315" t="str">
            <v>1615G0500</v>
          </cell>
        </row>
        <row r="316">
          <cell r="A316" t="str">
            <v>1915(c) waiver</v>
          </cell>
          <cell r="C316" t="str">
            <v>DBMD</v>
          </cell>
          <cell r="D316" t="str">
            <v xml:space="preserve">Adaptive Aids/DME </v>
          </cell>
          <cell r="E316" t="str">
            <v>SPECIFICATION FEES ADAPTIVE AIDS</v>
          </cell>
          <cell r="F316" t="str">
            <v>1641CG0607</v>
          </cell>
        </row>
        <row r="317">
          <cell r="A317" t="str">
            <v>1915(c) waiver</v>
          </cell>
          <cell r="C317" t="str">
            <v>DBMD</v>
          </cell>
          <cell r="D317" t="str">
            <v>Audiology</v>
          </cell>
          <cell r="E317" t="str">
            <v>AUDIOLOGY</v>
          </cell>
          <cell r="F317" t="str">
            <v>1635U0300</v>
          </cell>
        </row>
        <row r="318">
          <cell r="A318" t="str">
            <v>1915(c) waiver</v>
          </cell>
          <cell r="C318" t="str">
            <v>DBMD</v>
          </cell>
          <cell r="D318" t="str">
            <v>Audiology</v>
          </cell>
          <cell r="E318" t="str">
            <v>AUDITORY INTEGRATION/ENHANCEMENT TRAINING</v>
          </cell>
          <cell r="F318" t="str">
            <v>1635BU0306</v>
          </cell>
        </row>
        <row r="319">
          <cell r="A319" t="str">
            <v>1915(c) waiver</v>
          </cell>
          <cell r="C319" t="str">
            <v>DBMD</v>
          </cell>
          <cell r="D319" t="str">
            <v>Behavioral</v>
          </cell>
          <cell r="E319" t="str">
            <v>BEHAVIORAL SUPPORT</v>
          </cell>
          <cell r="F319" t="str">
            <v>1643AH2019</v>
          </cell>
        </row>
        <row r="320">
          <cell r="A320" t="str">
            <v>1915(c) waiver</v>
          </cell>
          <cell r="C320" t="str">
            <v>DBMD</v>
          </cell>
          <cell r="D320" t="str">
            <v>Case Management</v>
          </cell>
          <cell r="E320" t="str">
            <v>CASE MANAGEMENT</v>
          </cell>
          <cell r="F320" t="str">
            <v>1612G0200</v>
          </cell>
        </row>
        <row r="321">
          <cell r="A321" t="str">
            <v>1915(c) waiver</v>
          </cell>
          <cell r="C321" t="str">
            <v>DBMD</v>
          </cell>
          <cell r="D321" t="str">
            <v>Case Management</v>
          </cell>
          <cell r="E321" t="str">
            <v xml:space="preserve">CASE MANAGEMENT (MONTHLY) </v>
          </cell>
          <cell r="F321" t="str">
            <v>1612DG2400</v>
          </cell>
        </row>
        <row r="322">
          <cell r="A322" t="str">
            <v>1915(c) waiver</v>
          </cell>
          <cell r="C322" t="str">
            <v>DBMD</v>
          </cell>
          <cell r="D322" t="str">
            <v>Chore Services</v>
          </cell>
          <cell r="E322" t="str">
            <v>PAS CHORE</v>
          </cell>
          <cell r="F322" t="str">
            <v>1617EG0744</v>
          </cell>
        </row>
        <row r="323">
          <cell r="A323" t="str">
            <v>1915(c) waiver</v>
          </cell>
          <cell r="C323" t="str">
            <v>DBMD</v>
          </cell>
          <cell r="D323" t="str">
            <v>Day Habilitation</v>
          </cell>
          <cell r="E323" t="str">
            <v>HABILITATION ADL'S</v>
          </cell>
          <cell r="F323" t="str">
            <v>1610S0101</v>
          </cell>
        </row>
        <row r="324">
          <cell r="A324" t="str">
            <v>1915(c) waiver</v>
          </cell>
          <cell r="C324" t="str">
            <v>DBMD</v>
          </cell>
          <cell r="D324" t="str">
            <v>DBMD and CLASS Assessments</v>
          </cell>
          <cell r="E324" t="str">
            <v>PRE-ASSESSMENT</v>
          </cell>
          <cell r="F324" t="str">
            <v>1640AG0207</v>
          </cell>
        </row>
        <row r="325">
          <cell r="A325" t="str">
            <v>1915(c) waiver</v>
          </cell>
          <cell r="C325" t="str">
            <v>DBMD</v>
          </cell>
          <cell r="D325" t="str">
            <v>DBMD Assisted Living</v>
          </cell>
          <cell r="E325" t="str">
            <v>18 HOUR ASSISTED LIVING</v>
          </cell>
          <cell r="F325" t="str">
            <v>1619FG0938</v>
          </cell>
        </row>
        <row r="326">
          <cell r="A326" t="str">
            <v>1915(c) waiver</v>
          </cell>
          <cell r="C326" t="str">
            <v>DBMD</v>
          </cell>
          <cell r="D326" t="str">
            <v>DBMD Assisted Living</v>
          </cell>
          <cell r="E326" t="str">
            <v>18 HOUR RESIDENTIAL HABILITATION</v>
          </cell>
          <cell r="F326" t="str">
            <v>1619FG0938</v>
          </cell>
        </row>
        <row r="327">
          <cell r="A327" t="str">
            <v>1915(c) waiver</v>
          </cell>
          <cell r="C327" t="str">
            <v>DBMD</v>
          </cell>
          <cell r="D327" t="str">
            <v>DBMD Assisted Living</v>
          </cell>
          <cell r="E327" t="str">
            <v xml:space="preserve">ASSISTED LIVING APT (LEVEL 6) </v>
          </cell>
          <cell r="F327" t="str">
            <v>1619G0900</v>
          </cell>
        </row>
        <row r="328">
          <cell r="A328" t="str">
            <v>1915(c) waiver</v>
          </cell>
          <cell r="C328" t="str">
            <v>DBMD</v>
          </cell>
          <cell r="D328" t="str">
            <v>DBMD Assisted Living</v>
          </cell>
          <cell r="E328" t="str">
            <v>ASSISTED LIVING HABILITATION 24 HR</v>
          </cell>
          <cell r="F328" t="str">
            <v>1619EG0937</v>
          </cell>
        </row>
        <row r="329">
          <cell r="A329" t="str">
            <v>1915(c) waiver</v>
          </cell>
          <cell r="C329" t="str">
            <v>DBMD</v>
          </cell>
          <cell r="D329" t="str">
            <v>Dental</v>
          </cell>
          <cell r="E329" t="str">
            <v>Dental</v>
          </cell>
          <cell r="F329" t="str">
            <v>165AN0601</v>
          </cell>
        </row>
        <row r="330">
          <cell r="A330" t="str">
            <v>1915(c) waiver</v>
          </cell>
          <cell r="C330" t="str">
            <v>DBMD</v>
          </cell>
          <cell r="D330" t="str">
            <v>Dental</v>
          </cell>
          <cell r="E330" t="str">
            <v>Dental</v>
          </cell>
          <cell r="F330" t="str">
            <v>165BN0602</v>
          </cell>
        </row>
        <row r="331">
          <cell r="A331" t="str">
            <v>1915(c) waiver</v>
          </cell>
          <cell r="C331" t="str">
            <v>DBMD</v>
          </cell>
          <cell r="D331" t="str">
            <v>Dietary</v>
          </cell>
          <cell r="E331" t="str">
            <v>DIETARY DIABETIC SERVICES</v>
          </cell>
          <cell r="F331" t="str">
            <v>1634U0210</v>
          </cell>
        </row>
        <row r="332">
          <cell r="A332" t="str">
            <v>1915(c) waiver</v>
          </cell>
          <cell r="C332" t="str">
            <v>DBMD</v>
          </cell>
          <cell r="D332" t="str">
            <v>Dietary</v>
          </cell>
          <cell r="E332" t="str">
            <v>DIETARY NUTRITIONAL SERVICES</v>
          </cell>
          <cell r="F332" t="str">
            <v>1634U0210</v>
          </cell>
        </row>
        <row r="333">
          <cell r="A333" t="str">
            <v>1915(c) waiver</v>
          </cell>
          <cell r="C333" t="str">
            <v>DBMD</v>
          </cell>
          <cell r="D333" t="str">
            <v>Dietary</v>
          </cell>
          <cell r="E333" t="str">
            <v>DIETARY SERVICES EVALUATION</v>
          </cell>
          <cell r="F333" t="str">
            <v>1634U0210</v>
          </cell>
        </row>
        <row r="334">
          <cell r="A334" t="str">
            <v>1915(c) waiver</v>
          </cell>
          <cell r="C334" t="str">
            <v>DBMD</v>
          </cell>
          <cell r="D334" t="str">
            <v>Employment Services</v>
          </cell>
          <cell r="E334" t="str">
            <v>(CDS) EMPLOYMENT ASSISTANCE</v>
          </cell>
          <cell r="F334" t="str">
            <v>1654VH2029</v>
          </cell>
        </row>
        <row r="335">
          <cell r="A335" t="str">
            <v>1915(c) waiver</v>
          </cell>
          <cell r="C335" t="str">
            <v>DBMD</v>
          </cell>
          <cell r="D335" t="str">
            <v>Employment Services</v>
          </cell>
          <cell r="E335" t="str">
            <v>(CDS) SUPPORTED EMPLOYMENT</v>
          </cell>
          <cell r="F335" t="str">
            <v>1637VH2027</v>
          </cell>
        </row>
        <row r="336">
          <cell r="A336" t="str">
            <v>1915(c) waiver</v>
          </cell>
          <cell r="C336" t="str">
            <v>DBMD</v>
          </cell>
          <cell r="D336" t="str">
            <v>Employment Services</v>
          </cell>
          <cell r="E336" t="str">
            <v>EMPLOYMENT ASSISTANCE (AO)</v>
          </cell>
          <cell r="F336" t="str">
            <v>1654H2026</v>
          </cell>
        </row>
        <row r="337">
          <cell r="A337" t="str">
            <v>1915(c) waiver</v>
          </cell>
          <cell r="C337" t="str">
            <v>DBMD</v>
          </cell>
          <cell r="D337" t="str">
            <v>Employment Services</v>
          </cell>
          <cell r="E337" t="str">
            <v>SUPPORTED EMPLOYMENT (AO)</v>
          </cell>
          <cell r="F337" t="str">
            <v>1637H2024</v>
          </cell>
        </row>
        <row r="338">
          <cell r="A338" t="str">
            <v>State Plan (Title XIX)</v>
          </cell>
          <cell r="C338" t="str">
            <v>DBMD</v>
          </cell>
          <cell r="D338" t="str">
            <v>ERS</v>
          </cell>
          <cell r="E338" t="str">
            <v>CFC ERS INITIAL MONTH</v>
          </cell>
          <cell r="F338" t="str">
            <v>1620CFCG1112</v>
          </cell>
        </row>
        <row r="339">
          <cell r="A339" t="str">
            <v>State Plan (Title XIX)</v>
          </cell>
          <cell r="C339" t="str">
            <v>DBMD</v>
          </cell>
          <cell r="D339" t="str">
            <v>ERS</v>
          </cell>
          <cell r="E339" t="str">
            <v>CFC ERS ONGOING MONTHS</v>
          </cell>
          <cell r="F339" t="str">
            <v>1620CFCG1114</v>
          </cell>
        </row>
        <row r="340">
          <cell r="A340" t="str">
            <v>State Plan (Title XIX)</v>
          </cell>
          <cell r="C340" t="str">
            <v>DBMD</v>
          </cell>
          <cell r="D340" t="str">
            <v>ERS</v>
          </cell>
          <cell r="E340" t="str">
            <v>CFC ERS PURCHASE ONLY</v>
          </cell>
          <cell r="F340" t="str">
            <v>1620CFCG1113</v>
          </cell>
        </row>
        <row r="341">
          <cell r="A341" t="str">
            <v>State Plan (Title XIX)</v>
          </cell>
          <cell r="C341" t="str">
            <v>DBMD</v>
          </cell>
          <cell r="D341" t="str">
            <v>FMS</v>
          </cell>
          <cell r="E341" t="str">
            <v>CFC FMS (CDS)</v>
          </cell>
          <cell r="F341" t="str">
            <v>1663CFVG1118</v>
          </cell>
        </row>
        <row r="342">
          <cell r="A342" t="str">
            <v>1915(c) waiver</v>
          </cell>
          <cell r="C342" t="str">
            <v>DBMD</v>
          </cell>
          <cell r="D342" t="str">
            <v>FMS</v>
          </cell>
          <cell r="E342" t="str">
            <v>DBMD MONTHLY ADMINISTRATION FEE (CDS)</v>
          </cell>
          <cell r="F342" t="str">
            <v>1663VG0228</v>
          </cell>
        </row>
        <row r="343">
          <cell r="A343" t="str">
            <v>1915(c) waiver</v>
          </cell>
          <cell r="C343" t="str">
            <v>DBMD</v>
          </cell>
          <cell r="D343" t="str">
            <v>HAB Transportation</v>
          </cell>
          <cell r="E343" t="str">
            <v>HAB TRANSPORTATION</v>
          </cell>
          <cell r="F343" t="str">
            <v>1648G0252</v>
          </cell>
        </row>
        <row r="344">
          <cell r="A344" t="str">
            <v>1915(c) waiver</v>
          </cell>
          <cell r="C344" t="str">
            <v>DBMD</v>
          </cell>
          <cell r="D344" t="str">
            <v>HAB Transportation</v>
          </cell>
          <cell r="E344" t="str">
            <v>HAB TRANSPORTATION (CDS)</v>
          </cell>
          <cell r="F344" t="str">
            <v>1648VG0253</v>
          </cell>
        </row>
        <row r="345">
          <cell r="A345" t="str">
            <v>1915(c) waiver</v>
          </cell>
          <cell r="C345" t="str">
            <v>DBMD</v>
          </cell>
          <cell r="D345" t="str">
            <v>Home Modifications</v>
          </cell>
          <cell r="E345" t="str">
            <v>HOME MODIFICATIONS</v>
          </cell>
          <cell r="F345" t="str">
            <v>1616G0608</v>
          </cell>
        </row>
        <row r="346">
          <cell r="A346" t="str">
            <v>1915(c) waiver</v>
          </cell>
          <cell r="C346" t="str">
            <v>DBMD</v>
          </cell>
          <cell r="D346" t="str">
            <v>Home Modifications</v>
          </cell>
          <cell r="E346" t="str">
            <v>SPECIFICATION FEES MINOR HOME MODS</v>
          </cell>
          <cell r="F346" t="str">
            <v>1641DG0604</v>
          </cell>
        </row>
        <row r="347">
          <cell r="A347" t="str">
            <v>1915(c) waiver</v>
          </cell>
          <cell r="C347" t="str">
            <v>DBMD</v>
          </cell>
          <cell r="D347" t="str">
            <v>In Home Respite</v>
          </cell>
          <cell r="E347" t="str">
            <v xml:space="preserve">AGENCY ADMIN IN HOME RESPITE (CDS) </v>
          </cell>
          <cell r="F347" t="str">
            <v>1611G0171</v>
          </cell>
        </row>
        <row r="348">
          <cell r="A348" t="str">
            <v>1915(c) waiver</v>
          </cell>
          <cell r="C348" t="str">
            <v>DBMD</v>
          </cell>
          <cell r="D348" t="str">
            <v>In Home Respite</v>
          </cell>
          <cell r="E348" t="str">
            <v>Respite In Home</v>
          </cell>
          <cell r="F348" t="str">
            <v>1611G0100</v>
          </cell>
        </row>
        <row r="349">
          <cell r="A349" t="str">
            <v>1915(c) waiver</v>
          </cell>
          <cell r="C349" t="str">
            <v>DBMD</v>
          </cell>
          <cell r="D349" t="str">
            <v>In Home Respite</v>
          </cell>
          <cell r="E349" t="str">
            <v>RESPITE IN-HOME (CDS)</v>
          </cell>
          <cell r="F349" t="str">
            <v>1611PVG0197</v>
          </cell>
        </row>
        <row r="350">
          <cell r="A350" t="str">
            <v>1915(c) waiver</v>
          </cell>
          <cell r="C350" t="str">
            <v>DBMD</v>
          </cell>
          <cell r="D350" t="str">
            <v>In Home Respite</v>
          </cell>
          <cell r="E350" t="str">
            <v>RESPITE IN-HOME (CDS) INDIVIDUAL</v>
          </cell>
          <cell r="F350" t="str">
            <v>1611G0101</v>
          </cell>
        </row>
        <row r="351">
          <cell r="A351" t="str">
            <v>1915(c) waiver</v>
          </cell>
          <cell r="C351" t="str">
            <v>DBMD</v>
          </cell>
          <cell r="D351" t="str">
            <v>Intervener</v>
          </cell>
          <cell r="E351" t="str">
            <v>INTERVENER (CDS)</v>
          </cell>
          <cell r="F351" t="str">
            <v>1645VG0240</v>
          </cell>
        </row>
        <row r="352">
          <cell r="A352" t="str">
            <v>1915(c) waiver</v>
          </cell>
          <cell r="C352" t="str">
            <v>DBMD</v>
          </cell>
          <cell r="D352" t="str">
            <v>Intervener</v>
          </cell>
          <cell r="E352" t="str">
            <v>INTERVENOR</v>
          </cell>
          <cell r="F352" t="str">
            <v>1645G0232</v>
          </cell>
        </row>
        <row r="353">
          <cell r="A353" t="str">
            <v>1915(c) waiver</v>
          </cell>
          <cell r="C353" t="str">
            <v>DBMD</v>
          </cell>
          <cell r="D353" t="str">
            <v>Intervener</v>
          </cell>
          <cell r="E353" t="str">
            <v>INTERVENOR I</v>
          </cell>
          <cell r="F353" t="str">
            <v>1645AG0242</v>
          </cell>
        </row>
        <row r="354">
          <cell r="A354" t="str">
            <v>1915(c) waiver</v>
          </cell>
          <cell r="C354" t="str">
            <v>DBMD</v>
          </cell>
          <cell r="D354" t="str">
            <v>Intervener</v>
          </cell>
          <cell r="E354" t="str">
            <v>INTERVENOR I (CDS)</v>
          </cell>
          <cell r="F354" t="str">
            <v>1645AVG0245</v>
          </cell>
        </row>
        <row r="355">
          <cell r="A355" t="str">
            <v>1915(c) waiver</v>
          </cell>
          <cell r="C355" t="str">
            <v>DBMD</v>
          </cell>
          <cell r="D355" t="str">
            <v>Intervener</v>
          </cell>
          <cell r="E355" t="str">
            <v>INTERVENOR II</v>
          </cell>
          <cell r="F355" t="str">
            <v>1645BG0243</v>
          </cell>
        </row>
        <row r="356">
          <cell r="A356" t="str">
            <v>1915(c) waiver</v>
          </cell>
          <cell r="C356" t="str">
            <v>DBMD</v>
          </cell>
          <cell r="D356" t="str">
            <v>Intervener</v>
          </cell>
          <cell r="E356" t="str">
            <v>INTERVENOR II (CDS)</v>
          </cell>
          <cell r="F356" t="str">
            <v>1645BVG0246</v>
          </cell>
        </row>
        <row r="357">
          <cell r="A357" t="str">
            <v>1915(c) waiver</v>
          </cell>
          <cell r="C357" t="str">
            <v>DBMD</v>
          </cell>
          <cell r="D357" t="str">
            <v>Intervener</v>
          </cell>
          <cell r="E357" t="str">
            <v>INTERVENOR III</v>
          </cell>
          <cell r="F357" t="str">
            <v>1645CG0244</v>
          </cell>
        </row>
        <row r="358">
          <cell r="A358" t="str">
            <v>1915(c) waiver</v>
          </cell>
          <cell r="C358" t="str">
            <v>DBMD</v>
          </cell>
          <cell r="D358" t="str">
            <v>Intervener</v>
          </cell>
          <cell r="E358" t="str">
            <v>INTERVENOR III (CDS)</v>
          </cell>
          <cell r="F358" t="str">
            <v>1645CVG0247</v>
          </cell>
        </row>
        <row r="359">
          <cell r="A359" t="str">
            <v>1915(c) waiver</v>
          </cell>
          <cell r="C359" t="str">
            <v>DBMD</v>
          </cell>
          <cell r="D359" t="str">
            <v>ISS</v>
          </cell>
          <cell r="E359" t="str">
            <v>Individualized Skills and Socialization (ISS) Off-Site</v>
          </cell>
          <cell r="F359" t="str">
            <v>1623S0313</v>
          </cell>
        </row>
        <row r="360">
          <cell r="A360" t="str">
            <v>1915(c) waiver</v>
          </cell>
          <cell r="C360" t="str">
            <v>DBMD</v>
          </cell>
          <cell r="D360" t="str">
            <v>ISS</v>
          </cell>
          <cell r="E360" t="str">
            <v>Individualized Skills and Socialization (ISS) On-Site</v>
          </cell>
          <cell r="F360" t="str">
            <v>1623S0312</v>
          </cell>
        </row>
        <row r="361">
          <cell r="A361" t="str">
            <v>1915(c) waiver</v>
          </cell>
          <cell r="C361" t="str">
            <v>DBMD</v>
          </cell>
          <cell r="D361" t="str">
            <v>Nursing</v>
          </cell>
          <cell r="E361" t="str">
            <v>In-Home NURSING SERVICES - LVN - EVV OHFH</v>
          </cell>
          <cell r="F361" t="str">
            <v>1613AG2214</v>
          </cell>
        </row>
        <row r="362">
          <cell r="A362" t="str">
            <v>1915(c) waiver</v>
          </cell>
          <cell r="C362" t="str">
            <v>DBMD</v>
          </cell>
          <cell r="D362" t="str">
            <v>Nursing</v>
          </cell>
          <cell r="E362" t="str">
            <v>In-Home NURSING SERVICES - LVN - Other Residential Types</v>
          </cell>
          <cell r="F362" t="str">
            <v>1613AG2232</v>
          </cell>
        </row>
        <row r="363">
          <cell r="A363" t="str">
            <v>1915(c) waiver</v>
          </cell>
          <cell r="C363" t="str">
            <v>DBMD</v>
          </cell>
          <cell r="D363" t="str">
            <v>Nursing</v>
          </cell>
          <cell r="E363" t="str">
            <v>In-Home NURSING SERVICES - RN - EVV OHFH</v>
          </cell>
          <cell r="F363" t="str">
            <v>1613BG2215</v>
          </cell>
        </row>
        <row r="364">
          <cell r="A364" t="str">
            <v>1915(c) waiver</v>
          </cell>
          <cell r="C364" t="str">
            <v>DBMD</v>
          </cell>
          <cell r="D364" t="str">
            <v>Nursing</v>
          </cell>
          <cell r="E364" t="str">
            <v>In-Home NURSING SERVICES - RN - Other Residential Types</v>
          </cell>
          <cell r="F364" t="str">
            <v>1613BG2233</v>
          </cell>
        </row>
        <row r="365">
          <cell r="A365" t="str">
            <v>1915(c) waiver</v>
          </cell>
          <cell r="C365" t="str">
            <v>DBMD</v>
          </cell>
          <cell r="D365" t="str">
            <v>Nursing</v>
          </cell>
          <cell r="E365" t="str">
            <v>In-Home SPECIALIZED NURSING LVN - EVV OHFH</v>
          </cell>
          <cell r="F365" t="str">
            <v>1613DG2217</v>
          </cell>
        </row>
        <row r="366">
          <cell r="A366" t="str">
            <v>1915(c) waiver</v>
          </cell>
          <cell r="C366" t="str">
            <v>DBMD</v>
          </cell>
          <cell r="D366" t="str">
            <v>Nursing</v>
          </cell>
          <cell r="E366" t="str">
            <v>In-Home SPECIALIZED NURSING LVN - Other Residential Types</v>
          </cell>
          <cell r="F366" t="str">
            <v>1613DG2235</v>
          </cell>
        </row>
        <row r="367">
          <cell r="A367" t="str">
            <v>1915(c) waiver</v>
          </cell>
          <cell r="C367" t="str">
            <v>DBMD</v>
          </cell>
          <cell r="D367" t="str">
            <v>Nursing</v>
          </cell>
          <cell r="E367" t="str">
            <v>In-Home SPECIALIZED NURSING RN - EVV OHFH</v>
          </cell>
          <cell r="F367" t="str">
            <v>1613CG2216</v>
          </cell>
        </row>
        <row r="368">
          <cell r="A368" t="str">
            <v>1915(c) waiver</v>
          </cell>
          <cell r="C368" t="str">
            <v>DBMD</v>
          </cell>
          <cell r="D368" t="str">
            <v>Nursing</v>
          </cell>
          <cell r="E368" t="str">
            <v>In-Home SPECIALIZED NURSING RN - Other Residential Types</v>
          </cell>
          <cell r="F368" t="str">
            <v>1613CG2234</v>
          </cell>
        </row>
        <row r="369">
          <cell r="A369" t="str">
            <v>1915(c) waiver</v>
          </cell>
          <cell r="C369" t="str">
            <v>DBMD</v>
          </cell>
          <cell r="D369" t="str">
            <v>Nursing</v>
          </cell>
          <cell r="E369" t="str">
            <v>NURSING SERVICES - LVN - Out-of-Home</v>
          </cell>
          <cell r="F369" t="str">
            <v>1613AG2250</v>
          </cell>
        </row>
        <row r="370">
          <cell r="A370" t="str">
            <v>1915(c) waiver</v>
          </cell>
          <cell r="C370" t="str">
            <v>DBMD</v>
          </cell>
          <cell r="D370" t="str">
            <v>Nursing</v>
          </cell>
          <cell r="E370" t="str">
            <v>NURSING SERVICES - RN - Out-of-Home</v>
          </cell>
          <cell r="F370" t="str">
            <v>1613BG2251</v>
          </cell>
        </row>
        <row r="371">
          <cell r="A371" t="str">
            <v>1915(c) waiver</v>
          </cell>
          <cell r="C371" t="str">
            <v>DBMD</v>
          </cell>
          <cell r="D371" t="str">
            <v>Nursing</v>
          </cell>
          <cell r="E371" t="str">
            <v>NURSING SERVICES LVN</v>
          </cell>
          <cell r="F371" t="str">
            <v>1613AG0302</v>
          </cell>
        </row>
        <row r="372">
          <cell r="A372" t="str">
            <v>1915(c) waiver</v>
          </cell>
          <cell r="C372" t="str">
            <v>DBMD</v>
          </cell>
          <cell r="D372" t="str">
            <v>Nursing</v>
          </cell>
          <cell r="E372" t="str">
            <v>NURSING SERVICES RN</v>
          </cell>
          <cell r="F372" t="str">
            <v>1613BG0303</v>
          </cell>
        </row>
        <row r="373">
          <cell r="A373" t="str">
            <v>1915(c) waiver</v>
          </cell>
          <cell r="C373" t="str">
            <v>DBMD</v>
          </cell>
          <cell r="D373" t="str">
            <v>Nursing</v>
          </cell>
          <cell r="E373" t="str">
            <v>SPECIALIZED NURSING LVN</v>
          </cell>
          <cell r="F373" t="str">
            <v>1613DT1003</v>
          </cell>
        </row>
        <row r="374">
          <cell r="A374" t="str">
            <v>1915(c) waiver</v>
          </cell>
          <cell r="C374" t="str">
            <v>DBMD</v>
          </cell>
          <cell r="D374" t="str">
            <v>Nursing</v>
          </cell>
          <cell r="E374" t="str">
            <v>SPECIALIZED NURSING LVN - Out-of-Home</v>
          </cell>
          <cell r="F374" t="str">
            <v>1613DG2253</v>
          </cell>
        </row>
        <row r="375">
          <cell r="A375" t="str">
            <v>1915(c) waiver</v>
          </cell>
          <cell r="C375" t="str">
            <v>DBMD</v>
          </cell>
          <cell r="D375" t="str">
            <v>Nursing</v>
          </cell>
          <cell r="E375" t="str">
            <v>SPECIALIZED NURSING RN</v>
          </cell>
          <cell r="F375" t="str">
            <v>1613CT1002</v>
          </cell>
        </row>
        <row r="376">
          <cell r="A376" t="str">
            <v>1915(c) waiver</v>
          </cell>
          <cell r="C376" t="str">
            <v>DBMD</v>
          </cell>
          <cell r="D376" t="str">
            <v>Nursing</v>
          </cell>
          <cell r="E376" t="str">
            <v>SPECIALIZED NURSING RN - Out-of-Home</v>
          </cell>
          <cell r="F376" t="str">
            <v>1613CG2252</v>
          </cell>
        </row>
        <row r="377">
          <cell r="A377" t="str">
            <v>1915(c) waiver</v>
          </cell>
          <cell r="C377" t="str">
            <v>DBMD</v>
          </cell>
          <cell r="D377" t="str">
            <v>Orientation and Mobility</v>
          </cell>
          <cell r="E377" t="str">
            <v>ORIENTATION &amp; MOBILITY IN HOME</v>
          </cell>
          <cell r="F377" t="str">
            <v>1644G0231</v>
          </cell>
        </row>
        <row r="378">
          <cell r="A378" t="str">
            <v>1915(c) waiver</v>
          </cell>
          <cell r="C378" t="str">
            <v>DBMD</v>
          </cell>
          <cell r="D378" t="str">
            <v>Orientation and Mobility</v>
          </cell>
          <cell r="E378" t="str">
            <v>ORIENTATION &amp; MOBILITY OUT OF HOME</v>
          </cell>
          <cell r="F378" t="str">
            <v>1644G0231</v>
          </cell>
        </row>
        <row r="379">
          <cell r="A379" t="str">
            <v>1915(c) waiver</v>
          </cell>
          <cell r="C379" t="str">
            <v>DBMD</v>
          </cell>
          <cell r="D379" t="str">
            <v>Out of Home Respite</v>
          </cell>
          <cell r="E379" t="str">
            <v xml:space="preserve">AGENCY ADMIN OUT OF HOME RESPITE (CDS) </v>
          </cell>
          <cell r="F379" t="str">
            <v>1611AG0170</v>
          </cell>
        </row>
        <row r="380">
          <cell r="A380" t="str">
            <v>1915(c) waiver</v>
          </cell>
          <cell r="C380" t="str">
            <v>DBMD</v>
          </cell>
          <cell r="D380" t="str">
            <v>Out of Home Respite</v>
          </cell>
          <cell r="E380" t="str">
            <v>RESPITE OUT-OF-HOME</v>
          </cell>
          <cell r="F380" t="str">
            <v>1611AG0128</v>
          </cell>
        </row>
        <row r="381">
          <cell r="A381" t="str">
            <v>1915(c) waiver</v>
          </cell>
          <cell r="C381" t="str">
            <v>DBMD</v>
          </cell>
          <cell r="D381" t="str">
            <v>Out of Home Respite</v>
          </cell>
          <cell r="E381" t="str">
            <v>RESPITE OUT-OF-HOME (CDS)</v>
          </cell>
          <cell r="F381" t="str">
            <v>1611AVG0196</v>
          </cell>
        </row>
        <row r="382">
          <cell r="A382" t="str">
            <v>1915(c) waiver</v>
          </cell>
          <cell r="C382" t="str">
            <v>DBMD</v>
          </cell>
          <cell r="D382" t="str">
            <v>PAS/HAB</v>
          </cell>
          <cell r="E382" t="str">
            <v>(CDS) PERSONAL ASSISTANCE SERVICES (PAS) IND</v>
          </cell>
          <cell r="F382" t="str">
            <v>1617VG0718</v>
          </cell>
        </row>
        <row r="383">
          <cell r="A383" t="str">
            <v>State Plan (Title XIX)</v>
          </cell>
          <cell r="C383" t="str">
            <v>DBMD</v>
          </cell>
          <cell r="D383" t="str">
            <v>PAS/HAB</v>
          </cell>
          <cell r="E383" t="str">
            <v>CFC PAS/HAB</v>
          </cell>
          <cell r="F383" t="str">
            <v>1610CFCG1108</v>
          </cell>
        </row>
        <row r="384">
          <cell r="A384" t="str">
            <v>State Plan (Title XIX)</v>
          </cell>
          <cell r="C384" t="str">
            <v>DBMD</v>
          </cell>
          <cell r="D384" t="str">
            <v>PAS/HAB</v>
          </cell>
          <cell r="E384" t="str">
            <v>CFC PAS/HAB (CDS)</v>
          </cell>
          <cell r="F384" t="str">
            <v>1610CFVG1109</v>
          </cell>
        </row>
        <row r="385">
          <cell r="A385" t="str">
            <v>1915(c) waiver</v>
          </cell>
          <cell r="C385" t="str">
            <v>DBMD</v>
          </cell>
          <cell r="D385" t="str">
            <v>PAS/HAB</v>
          </cell>
          <cell r="E385" t="str">
            <v xml:space="preserve">RESIDENTIAL HABILITATION (CDS) (INDIVIDUAL) </v>
          </cell>
          <cell r="F385" t="str">
            <v>1617VG0717</v>
          </cell>
        </row>
        <row r="386">
          <cell r="A386" t="str">
            <v>1915(c) waiver</v>
          </cell>
          <cell r="C386" t="str">
            <v>DBMD</v>
          </cell>
          <cell r="D386" t="str">
            <v>PAS/HAB</v>
          </cell>
          <cell r="E386" t="str">
            <v>RESIDENTIAL HABILITATION HOURLY</v>
          </cell>
          <cell r="F386" t="str">
            <v>1617G0730</v>
          </cell>
        </row>
        <row r="387">
          <cell r="A387" t="str">
            <v>1915(c) waiver</v>
          </cell>
          <cell r="C387" t="str">
            <v>DBMD</v>
          </cell>
          <cell r="D387" t="str">
            <v>PAS/HAB</v>
          </cell>
          <cell r="E387" t="str">
            <v xml:space="preserve">SERVICE PLANNING TEAM (SPT) MEETING </v>
          </cell>
          <cell r="F387" t="str">
            <v>1610CFCG1119</v>
          </cell>
        </row>
        <row r="388">
          <cell r="A388" t="str">
            <v>1915(c) waiver</v>
          </cell>
          <cell r="C388" t="str">
            <v>DBMD</v>
          </cell>
          <cell r="D388" t="str">
            <v>PT/OT/ST</v>
          </cell>
          <cell r="E388" t="str">
            <v>In-Home OCCUPATIONAL THERAPY - EVV OHFH</v>
          </cell>
          <cell r="F388" t="str">
            <v>167G2212</v>
          </cell>
        </row>
        <row r="389">
          <cell r="A389" t="str">
            <v>1915(c) waiver</v>
          </cell>
          <cell r="C389" t="str">
            <v>DBMD</v>
          </cell>
          <cell r="D389" t="str">
            <v>PT/OT/ST</v>
          </cell>
          <cell r="E389" t="str">
            <v>In-Home OCCUPATIONAL THERAPY - Other Residential Types</v>
          </cell>
          <cell r="F389" t="str">
            <v>167G2230</v>
          </cell>
        </row>
        <row r="390">
          <cell r="A390" t="str">
            <v>1915(c) waiver</v>
          </cell>
          <cell r="C390" t="str">
            <v>DBMD</v>
          </cell>
          <cell r="D390" t="str">
            <v>PT/OT/ST</v>
          </cell>
          <cell r="E390" t="str">
            <v>In-Home PHYSICAL THERAPY - EVV OHFH</v>
          </cell>
          <cell r="F390" t="str">
            <v>168G2213</v>
          </cell>
        </row>
        <row r="391">
          <cell r="A391" t="str">
            <v>1915(c) waiver</v>
          </cell>
          <cell r="C391" t="str">
            <v>DBMD</v>
          </cell>
          <cell r="D391" t="str">
            <v>PT/OT/ST</v>
          </cell>
          <cell r="E391" t="str">
            <v>In-Home PHYSICAL THERAPY - Other Residential Types</v>
          </cell>
          <cell r="F391" t="str">
            <v>168G2231</v>
          </cell>
        </row>
        <row r="392">
          <cell r="A392" t="str">
            <v>1915(c) waiver</v>
          </cell>
          <cell r="C392" t="str">
            <v>DBMD</v>
          </cell>
          <cell r="D392" t="str">
            <v>PT/OT/ST</v>
          </cell>
          <cell r="E392" t="str">
            <v>OCCUPATIONAL THERAPY</v>
          </cell>
          <cell r="F392" t="str">
            <v>167G0400</v>
          </cell>
        </row>
        <row r="393">
          <cell r="A393" t="str">
            <v>1915(c) waiver</v>
          </cell>
          <cell r="C393" t="str">
            <v>DBMD</v>
          </cell>
          <cell r="D393" t="str">
            <v>PT/OT/ST</v>
          </cell>
          <cell r="E393" t="str">
            <v>OCCUPATIONAL THERAPY - Out-of-Home</v>
          </cell>
          <cell r="F393" t="str">
            <v>167G2248</v>
          </cell>
        </row>
        <row r="394">
          <cell r="A394" t="str">
            <v>1915(c) waiver</v>
          </cell>
          <cell r="C394" t="str">
            <v>DBMD</v>
          </cell>
          <cell r="D394" t="str">
            <v>PT/OT/ST</v>
          </cell>
          <cell r="E394" t="str">
            <v>OCCUPATIONAL THERAPY-TELEHEALTH</v>
          </cell>
          <cell r="F394" t="str">
            <v>167G0400</v>
          </cell>
        </row>
        <row r="395">
          <cell r="A395" t="str">
            <v>1915(c) waiver</v>
          </cell>
          <cell r="C395" t="str">
            <v>DBMD</v>
          </cell>
          <cell r="D395" t="str">
            <v>PT/OT/ST</v>
          </cell>
          <cell r="E395" t="str">
            <v>PHYSICAL THERAPY</v>
          </cell>
          <cell r="F395" t="str">
            <v>168G0401</v>
          </cell>
        </row>
        <row r="396">
          <cell r="A396" t="str">
            <v>1915(c) waiver</v>
          </cell>
          <cell r="C396" t="str">
            <v>DBMD</v>
          </cell>
          <cell r="D396" t="str">
            <v>PT/OT/ST</v>
          </cell>
          <cell r="E396" t="str">
            <v>PHYSICAL THERAPY - Out-of-Home</v>
          </cell>
          <cell r="F396" t="str">
            <v>168G2249</v>
          </cell>
        </row>
        <row r="397">
          <cell r="A397" t="str">
            <v>1915(c) waiver</v>
          </cell>
          <cell r="C397" t="str">
            <v>DBMD</v>
          </cell>
          <cell r="D397" t="str">
            <v>PT/OT/ST</v>
          </cell>
          <cell r="E397" t="str">
            <v>PHYSICAL THERAPY-TELEHEALTH</v>
          </cell>
          <cell r="F397" t="str">
            <v>168G0401</v>
          </cell>
        </row>
        <row r="398">
          <cell r="A398" t="str">
            <v>1915(c) waiver</v>
          </cell>
          <cell r="C398" t="str">
            <v>DBMD</v>
          </cell>
          <cell r="D398" t="str">
            <v>PT/OT/ST</v>
          </cell>
          <cell r="E398" t="str">
            <v>SPEECH THERAPY</v>
          </cell>
          <cell r="F398" t="str">
            <v>169G0402</v>
          </cell>
        </row>
        <row r="399">
          <cell r="A399" t="str">
            <v>1915(c) waiver</v>
          </cell>
          <cell r="C399" t="str">
            <v>DBMD</v>
          </cell>
          <cell r="D399" t="str">
            <v>PT/OT/ST</v>
          </cell>
          <cell r="E399" t="str">
            <v>SPEECH THERAPY-TELEHEALTH</v>
          </cell>
          <cell r="F399" t="str">
            <v>169G0402</v>
          </cell>
        </row>
        <row r="400">
          <cell r="A400" t="str">
            <v>1915(c) waiver</v>
          </cell>
          <cell r="C400" t="str">
            <v>DBMD</v>
          </cell>
          <cell r="D400" t="str">
            <v>Requisition Fees</v>
          </cell>
          <cell r="E400" t="str">
            <v>ADP AIDES/REQUISITION FEES 0-499.99</v>
          </cell>
          <cell r="F400" t="str">
            <v>1641G0515</v>
          </cell>
        </row>
        <row r="401">
          <cell r="A401" t="str">
            <v>1915(c) waiver</v>
          </cell>
          <cell r="C401" t="str">
            <v>DBMD</v>
          </cell>
          <cell r="D401" t="str">
            <v>Requisition Fees</v>
          </cell>
          <cell r="E401" t="str">
            <v>ADP AIDES/REQUISITION FEES 1000.00-1499.99</v>
          </cell>
          <cell r="F401" t="str">
            <v>1641G0517</v>
          </cell>
        </row>
        <row r="402">
          <cell r="A402" t="str">
            <v>1915(c) waiver</v>
          </cell>
          <cell r="C402" t="str">
            <v>DBMD</v>
          </cell>
          <cell r="D402" t="str">
            <v>Requisition Fees</v>
          </cell>
          <cell r="E402" t="str">
            <v>ADP AIDES/REQUISITION FEES 1500.00-1999.99</v>
          </cell>
          <cell r="F402" t="str">
            <v>1641G0518</v>
          </cell>
        </row>
        <row r="403">
          <cell r="A403" t="str">
            <v>1915(c) waiver</v>
          </cell>
          <cell r="C403" t="str">
            <v>DBMD</v>
          </cell>
          <cell r="D403" t="str">
            <v>Requisition Fees</v>
          </cell>
          <cell r="E403" t="str">
            <v>ADP AIDES/REQUISITION FEES 2000.00-2499.99</v>
          </cell>
          <cell r="F403" t="str">
            <v>1641G0519</v>
          </cell>
        </row>
        <row r="404">
          <cell r="A404" t="str">
            <v>1915(c) waiver</v>
          </cell>
          <cell r="C404" t="str">
            <v>DBMD</v>
          </cell>
          <cell r="D404" t="str">
            <v>Requisition Fees</v>
          </cell>
          <cell r="E404" t="str">
            <v>ADP AIDES/REQUISITION FEES 2500.00-2999.99</v>
          </cell>
          <cell r="F404" t="str">
            <v>1641G0520</v>
          </cell>
        </row>
        <row r="405">
          <cell r="A405" t="str">
            <v>1915(c) waiver</v>
          </cell>
          <cell r="C405" t="str">
            <v>DBMD</v>
          </cell>
          <cell r="D405" t="str">
            <v>Requisition Fees</v>
          </cell>
          <cell r="E405" t="str">
            <v>ADP AIDES/REQUISITION FEES 3000.00-3499.99</v>
          </cell>
          <cell r="F405" t="str">
            <v>1641G0521</v>
          </cell>
        </row>
        <row r="406">
          <cell r="A406" t="str">
            <v>1915(c) waiver</v>
          </cell>
          <cell r="C406" t="str">
            <v>DBMD</v>
          </cell>
          <cell r="D406" t="str">
            <v>Requisition Fees</v>
          </cell>
          <cell r="E406" t="str">
            <v>ADP AIDES/REQUISITION FEES 3500.00-3999.99</v>
          </cell>
          <cell r="F406" t="str">
            <v>1641G0522</v>
          </cell>
        </row>
        <row r="407">
          <cell r="A407" t="str">
            <v>1915(c) waiver</v>
          </cell>
          <cell r="C407" t="str">
            <v>DBMD</v>
          </cell>
          <cell r="D407" t="str">
            <v>Requisition Fees</v>
          </cell>
          <cell r="E407" t="str">
            <v>ADP AIDES/REQUISITION FEES 4000.00-4499.99</v>
          </cell>
          <cell r="F407" t="str">
            <v>1641G0523</v>
          </cell>
        </row>
        <row r="408">
          <cell r="A408" t="str">
            <v>1915(c) waiver</v>
          </cell>
          <cell r="C408" t="str">
            <v>DBMD</v>
          </cell>
          <cell r="D408" t="str">
            <v>Requisition Fees</v>
          </cell>
          <cell r="E408" t="str">
            <v>ADP AIDES/REQUISITION FEES 4500.00-4999.99</v>
          </cell>
          <cell r="F408" t="str">
            <v>1641G0524</v>
          </cell>
        </row>
        <row r="409">
          <cell r="A409" t="str">
            <v>1915(c) waiver</v>
          </cell>
          <cell r="C409" t="str">
            <v>DBMD</v>
          </cell>
          <cell r="D409" t="str">
            <v>Requisition Fees</v>
          </cell>
          <cell r="E409" t="str">
            <v>ADP AIDES/REQUISITION FEES 500.00-999.99</v>
          </cell>
          <cell r="F409" t="str">
            <v>1641G0516</v>
          </cell>
        </row>
        <row r="410">
          <cell r="A410" t="str">
            <v>1915(c) waiver</v>
          </cell>
          <cell r="C410" t="str">
            <v>DBMD</v>
          </cell>
          <cell r="D410" t="str">
            <v>Requisition Fees</v>
          </cell>
          <cell r="E410" t="str">
            <v>ADP AIDES/REQUISITION FEES 5000.00-OVER</v>
          </cell>
          <cell r="F410" t="str">
            <v>1641G0525</v>
          </cell>
        </row>
        <row r="411">
          <cell r="A411" t="str">
            <v>1915(c) waiver</v>
          </cell>
          <cell r="C411" t="str">
            <v>DBMD</v>
          </cell>
          <cell r="D411" t="str">
            <v>Requisition Fees</v>
          </cell>
          <cell r="E411" t="str">
            <v>DENTAL/REQUISITION FEES 0 499.99</v>
          </cell>
          <cell r="F411" t="str">
            <v>1641EG0637</v>
          </cell>
        </row>
        <row r="412">
          <cell r="A412" t="str">
            <v>1915(c) waiver</v>
          </cell>
          <cell r="C412" t="str">
            <v>DBMD</v>
          </cell>
          <cell r="D412" t="str">
            <v>Requisition Fees</v>
          </cell>
          <cell r="E412" t="str">
            <v>DENTAL/REQUISITION FEES 1000.00 1499.99</v>
          </cell>
          <cell r="F412" t="str">
            <v>1641EG0639</v>
          </cell>
        </row>
        <row r="413">
          <cell r="A413" t="str">
            <v>1915(c) waiver</v>
          </cell>
          <cell r="C413" t="str">
            <v>DBMD</v>
          </cell>
          <cell r="D413" t="str">
            <v>Requisition Fees</v>
          </cell>
          <cell r="E413" t="str">
            <v>DENTAL/REQUISITION FEES 1500.00 1999.99</v>
          </cell>
          <cell r="F413" t="str">
            <v>1641EG0640</v>
          </cell>
        </row>
        <row r="414">
          <cell r="A414" t="str">
            <v>1915(c) waiver</v>
          </cell>
          <cell r="C414" t="str">
            <v>DBMD</v>
          </cell>
          <cell r="D414" t="str">
            <v>Requisition Fees</v>
          </cell>
          <cell r="E414" t="str">
            <v>DENTAL/REQUISITION FEES 2000.00 2499.99</v>
          </cell>
          <cell r="F414" t="str">
            <v>1641EG0641</v>
          </cell>
        </row>
        <row r="415">
          <cell r="A415" t="str">
            <v>1915(c) waiver</v>
          </cell>
          <cell r="C415" t="str">
            <v>DBMD</v>
          </cell>
          <cell r="D415" t="str">
            <v>Requisition Fees</v>
          </cell>
          <cell r="E415" t="str">
            <v>DENTAL/REQUISITION FEES 2500.00 OVER</v>
          </cell>
          <cell r="F415" t="str">
            <v>1641EG0642</v>
          </cell>
        </row>
        <row r="416">
          <cell r="A416" t="str">
            <v>1915(c) waiver</v>
          </cell>
          <cell r="C416" t="str">
            <v>DBMD</v>
          </cell>
          <cell r="D416" t="str">
            <v>Requisition Fees</v>
          </cell>
          <cell r="E416" t="str">
            <v>DENTAL/REQUISITION FEES 500.00 999.99</v>
          </cell>
          <cell r="F416" t="str">
            <v>1641EG0638</v>
          </cell>
        </row>
        <row r="417">
          <cell r="A417" t="str">
            <v>1915(c) waiver</v>
          </cell>
          <cell r="C417" t="str">
            <v>DBMD</v>
          </cell>
          <cell r="D417" t="str">
            <v>Requisition Fees</v>
          </cell>
          <cell r="E417" t="str">
            <v>MH MODS/REQUISITION FEES 0-499.99</v>
          </cell>
          <cell r="F417" t="str">
            <v>1641BG0623</v>
          </cell>
        </row>
        <row r="418">
          <cell r="A418" t="str">
            <v>1915(c) waiver</v>
          </cell>
          <cell r="C418" t="str">
            <v>DBMD</v>
          </cell>
          <cell r="D418" t="str">
            <v>Requisition Fees</v>
          </cell>
          <cell r="E418" t="str">
            <v>MH MODS/REQUISITION FEES 1000.00-1499.99</v>
          </cell>
          <cell r="F418" t="str">
            <v>1641BG0625</v>
          </cell>
        </row>
        <row r="419">
          <cell r="A419" t="str">
            <v>1915(c) waiver</v>
          </cell>
          <cell r="C419" t="str">
            <v>DBMD</v>
          </cell>
          <cell r="D419" t="str">
            <v>Requisition Fees</v>
          </cell>
          <cell r="E419" t="str">
            <v>MH MODS/REQUISITION FEES 1500.00-1999.99</v>
          </cell>
          <cell r="F419" t="str">
            <v>1641BG0626</v>
          </cell>
        </row>
        <row r="420">
          <cell r="A420" t="str">
            <v>1915(c) waiver</v>
          </cell>
          <cell r="C420" t="str">
            <v>DBMD</v>
          </cell>
          <cell r="D420" t="str">
            <v>Requisition Fees</v>
          </cell>
          <cell r="E420" t="str">
            <v>MH MODS/REQUISITION FEES 2000.00-2499.99</v>
          </cell>
          <cell r="F420" t="str">
            <v>1641BG0627</v>
          </cell>
        </row>
        <row r="421">
          <cell r="A421" t="str">
            <v>1915(c) waiver</v>
          </cell>
          <cell r="C421" t="str">
            <v>DBMD</v>
          </cell>
          <cell r="D421" t="str">
            <v>Requisition Fees</v>
          </cell>
          <cell r="E421" t="str">
            <v>MH MODS/REQUISITION FEES 2500.00-2999.99</v>
          </cell>
          <cell r="F421" t="str">
            <v>1641BG0628</v>
          </cell>
        </row>
        <row r="422">
          <cell r="A422" t="str">
            <v>1915(c) waiver</v>
          </cell>
          <cell r="C422" t="str">
            <v>DBMD</v>
          </cell>
          <cell r="D422" t="str">
            <v>Requisition Fees</v>
          </cell>
          <cell r="E422" t="str">
            <v>MH MODS/REQUISITION FEES 3000.00-3499.99</v>
          </cell>
          <cell r="F422" t="str">
            <v>1641BG0629</v>
          </cell>
        </row>
        <row r="423">
          <cell r="A423" t="str">
            <v>1915(c) waiver</v>
          </cell>
          <cell r="C423" t="str">
            <v>DBMD</v>
          </cell>
          <cell r="D423" t="str">
            <v>Requisition Fees</v>
          </cell>
          <cell r="E423" t="str">
            <v>MH MODS/REQUISITION FEES 3500.00-3999.99</v>
          </cell>
          <cell r="F423" t="str">
            <v>1641BG0630</v>
          </cell>
        </row>
        <row r="424">
          <cell r="A424" t="str">
            <v>1915(c) waiver</v>
          </cell>
          <cell r="C424" t="str">
            <v>DBMD</v>
          </cell>
          <cell r="D424" t="str">
            <v>Requisition Fees</v>
          </cell>
          <cell r="E424" t="str">
            <v>MH MODS/REQUISITION FEES 4000.00-4499.99</v>
          </cell>
          <cell r="F424" t="str">
            <v>1641BG0631</v>
          </cell>
        </row>
        <row r="425">
          <cell r="A425" t="str">
            <v>1915(c) waiver</v>
          </cell>
          <cell r="C425" t="str">
            <v>DBMD</v>
          </cell>
          <cell r="D425" t="str">
            <v>Requisition Fees</v>
          </cell>
          <cell r="E425" t="str">
            <v>MH MODS/REQUISITION FEES 4500.00-4999.99</v>
          </cell>
          <cell r="F425" t="str">
            <v>1641BG0632</v>
          </cell>
        </row>
        <row r="426">
          <cell r="A426" t="str">
            <v>1915(c) waiver</v>
          </cell>
          <cell r="C426" t="str">
            <v>DBMD</v>
          </cell>
          <cell r="D426" t="str">
            <v>Requisition Fees</v>
          </cell>
          <cell r="E426" t="str">
            <v>MH MODS/REQUISITION FEES 500.00-999.99</v>
          </cell>
          <cell r="F426" t="str">
            <v>1641BG0624</v>
          </cell>
        </row>
        <row r="427">
          <cell r="A427" t="str">
            <v>1915(c) waiver</v>
          </cell>
          <cell r="C427" t="str">
            <v>DBMD</v>
          </cell>
          <cell r="D427" t="str">
            <v>Requisition Fees</v>
          </cell>
          <cell r="E427" t="str">
            <v>MH MODS/REQUISITION FEES 5000.00-5499.99</v>
          </cell>
          <cell r="F427" t="str">
            <v>1641BG0633</v>
          </cell>
        </row>
        <row r="428">
          <cell r="A428" t="str">
            <v>1915(c) waiver</v>
          </cell>
          <cell r="C428" t="str">
            <v>DBMD</v>
          </cell>
          <cell r="D428" t="str">
            <v>Requisition Fees</v>
          </cell>
          <cell r="E428" t="str">
            <v>MH MODS/REQUISITION FEES 5500.00-5999.99</v>
          </cell>
          <cell r="F428" t="str">
            <v>1641BG0634</v>
          </cell>
        </row>
        <row r="429">
          <cell r="A429" t="str">
            <v>1915(c) waiver</v>
          </cell>
          <cell r="C429" t="str">
            <v>DBMD</v>
          </cell>
          <cell r="D429" t="str">
            <v>Requisition Fees</v>
          </cell>
          <cell r="E429" t="str">
            <v>MH MODS/REQUISITION FEES 6000.00-6499.99</v>
          </cell>
          <cell r="F429" t="str">
            <v>1641BG0635</v>
          </cell>
        </row>
        <row r="430">
          <cell r="A430" t="str">
            <v>1915(c) waiver</v>
          </cell>
          <cell r="C430" t="str">
            <v>DBMD</v>
          </cell>
          <cell r="D430" t="str">
            <v>Requisition Fees</v>
          </cell>
          <cell r="E430" t="str">
            <v>MH MODS/REQUISITION FEES 6500.00-OVER</v>
          </cell>
          <cell r="F430" t="str">
            <v>1641BG0636</v>
          </cell>
        </row>
        <row r="431">
          <cell r="A431" t="str">
            <v>1915(c) waiver</v>
          </cell>
          <cell r="C431" t="str">
            <v>DBMD</v>
          </cell>
          <cell r="D431" t="str">
            <v>TAS At Cost</v>
          </cell>
          <cell r="E431" t="str">
            <v>TRANSITION ASSISTANCE SERVICES (TAS)</v>
          </cell>
          <cell r="F431" t="str">
            <v>1653T2038</v>
          </cell>
        </row>
        <row r="432">
          <cell r="A432" t="str">
            <v>State Plan (Title XIX)</v>
          </cell>
          <cell r="C432" t="str">
            <v>DBMD</v>
          </cell>
          <cell r="D432" t="str">
            <v>Support Consultation</v>
          </cell>
          <cell r="E432" t="str">
            <v>CFC SUPPORT CONSULTATION (CDS)</v>
          </cell>
          <cell r="F432" t="str">
            <v>1657CFVG1115</v>
          </cell>
        </row>
        <row r="433">
          <cell r="A433" t="str">
            <v>1915(c) waiver</v>
          </cell>
          <cell r="C433" t="str">
            <v>DBMD</v>
          </cell>
          <cell r="D433" t="str">
            <v>Support Consultation</v>
          </cell>
          <cell r="E433" t="str">
            <v>SUPPORT CONSULTATION (CDS)</v>
          </cell>
          <cell r="F433" t="str">
            <v>1657VG0757</v>
          </cell>
        </row>
        <row r="434">
          <cell r="A434" t="str">
            <v>1915(c) waiver</v>
          </cell>
          <cell r="C434" t="str">
            <v>DBMD</v>
          </cell>
          <cell r="D434" t="str">
            <v>TAS</v>
          </cell>
          <cell r="E434" t="str">
            <v>Transition Assistance Services (TAS) Fee</v>
          </cell>
          <cell r="F434" t="str">
            <v>1653AG0239</v>
          </cell>
        </row>
        <row r="435">
          <cell r="A435" t="str">
            <v>State Plan (Title XIX)</v>
          </cell>
          <cell r="C435" t="str">
            <v>DBMD</v>
          </cell>
          <cell r="D435" t="str">
            <v>Taxes/Benefits</v>
          </cell>
          <cell r="E435" t="str">
            <v>CFC PAS/HAB (CDS) TAXES</v>
          </cell>
          <cell r="F435" t="str">
            <v>1610CFVG1110</v>
          </cell>
        </row>
        <row r="436">
          <cell r="A436" t="str">
            <v>State Plan (Title XIX)</v>
          </cell>
          <cell r="C436" t="str">
            <v>DBMD</v>
          </cell>
          <cell r="D436" t="str">
            <v>Taxes/Benefits</v>
          </cell>
          <cell r="E436" t="str">
            <v>CFC PAS/HAB, (CDS) ES/BENEFITS</v>
          </cell>
          <cell r="F436" t="str">
            <v>1610CFVG1111</v>
          </cell>
        </row>
        <row r="437">
          <cell r="A437" t="str">
            <v>State Plan (Title XIX)</v>
          </cell>
          <cell r="C437" t="str">
            <v>DBMD</v>
          </cell>
          <cell r="D437" t="str">
            <v>Taxes/Benefits</v>
          </cell>
          <cell r="E437" t="str">
            <v>CFC SUPPORT CONSULTATION (CDS) ES/BENEFITS</v>
          </cell>
          <cell r="F437" t="str">
            <v>1657CFVG1117</v>
          </cell>
        </row>
        <row r="438">
          <cell r="A438" t="str">
            <v>State Plan (Title XIX)</v>
          </cell>
          <cell r="C438" t="str">
            <v>DBMD</v>
          </cell>
          <cell r="D438" t="str">
            <v>Taxes/Benefits</v>
          </cell>
          <cell r="E438" t="str">
            <v>CFC SUPPORT CONSULTATION (CDS) TAXES</v>
          </cell>
          <cell r="F438" t="str">
            <v>1657CFVG1116</v>
          </cell>
        </row>
        <row r="439">
          <cell r="A439" t="str">
            <v>1915(c) waiver</v>
          </cell>
          <cell r="C439" t="str">
            <v>DBMD</v>
          </cell>
          <cell r="D439" t="str">
            <v>Taxes/Benefits</v>
          </cell>
          <cell r="E439" t="str">
            <v>EMPLOYMENT ASSISTANCE (CDS) ES/BENEFITS</v>
          </cell>
          <cell r="F439" t="str">
            <v>1654VG6078</v>
          </cell>
        </row>
        <row r="440">
          <cell r="A440" t="str">
            <v>1915(c) waiver</v>
          </cell>
          <cell r="C440" t="str">
            <v>DBMD</v>
          </cell>
          <cell r="D440" t="str">
            <v>Taxes/Benefits</v>
          </cell>
          <cell r="E440" t="str">
            <v>EMPLOYMENT ASSISTANCE (CDS) TAXES</v>
          </cell>
          <cell r="F440" t="str">
            <v>1654VG6077</v>
          </cell>
        </row>
        <row r="441">
          <cell r="A441" t="str">
            <v>1915(c) waiver</v>
          </cell>
          <cell r="C441" t="str">
            <v>DBMD</v>
          </cell>
          <cell r="D441" t="str">
            <v>Taxes/Benefits</v>
          </cell>
          <cell r="E441" t="str">
            <v>HAB TRANSPORTATION (CDS) TAXES</v>
          </cell>
          <cell r="F441" t="str">
            <v>1648VG0254</v>
          </cell>
        </row>
        <row r="442">
          <cell r="A442" t="str">
            <v>1915(c) waiver</v>
          </cell>
          <cell r="C442" t="str">
            <v>DBMD</v>
          </cell>
          <cell r="D442" t="str">
            <v>Taxes/Benefits</v>
          </cell>
          <cell r="E442" t="str">
            <v>HAB TRANSPORTATION ES/BENEFIT (CDS)</v>
          </cell>
          <cell r="F442" t="str">
            <v>1648VG0255</v>
          </cell>
        </row>
        <row r="443">
          <cell r="A443" t="str">
            <v>1915(c) waiver</v>
          </cell>
          <cell r="C443" t="str">
            <v>DBMD</v>
          </cell>
          <cell r="D443" t="str">
            <v>Taxes/Benefits</v>
          </cell>
          <cell r="E443" t="str">
            <v>INTERVENER (CDS) ES/BENEFITS</v>
          </cell>
          <cell r="F443" t="str">
            <v>1645VG6076</v>
          </cell>
        </row>
        <row r="444">
          <cell r="A444" t="str">
            <v>1915(c) waiver</v>
          </cell>
          <cell r="C444" t="str">
            <v>DBMD</v>
          </cell>
          <cell r="D444" t="str">
            <v>Taxes/Benefits</v>
          </cell>
          <cell r="E444" t="str">
            <v>INTERVENER (CDS) TAXES</v>
          </cell>
          <cell r="F444" t="str">
            <v>1645VG6075</v>
          </cell>
        </row>
        <row r="445">
          <cell r="A445" t="str">
            <v>1915(c) waiver</v>
          </cell>
          <cell r="C445" t="str">
            <v>DBMD</v>
          </cell>
          <cell r="D445" t="str">
            <v>Taxes/Benefits</v>
          </cell>
          <cell r="E445" t="str">
            <v>INTERVENOR I (CDS) ES/BENEFITS</v>
          </cell>
          <cell r="F445" t="str">
            <v>1645AVG6070</v>
          </cell>
        </row>
        <row r="446">
          <cell r="A446" t="str">
            <v>1915(c) waiver</v>
          </cell>
          <cell r="C446" t="str">
            <v>DBMD</v>
          </cell>
          <cell r="D446" t="str">
            <v>Taxes/Benefits</v>
          </cell>
          <cell r="E446" t="str">
            <v>INTERVENOR I (CDS) TAXES</v>
          </cell>
          <cell r="F446" t="str">
            <v>1645AVG6069</v>
          </cell>
        </row>
        <row r="447">
          <cell r="A447" t="str">
            <v>1915(c) waiver</v>
          </cell>
          <cell r="C447" t="str">
            <v>DBMD</v>
          </cell>
          <cell r="D447" t="str">
            <v>Taxes/Benefits</v>
          </cell>
          <cell r="E447" t="str">
            <v>INTERVENOR II (CDS) ES/BENEFITS</v>
          </cell>
          <cell r="F447" t="str">
            <v>1645BVG6072</v>
          </cell>
        </row>
        <row r="448">
          <cell r="A448" t="str">
            <v>1915(c) waiver</v>
          </cell>
          <cell r="C448" t="str">
            <v>DBMD</v>
          </cell>
          <cell r="D448" t="str">
            <v>Taxes/Benefits</v>
          </cell>
          <cell r="E448" t="str">
            <v>INTERVENOR II (CDS) TAXES</v>
          </cell>
          <cell r="F448" t="str">
            <v>1645BVG6071</v>
          </cell>
        </row>
        <row r="449">
          <cell r="A449" t="str">
            <v>1915(c) waiver</v>
          </cell>
          <cell r="C449" t="str">
            <v>DBMD</v>
          </cell>
          <cell r="D449" t="str">
            <v>Taxes/Benefits</v>
          </cell>
          <cell r="E449" t="str">
            <v>INTERVENOR III (CDS) ES/BENEFITS</v>
          </cell>
          <cell r="F449" t="str">
            <v>1645CVG6074</v>
          </cell>
        </row>
        <row r="450">
          <cell r="A450" t="str">
            <v>1915(c) waiver</v>
          </cell>
          <cell r="C450" t="str">
            <v>DBMD</v>
          </cell>
          <cell r="D450" t="str">
            <v>Taxes/Benefits</v>
          </cell>
          <cell r="E450" t="str">
            <v>INTERVENOR III (CDS) TAXES</v>
          </cell>
          <cell r="F450" t="str">
            <v>1645CVG6073</v>
          </cell>
        </row>
        <row r="451">
          <cell r="A451" t="str">
            <v>1915(c) waiver</v>
          </cell>
          <cell r="C451" t="str">
            <v>DBMD</v>
          </cell>
          <cell r="D451" t="str">
            <v>Taxes/Benefits</v>
          </cell>
          <cell r="E451" t="str">
            <v>RESIDENTIAL HABILITATION (CDS) (INDIVIDUAL) ES/BENEFITS</v>
          </cell>
          <cell r="F451" t="str">
            <v>1617VG6002</v>
          </cell>
        </row>
        <row r="452">
          <cell r="A452" t="str">
            <v>1915(c) waiver</v>
          </cell>
          <cell r="C452" t="str">
            <v>DBMD</v>
          </cell>
          <cell r="D452" t="str">
            <v>Taxes/Benefits</v>
          </cell>
          <cell r="E452" t="str">
            <v>RESIDENTIAL HABILITATION (CDS) (INDIVIDUAL) TAXES</v>
          </cell>
          <cell r="F452" t="str">
            <v>1617VG6001</v>
          </cell>
        </row>
        <row r="453">
          <cell r="A453" t="str">
            <v>1915(c) waiver</v>
          </cell>
          <cell r="C453" t="str">
            <v>DBMD</v>
          </cell>
          <cell r="D453" t="str">
            <v>Taxes/Benefits</v>
          </cell>
          <cell r="E453" t="str">
            <v>RESPITE IN-HOME (CDS) ES/BENEFITS</v>
          </cell>
          <cell r="F453" t="str">
            <v>1611PVG6012</v>
          </cell>
        </row>
        <row r="454">
          <cell r="A454" t="str">
            <v>1915(c) waiver</v>
          </cell>
          <cell r="C454" t="str">
            <v>DBMD</v>
          </cell>
          <cell r="D454" t="str">
            <v>Taxes/Benefits</v>
          </cell>
          <cell r="E454" t="str">
            <v>RESPITE IN-HOME (CDS) TAXES</v>
          </cell>
          <cell r="F454" t="str">
            <v>1611PVG6011</v>
          </cell>
        </row>
        <row r="455">
          <cell r="A455" t="str">
            <v>1915(c) waiver</v>
          </cell>
          <cell r="C455" t="str">
            <v>DBMD</v>
          </cell>
          <cell r="D455" t="str">
            <v>Taxes/Benefits</v>
          </cell>
          <cell r="E455" t="str">
            <v>RESPITE OUT-OF-HOME (CDS) ES/BENEFITS</v>
          </cell>
          <cell r="F455" t="str">
            <v>1611AVG6004</v>
          </cell>
        </row>
        <row r="456">
          <cell r="A456" t="str">
            <v>1915(c) waiver</v>
          </cell>
          <cell r="C456" t="str">
            <v>DBMD</v>
          </cell>
          <cell r="D456" t="str">
            <v>Taxes/Benefits</v>
          </cell>
          <cell r="E456" t="str">
            <v>RESPITE OUT-OF-HOME (CDS) TAXES</v>
          </cell>
          <cell r="F456" t="str">
            <v>1611AVG6003</v>
          </cell>
        </row>
        <row r="457">
          <cell r="A457" t="str">
            <v>1915(c) waiver</v>
          </cell>
          <cell r="C457" t="str">
            <v>DBMD</v>
          </cell>
          <cell r="D457" t="str">
            <v>Taxes/Benefits</v>
          </cell>
          <cell r="E457" t="str">
            <v>SUPPORTED EMPLOYMENT (CDS) ES/BENEFITS</v>
          </cell>
          <cell r="F457" t="str">
            <v>1637VG6068</v>
          </cell>
        </row>
        <row r="458">
          <cell r="A458" t="str">
            <v>1915(c) waiver</v>
          </cell>
          <cell r="C458" t="str">
            <v>DBMD</v>
          </cell>
          <cell r="D458" t="str">
            <v>Taxes/Benefits</v>
          </cell>
          <cell r="E458" t="str">
            <v>SUPPORTED EMPLOYMENT (CDS) TAXES</v>
          </cell>
          <cell r="F458" t="str">
            <v>1637VG6067</v>
          </cell>
        </row>
        <row r="459">
          <cell r="A459" t="str">
            <v>CFR Title 45 Part 96</v>
          </cell>
          <cell r="C459" t="str">
            <v>ERS</v>
          </cell>
          <cell r="D459" t="str">
            <v>ERS</v>
          </cell>
          <cell r="E459" t="str">
            <v>EMERGENCY RESPONSE SERVICES - ALL SERVICES</v>
          </cell>
          <cell r="F459" t="str">
            <v>720G1000</v>
          </cell>
        </row>
        <row r="460">
          <cell r="A460" t="str">
            <v>CFR Title 45 Part 96</v>
          </cell>
          <cell r="C460" t="str">
            <v>ERS</v>
          </cell>
          <cell r="D460" t="str">
            <v>ERS</v>
          </cell>
          <cell r="E460" t="str">
            <v>EMERGENCY RESPONSE SERVICES - INITIAL MONTH</v>
          </cell>
          <cell r="F460" t="str">
            <v>720G1000</v>
          </cell>
        </row>
        <row r="461">
          <cell r="A461" t="str">
            <v>CFR Title 45 Part 96</v>
          </cell>
          <cell r="C461" t="str">
            <v>ERS</v>
          </cell>
          <cell r="D461" t="str">
            <v>ERS</v>
          </cell>
          <cell r="E461" t="str">
            <v>EMERGENCY RESPONSE SERVICES - ONGOING MONTH</v>
          </cell>
          <cell r="F461" t="str">
            <v>720G1000</v>
          </cell>
        </row>
        <row r="462">
          <cell r="A462" t="str">
            <v>Title XX</v>
          </cell>
          <cell r="C462" t="str">
            <v>FC</v>
          </cell>
          <cell r="D462" t="str">
            <v>CAS/FC/PHC PAS</v>
          </cell>
          <cell r="E462" t="str">
            <v xml:space="preserve">AGENCY ADMIN PAS FAMILY CARE (CDS) </v>
          </cell>
          <cell r="F462" t="str">
            <v>717CVG0747</v>
          </cell>
        </row>
        <row r="463">
          <cell r="A463" t="str">
            <v>Title XX</v>
          </cell>
          <cell r="C463" t="str">
            <v>FC</v>
          </cell>
          <cell r="D463" t="str">
            <v>CAS/FC/PHC PAS</v>
          </cell>
          <cell r="E463" t="str">
            <v xml:space="preserve">PARTICIPANT PAS FAMILY CARE (CDS) LVL 1 (NON-PRIORITY) </v>
          </cell>
          <cell r="F463" t="str">
            <v>717CVG0746</v>
          </cell>
        </row>
        <row r="464">
          <cell r="A464" t="str">
            <v>Title XX</v>
          </cell>
          <cell r="C464" t="str">
            <v>FC</v>
          </cell>
          <cell r="D464" t="str">
            <v>CAS/FC/PHC PAS</v>
          </cell>
          <cell r="E464" t="str">
            <v xml:space="preserve">PARTICIPANT PAS FAMILY CARE (CDS) LVL 2 (PRIORITY) </v>
          </cell>
          <cell r="F464" t="str">
            <v>717CVG0745</v>
          </cell>
        </row>
        <row r="465">
          <cell r="A465" t="str">
            <v>Title XX</v>
          </cell>
          <cell r="C465" t="str">
            <v>FC</v>
          </cell>
          <cell r="D465" t="str">
            <v>CAS/FC/PHC PAS</v>
          </cell>
          <cell r="E465" t="str">
            <v>PAS FAMILY CARE (SRO) NON-PRIORITY</v>
          </cell>
          <cell r="F465" t="str">
            <v>717CSG0754</v>
          </cell>
        </row>
        <row r="466">
          <cell r="A466" t="str">
            <v>Title XX</v>
          </cell>
          <cell r="C466" t="str">
            <v>FC</v>
          </cell>
          <cell r="D466" t="str">
            <v>CAS/FC/PHC PAS</v>
          </cell>
          <cell r="E466" t="str">
            <v>PAS FAMILY CARE (SRO) PRIORITY</v>
          </cell>
          <cell r="F466" t="str">
            <v>717CSG0753</v>
          </cell>
        </row>
        <row r="467">
          <cell r="A467" t="str">
            <v>Title XX</v>
          </cell>
          <cell r="C467" t="str">
            <v>FC</v>
          </cell>
          <cell r="D467" t="str">
            <v>CAS/FC/PHC PAS</v>
          </cell>
          <cell r="E467" t="str">
            <v>PAS FAMILY CARE LVL 1 (NON-PRIORITY) (AO)</v>
          </cell>
          <cell r="F467" t="str">
            <v>717CG0741</v>
          </cell>
        </row>
        <row r="468">
          <cell r="A468" t="str">
            <v>Title XX</v>
          </cell>
          <cell r="C468" t="str">
            <v>FC</v>
          </cell>
          <cell r="D468" t="str">
            <v>CAS/FC/PHC PAS</v>
          </cell>
          <cell r="E468" t="str">
            <v>PAS FAMILY CARE LVL 2 (PRIORITY) (AO)</v>
          </cell>
          <cell r="F468" t="str">
            <v>717CG0740</v>
          </cell>
        </row>
        <row r="469">
          <cell r="A469" t="str">
            <v>Title XX</v>
          </cell>
          <cell r="C469" t="str">
            <v>FC</v>
          </cell>
          <cell r="D469" t="str">
            <v>Support Consultation</v>
          </cell>
          <cell r="E469" t="str">
            <v>FC SUPPORT CONSULTATION (CDS)</v>
          </cell>
          <cell r="F469" t="str">
            <v>757CVG0758</v>
          </cell>
        </row>
        <row r="470">
          <cell r="A470" t="str">
            <v>Title XX</v>
          </cell>
          <cell r="C470" t="str">
            <v>FC</v>
          </cell>
          <cell r="D470" t="str">
            <v>Taxes/Benefits</v>
          </cell>
          <cell r="E470" t="str">
            <v>PARTICIPANT PAS FAMILY CARE (CDS) LVL 1 (NON-PRIORITY) ES/BENEFITS</v>
          </cell>
          <cell r="F470" t="str">
            <v>717CVG6060</v>
          </cell>
        </row>
        <row r="471">
          <cell r="A471" t="str">
            <v>Title XX</v>
          </cell>
          <cell r="C471" t="str">
            <v>FC</v>
          </cell>
          <cell r="D471" t="str">
            <v>Taxes/Benefits</v>
          </cell>
          <cell r="E471" t="str">
            <v>PARTICIPANT PAS FAMILY CARE (CDS) LVL 1 (NON-PRIORITY) TAXES</v>
          </cell>
          <cell r="F471" t="str">
            <v>717CVG6059</v>
          </cell>
        </row>
        <row r="472">
          <cell r="A472" t="str">
            <v>Title XX</v>
          </cell>
          <cell r="C472" t="str">
            <v>FC</v>
          </cell>
          <cell r="D472" t="str">
            <v>Taxes/Benefits</v>
          </cell>
          <cell r="E472" t="str">
            <v>PARTICIPANT PAS FAMILY CARE (CDS) LVL 2 (PRIORITY) ES/BENEFITS</v>
          </cell>
          <cell r="F472" t="str">
            <v>717CVG6062</v>
          </cell>
        </row>
        <row r="473">
          <cell r="A473" t="str">
            <v>Title XX</v>
          </cell>
          <cell r="C473" t="str">
            <v>FC</v>
          </cell>
          <cell r="D473" t="str">
            <v>Taxes/Benefits</v>
          </cell>
          <cell r="E473" t="str">
            <v>PARTICIPANT PAS FAMILY CARE (CDS) LVL 2 (PRIORITY) TAXES</v>
          </cell>
          <cell r="F473" t="str">
            <v>717CVG6061</v>
          </cell>
        </row>
        <row r="474">
          <cell r="A474" t="str">
            <v>1915(i) State Plan (Title XIX)</v>
          </cell>
          <cell r="C474" t="str">
            <v>HCBS-AMH</v>
          </cell>
          <cell r="D474" t="str">
            <v>AMH Peer Support</v>
          </cell>
          <cell r="E474" t="str">
            <v>Peer Support</v>
          </cell>
          <cell r="F474" t="str">
            <v>H0038HKHE</v>
          </cell>
        </row>
        <row r="475">
          <cell r="A475" t="str">
            <v>1915(i) State Plan (Title XIX)</v>
          </cell>
          <cell r="C475" t="str">
            <v>HCBS-AMH</v>
          </cell>
          <cell r="D475" t="str">
            <v>Assisted Living</v>
          </cell>
          <cell r="E475" t="str">
            <v>Assisted Living services</v>
          </cell>
          <cell r="F475" t="str">
            <v>T2031HKHE</v>
          </cell>
        </row>
        <row r="476">
          <cell r="A476" t="str">
            <v>1915(i) State Plan (Title XIX)</v>
          </cell>
          <cell r="C476" t="str">
            <v>HCBS-AMH</v>
          </cell>
          <cell r="D476" t="str">
            <v>Behavioral</v>
          </cell>
          <cell r="E476" t="str">
            <v>Community Psychiatric Supports and Treatment</v>
          </cell>
          <cell r="F476" t="str">
            <v>H0036HKHE</v>
          </cell>
        </row>
        <row r="477">
          <cell r="A477" t="str">
            <v>1915(i) State Plan (Title XIX)</v>
          </cell>
          <cell r="C477" t="str">
            <v>HCBS-AMH</v>
          </cell>
          <cell r="D477" t="str">
            <v>Behavioral</v>
          </cell>
          <cell r="E477" t="str">
            <v>HCBS – AMH Recovery Management</v>
          </cell>
          <cell r="F477" t="str">
            <v>H2015HKHE</v>
          </cell>
        </row>
        <row r="478">
          <cell r="A478" t="str">
            <v>1915(i) State Plan (Title XIX)</v>
          </cell>
          <cell r="C478" t="str">
            <v>HCBS-AMH</v>
          </cell>
          <cell r="D478" t="str">
            <v>Behavioral</v>
          </cell>
          <cell r="E478" t="str">
            <v>Psychosocial Rehabilitative Services, Group</v>
          </cell>
          <cell r="F478" t="str">
            <v>H2019HKHQ</v>
          </cell>
        </row>
        <row r="479">
          <cell r="A479" t="str">
            <v>1915(i) State Plan (Title XIX)</v>
          </cell>
          <cell r="C479" t="str">
            <v>HCBS-AMH</v>
          </cell>
          <cell r="D479" t="str">
            <v>Behavioral</v>
          </cell>
          <cell r="E479" t="str">
            <v>Psychosocial Rehabilitative Services, Individual</v>
          </cell>
          <cell r="F479" t="str">
            <v>H2019HKHE</v>
          </cell>
        </row>
        <row r="480">
          <cell r="A480" t="str">
            <v>1915(i) State Plan (Title XIX)</v>
          </cell>
          <cell r="C480" t="str">
            <v>HCBS-AMH</v>
          </cell>
          <cell r="D480" t="str">
            <v>Behavioral</v>
          </cell>
          <cell r="E480" t="str">
            <v>SUD Asessment</v>
          </cell>
          <cell r="F480" t="str">
            <v>H0001HKHH</v>
          </cell>
        </row>
        <row r="481">
          <cell r="A481" t="str">
            <v>1915(i) State Plan (Title XIX)</v>
          </cell>
          <cell r="C481" t="str">
            <v>HCBS-AMH</v>
          </cell>
          <cell r="D481" t="str">
            <v>Behavioral</v>
          </cell>
          <cell r="E481" t="str">
            <v>SUD Group</v>
          </cell>
          <cell r="F481" t="str">
            <v>H0005HQHH</v>
          </cell>
        </row>
        <row r="482">
          <cell r="A482" t="str">
            <v>1915(i) State Plan (Title XIX)</v>
          </cell>
          <cell r="C482" t="str">
            <v>HCBS-AMH</v>
          </cell>
          <cell r="D482" t="str">
            <v>Behavioral</v>
          </cell>
          <cell r="E482" t="str">
            <v>SUD Individual</v>
          </cell>
          <cell r="F482" t="str">
            <v>H0004HKHE</v>
          </cell>
        </row>
        <row r="483">
          <cell r="A483" t="str">
            <v>1915(i) State Plan (Title XIX)</v>
          </cell>
          <cell r="C483" t="str">
            <v>HCBS-AMH</v>
          </cell>
          <cell r="D483" t="str">
            <v>Employment Services</v>
          </cell>
          <cell r="E483" t="str">
            <v>Employment Assistance</v>
          </cell>
          <cell r="F483" t="str">
            <v>H2025HKHE</v>
          </cell>
        </row>
        <row r="484">
          <cell r="A484" t="str">
            <v>1915(i) State Plan (Title XIX)</v>
          </cell>
          <cell r="C484" t="str">
            <v>HCBS-AMH</v>
          </cell>
          <cell r="D484" t="str">
            <v>Employment Services</v>
          </cell>
          <cell r="E484" t="str">
            <v>Supported Employment</v>
          </cell>
          <cell r="F484" t="str">
            <v>H2023HKHE</v>
          </cell>
        </row>
        <row r="485">
          <cell r="A485" t="str">
            <v>1915(i) State Plan (Title XIX)</v>
          </cell>
          <cell r="C485" t="str">
            <v>HCBS-AMH</v>
          </cell>
          <cell r="D485" t="str">
            <v>HDM</v>
          </cell>
          <cell r="E485" t="str">
            <v>HDM Medicaid</v>
          </cell>
          <cell r="F485" t="str">
            <v>S5170HKHE</v>
          </cell>
        </row>
        <row r="486">
          <cell r="A486" t="str">
            <v>1915(i) State Plan (Title XIX)</v>
          </cell>
          <cell r="C486" t="str">
            <v>HCBS-AMH</v>
          </cell>
          <cell r="D486" t="str">
            <v>HDM</v>
          </cell>
          <cell r="E486" t="str">
            <v>HDM Non-Medicaid</v>
          </cell>
          <cell r="F486" t="str">
            <v>S5170HKHW</v>
          </cell>
        </row>
        <row r="487">
          <cell r="A487" t="str">
            <v>1915(i) State Plan (Title XIX)</v>
          </cell>
          <cell r="C487" t="str">
            <v>HCBS-AMH</v>
          </cell>
          <cell r="D487" t="str">
            <v>Host Home/Companion Care</v>
          </cell>
          <cell r="E487" t="str">
            <v>Host Home/Companion Care</v>
          </cell>
          <cell r="F487" t="str">
            <v>S5136HKHE</v>
          </cell>
        </row>
        <row r="488">
          <cell r="A488" t="str">
            <v>1915(i) State Plan (Title XIX)</v>
          </cell>
          <cell r="C488" t="str">
            <v>HCBS-AMH</v>
          </cell>
          <cell r="D488" t="str">
            <v>In Home Respite</v>
          </cell>
          <cell r="E488" t="str">
            <v>In-home Respite</v>
          </cell>
          <cell r="F488" t="str">
            <v>T1005HKHE</v>
          </cell>
        </row>
        <row r="489">
          <cell r="A489" t="str">
            <v>1915(i) State Plan (Title XIX)</v>
          </cell>
          <cell r="C489" t="str">
            <v>HCBS-AMH</v>
          </cell>
          <cell r="D489" t="str">
            <v>Nursing</v>
          </cell>
          <cell r="E489" t="str">
            <v xml:space="preserve">Licensed Vocational Nurse (LVN) </v>
          </cell>
          <cell r="F489" t="str">
            <v>S9124HKHE</v>
          </cell>
        </row>
        <row r="490">
          <cell r="A490" t="str">
            <v>1915(i) State Plan (Title XIX)</v>
          </cell>
          <cell r="C490" t="str">
            <v>HCBS-AMH</v>
          </cell>
          <cell r="D490" t="str">
            <v>Nursing</v>
          </cell>
          <cell r="E490" t="str">
            <v xml:space="preserve">Registered Nurse (RN) </v>
          </cell>
          <cell r="F490" t="str">
            <v>S9123HKHE</v>
          </cell>
        </row>
        <row r="491">
          <cell r="A491" t="str">
            <v>1915(i) State Plan (Title XIX)</v>
          </cell>
          <cell r="C491" t="str">
            <v>HCBS-AMH</v>
          </cell>
          <cell r="D491" t="str">
            <v>Out of Home Respite</v>
          </cell>
          <cell r="E491" t="str">
            <v>24-hour residential habilitation home</v>
          </cell>
          <cell r="F491" t="str">
            <v>T2033HKHE</v>
          </cell>
        </row>
        <row r="492">
          <cell r="A492" t="str">
            <v>1915(i) State Plan (Title XIX)</v>
          </cell>
          <cell r="C492" t="str">
            <v>HCBS-AMH</v>
          </cell>
          <cell r="D492" t="str">
            <v>Out of Home Respite</v>
          </cell>
          <cell r="E492" t="str">
            <v>Adult foster care (AFC) Out-of-home Respite</v>
          </cell>
          <cell r="F492" t="str">
            <v>S5140HKHE</v>
          </cell>
        </row>
        <row r="493">
          <cell r="A493" t="str">
            <v>1915(i) State Plan (Title XIX)</v>
          </cell>
          <cell r="C493" t="str">
            <v>HCBS-AMH</v>
          </cell>
          <cell r="D493" t="str">
            <v>Out of Home Respite</v>
          </cell>
          <cell r="E493" t="str">
            <v>Licensed assisted living facilities</v>
          </cell>
          <cell r="F493" t="str">
            <v>S5151HKHE</v>
          </cell>
        </row>
        <row r="494">
          <cell r="A494" t="str">
            <v>1915(i) State Plan (Title XIX)</v>
          </cell>
          <cell r="C494" t="str">
            <v>HCBS-AMH</v>
          </cell>
          <cell r="D494" t="str">
            <v>Out of Home Respite</v>
          </cell>
          <cell r="E494" t="str">
            <v>Nursing facility</v>
          </cell>
          <cell r="F494" t="str">
            <v>H0045HKHE</v>
          </cell>
        </row>
        <row r="495">
          <cell r="A495" t="str">
            <v>1915(i) State Plan (Title XIX)</v>
          </cell>
          <cell r="C495" t="str">
            <v>HCBS-AMH</v>
          </cell>
          <cell r="D495" t="str">
            <v>PAS/HAB</v>
          </cell>
          <cell r="E495" t="str">
            <v>Supported Home Living</v>
          </cell>
          <cell r="F495" t="str">
            <v>S5130HKHE</v>
          </cell>
        </row>
        <row r="496">
          <cell r="A496" t="str">
            <v>1915(i) State Plan (Title XIX)</v>
          </cell>
          <cell r="C496" t="str">
            <v>HCBS-AMH</v>
          </cell>
          <cell r="D496" t="str">
            <v>Requisition Fees</v>
          </cell>
          <cell r="E496" t="str">
            <v>Transition Assistance Services Requisition Fee</v>
          </cell>
          <cell r="F496" t="str">
            <v>T2038HKHE</v>
          </cell>
        </row>
        <row r="497">
          <cell r="A497" t="str">
            <v>1915(i) State Plan (Title XIX)</v>
          </cell>
          <cell r="C497" t="str">
            <v>HCBS-AMH</v>
          </cell>
          <cell r="D497" t="str">
            <v>SL/RSS</v>
          </cell>
          <cell r="E497" t="str">
            <v>Supervised Living Services</v>
          </cell>
          <cell r="F497" t="str">
            <v>H2013HKHE</v>
          </cell>
        </row>
        <row r="498">
          <cell r="A498" t="str">
            <v>1915(i) State Plan (Title XIX)</v>
          </cell>
          <cell r="C498" t="str">
            <v>HCBS-AMH</v>
          </cell>
          <cell r="D498" t="str">
            <v>Transportation</v>
          </cell>
          <cell r="E498" t="str">
            <v>Non-Medical Transportation</v>
          </cell>
          <cell r="F498" t="str">
            <v>A0080HKHE</v>
          </cell>
        </row>
        <row r="499">
          <cell r="A499" t="str">
            <v>1915(c) waiver</v>
          </cell>
          <cell r="C499" t="str">
            <v>HCS</v>
          </cell>
          <cell r="D499" t="str">
            <v xml:space="preserve">Adaptive Aids/DME </v>
          </cell>
          <cell r="E499" t="str">
            <v>ADAPTATION TO FURNITURE</v>
          </cell>
          <cell r="F499" t="str">
            <v>2115M0641</v>
          </cell>
        </row>
        <row r="500">
          <cell r="A500" t="str">
            <v>1915(c) waiver</v>
          </cell>
          <cell r="C500" t="str">
            <v>HCS</v>
          </cell>
          <cell r="D500" t="str">
            <v xml:space="preserve">Adaptive Aids/DME </v>
          </cell>
          <cell r="E500" t="str">
            <v>ADAPTED DINNERWARE, AN EATING UTENSIL OR MEAL PREPARATION DEVICE</v>
          </cell>
          <cell r="F500" t="str">
            <v>2115M0631</v>
          </cell>
        </row>
        <row r="501">
          <cell r="A501" t="str">
            <v>1915(c) waiver</v>
          </cell>
          <cell r="C501" t="str">
            <v>HCS</v>
          </cell>
          <cell r="D501" t="str">
            <v xml:space="preserve">Adaptive Aids/DME </v>
          </cell>
          <cell r="E501" t="str">
            <v>ADAPTED MEDICATION DISPENSER OR PILL CRUSHER</v>
          </cell>
          <cell r="F501" t="str">
            <v>2115M0602</v>
          </cell>
        </row>
        <row r="502">
          <cell r="A502" t="str">
            <v>1915(c) waiver</v>
          </cell>
          <cell r="C502" t="str">
            <v>HCS</v>
          </cell>
          <cell r="D502" t="str">
            <v xml:space="preserve">Adaptive Aids/DME </v>
          </cell>
          <cell r="E502" t="str">
            <v>ADAPTED WALL SWITCH OR OUTLET, A SPECIALIZED DOORB</v>
          </cell>
          <cell r="F502" t="str">
            <v>2116MM1036</v>
          </cell>
        </row>
        <row r="503">
          <cell r="A503" t="str">
            <v>1915(c) waiver</v>
          </cell>
          <cell r="C503" t="str">
            <v>HCS</v>
          </cell>
          <cell r="D503" t="str">
            <v xml:space="preserve">Adaptive Aids/DME </v>
          </cell>
          <cell r="E503" t="str">
            <v>ADAPTED WALL SWITCH OR OUTLET, A SPECIALIZED DOORBELL OR DOOR SCOPE</v>
          </cell>
          <cell r="F503" t="str">
            <v>2116M0797</v>
          </cell>
        </row>
        <row r="504">
          <cell r="A504" t="str">
            <v>1915(c) waiver</v>
          </cell>
          <cell r="C504" t="str">
            <v>HCS</v>
          </cell>
          <cell r="D504" t="str">
            <v xml:space="preserve">Adaptive Aids/DME </v>
          </cell>
          <cell r="E504" t="str">
            <v>ADAPTED WALL SWITCH OR OUTLET, A SPECIALIZED DOORBELL OR DOOR SCOPE</v>
          </cell>
          <cell r="F504" t="str">
            <v>2116BM0898</v>
          </cell>
        </row>
        <row r="505">
          <cell r="A505" t="str">
            <v>1915(c) waiver</v>
          </cell>
          <cell r="C505" t="str">
            <v>HCS</v>
          </cell>
          <cell r="D505" t="str">
            <v xml:space="preserve">Adaptive Aids/DME </v>
          </cell>
          <cell r="E505" t="str">
            <v>Adaptive Aids LOC 1</v>
          </cell>
          <cell r="F505" t="str">
            <v>1215M0101</v>
          </cell>
        </row>
        <row r="506">
          <cell r="A506" t="str">
            <v>1915(c) waiver</v>
          </cell>
          <cell r="C506" t="str">
            <v>HCS</v>
          </cell>
          <cell r="D506" t="str">
            <v xml:space="preserve">Adaptive Aids/DME </v>
          </cell>
          <cell r="E506" t="str">
            <v>Adaptive Aids LOC 8</v>
          </cell>
          <cell r="F506" t="str">
            <v>1215M0102</v>
          </cell>
        </row>
        <row r="507">
          <cell r="A507" t="str">
            <v>1915(c) waiver</v>
          </cell>
          <cell r="C507" t="str">
            <v>HCS</v>
          </cell>
          <cell r="D507" t="str">
            <v xml:space="preserve">Adaptive Aids/DME </v>
          </cell>
          <cell r="E507" t="str">
            <v>ADAPTIVE LOCK</v>
          </cell>
          <cell r="F507" t="str">
            <v>2115M0593</v>
          </cell>
        </row>
        <row r="508">
          <cell r="A508" t="str">
            <v>1915(c) waiver</v>
          </cell>
          <cell r="C508" t="str">
            <v>HCS</v>
          </cell>
          <cell r="D508" t="str">
            <v xml:space="preserve">Adaptive Aids/DME </v>
          </cell>
          <cell r="E508" t="str">
            <v>ADAPTIVE STROLLER OR TRAVEL SEAT</v>
          </cell>
          <cell r="F508" t="str">
            <v>2115M0584</v>
          </cell>
        </row>
        <row r="509">
          <cell r="A509" t="str">
            <v>1915(c) waiver</v>
          </cell>
          <cell r="C509" t="str">
            <v>HCS</v>
          </cell>
          <cell r="D509" t="str">
            <v xml:space="preserve">Adaptive Aids/DME </v>
          </cell>
          <cell r="E509" t="str">
            <v>ADAPTIVE SWITCH USED TO OPERATE ITEMS NECESSARY FOR DAILY FUNCTIONING</v>
          </cell>
          <cell r="F509" t="str">
            <v>2115M0592</v>
          </cell>
        </row>
        <row r="510">
          <cell r="A510" t="str">
            <v>1915(c) waiver</v>
          </cell>
          <cell r="C510" t="str">
            <v>HCS</v>
          </cell>
          <cell r="D510" t="str">
            <v xml:space="preserve">Adaptive Aids/DME </v>
          </cell>
          <cell r="E510" t="str">
            <v>AIR HUMIDIFIER, PURIFIER OR SPECIALIZED AIR FILTER, OR MEDICALLY NECESSARY PORTABLE HEATING AND/OR COOLING DEVICE TO MANAGE THE SYMPTOMS OF A SEIZURE DISORDER, RESPIRATORY OR CARDIAC CONDITION, OR INABILITY TO REGULATE BODY TEMPERATURE</v>
          </cell>
          <cell r="F510" t="str">
            <v>2115M0603</v>
          </cell>
        </row>
        <row r="511">
          <cell r="A511" t="str">
            <v>1915(c) waiver</v>
          </cell>
          <cell r="C511" t="str">
            <v>HCS</v>
          </cell>
          <cell r="D511" t="str">
            <v xml:space="preserve">Adaptive Aids/DME </v>
          </cell>
          <cell r="E511" t="str">
            <v>BATH OR SHOWER CHAIR</v>
          </cell>
          <cell r="F511" t="str">
            <v>2115M0589</v>
          </cell>
        </row>
        <row r="512">
          <cell r="A512" t="str">
            <v>1915(c) waiver</v>
          </cell>
          <cell r="C512" t="str">
            <v>HCS</v>
          </cell>
          <cell r="D512" t="str">
            <v xml:space="preserve">Adaptive Aids/DME </v>
          </cell>
          <cell r="E512" t="str">
            <v>BATHTUB ADAPTATION</v>
          </cell>
          <cell r="F512" t="str">
            <v>2116BM0882</v>
          </cell>
        </row>
        <row r="513">
          <cell r="A513" t="str">
            <v>1915(c) waiver</v>
          </cell>
          <cell r="C513" t="str">
            <v>HCS</v>
          </cell>
          <cell r="D513" t="str">
            <v xml:space="preserve">Adaptive Aids/DME </v>
          </cell>
          <cell r="E513" t="str">
            <v xml:space="preserve">BATHTUB ADAPTATION MAINT                          </v>
          </cell>
          <cell r="F513" t="str">
            <v>2116MM1020</v>
          </cell>
        </row>
        <row r="514">
          <cell r="A514" t="str">
            <v>1915(c) waiver</v>
          </cell>
          <cell r="C514" t="str">
            <v>HCS</v>
          </cell>
          <cell r="D514" t="str">
            <v xml:space="preserve">Adaptive Aids/DME </v>
          </cell>
          <cell r="E514" t="str">
            <v xml:space="preserve">BATTERY OR CHARGER FOR AN ELECTRIC WHEELCHAIR </v>
          </cell>
          <cell r="F514" t="str">
            <v>2115M0582</v>
          </cell>
        </row>
        <row r="515">
          <cell r="A515" t="str">
            <v>1915(c) waiver</v>
          </cell>
          <cell r="C515" t="str">
            <v>HCS</v>
          </cell>
          <cell r="D515" t="str">
            <v xml:space="preserve">Adaptive Aids/DME </v>
          </cell>
          <cell r="E515" t="str">
            <v>BED RAIL</v>
          </cell>
          <cell r="F515" t="str">
            <v>2115M0638</v>
          </cell>
        </row>
        <row r="516">
          <cell r="A516" t="str">
            <v>1915(c) waiver</v>
          </cell>
          <cell r="C516" t="str">
            <v>HCS</v>
          </cell>
          <cell r="D516" t="str">
            <v xml:space="preserve">Adaptive Aids/DME </v>
          </cell>
          <cell r="E516" t="str">
            <v>BLOOD PRESSURE OR PULSE MONITOR FOR AN INDIVIDUAL'S USE IN SELF-MONITORING</v>
          </cell>
          <cell r="F516" t="str">
            <v>2115M0613</v>
          </cell>
        </row>
        <row r="517">
          <cell r="A517" t="str">
            <v>1915(c) waiver</v>
          </cell>
          <cell r="C517" t="str">
            <v>HCS</v>
          </cell>
          <cell r="D517" t="str">
            <v xml:space="preserve">Adaptive Aids/DME </v>
          </cell>
          <cell r="E517" t="str">
            <v>CABINETRY ADJUSTMENT</v>
          </cell>
          <cell r="F517" t="str">
            <v>2116M0793</v>
          </cell>
        </row>
        <row r="518">
          <cell r="A518" t="str">
            <v>1915(c) waiver</v>
          </cell>
          <cell r="C518" t="str">
            <v>HCS</v>
          </cell>
          <cell r="D518" t="str">
            <v xml:space="preserve">Adaptive Aids/DME </v>
          </cell>
          <cell r="E518" t="str">
            <v>CABINETRY ADJUSTMENT</v>
          </cell>
          <cell r="F518" t="str">
            <v>2116BM0894</v>
          </cell>
        </row>
        <row r="519">
          <cell r="A519" t="str">
            <v>1915(c) waiver</v>
          </cell>
          <cell r="C519" t="str">
            <v>HCS</v>
          </cell>
          <cell r="D519" t="str">
            <v xml:space="preserve">Adaptive Aids/DME </v>
          </cell>
          <cell r="E519" t="str">
            <v xml:space="preserve">CABINETRY ADJUSTMENT                              </v>
          </cell>
          <cell r="F519" t="str">
            <v>2116MM1032</v>
          </cell>
        </row>
        <row r="520">
          <cell r="A520" t="str">
            <v>1915(c) waiver</v>
          </cell>
          <cell r="C520" t="str">
            <v>HCS</v>
          </cell>
          <cell r="D520" t="str">
            <v xml:space="preserve">Adaptive Aids/DME </v>
          </cell>
          <cell r="E520" t="str">
            <v>CLEFT PALATE FEEDER</v>
          </cell>
          <cell r="F520" t="str">
            <v>2115M0612</v>
          </cell>
        </row>
        <row r="521">
          <cell r="A521" t="str">
            <v>1915(c) waiver</v>
          </cell>
          <cell r="C521" t="str">
            <v>HCS</v>
          </cell>
          <cell r="D521" t="str">
            <v xml:space="preserve">Adaptive Aids/DME </v>
          </cell>
          <cell r="E521" t="str">
            <v>CLOSED-CAPTIONING DEVICE FOR AN INDIVIDUAL WITH A HEARING IMPAIRMENT</v>
          </cell>
          <cell r="F521" t="str">
            <v>2115M0621</v>
          </cell>
        </row>
        <row r="522">
          <cell r="A522" t="str">
            <v>1915(c) waiver</v>
          </cell>
          <cell r="C522" t="str">
            <v>HCS</v>
          </cell>
          <cell r="D522" t="str">
            <v xml:space="preserve">Adaptive Aids/DME </v>
          </cell>
          <cell r="E522" t="str">
            <v>COMMUNICATION BOARD OR BOOK</v>
          </cell>
          <cell r="F522" t="str">
            <v>2115M0620</v>
          </cell>
        </row>
        <row r="523">
          <cell r="A523" t="str">
            <v>1915(c) waiver</v>
          </cell>
          <cell r="C523" t="str">
            <v>HCS</v>
          </cell>
          <cell r="D523" t="str">
            <v xml:space="preserve">Adaptive Aids/DME </v>
          </cell>
          <cell r="E523" t="str">
            <v>CRUTCH, WALKER OR CANE</v>
          </cell>
          <cell r="F523" t="str">
            <v>2115M0577</v>
          </cell>
        </row>
        <row r="524">
          <cell r="A524" t="str">
            <v>1915(c) waiver</v>
          </cell>
          <cell r="C524" t="str">
            <v>HCS</v>
          </cell>
          <cell r="D524" t="str">
            <v xml:space="preserve">Adaptive Aids/DME </v>
          </cell>
          <cell r="E524" t="str">
            <v>DEVICE OR ITEM USED TO ENABLE AN INDIVIDUAL TO INDEPENDENTLY HOLD AND SUSTAIN CONTROL OF AN OBJECT</v>
          </cell>
          <cell r="F524" t="str">
            <v>2115M0630</v>
          </cell>
        </row>
        <row r="525">
          <cell r="A525" t="str">
            <v>1915(c) waiver</v>
          </cell>
          <cell r="C525" t="str">
            <v>HCS</v>
          </cell>
          <cell r="D525" t="str">
            <v xml:space="preserve">Adaptive Aids/DME </v>
          </cell>
          <cell r="E525" t="str">
            <v>DEVICE OR ITEM USED TO ENABLE AN INDIVIDUAL TO INDEPENDENTLY PICK UP OR GRASP AN OBJECT</v>
          </cell>
          <cell r="F525" t="str">
            <v>2115M0628</v>
          </cell>
        </row>
        <row r="526">
          <cell r="A526" t="str">
            <v>1915(c) waiver</v>
          </cell>
          <cell r="C526" t="str">
            <v>HCS</v>
          </cell>
          <cell r="D526" t="str">
            <v xml:space="preserve">Adaptive Aids/DME </v>
          </cell>
          <cell r="E526" t="str">
            <v>DEVICE OR ITEM USED TO ENABLE AN OBJECT TO BE FIRMLY POSITIONED AND SECURE</v>
          </cell>
          <cell r="F526" t="str">
            <v>2115M0629</v>
          </cell>
        </row>
        <row r="527">
          <cell r="A527" t="str">
            <v>1915(c) waiver</v>
          </cell>
          <cell r="C527" t="str">
            <v>HCS</v>
          </cell>
          <cell r="D527" t="str">
            <v xml:space="preserve">Adaptive Aids/DME </v>
          </cell>
          <cell r="E527" t="str">
            <v>DIAPERS, BRIEFS, PULL-ONS, LINERS, DIAPER WIPES, DISPOSABLE UNDERPADS, REUSABLE UNDERPADS</v>
          </cell>
          <cell r="F527" t="str">
            <v>2115M0597</v>
          </cell>
        </row>
        <row r="528">
          <cell r="A528" t="str">
            <v>1915(c) waiver</v>
          </cell>
          <cell r="C528" t="str">
            <v>HCS</v>
          </cell>
          <cell r="D528" t="str">
            <v xml:space="preserve">Adaptive Aids/DME </v>
          </cell>
          <cell r="E528" t="str">
            <v>DIRECT SELECTION, ALPHANUMERIC, SCANNING OR ENCODING COMMUNICATOR</v>
          </cell>
          <cell r="F528" t="str">
            <v>2115M0616</v>
          </cell>
        </row>
        <row r="529">
          <cell r="A529" t="str">
            <v>1915(c) waiver</v>
          </cell>
          <cell r="C529" t="str">
            <v>HCS</v>
          </cell>
          <cell r="D529" t="str">
            <v xml:space="preserve">Adaptive Aids/DME </v>
          </cell>
          <cell r="E529" t="str">
            <v>DOOR WIDENING OR EMERGENCY EXIT ADAPTATION</v>
          </cell>
          <cell r="F529" t="str">
            <v>2116BM0895</v>
          </cell>
        </row>
        <row r="530">
          <cell r="A530" t="str">
            <v>1915(c) waiver</v>
          </cell>
          <cell r="C530" t="str">
            <v>HCS</v>
          </cell>
          <cell r="D530" t="str">
            <v xml:space="preserve">Adaptive Aids/DME </v>
          </cell>
          <cell r="E530" t="str">
            <v xml:space="preserve">DOOR WIDENING OR EMERGENCY EXIT ADAPTATION MAINT  </v>
          </cell>
          <cell r="F530" t="str">
            <v>2116MM1033</v>
          </cell>
        </row>
        <row r="531">
          <cell r="A531" t="str">
            <v>1915(c) waiver</v>
          </cell>
          <cell r="C531" t="str">
            <v>HCS</v>
          </cell>
          <cell r="D531" t="str">
            <v xml:space="preserve">Adaptive Aids/DME </v>
          </cell>
          <cell r="E531" t="str">
            <v>EGG-CRATE, SHEEPSKIN OR OTHER MEDICALLY NECESSARY MATTRESS PAD</v>
          </cell>
          <cell r="F531" t="str">
            <v>2115M0611</v>
          </cell>
        </row>
        <row r="532">
          <cell r="A532" t="str">
            <v>1915(c) waiver</v>
          </cell>
          <cell r="C532" t="str">
            <v>HCS</v>
          </cell>
          <cell r="D532" t="str">
            <v xml:space="preserve">Adaptive Aids/DME </v>
          </cell>
          <cell r="E532" t="str">
            <v>ELECTRIC RAZOR OR ELECTRIC TOOTHBRUSH FOR AN INDIVIDUAL WITH A MUSCULAR WEAKNESS OR LIMITED RANGE OF MOTION WHO SHAVES SELF OR BRUSHES OWN TEETH</v>
          </cell>
          <cell r="F532" t="str">
            <v>2115M0633</v>
          </cell>
        </row>
        <row r="533">
          <cell r="A533" t="str">
            <v>1915(c) waiver</v>
          </cell>
          <cell r="C533" t="str">
            <v>HCS</v>
          </cell>
          <cell r="D533" t="str">
            <v xml:space="preserve">Adaptive Aids/DME </v>
          </cell>
          <cell r="E533" t="str">
            <v>ELECTRONIC CONTROL UNIT OR AUTOMATIC DOOR OPENER</v>
          </cell>
          <cell r="F533" t="str">
            <v>2115M0594</v>
          </cell>
        </row>
        <row r="534">
          <cell r="A534" t="str">
            <v>1915(c) waiver</v>
          </cell>
          <cell r="C534" t="str">
            <v>HCS</v>
          </cell>
          <cell r="D534" t="str">
            <v xml:space="preserve">Adaptive Aids/DME </v>
          </cell>
          <cell r="E534" t="str">
            <v>EMERGENCY RESPONSE SYSTEM OR SERVICE, MONITORING DEVICE (MD, NU) OR MEDICAL ALERT BRACELET</v>
          </cell>
          <cell r="F534" t="str">
            <v>2115M0619</v>
          </cell>
        </row>
        <row r="535">
          <cell r="A535" t="str">
            <v>1915(c) waiver</v>
          </cell>
          <cell r="C535" t="str">
            <v>HCS</v>
          </cell>
          <cell r="D535" t="str">
            <v xml:space="preserve">Adaptive Aids/DME </v>
          </cell>
          <cell r="E535" t="str">
            <v>ENTERAL FEEDING FORMULA AND SUPPLIES</v>
          </cell>
          <cell r="F535" t="str">
            <v>2115M0599</v>
          </cell>
        </row>
        <row r="536">
          <cell r="A536" t="str">
            <v>1915(c) waiver</v>
          </cell>
          <cell r="C536" t="str">
            <v>HCS</v>
          </cell>
          <cell r="D536" t="str">
            <v xml:space="preserve">Adaptive Aids/DME </v>
          </cell>
          <cell r="E536" t="str">
            <v>FIRE ALARM ADAPTATION MADE TO AN EXISTING SYSTEM</v>
          </cell>
          <cell r="F536" t="str">
            <v>2116M0799</v>
          </cell>
        </row>
        <row r="537">
          <cell r="A537" t="str">
            <v>1915(c) waiver</v>
          </cell>
          <cell r="C537" t="str">
            <v>HCS</v>
          </cell>
          <cell r="D537" t="str">
            <v xml:space="preserve">Adaptive Aids/DME </v>
          </cell>
          <cell r="E537" t="str">
            <v>FIRE ALARM ADAPTATION MADE TO AN EXISTING SYSTEM</v>
          </cell>
          <cell r="F537" t="str">
            <v>2116BM0900</v>
          </cell>
        </row>
        <row r="538">
          <cell r="A538" t="str">
            <v>1915(c) waiver</v>
          </cell>
          <cell r="C538" t="str">
            <v>HCS</v>
          </cell>
          <cell r="D538" t="str">
            <v xml:space="preserve">Adaptive Aids/DME </v>
          </cell>
          <cell r="E538" t="str">
            <v>FIRE ALARM ADAPTATION MADE TO AN EXISTING SYSTEM M</v>
          </cell>
          <cell r="F538" t="str">
            <v>2116MM1038</v>
          </cell>
        </row>
        <row r="539">
          <cell r="A539" t="str">
            <v>1915(c) waiver</v>
          </cell>
          <cell r="C539" t="str">
            <v>HCS</v>
          </cell>
          <cell r="D539" t="str">
            <v xml:space="preserve">Adaptive Aids/DME </v>
          </cell>
          <cell r="E539" t="str">
            <v>FLOOR URINAL OR BIDET ADAPTATION</v>
          </cell>
          <cell r="F539" t="str">
            <v>2116M0784</v>
          </cell>
        </row>
        <row r="540">
          <cell r="A540" t="str">
            <v>1915(c) waiver</v>
          </cell>
          <cell r="C540" t="str">
            <v>HCS</v>
          </cell>
          <cell r="D540" t="str">
            <v xml:space="preserve">Adaptive Aids/DME </v>
          </cell>
          <cell r="E540" t="str">
            <v>FLOOR URINAL OR BIDET ADAPTATION</v>
          </cell>
          <cell r="F540" t="str">
            <v>2116BM0885</v>
          </cell>
        </row>
        <row r="541">
          <cell r="A541" t="str">
            <v>1915(c) waiver</v>
          </cell>
          <cell r="C541" t="str">
            <v>HCS</v>
          </cell>
          <cell r="D541" t="str">
            <v xml:space="preserve">Adaptive Aids/DME </v>
          </cell>
          <cell r="E541" t="str">
            <v xml:space="preserve">FLOOR URINAL OR BIDET ADAPTATION MAINT            </v>
          </cell>
          <cell r="F541" t="str">
            <v>2116MM1023</v>
          </cell>
        </row>
        <row r="542">
          <cell r="A542" t="str">
            <v>1915(c) waiver</v>
          </cell>
          <cell r="C542" t="str">
            <v>HCS</v>
          </cell>
          <cell r="D542" t="str">
            <v xml:space="preserve">Adaptive Aids/DME </v>
          </cell>
          <cell r="E542" t="str">
            <v>FLOORING ADAPTATION FOR WHEELCHAIR ACCESSIBILITY</v>
          </cell>
          <cell r="F542" t="str">
            <v>2116M0795</v>
          </cell>
        </row>
        <row r="543">
          <cell r="A543" t="str">
            <v>1915(c) waiver</v>
          </cell>
          <cell r="C543" t="str">
            <v>HCS</v>
          </cell>
          <cell r="D543" t="str">
            <v xml:space="preserve">Adaptive Aids/DME </v>
          </cell>
          <cell r="E543" t="str">
            <v>FLOORING ADAPTATION FOR WHEELCHAIR ACCESSIBILITY</v>
          </cell>
          <cell r="F543" t="str">
            <v>2116BM0896</v>
          </cell>
        </row>
        <row r="544">
          <cell r="A544" t="str">
            <v>1915(c) waiver</v>
          </cell>
          <cell r="C544" t="str">
            <v>HCS</v>
          </cell>
          <cell r="D544" t="str">
            <v xml:space="preserve">Adaptive Aids/DME </v>
          </cell>
          <cell r="E544" t="str">
            <v>FLOORING ADAPTATION FOR WHEELCHAIR ACCESSIBILITY M</v>
          </cell>
          <cell r="F544" t="str">
            <v>2116MM1034</v>
          </cell>
        </row>
        <row r="545">
          <cell r="A545" t="str">
            <v>1915(c) waiver</v>
          </cell>
          <cell r="C545" t="str">
            <v>HCS</v>
          </cell>
          <cell r="D545" t="str">
            <v xml:space="preserve">Adaptive Aids/DME </v>
          </cell>
          <cell r="E545" t="str">
            <v xml:space="preserve">FOREARM PLATFORM ATTACHMENT FOR A WALKER </v>
          </cell>
          <cell r="F545" t="str">
            <v>2115M0580</v>
          </cell>
        </row>
        <row r="546">
          <cell r="A546" t="str">
            <v>1915(c) waiver</v>
          </cell>
          <cell r="C546" t="str">
            <v>HCS</v>
          </cell>
          <cell r="D546" t="str">
            <v xml:space="preserve">Adaptive Aids/DME </v>
          </cell>
          <cell r="E546" t="str">
            <v>GAIT TRAINER OR GAIT BELT</v>
          </cell>
          <cell r="F546" t="str">
            <v>2115M0583</v>
          </cell>
        </row>
        <row r="547">
          <cell r="A547" t="str">
            <v>1915(c) waiver</v>
          </cell>
          <cell r="C547" t="str">
            <v>HCS</v>
          </cell>
          <cell r="D547" t="str">
            <v xml:space="preserve">Adaptive Aids/DME </v>
          </cell>
          <cell r="E547" t="str">
            <v>GLUCOSE MONITOR</v>
          </cell>
          <cell r="F547" t="str">
            <v>2115M0601</v>
          </cell>
        </row>
        <row r="548">
          <cell r="A548" t="str">
            <v>1915(c) waiver</v>
          </cell>
          <cell r="C548" t="str">
            <v>HCS</v>
          </cell>
          <cell r="D548" t="str">
            <v xml:space="preserve">Adaptive Aids/DME </v>
          </cell>
          <cell r="E548" t="str">
            <v>HAND-HELD SHOWER DEVICE</v>
          </cell>
          <cell r="F548" t="str">
            <v>2115M0636</v>
          </cell>
        </row>
        <row r="549">
          <cell r="A549" t="str">
            <v>1915(c) waiver</v>
          </cell>
          <cell r="C549" t="str">
            <v>HCS</v>
          </cell>
          <cell r="D549" t="str">
            <v xml:space="preserve">Adaptive Aids/DME </v>
          </cell>
          <cell r="E549" t="str">
            <v>HANDRAIL OR SAFETY BAR PERMANENTLY ATTACHED TO A W</v>
          </cell>
          <cell r="F549" t="str">
            <v>2116MM1035</v>
          </cell>
        </row>
        <row r="550">
          <cell r="A550" t="str">
            <v>1915(c) waiver</v>
          </cell>
          <cell r="C550" t="str">
            <v>HCS</v>
          </cell>
          <cell r="D550" t="str">
            <v xml:space="preserve">Adaptive Aids/DME </v>
          </cell>
          <cell r="E550" t="str">
            <v xml:space="preserve">HANDRAIL OR SAFETY BAR PERMANENTLY ATTACHED TO A WALL, FLOOR AND/OR CEILING </v>
          </cell>
          <cell r="F550" t="str">
            <v>2116BM0897</v>
          </cell>
        </row>
        <row r="551">
          <cell r="A551" t="str">
            <v>1915(c) waiver</v>
          </cell>
          <cell r="C551" t="str">
            <v>HCS</v>
          </cell>
          <cell r="D551" t="str">
            <v xml:space="preserve">Adaptive Aids/DME </v>
          </cell>
          <cell r="E551" t="str">
            <v>HEARING AID OR BATTERY</v>
          </cell>
          <cell r="F551" t="str">
            <v>2115M0626</v>
          </cell>
        </row>
        <row r="552">
          <cell r="A552" t="str">
            <v>1915(c) waiver</v>
          </cell>
          <cell r="C552" t="str">
            <v>HCS</v>
          </cell>
          <cell r="D552" t="str">
            <v xml:space="preserve">Adaptive Aids/DME </v>
          </cell>
          <cell r="E552" t="str">
            <v>HELMET USED DUE TO A SEIZURE DISORDER OR OTHER MEDICAL CONDITION</v>
          </cell>
          <cell r="F552" t="str">
            <v>2115M0640</v>
          </cell>
        </row>
        <row r="553">
          <cell r="A553" t="str">
            <v>1915(c) waiver</v>
          </cell>
          <cell r="C553" t="str">
            <v>HCS</v>
          </cell>
          <cell r="D553" t="str">
            <v xml:space="preserve">Adaptive Aids/DME </v>
          </cell>
          <cell r="E553" t="str">
            <v>HOSPITAL BED OR CRIB</v>
          </cell>
          <cell r="F553" t="str">
            <v>2115M0585</v>
          </cell>
        </row>
        <row r="554">
          <cell r="A554" t="str">
            <v>1915(c) waiver</v>
          </cell>
          <cell r="C554" t="str">
            <v>HCS</v>
          </cell>
          <cell r="D554" t="str">
            <v xml:space="preserve">Adaptive Aids/DME </v>
          </cell>
          <cell r="E554" t="str">
            <v>HYDRAULIC, MANUAL OR ELECTRONIC LIFT, REPLACEMENT SLING, A BARRIER-FREE (CEILING OR WALL MOUNTED) LIFT SYSTEM INCLUDING INSTALLATION OF THE LIFT, A PORCH LIFT OR STAIR LIFT</v>
          </cell>
          <cell r="F554" t="str">
            <v>2115M0575</v>
          </cell>
        </row>
        <row r="555">
          <cell r="A555" t="str">
            <v>1915(c) waiver</v>
          </cell>
          <cell r="C555" t="str">
            <v>HCS</v>
          </cell>
          <cell r="D555" t="str">
            <v xml:space="preserve">Adaptive Aids/DME </v>
          </cell>
          <cell r="E555" t="str">
            <v>LEVER DOOR HANDLE</v>
          </cell>
          <cell r="F555" t="str">
            <v>2115M0627</v>
          </cell>
        </row>
        <row r="556">
          <cell r="A556" t="str">
            <v>1915(c) waiver</v>
          </cell>
          <cell r="C556" t="str">
            <v>HCS</v>
          </cell>
          <cell r="D556" t="str">
            <v xml:space="preserve">Adaptive Aids/DME </v>
          </cell>
          <cell r="E556" t="str">
            <v>LEVER DOOR HANDLE</v>
          </cell>
          <cell r="F556" t="str">
            <v>2116M0800</v>
          </cell>
        </row>
        <row r="557">
          <cell r="A557" t="str">
            <v>1915(c) waiver</v>
          </cell>
          <cell r="C557" t="str">
            <v>HCS</v>
          </cell>
          <cell r="D557" t="str">
            <v xml:space="preserve">Adaptive Aids/DME </v>
          </cell>
          <cell r="E557" t="str">
            <v>LEVER DOOR HANDLE</v>
          </cell>
          <cell r="F557" t="str">
            <v>2116BM0901</v>
          </cell>
        </row>
        <row r="558">
          <cell r="A558" t="str">
            <v>1915(c) waiver</v>
          </cell>
          <cell r="C558" t="str">
            <v>HCS</v>
          </cell>
          <cell r="D558" t="str">
            <v xml:space="preserve">Adaptive Aids/DME </v>
          </cell>
          <cell r="E558" t="str">
            <v xml:space="preserve">LEVER DOOR HANDLE MAINT                           </v>
          </cell>
          <cell r="F558" t="str">
            <v>2116MM1039</v>
          </cell>
        </row>
        <row r="559">
          <cell r="A559" t="str">
            <v>1915(c) waiver</v>
          </cell>
          <cell r="C559" t="str">
            <v>HCS</v>
          </cell>
          <cell r="D559" t="str">
            <v xml:space="preserve">Adaptive Aids/DME </v>
          </cell>
          <cell r="E559" t="str">
            <v>LIFT CHAIR, BUT NOT THE LIFT MECHANISM IF IT IS REIMBURSABLE THROUGH MEDICARE</v>
          </cell>
          <cell r="F559" t="str">
            <v>2115M0588</v>
          </cell>
        </row>
        <row r="560">
          <cell r="A560" t="str">
            <v>1915(c) waiver</v>
          </cell>
          <cell r="C560" t="str">
            <v>HCS</v>
          </cell>
          <cell r="D560" t="str">
            <v xml:space="preserve">Adaptive Aids/DME </v>
          </cell>
          <cell r="E560" t="str">
            <v>MANUAL OR ELECTRIC WHEELCHAIR OR A NECESSARY ACCESSORY</v>
          </cell>
          <cell r="F560" t="str">
            <v>2115M0579</v>
          </cell>
        </row>
        <row r="561">
          <cell r="A561" t="str">
            <v>1915(c) waiver</v>
          </cell>
          <cell r="C561" t="str">
            <v>HCS</v>
          </cell>
          <cell r="D561" t="str">
            <v xml:space="preserve">Adaptive Aids/DME </v>
          </cell>
          <cell r="E561" t="str">
            <v>MEDICAL SUPPORT HOSE</v>
          </cell>
          <cell r="F561" t="str">
            <v>2115M0608</v>
          </cell>
        </row>
        <row r="562">
          <cell r="A562" t="str">
            <v>1915(c) waiver</v>
          </cell>
          <cell r="C562" t="str">
            <v>HCS</v>
          </cell>
          <cell r="D562" t="str">
            <v xml:space="preserve">Adaptive Aids/DME </v>
          </cell>
          <cell r="E562" t="str">
            <v>MEDICALLY NECESSARY SUPPLIES FOR TRACHEOTOMY CARE, DECUBITUS CARE, OSTOMY CARE, RESPIRATOR/VENTILATOR CARE OR CATHETERIZATION</v>
          </cell>
          <cell r="F562" t="str">
            <v>2115M0600</v>
          </cell>
        </row>
        <row r="563">
          <cell r="A563" t="str">
            <v>1915(c) waiver</v>
          </cell>
          <cell r="C563" t="str">
            <v>HCS</v>
          </cell>
          <cell r="D563" t="str">
            <v xml:space="preserve">Adaptive Aids/DME </v>
          </cell>
          <cell r="E563" t="str">
            <v>MICROWAVE OVEN, IF USE OF A CONVENTIONAL OVEN PRESENTS A SAFETY HAZARD TO THE INDIVIDUAL</v>
          </cell>
          <cell r="F563" t="str">
            <v>2115M0635</v>
          </cell>
        </row>
        <row r="564">
          <cell r="A564" t="str">
            <v>1915(c) waiver</v>
          </cell>
          <cell r="C564" t="str">
            <v>HCS</v>
          </cell>
          <cell r="D564" t="str">
            <v xml:space="preserve">Adaptive Aids/DME </v>
          </cell>
          <cell r="E564" t="str">
            <v>MULTIVITAMIN PRODUCT WITH A PRESCRIPTION, A NUTRITIONAL SUPPLEMENT LISTED IN THE TEXAS MEDICAID PROVIDER PROCEDURES MANUAL</v>
          </cell>
          <cell r="F564" t="str">
            <v>2115M0598</v>
          </cell>
        </row>
        <row r="565">
          <cell r="A565" t="str">
            <v>1915(c) waiver</v>
          </cell>
          <cell r="C565" t="str">
            <v>HCS</v>
          </cell>
          <cell r="D565" t="str">
            <v xml:space="preserve">Adaptive Aids/DME </v>
          </cell>
          <cell r="E565" t="str">
            <v>MUSCLE STIMULATOR</v>
          </cell>
          <cell r="F565" t="str">
            <v>2115M0604</v>
          </cell>
        </row>
        <row r="566">
          <cell r="A566" t="str">
            <v>1915(c) waiver</v>
          </cell>
          <cell r="C566" t="str">
            <v>HCS</v>
          </cell>
          <cell r="D566" t="str">
            <v xml:space="preserve">Adaptive Aids/DME </v>
          </cell>
          <cell r="E566" t="str">
            <v>NON-STERILE DISPOSABLE GLOVES FOR INDIVIDUALS WHO REQUIRE CATHETERIZATION, HAVE SKIN BREAKDOWN OR REQUIRE WOUND CARE, OR HAVE A DOCUMENTED DISEASE THAT MAY BE TRANSMITTED THROUGH URINE OR STOOL AND THE CARE OF THE INDIVIDUAL IS PROVIDED BY A NON-PAID CAREGIVER</v>
          </cell>
          <cell r="F566" t="str">
            <v>2115M0615</v>
          </cell>
        </row>
        <row r="567">
          <cell r="A567" t="str">
            <v>1915(c) waiver</v>
          </cell>
          <cell r="C567" t="str">
            <v>HCS</v>
          </cell>
          <cell r="D567" t="str">
            <v xml:space="preserve">Adaptive Aids/DME </v>
          </cell>
          <cell r="E567" t="str">
            <v>ORTHOTIC DEVICE, ORTHOPEDIC SHOES OR BRACE WHICH IS CUSTOM FABRICATED SPECIFICALLY FOR AN INDIVIDUAL</v>
          </cell>
          <cell r="F567" t="str">
            <v>2115M0578</v>
          </cell>
        </row>
        <row r="568">
          <cell r="A568" t="str">
            <v>1915(c) waiver</v>
          </cell>
          <cell r="C568" t="str">
            <v>HCS</v>
          </cell>
          <cell r="D568" t="str">
            <v xml:space="preserve">Adaptive Aids/DME </v>
          </cell>
          <cell r="E568" t="str">
            <v>PERSONAL COMPUTER OR ACCESSORY NECESSARY FOR THE INDIVIDUAL TO COMMUNICATE INDEPENDENTLY</v>
          </cell>
          <cell r="F568" t="str">
            <v>2115M0624</v>
          </cell>
        </row>
        <row r="569">
          <cell r="A569" t="str">
            <v>1915(c) waiver</v>
          </cell>
          <cell r="C569" t="str">
            <v>HCS</v>
          </cell>
          <cell r="D569" t="str">
            <v xml:space="preserve">Adaptive Aids/DME </v>
          </cell>
          <cell r="E569" t="str">
            <v>PLUMBING ADAPTATION</v>
          </cell>
          <cell r="F569" t="str">
            <v>2116M0791</v>
          </cell>
        </row>
        <row r="570">
          <cell r="A570" t="str">
            <v>1915(c) waiver</v>
          </cell>
          <cell r="C570" t="str">
            <v>HCS</v>
          </cell>
          <cell r="D570" t="str">
            <v xml:space="preserve">Adaptive Aids/DME </v>
          </cell>
          <cell r="E570" t="str">
            <v>PLUMBING ADAPTATION</v>
          </cell>
          <cell r="F570" t="str">
            <v>2116BM0886</v>
          </cell>
        </row>
        <row r="571">
          <cell r="A571" t="str">
            <v>1915(c) waiver</v>
          </cell>
          <cell r="C571" t="str">
            <v>HCS</v>
          </cell>
          <cell r="D571" t="str">
            <v xml:space="preserve">Adaptive Aids/DME </v>
          </cell>
          <cell r="E571" t="str">
            <v>PLUMBING ADAPTATION</v>
          </cell>
          <cell r="F571" t="str">
            <v>2116BM0892</v>
          </cell>
        </row>
        <row r="572">
          <cell r="A572" t="str">
            <v>1915(c) waiver</v>
          </cell>
          <cell r="C572" t="str">
            <v>HCS</v>
          </cell>
          <cell r="D572" t="str">
            <v xml:space="preserve">Adaptive Aids/DME </v>
          </cell>
          <cell r="E572" t="str">
            <v xml:space="preserve">PLUMBING ADAPTATION MAINT                         </v>
          </cell>
          <cell r="F572" t="str">
            <v>2116MM1024</v>
          </cell>
        </row>
        <row r="573">
          <cell r="A573" t="str">
            <v>1915(c) waiver</v>
          </cell>
          <cell r="C573" t="str">
            <v>HCS</v>
          </cell>
          <cell r="D573" t="str">
            <v xml:space="preserve">Adaptive Aids/DME </v>
          </cell>
          <cell r="E573" t="str">
            <v xml:space="preserve">PLUMBING ADAPTATION MAINT                         </v>
          </cell>
          <cell r="F573" t="str">
            <v>2116MM1030</v>
          </cell>
        </row>
        <row r="574">
          <cell r="A574" t="str">
            <v>1915(c) waiver</v>
          </cell>
          <cell r="C574" t="str">
            <v>HCS</v>
          </cell>
          <cell r="D574" t="str">
            <v xml:space="preserve">Adaptive Aids/DME </v>
          </cell>
          <cell r="E574" t="str">
            <v xml:space="preserve">PORTABLE WHEELCHAIR RAMP </v>
          </cell>
          <cell r="F574" t="str">
            <v>2115M0581</v>
          </cell>
        </row>
        <row r="575">
          <cell r="A575" t="str">
            <v>1915(c) waiver</v>
          </cell>
          <cell r="C575" t="str">
            <v>HCS</v>
          </cell>
          <cell r="D575" t="str">
            <v xml:space="preserve">Adaptive Aids/DME </v>
          </cell>
          <cell r="E575" t="str">
            <v>PRESCRIPTION EYEGLASSES BEYOND MEDICAID LIMIT</v>
          </cell>
          <cell r="F575" t="str">
            <v>2115M0614</v>
          </cell>
        </row>
        <row r="576">
          <cell r="A576" t="str">
            <v>1915(c) waiver</v>
          </cell>
          <cell r="C576" t="str">
            <v>HCS</v>
          </cell>
          <cell r="D576" t="str">
            <v xml:space="preserve">Adaptive Aids/DME </v>
          </cell>
          <cell r="E576" t="str">
            <v>SAFETY GLASS, FILM OR PADDING ADAPTATION</v>
          </cell>
          <cell r="F576" t="str">
            <v>2116M0801</v>
          </cell>
        </row>
        <row r="577">
          <cell r="A577" t="str">
            <v>1915(c) waiver</v>
          </cell>
          <cell r="C577" t="str">
            <v>HCS</v>
          </cell>
          <cell r="D577" t="str">
            <v xml:space="preserve">Adaptive Aids/DME </v>
          </cell>
          <cell r="E577" t="str">
            <v>SAFETY GLASS, FILM OR PADDING ADAPTATION</v>
          </cell>
          <cell r="F577" t="str">
            <v>2116BM0902</v>
          </cell>
        </row>
        <row r="578">
          <cell r="A578" t="str">
            <v>1915(c) waiver</v>
          </cell>
          <cell r="C578" t="str">
            <v>HCS</v>
          </cell>
          <cell r="D578" t="str">
            <v xml:space="preserve">Adaptive Aids/DME </v>
          </cell>
          <cell r="E578" t="str">
            <v xml:space="preserve">SAFETY GLASS, FILM OR PADDING ADAPTATION MAINT    </v>
          </cell>
          <cell r="F578" t="str">
            <v>2116MM1040</v>
          </cell>
        </row>
        <row r="579">
          <cell r="A579" t="str">
            <v>1915(c) waiver</v>
          </cell>
          <cell r="C579" t="str">
            <v>HCS</v>
          </cell>
          <cell r="D579" t="str">
            <v xml:space="preserve">Adaptive Aids/DME </v>
          </cell>
          <cell r="E579" t="str">
            <v>SAFETY PADDING</v>
          </cell>
          <cell r="F579" t="str">
            <v>2115M0639</v>
          </cell>
        </row>
        <row r="580">
          <cell r="A580" t="str">
            <v>1915(c) waiver</v>
          </cell>
          <cell r="C580" t="str">
            <v>HCS</v>
          </cell>
          <cell r="D580" t="str">
            <v xml:space="preserve">Adaptive Aids/DME </v>
          </cell>
          <cell r="E580" t="str">
            <v>SAFETY RESTRAINT OR WHEELCHAIR TIE DOWN</v>
          </cell>
          <cell r="F580" t="str">
            <v>2115M0637</v>
          </cell>
        </row>
        <row r="581">
          <cell r="A581" t="str">
            <v>1915(c) waiver</v>
          </cell>
          <cell r="C581" t="str">
            <v>HCS</v>
          </cell>
          <cell r="D581" t="str">
            <v xml:space="preserve">Adaptive Aids/DME </v>
          </cell>
          <cell r="E581" t="str">
            <v>SHOWER ADAPTATION</v>
          </cell>
          <cell r="F581" t="str">
            <v>2116BM0880</v>
          </cell>
        </row>
        <row r="582">
          <cell r="A582" t="str">
            <v>1915(c) waiver</v>
          </cell>
          <cell r="C582" t="str">
            <v>HCS</v>
          </cell>
          <cell r="D582" t="str">
            <v xml:space="preserve">Adaptive Aids/DME </v>
          </cell>
          <cell r="E582" t="str">
            <v xml:space="preserve">SHOWER ADAPTATION MAINT                           </v>
          </cell>
          <cell r="F582" t="str">
            <v>2116MM1018</v>
          </cell>
        </row>
        <row r="583">
          <cell r="A583" t="str">
            <v>1915(c) waiver</v>
          </cell>
          <cell r="C583" t="str">
            <v>HCS</v>
          </cell>
          <cell r="D583" t="str">
            <v xml:space="preserve">Adaptive Aids/DME </v>
          </cell>
          <cell r="E583" t="str">
            <v>SIGN LANGUAGE INTERPRETER SERVICE FOR NON-ROUTINE COMMUNICATIONS, SUCH AS IDT MEETINGS, OR MEDICAL/PROFESSIONAL APPOINTMENTS</v>
          </cell>
          <cell r="F583" t="str">
            <v>2115M0618</v>
          </cell>
        </row>
        <row r="584">
          <cell r="A584" t="str">
            <v>1915(c) waiver</v>
          </cell>
          <cell r="C584" t="str">
            <v>HCS</v>
          </cell>
          <cell r="D584" t="str">
            <v xml:space="preserve">Adaptive Aids/DME </v>
          </cell>
          <cell r="E584" t="str">
            <v>SIGNATURE GUIDE FOR AN INDIVIDUAL WITH A VISUAL OR PHYSICAL IMPAIRMENT, MUSCULAR WEAKNESS OR LIMITED RANGE OF MOTION</v>
          </cell>
          <cell r="F584" t="str">
            <v>2115M0623</v>
          </cell>
        </row>
        <row r="585">
          <cell r="A585" t="str">
            <v>1915(c) waiver</v>
          </cell>
          <cell r="C585" t="str">
            <v>HCS</v>
          </cell>
          <cell r="D585" t="str">
            <v xml:space="preserve">Adaptive Aids/DME </v>
          </cell>
          <cell r="E585" t="str">
            <v>SIGNATURE STAMP FOR AN INDIVIDUAL WITH A VISUAL OR PHYSICAL IMPAIRMENT, MUSCULAR WEAKNESS OR LIMITED RANGE OF MOTION</v>
          </cell>
          <cell r="F585" t="str">
            <v>2115M0622</v>
          </cell>
        </row>
        <row r="586">
          <cell r="A586" t="str">
            <v>1915(c) waiver</v>
          </cell>
          <cell r="C586" t="str">
            <v>HCS</v>
          </cell>
          <cell r="D586" t="str">
            <v xml:space="preserve">Adaptive Aids/DME </v>
          </cell>
          <cell r="E586" t="str">
            <v>SINK ADAPTATION</v>
          </cell>
          <cell r="F586" t="str">
            <v>2116M0787</v>
          </cell>
        </row>
        <row r="587">
          <cell r="A587" t="str">
            <v>1915(c) waiver</v>
          </cell>
          <cell r="C587" t="str">
            <v>HCS</v>
          </cell>
          <cell r="D587" t="str">
            <v xml:space="preserve">Adaptive Aids/DME </v>
          </cell>
          <cell r="E587" t="str">
            <v>SINK ADAPTATION</v>
          </cell>
          <cell r="F587" t="str">
            <v>2116BM0881</v>
          </cell>
        </row>
        <row r="588">
          <cell r="A588" t="str">
            <v>1915(c) waiver</v>
          </cell>
          <cell r="C588" t="str">
            <v>HCS</v>
          </cell>
          <cell r="D588" t="str">
            <v xml:space="preserve">Adaptive Aids/DME </v>
          </cell>
          <cell r="E588" t="str">
            <v>SINK ADAPTATION</v>
          </cell>
          <cell r="F588" t="str">
            <v>2116BM0888</v>
          </cell>
        </row>
        <row r="589">
          <cell r="A589" t="str">
            <v>1915(c) waiver</v>
          </cell>
          <cell r="C589" t="str">
            <v>HCS</v>
          </cell>
          <cell r="D589" t="str">
            <v xml:space="preserve">Adaptive Aids/DME </v>
          </cell>
          <cell r="E589" t="str">
            <v xml:space="preserve">SINK ADAPTATION MAINT                             </v>
          </cell>
          <cell r="F589" t="str">
            <v>2116MM1019</v>
          </cell>
        </row>
        <row r="590">
          <cell r="A590" t="str">
            <v>1915(c) waiver</v>
          </cell>
          <cell r="C590" t="str">
            <v>HCS</v>
          </cell>
          <cell r="D590" t="str">
            <v xml:space="preserve">Adaptive Aids/DME </v>
          </cell>
          <cell r="E590" t="str">
            <v xml:space="preserve">SINK ADAPTATION MAINT                             </v>
          </cell>
          <cell r="F590" t="str">
            <v>2116MM1026</v>
          </cell>
        </row>
        <row r="591">
          <cell r="A591" t="str">
            <v>1915(c) waiver</v>
          </cell>
          <cell r="C591" t="str">
            <v>HCS</v>
          </cell>
          <cell r="D591" t="str">
            <v xml:space="preserve">Adaptive Aids/DME </v>
          </cell>
          <cell r="E591" t="str">
            <v>SINK CUT-OUT</v>
          </cell>
          <cell r="F591" t="str">
            <v>2116M0788</v>
          </cell>
        </row>
        <row r="592">
          <cell r="A592" t="str">
            <v>1915(c) waiver</v>
          </cell>
          <cell r="C592" t="str">
            <v>HCS</v>
          </cell>
          <cell r="D592" t="str">
            <v xml:space="preserve">Adaptive Aids/DME </v>
          </cell>
          <cell r="E592" t="str">
            <v>SINK CUT-OUT</v>
          </cell>
          <cell r="F592" t="str">
            <v>2116BM0889</v>
          </cell>
        </row>
        <row r="593">
          <cell r="A593" t="str">
            <v>1915(c) waiver</v>
          </cell>
          <cell r="C593" t="str">
            <v>HCS</v>
          </cell>
          <cell r="D593" t="str">
            <v xml:space="preserve">Adaptive Aids/DME </v>
          </cell>
          <cell r="E593" t="str">
            <v xml:space="preserve">SINK CUT-OUT MAINT                                </v>
          </cell>
          <cell r="F593" t="str">
            <v>2116MM1027</v>
          </cell>
        </row>
        <row r="594">
          <cell r="A594" t="str">
            <v>1915(c) waiver</v>
          </cell>
          <cell r="C594" t="str">
            <v>HCS</v>
          </cell>
          <cell r="D594" t="str">
            <v xml:space="preserve">Adaptive Aids/DME </v>
          </cell>
          <cell r="E594" t="str">
            <v>SIP AND PUFF CONTROL</v>
          </cell>
          <cell r="F594" t="str">
            <v>2115M0591</v>
          </cell>
        </row>
        <row r="595">
          <cell r="A595" t="str">
            <v>1915(c) waiver</v>
          </cell>
          <cell r="C595" t="str">
            <v>HCS</v>
          </cell>
          <cell r="D595" t="str">
            <v xml:space="preserve">Adaptive Aids/DME </v>
          </cell>
          <cell r="E595" t="str">
            <v>SPEAKER, LARGE BUTTON OR BRAILLE TELEPHONE FOR AN INDIVIDUAL WHO IS VERBAL BUT CANNOT USE A CONVENTIONAL TELEPHONE</v>
          </cell>
          <cell r="F595" t="str">
            <v>2115M0634</v>
          </cell>
        </row>
        <row r="596">
          <cell r="A596" t="str">
            <v>1915(c) waiver</v>
          </cell>
          <cell r="C596" t="str">
            <v>HCS</v>
          </cell>
          <cell r="D596" t="str">
            <v xml:space="preserve">Adaptive Aids/DME </v>
          </cell>
          <cell r="E596" t="str">
            <v>SPECIALIZED CLOCK OR WRISTWATCH FOR AN INDIVIDUAL WITH A VISUAL OR HEARING IMPAIRMENT</v>
          </cell>
          <cell r="F596" t="str">
            <v>2115M0632</v>
          </cell>
        </row>
        <row r="597">
          <cell r="A597" t="str">
            <v>1915(c) waiver</v>
          </cell>
          <cell r="C597" t="str">
            <v>HCS</v>
          </cell>
          <cell r="D597" t="str">
            <v xml:space="preserve">Adaptive Aids/DME </v>
          </cell>
          <cell r="E597" t="str">
            <v>SPECIALIZED CLOTHING, A DRESSING AID OR BIB</v>
          </cell>
          <cell r="F597" t="str">
            <v>2115M0609</v>
          </cell>
        </row>
        <row r="598">
          <cell r="A598" t="str">
            <v>1915(c) waiver</v>
          </cell>
          <cell r="C598" t="str">
            <v>HCS</v>
          </cell>
          <cell r="D598" t="str">
            <v xml:space="preserve">Adaptive Aids/DME </v>
          </cell>
          <cell r="E598" t="str">
            <v>SPECIALIZED OR TREATED MATTRESS OR MATTRESS COVER</v>
          </cell>
          <cell r="F598" t="str">
            <v>2115M0610</v>
          </cell>
        </row>
        <row r="599">
          <cell r="A599" t="str">
            <v>1915(c) waiver</v>
          </cell>
          <cell r="C599" t="str">
            <v>HCS</v>
          </cell>
          <cell r="D599" t="str">
            <v xml:space="preserve">Adaptive Aids/DME </v>
          </cell>
          <cell r="E599" t="str">
            <v>SPECIALIZED SCALE</v>
          </cell>
          <cell r="F599" t="str">
            <v>2115M0607</v>
          </cell>
        </row>
        <row r="600">
          <cell r="A600" t="str">
            <v>1915(c) waiver</v>
          </cell>
          <cell r="C600" t="str">
            <v>HCS</v>
          </cell>
          <cell r="D600" t="str">
            <v xml:space="preserve">Adaptive Aids/DME </v>
          </cell>
          <cell r="E600" t="str">
            <v>SPECIALIZED THERMOMETER</v>
          </cell>
          <cell r="F600" t="str">
            <v>2115M0606</v>
          </cell>
        </row>
        <row r="601">
          <cell r="A601" t="str">
            <v>1915(c) waiver</v>
          </cell>
          <cell r="C601" t="str">
            <v>HCS</v>
          </cell>
          <cell r="D601" t="str">
            <v xml:space="preserve">Adaptive Aids/DME </v>
          </cell>
          <cell r="E601" t="str">
            <v>SPECIALIZED TRAINING FOR AUGMENTATIVE COMMUNICATION SOFTWARE, NOT TO EXCEED $1,000 PER INDIVIDUAL, PER IPC YEAR</v>
          </cell>
          <cell r="F601" t="str">
            <v>2115M0625</v>
          </cell>
        </row>
        <row r="602">
          <cell r="A602" t="str">
            <v>1915(c) waiver</v>
          </cell>
          <cell r="C602" t="str">
            <v>HCS</v>
          </cell>
          <cell r="D602" t="str">
            <v xml:space="preserve">Adaptive Aids/DME </v>
          </cell>
          <cell r="E602" t="str">
            <v>SPEECH AMPLIFIER OR AUGMENTATIVE COMMUNICATION DEVICE</v>
          </cell>
          <cell r="F602" t="str">
            <v>2115M0617</v>
          </cell>
        </row>
        <row r="603">
          <cell r="A603" t="str">
            <v>1915(c) waiver</v>
          </cell>
          <cell r="C603" t="str">
            <v>HCS</v>
          </cell>
          <cell r="D603" t="str">
            <v xml:space="preserve">Adaptive Aids/DME </v>
          </cell>
          <cell r="E603" t="str">
            <v xml:space="preserve">STANDING BOARD OR FRAME, POSITIONING CHAIR, OR WEDGE </v>
          </cell>
          <cell r="F603" t="str">
            <v>2115M0586</v>
          </cell>
        </row>
        <row r="604">
          <cell r="A604" t="str">
            <v>1915(c) waiver</v>
          </cell>
          <cell r="C604" t="str">
            <v>HCS</v>
          </cell>
          <cell r="D604" t="str">
            <v xml:space="preserve">Adaptive Aids/DME </v>
          </cell>
          <cell r="E604" t="str">
            <v>TEMPORARY RENTAL OF A BILLABLE ADAPTIVE AID TO ALLOW FOR THE REPAIR, PURCHASE OR REPLACEMENT OF THE ADAPTIVE AID</v>
          </cell>
          <cell r="F604" t="str">
            <v>2115M0596</v>
          </cell>
        </row>
        <row r="605">
          <cell r="A605" t="str">
            <v>1915(c) waiver</v>
          </cell>
          <cell r="C605" t="str">
            <v>HCS</v>
          </cell>
          <cell r="D605" t="str">
            <v xml:space="preserve">Adaptive Aids/DME </v>
          </cell>
          <cell r="E605" t="str">
            <v>TOILET ADAPTATION</v>
          </cell>
          <cell r="F605" t="str">
            <v>2116BM0883</v>
          </cell>
        </row>
        <row r="606">
          <cell r="A606" t="str">
            <v>1915(c) waiver</v>
          </cell>
          <cell r="C606" t="str">
            <v>HCS</v>
          </cell>
          <cell r="D606" t="str">
            <v xml:space="preserve">Adaptive Aids/DME </v>
          </cell>
          <cell r="E606" t="str">
            <v xml:space="preserve">TOILET ADAPTATION MAINT                           </v>
          </cell>
          <cell r="F606" t="str">
            <v>2116MM1021</v>
          </cell>
        </row>
        <row r="607">
          <cell r="A607" t="str">
            <v>1915(c) waiver</v>
          </cell>
          <cell r="C607" t="str">
            <v>HCS</v>
          </cell>
          <cell r="D607" t="str">
            <v xml:space="preserve">Adaptive Aids/DME </v>
          </cell>
          <cell r="E607" t="str">
            <v>TOILETING CHAIR</v>
          </cell>
          <cell r="F607" t="str">
            <v>2115M0590</v>
          </cell>
        </row>
        <row r="608">
          <cell r="A608" t="str">
            <v>1915(c) waiver</v>
          </cell>
          <cell r="C608" t="str">
            <v>HCS</v>
          </cell>
          <cell r="D608" t="str">
            <v xml:space="preserve">Adaptive Aids/DME </v>
          </cell>
          <cell r="E608" t="str">
            <v>TRANSFER BENCH</v>
          </cell>
          <cell r="F608" t="str">
            <v>2115M0576</v>
          </cell>
        </row>
        <row r="609">
          <cell r="A609" t="str">
            <v>1915(c) waiver</v>
          </cell>
          <cell r="C609" t="str">
            <v>HCS</v>
          </cell>
          <cell r="D609" t="str">
            <v xml:space="preserve">Adaptive Aids/DME </v>
          </cell>
          <cell r="E609" t="str">
            <v xml:space="preserve">TRAPEZE BAR </v>
          </cell>
          <cell r="F609" t="str">
            <v>2115M0587</v>
          </cell>
        </row>
        <row r="610">
          <cell r="A610" t="str">
            <v>1915(c) waiver</v>
          </cell>
          <cell r="C610" t="str">
            <v>HCS</v>
          </cell>
          <cell r="D610" t="str">
            <v xml:space="preserve">Adaptive Aids/DME </v>
          </cell>
          <cell r="E610" t="str">
            <v>TURNAROUND SPACE ADAPTATION</v>
          </cell>
          <cell r="F610" t="str">
            <v>2116M0789</v>
          </cell>
        </row>
        <row r="611">
          <cell r="A611" t="str">
            <v>1915(c) waiver</v>
          </cell>
          <cell r="C611" t="str">
            <v>HCS</v>
          </cell>
          <cell r="D611" t="str">
            <v xml:space="preserve">Adaptive Aids/DME </v>
          </cell>
          <cell r="E611" t="str">
            <v>TURNAROUND SPACE ADAPTATION</v>
          </cell>
          <cell r="F611" t="str">
            <v>2116BM0887</v>
          </cell>
        </row>
        <row r="612">
          <cell r="A612" t="str">
            <v>1915(c) waiver</v>
          </cell>
          <cell r="C612" t="str">
            <v>HCS</v>
          </cell>
          <cell r="D612" t="str">
            <v xml:space="preserve">Adaptive Aids/DME </v>
          </cell>
          <cell r="E612" t="str">
            <v>TURNAROUND SPACE ADAPTATION</v>
          </cell>
          <cell r="F612" t="str">
            <v>2116BM0890</v>
          </cell>
        </row>
        <row r="613">
          <cell r="A613" t="str">
            <v>1915(c) waiver</v>
          </cell>
          <cell r="C613" t="str">
            <v>HCS</v>
          </cell>
          <cell r="D613" t="str">
            <v xml:space="preserve">Adaptive Aids/DME </v>
          </cell>
          <cell r="E613" t="str">
            <v xml:space="preserve">TURNAROUND SPACE ADAPTATION MAINT                 </v>
          </cell>
          <cell r="F613" t="str">
            <v>2116MM1025</v>
          </cell>
        </row>
        <row r="614">
          <cell r="A614" t="str">
            <v>1915(c) waiver</v>
          </cell>
          <cell r="C614" t="str">
            <v>HCS</v>
          </cell>
          <cell r="D614" t="str">
            <v xml:space="preserve">Adaptive Aids/DME </v>
          </cell>
          <cell r="E614" t="str">
            <v xml:space="preserve">TURNAROUND SPACE ADAPTATION MAINT                 </v>
          </cell>
          <cell r="F614" t="str">
            <v>2116MM1028</v>
          </cell>
        </row>
        <row r="615">
          <cell r="A615" t="str">
            <v>1915(c) waiver</v>
          </cell>
          <cell r="C615" t="str">
            <v>HCS</v>
          </cell>
          <cell r="D615" t="str">
            <v xml:space="preserve">Adaptive Aids/DME </v>
          </cell>
          <cell r="E615" t="str">
            <v>URINAL</v>
          </cell>
          <cell r="F615" t="str">
            <v>2115M0605</v>
          </cell>
        </row>
        <row r="616">
          <cell r="A616" t="str">
            <v>1915(c) waiver</v>
          </cell>
          <cell r="C616" t="str">
            <v>HCS</v>
          </cell>
          <cell r="D616" t="str">
            <v xml:space="preserve">Adaptive Aids/DME </v>
          </cell>
          <cell r="E616" t="str">
            <v>VEHICLE LIFT ADAPTATION FOR A VEHICLE OWNED BY AN INDIVIDUAL, AN INDIVIDUAL'S FAMILY MEMBER OR HOST HOME/COMPANION CARE PROVIDER</v>
          </cell>
          <cell r="F616" t="str">
            <v>2115M0574</v>
          </cell>
        </row>
        <row r="617">
          <cell r="A617" t="str">
            <v>1915(c) waiver</v>
          </cell>
          <cell r="C617" t="str">
            <v>HCS</v>
          </cell>
          <cell r="D617" t="str">
            <v xml:space="preserve">Adaptive Aids/DME </v>
          </cell>
          <cell r="E617" t="str">
            <v>VOICE, LIGHT, MOTION ACTIVATED OR ELECTRONIC DEVIC</v>
          </cell>
          <cell r="F617" t="str">
            <v>2116MM1037</v>
          </cell>
        </row>
        <row r="618">
          <cell r="A618" t="str">
            <v>1915(c) waiver</v>
          </cell>
          <cell r="C618" t="str">
            <v>HCS</v>
          </cell>
          <cell r="D618" t="str">
            <v xml:space="preserve">Adaptive Aids/DME </v>
          </cell>
          <cell r="E618" t="str">
            <v>VOICE, LIGHT, MOTION ACTIVATED OR ELECTRONIC DEVICE HARD WIRED IN THE INDIVIDUAL'S RESIDENCE</v>
          </cell>
          <cell r="F618" t="str">
            <v>2116M0798</v>
          </cell>
        </row>
        <row r="619">
          <cell r="A619" t="str">
            <v>1915(c) waiver</v>
          </cell>
          <cell r="C619" t="str">
            <v>HCS</v>
          </cell>
          <cell r="D619" t="str">
            <v xml:space="preserve">Adaptive Aids/DME </v>
          </cell>
          <cell r="E619" t="str">
            <v>VOICE, LIGHT, MOTION ACTIVATED OR ELECTRONIC DEVICE HARD WIRED IN THE INDIVIDUAL'S RESIDENCE</v>
          </cell>
          <cell r="F619" t="str">
            <v>2116BM0899</v>
          </cell>
        </row>
        <row r="620">
          <cell r="A620" t="str">
            <v>1915(c) waiver</v>
          </cell>
          <cell r="C620" t="str">
            <v>HCS</v>
          </cell>
          <cell r="D620" t="str">
            <v xml:space="preserve">Adaptive Aids/DME </v>
          </cell>
          <cell r="E620" t="str">
            <v>VOICE, LIGHT, SMOKE OR MOTION ACTIVATED DEVICE</v>
          </cell>
          <cell r="F620" t="str">
            <v>2115M0595</v>
          </cell>
        </row>
        <row r="621">
          <cell r="A621" t="str">
            <v>1915(c) waiver</v>
          </cell>
          <cell r="C621" t="str">
            <v>HCS</v>
          </cell>
          <cell r="D621" t="str">
            <v xml:space="preserve">Adaptive Aids/DME </v>
          </cell>
          <cell r="E621" t="str">
            <v>WATER FAUCET CONTROL ADAPTATION</v>
          </cell>
          <cell r="F621" t="str">
            <v>2116M0783</v>
          </cell>
        </row>
        <row r="622">
          <cell r="A622" t="str">
            <v>1915(c) waiver</v>
          </cell>
          <cell r="C622" t="str">
            <v>HCS</v>
          </cell>
          <cell r="D622" t="str">
            <v xml:space="preserve">Adaptive Aids/DME </v>
          </cell>
          <cell r="E622" t="str">
            <v>WATER FAUCET CONTROL ADAPTATION</v>
          </cell>
          <cell r="F622" t="str">
            <v>2116M0790</v>
          </cell>
        </row>
        <row r="623">
          <cell r="A623" t="str">
            <v>1915(c) waiver</v>
          </cell>
          <cell r="C623" t="str">
            <v>HCS</v>
          </cell>
          <cell r="D623" t="str">
            <v xml:space="preserve">Adaptive Aids/DME </v>
          </cell>
          <cell r="E623" t="str">
            <v>WATER FAUCET CONTROL ADAPTATION</v>
          </cell>
          <cell r="F623" t="str">
            <v>2116BM0884</v>
          </cell>
        </row>
        <row r="624">
          <cell r="A624" t="str">
            <v>1915(c) waiver</v>
          </cell>
          <cell r="C624" t="str">
            <v>HCS</v>
          </cell>
          <cell r="D624" t="str">
            <v xml:space="preserve">Adaptive Aids/DME </v>
          </cell>
          <cell r="E624" t="str">
            <v>WATER FAUCET CONTROL ADAPTATION</v>
          </cell>
          <cell r="F624" t="str">
            <v>2116BM0891</v>
          </cell>
        </row>
        <row r="625">
          <cell r="A625" t="str">
            <v>1915(c) waiver</v>
          </cell>
          <cell r="C625" t="str">
            <v>HCS</v>
          </cell>
          <cell r="D625" t="str">
            <v xml:space="preserve">Adaptive Aids/DME </v>
          </cell>
          <cell r="E625" t="str">
            <v xml:space="preserve">WATER FAUCET CONTROL ADAPTATION MAINT             </v>
          </cell>
          <cell r="F625" t="str">
            <v>2116MM1022</v>
          </cell>
        </row>
        <row r="626">
          <cell r="A626" t="str">
            <v>1915(c) waiver</v>
          </cell>
          <cell r="C626" t="str">
            <v>HCS</v>
          </cell>
          <cell r="D626" t="str">
            <v xml:space="preserve">Adaptive Aids/DME </v>
          </cell>
          <cell r="E626" t="str">
            <v xml:space="preserve">WATER FAUCET CONTROL ADAPTATION MAINT             </v>
          </cell>
          <cell r="F626" t="str">
            <v>2116MM1029</v>
          </cell>
        </row>
        <row r="627">
          <cell r="A627" t="str">
            <v>1915(c) waiver</v>
          </cell>
          <cell r="C627" t="str">
            <v>HCS</v>
          </cell>
          <cell r="D627" t="str">
            <v xml:space="preserve">Adaptive Aids/DME </v>
          </cell>
          <cell r="E627" t="str">
            <v xml:space="preserve">WHEELCHAIR RAMP OR LANDING MAINT                  </v>
          </cell>
          <cell r="F627" t="str">
            <v>2116MM1017</v>
          </cell>
        </row>
        <row r="628">
          <cell r="A628" t="str">
            <v>1915(c) waiver</v>
          </cell>
          <cell r="C628" t="str">
            <v>HCS</v>
          </cell>
          <cell r="D628" t="str">
            <v xml:space="preserve">Adaptive Aids/DME </v>
          </cell>
          <cell r="E628" t="str">
            <v>WHEELCHAIR RAMP OR LANDING THAT MEETS THE REQUIREMENTS IN §4.8 OF THE AMERICANS WITH DISABILITIES ACT ACCESSIBILITY GUIDELINES (ADAAG) FOUND AT WWW.ADA.GOV</v>
          </cell>
          <cell r="F628" t="str">
            <v>2116BM0879</v>
          </cell>
        </row>
        <row r="629">
          <cell r="A629" t="str">
            <v>1915(c) waiver</v>
          </cell>
          <cell r="C629" t="str">
            <v>HCS</v>
          </cell>
          <cell r="D629" t="str">
            <v xml:space="preserve">Adaptive Aids/DME </v>
          </cell>
          <cell r="E629" t="str">
            <v>WORKTABLE OR WORK SURFACE ADJUSTMENT</v>
          </cell>
          <cell r="F629" t="str">
            <v>2116M0792</v>
          </cell>
        </row>
        <row r="630">
          <cell r="A630" t="str">
            <v>1915(c) waiver</v>
          </cell>
          <cell r="C630" t="str">
            <v>HCS</v>
          </cell>
          <cell r="D630" t="str">
            <v xml:space="preserve">Adaptive Aids/DME </v>
          </cell>
          <cell r="E630" t="str">
            <v>WORKTABLE OR WORK SURFACE ADJUSTMENT</v>
          </cell>
          <cell r="F630" t="str">
            <v>2116BM0893</v>
          </cell>
        </row>
        <row r="631">
          <cell r="A631" t="str">
            <v>1915(c) waiver</v>
          </cell>
          <cell r="C631" t="str">
            <v>HCS</v>
          </cell>
          <cell r="D631" t="str">
            <v xml:space="preserve">Adaptive Aids/DME </v>
          </cell>
          <cell r="E631" t="str">
            <v xml:space="preserve">WORKTABLE OR WORK SURFACE ADJUSTMENT MAINT        </v>
          </cell>
          <cell r="F631" t="str">
            <v>2116MM1031</v>
          </cell>
        </row>
        <row r="632">
          <cell r="A632" t="str">
            <v>1915(c) waiver</v>
          </cell>
          <cell r="C632" t="str">
            <v>HCS</v>
          </cell>
          <cell r="D632" t="str">
            <v>Assessment or Evaluation</v>
          </cell>
          <cell r="E632" t="str">
            <v>TAS Preenrollment MHM Assessment LOC 1</v>
          </cell>
          <cell r="F632" t="str">
            <v>1216AM0379</v>
          </cell>
        </row>
        <row r="633">
          <cell r="A633" t="str">
            <v>1915(c) waiver</v>
          </cell>
          <cell r="C633" t="str">
            <v>HCS</v>
          </cell>
          <cell r="D633" t="str">
            <v>Assessment or Evaluation</v>
          </cell>
          <cell r="E633" t="str">
            <v>TAS Preenrollment MHM Assessment LOC 8</v>
          </cell>
          <cell r="F633" t="str">
            <v>1216AM0380</v>
          </cell>
        </row>
        <row r="634">
          <cell r="A634" t="str">
            <v>1915(c) waiver</v>
          </cell>
          <cell r="C634" t="str">
            <v>HCS</v>
          </cell>
          <cell r="D634" t="str">
            <v>Assessment or Evaluation</v>
          </cell>
          <cell r="E634" t="str">
            <v>TAS Preenrollment MHM LOC 1</v>
          </cell>
          <cell r="F634" t="str">
            <v>1216BM0381</v>
          </cell>
        </row>
        <row r="635">
          <cell r="A635" t="str">
            <v>1915(c) waiver</v>
          </cell>
          <cell r="C635" t="str">
            <v>HCS</v>
          </cell>
          <cell r="D635" t="str">
            <v>Assessment or Evaluation</v>
          </cell>
          <cell r="E635" t="str">
            <v>TAS Preenrollment MHM LOC 8</v>
          </cell>
          <cell r="F635" t="str">
            <v>1216BM0382</v>
          </cell>
        </row>
        <row r="636">
          <cell r="A636" t="str">
            <v>1915(c) waiver</v>
          </cell>
          <cell r="C636" t="str">
            <v>HCS</v>
          </cell>
          <cell r="D636" t="str">
            <v>Audiology</v>
          </cell>
          <cell r="E636" t="str">
            <v>AUDIOLOGY LOC 1 (AO)</v>
          </cell>
          <cell r="F636" t="str">
            <v>2135M0103</v>
          </cell>
        </row>
        <row r="637">
          <cell r="A637" t="str">
            <v>1915(c) waiver</v>
          </cell>
          <cell r="C637" t="str">
            <v>HCS</v>
          </cell>
          <cell r="D637" t="str">
            <v>Audiology</v>
          </cell>
          <cell r="E637" t="str">
            <v>Audiology LOC 1 (AO)</v>
          </cell>
          <cell r="F637" t="str">
            <v>1235M0103</v>
          </cell>
        </row>
        <row r="638">
          <cell r="A638" t="str">
            <v>1915(c) waiver</v>
          </cell>
          <cell r="C638" t="str">
            <v>HCS</v>
          </cell>
          <cell r="D638" t="str">
            <v>Audiology</v>
          </cell>
          <cell r="E638" t="str">
            <v>AUDIOLOGY LOC 8 (AO)</v>
          </cell>
          <cell r="F638" t="str">
            <v>2135M0104</v>
          </cell>
        </row>
        <row r="639">
          <cell r="A639" t="str">
            <v>1915(c) waiver</v>
          </cell>
          <cell r="C639" t="str">
            <v>HCS</v>
          </cell>
          <cell r="D639" t="str">
            <v>Audiology</v>
          </cell>
          <cell r="E639" t="str">
            <v>Audiology LOC 8 (AO)</v>
          </cell>
          <cell r="F639" t="str">
            <v>1235M0104</v>
          </cell>
        </row>
        <row r="640">
          <cell r="A640" t="str">
            <v>1915(c) waiver</v>
          </cell>
          <cell r="C640" t="str">
            <v>HCS</v>
          </cell>
          <cell r="D640" t="str">
            <v>Behavioral</v>
          </cell>
          <cell r="E640" t="str">
            <v>BEHAVIORAL SUPPORT LOC 1 (AO)</v>
          </cell>
          <cell r="F640" t="str">
            <v>2143AM0133</v>
          </cell>
        </row>
        <row r="641">
          <cell r="A641" t="str">
            <v>1915(c) waiver</v>
          </cell>
          <cell r="C641" t="str">
            <v>HCS</v>
          </cell>
          <cell r="D641" t="str">
            <v>Behavioral</v>
          </cell>
          <cell r="E641" t="str">
            <v>Behavioral Support LOC 1 (AO)</v>
          </cell>
          <cell r="F641" t="str">
            <v>1214M0133</v>
          </cell>
        </row>
        <row r="642">
          <cell r="A642" t="str">
            <v>1915(c) waiver</v>
          </cell>
          <cell r="C642" t="str">
            <v>HCS</v>
          </cell>
          <cell r="D642" t="str">
            <v>Behavioral</v>
          </cell>
          <cell r="E642" t="str">
            <v>BEHAVIORAL SUPPORT LOC 8 (AO)</v>
          </cell>
          <cell r="F642" t="str">
            <v>2143AM0134</v>
          </cell>
        </row>
        <row r="643">
          <cell r="A643" t="str">
            <v>1915(c) waiver</v>
          </cell>
          <cell r="C643" t="str">
            <v>HCS</v>
          </cell>
          <cell r="D643" t="str">
            <v>Behavioral</v>
          </cell>
          <cell r="E643" t="str">
            <v>Behavioral Support LOC 8 (AO)</v>
          </cell>
          <cell r="F643" t="str">
            <v>1214M0134</v>
          </cell>
        </row>
        <row r="644">
          <cell r="A644" t="str">
            <v>1915(c) waiver</v>
          </cell>
          <cell r="C644" t="str">
            <v>HCS</v>
          </cell>
          <cell r="D644" t="str">
            <v>Behavioral</v>
          </cell>
          <cell r="E644" t="str">
            <v>COMPREHENSIVE REHAB THERAPY LOC 1 (AO)</v>
          </cell>
          <cell r="F644" t="str">
            <v>1261M0328</v>
          </cell>
        </row>
        <row r="645">
          <cell r="A645" t="str">
            <v>1915(c) waiver</v>
          </cell>
          <cell r="C645" t="str">
            <v>HCS</v>
          </cell>
          <cell r="D645" t="str">
            <v>Behavioral</v>
          </cell>
          <cell r="E645" t="str">
            <v>COMPREHENSIVE REHAB THERAPY LOC 1 (CDS)</v>
          </cell>
          <cell r="F645" t="str">
            <v>1261VM0330</v>
          </cell>
        </row>
        <row r="646">
          <cell r="A646" t="str">
            <v>1915(c) waiver</v>
          </cell>
          <cell r="C646" t="str">
            <v>HCS</v>
          </cell>
          <cell r="D646" t="str">
            <v>Behavioral</v>
          </cell>
          <cell r="E646" t="str">
            <v>COMPREHENSIVE REHAB THERAPY LOC 8 (AO)</v>
          </cell>
          <cell r="F646" t="str">
            <v>1261M0329</v>
          </cell>
        </row>
        <row r="647">
          <cell r="A647" t="str">
            <v>1915(c) waiver</v>
          </cell>
          <cell r="C647" t="str">
            <v>HCS</v>
          </cell>
          <cell r="D647" t="str">
            <v>Behavioral</v>
          </cell>
          <cell r="E647" t="str">
            <v>COMPREHENSIVE REHAB THERAPY LOC 8 (CDS)</v>
          </cell>
          <cell r="F647" t="str">
            <v>1261VM0331</v>
          </cell>
        </row>
        <row r="648">
          <cell r="A648" t="str">
            <v>1915(c) waiver</v>
          </cell>
          <cell r="C648" t="str">
            <v>HCS</v>
          </cell>
          <cell r="D648" t="str">
            <v>CRT</v>
          </cell>
          <cell r="E648" t="str">
            <v>COGNITIVE REHABILITATION THERAPY LOC 1</v>
          </cell>
          <cell r="F648" t="str">
            <v>2161M0328</v>
          </cell>
        </row>
        <row r="649">
          <cell r="A649" t="str">
            <v>1915(c) waiver</v>
          </cell>
          <cell r="C649" t="str">
            <v>HCS</v>
          </cell>
          <cell r="D649" t="str">
            <v>CRT</v>
          </cell>
          <cell r="E649" t="str">
            <v>COGNITIVE REHABILITATION THERAPY LOC 1 (CDS)</v>
          </cell>
          <cell r="F649" t="str">
            <v>2161VM0330</v>
          </cell>
        </row>
        <row r="650">
          <cell r="A650" t="str">
            <v>1915(c) waiver</v>
          </cell>
          <cell r="C650" t="str">
            <v>HCS</v>
          </cell>
          <cell r="D650" t="str">
            <v>CRT</v>
          </cell>
          <cell r="E650" t="str">
            <v>COGNITIVE REHABILITATION THERAPY- LOC 8</v>
          </cell>
          <cell r="F650" t="str">
            <v>2161M0329</v>
          </cell>
        </row>
        <row r="651">
          <cell r="A651" t="str">
            <v>1915(c) waiver</v>
          </cell>
          <cell r="C651" t="str">
            <v>HCS</v>
          </cell>
          <cell r="D651" t="str">
            <v>CRT</v>
          </cell>
          <cell r="E651" t="str">
            <v>COGNITIVE REHABILITATION THERAPY- LOC 8 (CDS)</v>
          </cell>
          <cell r="F651" t="str">
            <v>2161VM0331</v>
          </cell>
        </row>
        <row r="652">
          <cell r="A652" t="str">
            <v>1915(c) waiver</v>
          </cell>
          <cell r="C652" t="str">
            <v>HCS</v>
          </cell>
          <cell r="D652" t="str">
            <v>Day Habilitation</v>
          </cell>
          <cell r="E652" t="str">
            <v>Day habilitation LON 1</v>
          </cell>
          <cell r="F652" t="str">
            <v>1210CM0115</v>
          </cell>
        </row>
        <row r="653">
          <cell r="A653" t="str">
            <v>1915(c) waiver</v>
          </cell>
          <cell r="C653" t="str">
            <v>HCS</v>
          </cell>
          <cell r="D653" t="str">
            <v>Day Habilitation</v>
          </cell>
          <cell r="E653" t="str">
            <v>DAY HABILITATION LON 1 IN-HOME</v>
          </cell>
          <cell r="F653" t="str">
            <v>2110CM0115</v>
          </cell>
        </row>
        <row r="654">
          <cell r="A654" t="str">
            <v>1915(c) waiver</v>
          </cell>
          <cell r="C654" t="str">
            <v>HCS</v>
          </cell>
          <cell r="D654" t="str">
            <v>Day Habilitation</v>
          </cell>
          <cell r="E654" t="str">
            <v>DAY HABILITATION LON 1 OUT-OF-HOME</v>
          </cell>
          <cell r="F654" t="str">
            <v>2110CM0421</v>
          </cell>
        </row>
        <row r="655">
          <cell r="A655" t="str">
            <v>1915(c) waiver</v>
          </cell>
          <cell r="C655" t="str">
            <v>HCS</v>
          </cell>
          <cell r="D655" t="str">
            <v>Day Habilitation</v>
          </cell>
          <cell r="E655" t="str">
            <v>DAY HABILITATION LON 1 OUT-OF-HOME W/ COVID ADDON</v>
          </cell>
          <cell r="F655" t="str">
            <v>2110CM0944</v>
          </cell>
        </row>
        <row r="656">
          <cell r="A656" t="str">
            <v>1915(c) waiver</v>
          </cell>
          <cell r="C656" t="str">
            <v>HCS</v>
          </cell>
          <cell r="D656" t="str">
            <v>Day Habilitation</v>
          </cell>
          <cell r="E656" t="str">
            <v>Day habilitation LON 5</v>
          </cell>
          <cell r="F656" t="str">
            <v>1210CM0116</v>
          </cell>
        </row>
        <row r="657">
          <cell r="A657" t="str">
            <v>1915(c) waiver</v>
          </cell>
          <cell r="C657" t="str">
            <v>HCS</v>
          </cell>
          <cell r="D657" t="str">
            <v>Day Habilitation</v>
          </cell>
          <cell r="E657" t="str">
            <v>DAY HABILITATION LON 5 IN-HOME</v>
          </cell>
          <cell r="F657" t="str">
            <v>2110CM0116</v>
          </cell>
        </row>
        <row r="658">
          <cell r="A658" t="str">
            <v>1915(c) waiver</v>
          </cell>
          <cell r="C658" t="str">
            <v>HCS</v>
          </cell>
          <cell r="D658" t="str">
            <v>Day Habilitation</v>
          </cell>
          <cell r="E658" t="str">
            <v>DAY HABILITATION LON 5 OUT-OF-HOME</v>
          </cell>
          <cell r="F658" t="str">
            <v>2110CM0422</v>
          </cell>
        </row>
        <row r="659">
          <cell r="A659" t="str">
            <v>1915(c) waiver</v>
          </cell>
          <cell r="C659" t="str">
            <v>HCS</v>
          </cell>
          <cell r="D659" t="str">
            <v>Day Habilitation</v>
          </cell>
          <cell r="E659" t="str">
            <v>DAY HABILITATION LON 5 OUT-OF-HOME W/ COVID ADDON</v>
          </cell>
          <cell r="F659" t="str">
            <v>2110CM0945</v>
          </cell>
        </row>
        <row r="660">
          <cell r="A660" t="str">
            <v>1915(c) waiver</v>
          </cell>
          <cell r="C660" t="str">
            <v>HCS</v>
          </cell>
          <cell r="D660" t="str">
            <v>Day Habilitation</v>
          </cell>
          <cell r="E660" t="str">
            <v>Day habilitation LON 6</v>
          </cell>
          <cell r="F660" t="str">
            <v>1210CM0117</v>
          </cell>
        </row>
        <row r="661">
          <cell r="A661" t="str">
            <v>1915(c) waiver</v>
          </cell>
          <cell r="C661" t="str">
            <v>HCS</v>
          </cell>
          <cell r="D661" t="str">
            <v>Day Habilitation</v>
          </cell>
          <cell r="E661" t="str">
            <v>DAY HABILITATION LON 6 IN-HOME</v>
          </cell>
          <cell r="F661" t="str">
            <v>2110CM0117</v>
          </cell>
        </row>
        <row r="662">
          <cell r="A662" t="str">
            <v>1915(c) waiver</v>
          </cell>
          <cell r="C662" t="str">
            <v>HCS</v>
          </cell>
          <cell r="D662" t="str">
            <v>Day Habilitation</v>
          </cell>
          <cell r="E662" t="str">
            <v>DAY HABILITATION LON 6 OUT-OF-HOME</v>
          </cell>
          <cell r="F662" t="str">
            <v>2110CM0423</v>
          </cell>
        </row>
        <row r="663">
          <cell r="A663" t="str">
            <v>1915(c) waiver</v>
          </cell>
          <cell r="C663" t="str">
            <v>HCS</v>
          </cell>
          <cell r="D663" t="str">
            <v>Day Habilitation</v>
          </cell>
          <cell r="E663" t="str">
            <v>DAY HABILITATION LON 6 OUT-OF-HOME W/ COVID ADDON</v>
          </cell>
          <cell r="F663" t="str">
            <v>2110CM0946</v>
          </cell>
        </row>
        <row r="664">
          <cell r="A664" t="str">
            <v>1915(c) waiver</v>
          </cell>
          <cell r="C664" t="str">
            <v>HCS</v>
          </cell>
          <cell r="D664" t="str">
            <v>Day Habilitation</v>
          </cell>
          <cell r="E664" t="str">
            <v>Day habilitation LON 8</v>
          </cell>
          <cell r="F664" t="str">
            <v>1210CM0118</v>
          </cell>
        </row>
        <row r="665">
          <cell r="A665" t="str">
            <v>1915(c) waiver</v>
          </cell>
          <cell r="C665" t="str">
            <v>HCS</v>
          </cell>
          <cell r="D665" t="str">
            <v>Day Habilitation</v>
          </cell>
          <cell r="E665" t="str">
            <v>DAY HABILITATION LON 8 IN-HOME</v>
          </cell>
          <cell r="F665" t="str">
            <v>2110CM0118</v>
          </cell>
        </row>
        <row r="666">
          <cell r="A666" t="str">
            <v>1915(c) waiver</v>
          </cell>
          <cell r="C666" t="str">
            <v>HCS</v>
          </cell>
          <cell r="D666" t="str">
            <v>Day Habilitation</v>
          </cell>
          <cell r="E666" t="str">
            <v>DAY HABILITATION LON 8 OUT-OF-HOME</v>
          </cell>
          <cell r="F666" t="str">
            <v>2110CM0424</v>
          </cell>
        </row>
        <row r="667">
          <cell r="A667" t="str">
            <v>1915(c) waiver</v>
          </cell>
          <cell r="C667" t="str">
            <v>HCS</v>
          </cell>
          <cell r="D667" t="str">
            <v>Day Habilitation</v>
          </cell>
          <cell r="E667" t="str">
            <v>DAY HABILITATION LON 8 OUT-OF-HOME W/ COVID ADDON</v>
          </cell>
          <cell r="F667" t="str">
            <v>2110CM0947</v>
          </cell>
        </row>
        <row r="668">
          <cell r="A668" t="str">
            <v>1915(c) waiver</v>
          </cell>
          <cell r="C668" t="str">
            <v>HCS</v>
          </cell>
          <cell r="D668" t="str">
            <v>Day Habilitation</v>
          </cell>
          <cell r="E668" t="str">
            <v>Day habilitation LON 9</v>
          </cell>
          <cell r="F668" t="str">
            <v>1210CM0119</v>
          </cell>
        </row>
        <row r="669">
          <cell r="A669" t="str">
            <v>1915(c) waiver</v>
          </cell>
          <cell r="C669" t="str">
            <v>HCS</v>
          </cell>
          <cell r="D669" t="str">
            <v>Day Habilitation</v>
          </cell>
          <cell r="E669" t="str">
            <v>DAY HABILITATION LON 9 IN-HOME</v>
          </cell>
          <cell r="F669" t="str">
            <v>2110CM0119</v>
          </cell>
        </row>
        <row r="670">
          <cell r="A670" t="str">
            <v>1915(c) waiver</v>
          </cell>
          <cell r="C670" t="str">
            <v>HCS</v>
          </cell>
          <cell r="D670" t="str">
            <v>Day Habilitation</v>
          </cell>
          <cell r="E670" t="str">
            <v>DAY HABILITATION LON 9 OUT-OF-HOME</v>
          </cell>
          <cell r="F670" t="str">
            <v>2110CM0425</v>
          </cell>
        </row>
        <row r="671">
          <cell r="A671" t="str">
            <v>1915(c) waiver</v>
          </cell>
          <cell r="C671" t="str">
            <v>HCS</v>
          </cell>
          <cell r="D671" t="str">
            <v>Day Habilitation</v>
          </cell>
          <cell r="E671" t="str">
            <v>DAY HABILITATION LON 9 OUT-OF-HOME W/ COVID ADDON</v>
          </cell>
          <cell r="F671" t="str">
            <v>2110CM0948</v>
          </cell>
        </row>
        <row r="672">
          <cell r="A672" t="str">
            <v>1915(c) waiver</v>
          </cell>
          <cell r="C672" t="str">
            <v>HCS</v>
          </cell>
          <cell r="D672" t="str">
            <v>Dental</v>
          </cell>
          <cell r="E672" t="str">
            <v>Dental</v>
          </cell>
          <cell r="F672" t="str">
            <v>125AM0113</v>
          </cell>
        </row>
        <row r="673">
          <cell r="A673" t="str">
            <v>1915(c) waiver</v>
          </cell>
          <cell r="C673" t="str">
            <v>HCS</v>
          </cell>
          <cell r="D673" t="str">
            <v>Dental</v>
          </cell>
          <cell r="E673" t="str">
            <v>Dental</v>
          </cell>
          <cell r="F673" t="str">
            <v>125AM0114</v>
          </cell>
        </row>
        <row r="674">
          <cell r="A674" t="str">
            <v>1915(c) waiver</v>
          </cell>
          <cell r="C674" t="str">
            <v>HCS</v>
          </cell>
          <cell r="D674" t="str">
            <v>Dental</v>
          </cell>
          <cell r="E674" t="str">
            <v xml:space="preserve">DENTAL SEDATION/GENERAL ANESTHESIA LOC 1 </v>
          </cell>
          <cell r="F674" t="str">
            <v>215AM0568</v>
          </cell>
        </row>
        <row r="675">
          <cell r="A675" t="str">
            <v>1915(c) waiver</v>
          </cell>
          <cell r="C675" t="str">
            <v>HCS</v>
          </cell>
          <cell r="D675" t="str">
            <v>Dental</v>
          </cell>
          <cell r="E675" t="str">
            <v xml:space="preserve">DENTAL SEDATION/GENERAL ANESTHESIA LOC 8 </v>
          </cell>
          <cell r="F675" t="str">
            <v>215AM0569</v>
          </cell>
        </row>
        <row r="676">
          <cell r="A676" t="str">
            <v>1915(c) waiver</v>
          </cell>
          <cell r="C676" t="str">
            <v>HCS</v>
          </cell>
          <cell r="D676" t="str">
            <v>Dental</v>
          </cell>
          <cell r="E676" t="str">
            <v xml:space="preserve">DENTAL SERVICE LOC 1 </v>
          </cell>
          <cell r="F676" t="str">
            <v>215AM0113</v>
          </cell>
        </row>
        <row r="677">
          <cell r="A677" t="str">
            <v>1915(c) waiver</v>
          </cell>
          <cell r="C677" t="str">
            <v>HCS</v>
          </cell>
          <cell r="D677" t="str">
            <v>Dental</v>
          </cell>
          <cell r="E677" t="str">
            <v xml:space="preserve">DENTAL SERVICE LOC 8 </v>
          </cell>
          <cell r="F677" t="str">
            <v>215AM0114</v>
          </cell>
        </row>
        <row r="678">
          <cell r="A678" t="str">
            <v>1915(c) waiver</v>
          </cell>
          <cell r="C678" t="str">
            <v>HCS</v>
          </cell>
          <cell r="D678" t="str">
            <v>Dietary</v>
          </cell>
          <cell r="E678" t="str">
            <v>DIETARY LOC 1</v>
          </cell>
          <cell r="F678" t="str">
            <v>2134M0120</v>
          </cell>
        </row>
        <row r="679">
          <cell r="A679" t="str">
            <v>1915(c) waiver</v>
          </cell>
          <cell r="C679" t="str">
            <v>HCS</v>
          </cell>
          <cell r="D679" t="str">
            <v>Dietary</v>
          </cell>
          <cell r="E679" t="str">
            <v>Dietary LOC 1</v>
          </cell>
          <cell r="F679" t="str">
            <v>1234M0120</v>
          </cell>
        </row>
        <row r="680">
          <cell r="A680" t="str">
            <v>1915(c) waiver</v>
          </cell>
          <cell r="C680" t="str">
            <v>HCS</v>
          </cell>
          <cell r="D680" t="str">
            <v>Dietary</v>
          </cell>
          <cell r="E680" t="str">
            <v>DIETARY LOC 8</v>
          </cell>
          <cell r="F680" t="str">
            <v>2134M0121</v>
          </cell>
        </row>
        <row r="681">
          <cell r="A681" t="str">
            <v>1915(c) waiver</v>
          </cell>
          <cell r="C681" t="str">
            <v>HCS</v>
          </cell>
          <cell r="D681" t="str">
            <v>Dietary</v>
          </cell>
          <cell r="E681" t="str">
            <v>Dietary LOC 8</v>
          </cell>
          <cell r="F681" t="str">
            <v>1234M0121</v>
          </cell>
        </row>
        <row r="682">
          <cell r="A682" t="str">
            <v>1915(c) waiver</v>
          </cell>
          <cell r="C682" t="str">
            <v>HCS</v>
          </cell>
          <cell r="D682" t="str">
            <v>Employment Services</v>
          </cell>
          <cell r="E682" t="str">
            <v>EMPLOYMENT ASSISTANCE (CDS) LOC 1</v>
          </cell>
          <cell r="F682" t="str">
            <v>1254VM0348</v>
          </cell>
        </row>
        <row r="683">
          <cell r="A683" t="str">
            <v>1915(c) waiver</v>
          </cell>
          <cell r="C683" t="str">
            <v>HCS</v>
          </cell>
          <cell r="D683" t="str">
            <v>Employment Services</v>
          </cell>
          <cell r="E683" t="str">
            <v xml:space="preserve">EMPLOYMENT ASSISTANCE (CDS) LOC 1 </v>
          </cell>
          <cell r="F683" t="str">
            <v>2154VM0348</v>
          </cell>
        </row>
        <row r="684">
          <cell r="A684" t="str">
            <v>1915(c) waiver</v>
          </cell>
          <cell r="C684" t="str">
            <v>HCS</v>
          </cell>
          <cell r="D684" t="str">
            <v>Employment Services</v>
          </cell>
          <cell r="E684" t="str">
            <v>EMPLOYMENT ASSISTANCE (CDS) LOC 8</v>
          </cell>
          <cell r="F684" t="str">
            <v>1254VM0333</v>
          </cell>
        </row>
        <row r="685">
          <cell r="A685" t="str">
            <v>1915(c) waiver</v>
          </cell>
          <cell r="C685" t="str">
            <v>HCS</v>
          </cell>
          <cell r="D685" t="str">
            <v>Employment Services</v>
          </cell>
          <cell r="E685" t="str">
            <v xml:space="preserve">EMPLOYMENT ASSISTANCE (CDS) LOC 8 </v>
          </cell>
          <cell r="F685" t="str">
            <v>2154VM0333</v>
          </cell>
        </row>
        <row r="686">
          <cell r="A686" t="str">
            <v>1915(c) waiver</v>
          </cell>
          <cell r="C686" t="str">
            <v>HCS</v>
          </cell>
          <cell r="D686" t="str">
            <v>Employment Services</v>
          </cell>
          <cell r="E686" t="str">
            <v>EMPLOYMENT ASSISTANCE LOC 1 (AO)</v>
          </cell>
          <cell r="F686" t="str">
            <v>2154M0347</v>
          </cell>
        </row>
        <row r="687">
          <cell r="A687" t="str">
            <v>1915(c) waiver</v>
          </cell>
          <cell r="C687" t="str">
            <v>HCS</v>
          </cell>
          <cell r="D687" t="str">
            <v>Employment Services</v>
          </cell>
          <cell r="E687" t="str">
            <v>EMPLOYMENT ASSISTANCE LOC 1 (AO)</v>
          </cell>
          <cell r="F687" t="str">
            <v>1254M0347</v>
          </cell>
        </row>
        <row r="688">
          <cell r="A688" t="str">
            <v>1915(c) waiver</v>
          </cell>
          <cell r="C688" t="str">
            <v>HCS</v>
          </cell>
          <cell r="D688" t="str">
            <v>Employment Services</v>
          </cell>
          <cell r="E688" t="str">
            <v>EMPLOYMENT ASSISTANCE LOC 8 (AO)</v>
          </cell>
          <cell r="F688" t="str">
            <v>2154M0332</v>
          </cell>
        </row>
        <row r="689">
          <cell r="A689" t="str">
            <v>1915(c) waiver</v>
          </cell>
          <cell r="C689" t="str">
            <v>HCS</v>
          </cell>
          <cell r="D689" t="str">
            <v>Employment Services</v>
          </cell>
          <cell r="E689" t="str">
            <v>EMPLOYMENT ASSISTANCE LOC 8 (AO)</v>
          </cell>
          <cell r="F689" t="str">
            <v>1254M0332</v>
          </cell>
        </row>
        <row r="690">
          <cell r="A690" t="str">
            <v>1915(c) waiver</v>
          </cell>
          <cell r="C690" t="str">
            <v>HCS</v>
          </cell>
          <cell r="D690" t="str">
            <v>Employment Services</v>
          </cell>
          <cell r="E690" t="str">
            <v>SUPPORTED EMPLOYMENT (CDS) LOC 1</v>
          </cell>
          <cell r="F690" t="str">
            <v>2137VM0349</v>
          </cell>
        </row>
        <row r="691">
          <cell r="A691" t="str">
            <v>1915(c) waiver</v>
          </cell>
          <cell r="C691" t="str">
            <v>HCS</v>
          </cell>
          <cell r="D691" t="str">
            <v>Employment Services</v>
          </cell>
          <cell r="E691" t="str">
            <v>SUPPORTED EMPLOYMENT (CDS) LOC 1</v>
          </cell>
          <cell r="F691" t="str">
            <v>1237VM0349</v>
          </cell>
        </row>
        <row r="692">
          <cell r="A692" t="str">
            <v>1915(c) waiver</v>
          </cell>
          <cell r="C692" t="str">
            <v>HCS</v>
          </cell>
          <cell r="D692" t="str">
            <v>Employment Services</v>
          </cell>
          <cell r="E692" t="str">
            <v>SUPPORTED EMPLOYMENT (CDS) LOC 8</v>
          </cell>
          <cell r="F692" t="str">
            <v>2137VM0334</v>
          </cell>
        </row>
        <row r="693">
          <cell r="A693" t="str">
            <v>1915(c) waiver</v>
          </cell>
          <cell r="C693" t="str">
            <v>HCS</v>
          </cell>
          <cell r="D693" t="str">
            <v>Employment Services</v>
          </cell>
          <cell r="E693" t="str">
            <v>SUPPORTED EMPLOYMENT (CDS) LOC 8</v>
          </cell>
          <cell r="F693" t="str">
            <v>1237VM0334</v>
          </cell>
        </row>
        <row r="694">
          <cell r="A694" t="str">
            <v>1915(c) waiver</v>
          </cell>
          <cell r="C694" t="str">
            <v>HCS</v>
          </cell>
          <cell r="D694" t="str">
            <v>Employment Services</v>
          </cell>
          <cell r="E694" t="str">
            <v>SUPPORTED EMPLOYMENT LOC 1 (AO)</v>
          </cell>
          <cell r="F694" t="str">
            <v>2137M0154</v>
          </cell>
        </row>
        <row r="695">
          <cell r="A695" t="str">
            <v>1915(c) waiver</v>
          </cell>
          <cell r="C695" t="str">
            <v>HCS</v>
          </cell>
          <cell r="D695" t="str">
            <v>Employment Services</v>
          </cell>
          <cell r="E695" t="str">
            <v>Supported Employment LOC 1 (AO)</v>
          </cell>
          <cell r="F695" t="str">
            <v>1237M0154</v>
          </cell>
        </row>
        <row r="696">
          <cell r="A696" t="str">
            <v>1915(c) waiver</v>
          </cell>
          <cell r="C696" t="str">
            <v>HCS</v>
          </cell>
          <cell r="D696" t="str">
            <v>Employment Services</v>
          </cell>
          <cell r="E696" t="str">
            <v>SUPPORTED EMPLOYMENT LOC 8 (AO)</v>
          </cell>
          <cell r="F696" t="str">
            <v>2137M0155</v>
          </cell>
        </row>
        <row r="697">
          <cell r="A697" t="str">
            <v>1915(c) waiver</v>
          </cell>
          <cell r="C697" t="str">
            <v>HCS</v>
          </cell>
          <cell r="D697" t="str">
            <v>Employment Services</v>
          </cell>
          <cell r="E697" t="str">
            <v>Supported Employment LOC 8 (AO)</v>
          </cell>
          <cell r="F697" t="str">
            <v>1237M0155</v>
          </cell>
        </row>
        <row r="698">
          <cell r="A698" t="str">
            <v>State Plan (Title XIX)</v>
          </cell>
          <cell r="C698" t="str">
            <v>HCS</v>
          </cell>
          <cell r="D698" t="str">
            <v>ERS</v>
          </cell>
          <cell r="E698" t="str">
            <v>CFC ERS ONGOING MONTHLY LOC 1</v>
          </cell>
          <cell r="F698" t="str">
            <v>2120CFCM0358</v>
          </cell>
          <cell r="P698" t="str">
            <v>CFC</v>
          </cell>
        </row>
        <row r="699">
          <cell r="A699" t="str">
            <v>State Plan (Title XIX)</v>
          </cell>
          <cell r="C699" t="str">
            <v>HCS</v>
          </cell>
          <cell r="D699" t="str">
            <v>ERS</v>
          </cell>
          <cell r="E699" t="str">
            <v>CFC ERS Ongoing Monthly LOC 1</v>
          </cell>
          <cell r="F699" t="str">
            <v>1220CFCM0358</v>
          </cell>
          <cell r="P699" t="str">
            <v>CFC</v>
          </cell>
        </row>
        <row r="700">
          <cell r="A700" t="str">
            <v>State Plan (Title XIX)</v>
          </cell>
          <cell r="C700" t="str">
            <v>HCS</v>
          </cell>
          <cell r="D700" t="str">
            <v>ERS</v>
          </cell>
          <cell r="E700" t="str">
            <v>CFC ERS ONGOING MONTHLY LOC 8</v>
          </cell>
          <cell r="F700" t="str">
            <v>2120CFCM0370</v>
          </cell>
          <cell r="P700" t="str">
            <v>CFC</v>
          </cell>
        </row>
        <row r="701">
          <cell r="A701" t="str">
            <v>State Plan (Title XIX)</v>
          </cell>
          <cell r="C701" t="str">
            <v>HCS</v>
          </cell>
          <cell r="D701" t="str">
            <v>ERS</v>
          </cell>
          <cell r="E701" t="str">
            <v>CFC ERS Ongoing Monthly LOC 8</v>
          </cell>
          <cell r="F701" t="str">
            <v>1220CFCM0370</v>
          </cell>
          <cell r="P701" t="str">
            <v>CFC</v>
          </cell>
        </row>
        <row r="702">
          <cell r="A702" t="str">
            <v>State Plan (Title XIX)</v>
          </cell>
          <cell r="C702" t="str">
            <v>HCS</v>
          </cell>
          <cell r="D702" t="str">
            <v>FMS</v>
          </cell>
          <cell r="E702" t="str">
            <v>CFC FINANCIAL MANAGEMENT SERVICES LOC 1 (CDS)</v>
          </cell>
          <cell r="F702" t="str">
            <v>2163CFVM0359</v>
          </cell>
          <cell r="P702" t="str">
            <v>CFC</v>
          </cell>
        </row>
        <row r="703">
          <cell r="A703" t="str">
            <v>State Plan (Title XIX)</v>
          </cell>
          <cell r="C703" t="str">
            <v>HCS</v>
          </cell>
          <cell r="D703" t="str">
            <v>FMS</v>
          </cell>
          <cell r="E703" t="str">
            <v>CFC Financial Management Services LOC 1 (CDS)</v>
          </cell>
          <cell r="F703" t="str">
            <v>1263CFVM0359</v>
          </cell>
          <cell r="P703" t="str">
            <v>CFC</v>
          </cell>
        </row>
        <row r="704">
          <cell r="A704" t="str">
            <v>State Plan (Title XIX)</v>
          </cell>
          <cell r="C704" t="str">
            <v>HCS</v>
          </cell>
          <cell r="D704" t="str">
            <v>FMS</v>
          </cell>
          <cell r="E704" t="str">
            <v>CFC FINANCIAL MANAGEMENT SERVICES LOC 8 (CDS)</v>
          </cell>
          <cell r="F704" t="str">
            <v>2163CFVM0371</v>
          </cell>
          <cell r="P704" t="str">
            <v>CFC</v>
          </cell>
        </row>
        <row r="705">
          <cell r="A705" t="str">
            <v>State Plan (Title XIX)</v>
          </cell>
          <cell r="C705" t="str">
            <v>HCS</v>
          </cell>
          <cell r="D705" t="str">
            <v>FMS</v>
          </cell>
          <cell r="E705" t="str">
            <v>CFC Financial Management Services LOC 8 (CDS)</v>
          </cell>
          <cell r="F705" t="str">
            <v>1263CFVM0371</v>
          </cell>
          <cell r="P705" t="str">
            <v>CFC</v>
          </cell>
        </row>
        <row r="706">
          <cell r="A706" t="str">
            <v>1915(c) waiver</v>
          </cell>
          <cell r="C706" t="str">
            <v>HCS</v>
          </cell>
          <cell r="D706" t="str">
            <v>FMS</v>
          </cell>
          <cell r="E706" t="str">
            <v>Financial Management Monthly Fee (CDS)</v>
          </cell>
          <cell r="F706" t="str">
            <v>1263VM0111</v>
          </cell>
        </row>
        <row r="707">
          <cell r="A707" t="str">
            <v>1915(c) waiver</v>
          </cell>
          <cell r="C707" t="str">
            <v>HCS</v>
          </cell>
          <cell r="D707" t="str">
            <v>FMS</v>
          </cell>
          <cell r="E707" t="str">
            <v>Financial Management Monthly Fee (CDS)</v>
          </cell>
          <cell r="F707" t="str">
            <v>1263VM0112</v>
          </cell>
        </row>
        <row r="708">
          <cell r="A708" t="str">
            <v>1915(c) waiver</v>
          </cell>
          <cell r="C708" t="str">
            <v>HCS</v>
          </cell>
          <cell r="D708" t="str">
            <v>FMS</v>
          </cell>
          <cell r="E708" t="str">
            <v>FINANCIAL MANAGEMENT SYSTEM MONTHLY FEE (CDS)</v>
          </cell>
          <cell r="F708" t="str">
            <v>2163VM0111</v>
          </cell>
        </row>
        <row r="709">
          <cell r="A709" t="str">
            <v>1915(c) waiver</v>
          </cell>
          <cell r="C709" t="str">
            <v>HCS</v>
          </cell>
          <cell r="D709" t="str">
            <v>FMS</v>
          </cell>
          <cell r="E709" t="str">
            <v>FINANCIAL MANAGEMENT SYSTEM MONTHLY FEE (CDS)</v>
          </cell>
          <cell r="F709" t="str">
            <v>2163VM0112</v>
          </cell>
        </row>
        <row r="710">
          <cell r="A710" t="str">
            <v>1915(c) waiver</v>
          </cell>
          <cell r="C710" t="str">
            <v>HCS</v>
          </cell>
          <cell r="D710" t="str">
            <v>Home Modifications</v>
          </cell>
          <cell r="E710" t="str">
            <v>BATHTUB ADAPTATION</v>
          </cell>
          <cell r="F710" t="str">
            <v>2116M0781</v>
          </cell>
        </row>
        <row r="711">
          <cell r="A711" t="str">
            <v>1915(c) waiver</v>
          </cell>
          <cell r="C711" t="str">
            <v>HCS</v>
          </cell>
          <cell r="D711" t="str">
            <v>Home Modifications</v>
          </cell>
          <cell r="E711" t="str">
            <v>DOOR WIDENING OR EMERGENCY EXIT ADAPTATION</v>
          </cell>
          <cell r="F711" t="str">
            <v>2116M0794</v>
          </cell>
        </row>
        <row r="712">
          <cell r="A712" t="str">
            <v>1915(c) waiver</v>
          </cell>
          <cell r="C712" t="str">
            <v>HCS</v>
          </cell>
          <cell r="D712" t="str">
            <v>Home Modifications</v>
          </cell>
          <cell r="E712" t="str">
            <v xml:space="preserve">HANDRAIL OR SAFETY BAR PERMANENTLY ATTACHED TO A WALL, FLOOR AND/OR CEILING </v>
          </cell>
          <cell r="F712" t="str">
            <v>2116M0796</v>
          </cell>
        </row>
        <row r="713">
          <cell r="A713" t="str">
            <v>1915(c) waiver</v>
          </cell>
          <cell r="C713" t="str">
            <v>HCS</v>
          </cell>
          <cell r="D713" t="str">
            <v>Home Modifications</v>
          </cell>
          <cell r="E713" t="str">
            <v>Minor home modifications LOC 1</v>
          </cell>
          <cell r="F713" t="str">
            <v>1216M0127</v>
          </cell>
        </row>
        <row r="714">
          <cell r="A714" t="str">
            <v>1915(c) waiver</v>
          </cell>
          <cell r="C714" t="str">
            <v>HCS</v>
          </cell>
          <cell r="D714" t="str">
            <v>Home Modifications</v>
          </cell>
          <cell r="E714" t="str">
            <v>Minor home modifications LOC 8</v>
          </cell>
          <cell r="F714" t="str">
            <v>1216M0128</v>
          </cell>
        </row>
        <row r="715">
          <cell r="A715" t="str">
            <v>1915(c) waiver</v>
          </cell>
          <cell r="C715" t="str">
            <v>HCS</v>
          </cell>
          <cell r="D715" t="str">
            <v>Home Modifications</v>
          </cell>
          <cell r="E715" t="str">
            <v>PLUMBING ADAPTATION</v>
          </cell>
          <cell r="F715" t="str">
            <v>2116M0785</v>
          </cell>
        </row>
        <row r="716">
          <cell r="A716" t="str">
            <v>1915(c) waiver</v>
          </cell>
          <cell r="C716" t="str">
            <v>HCS</v>
          </cell>
          <cell r="D716" t="str">
            <v>Home Modifications</v>
          </cell>
          <cell r="E716" t="str">
            <v>SHOWER ADAPTATION</v>
          </cell>
          <cell r="F716" t="str">
            <v>2116M0779</v>
          </cell>
        </row>
        <row r="717">
          <cell r="A717" t="str">
            <v>1915(c) waiver</v>
          </cell>
          <cell r="C717" t="str">
            <v>HCS</v>
          </cell>
          <cell r="D717" t="str">
            <v>Home Modifications</v>
          </cell>
          <cell r="E717" t="str">
            <v>SINK ADAPTATION</v>
          </cell>
          <cell r="F717" t="str">
            <v>2116M0780</v>
          </cell>
        </row>
        <row r="718">
          <cell r="A718" t="str">
            <v>1915(c) waiver</v>
          </cell>
          <cell r="C718" t="str">
            <v>HCS</v>
          </cell>
          <cell r="D718" t="str">
            <v>Home Modifications</v>
          </cell>
          <cell r="E718" t="str">
            <v>TOILET ADAPTATION</v>
          </cell>
          <cell r="F718" t="str">
            <v>2116M0782</v>
          </cell>
        </row>
        <row r="719">
          <cell r="A719" t="str">
            <v>1915(c) waiver</v>
          </cell>
          <cell r="C719" t="str">
            <v>HCS</v>
          </cell>
          <cell r="D719" t="str">
            <v>Home Modifications</v>
          </cell>
          <cell r="E719" t="str">
            <v>TURNAROUND SPACE ADAPTATION</v>
          </cell>
          <cell r="F719" t="str">
            <v>2116M0786</v>
          </cell>
        </row>
        <row r="720">
          <cell r="A720" t="str">
            <v>1915(c) waiver</v>
          </cell>
          <cell r="C720" t="str">
            <v>HCS</v>
          </cell>
          <cell r="D720" t="str">
            <v>Home Modifications</v>
          </cell>
          <cell r="E720" t="str">
            <v>WHEELCHAIR RAMP OR LANDING THAT MEETS THE REQUIREMENTS IN §4.8 OF THE AMERICANS WITH DISABILITIES ACT ACCESSIBILITY GUIDELINES (ADAAG) FOUND AT WWW.ADA.GOV</v>
          </cell>
          <cell r="F720" t="str">
            <v>2116M0778</v>
          </cell>
        </row>
        <row r="721">
          <cell r="A721" t="str">
            <v>1915(c) waiver</v>
          </cell>
          <cell r="C721" t="str">
            <v>HCS</v>
          </cell>
          <cell r="D721" t="str">
            <v>Host Home/Companion Care</v>
          </cell>
          <cell r="E721" t="str">
            <v>Foster Care LON 1</v>
          </cell>
          <cell r="F721" t="str">
            <v>1218M0122</v>
          </cell>
        </row>
        <row r="722">
          <cell r="A722" t="str">
            <v>1915(c) waiver</v>
          </cell>
          <cell r="C722" t="str">
            <v>HCS</v>
          </cell>
          <cell r="D722" t="str">
            <v>Host Home/Companion Care</v>
          </cell>
          <cell r="E722" t="str">
            <v>Foster Care LON 5</v>
          </cell>
          <cell r="F722" t="str">
            <v>1218M0123</v>
          </cell>
        </row>
        <row r="723">
          <cell r="A723" t="str">
            <v>1915(c) waiver</v>
          </cell>
          <cell r="C723" t="str">
            <v>HCS</v>
          </cell>
          <cell r="D723" t="str">
            <v>Host Home/Companion Care</v>
          </cell>
          <cell r="E723" t="str">
            <v>Foster Care LON 6</v>
          </cell>
          <cell r="F723" t="str">
            <v>1218M0124</v>
          </cell>
        </row>
        <row r="724">
          <cell r="A724" t="str">
            <v>1915(c) waiver</v>
          </cell>
          <cell r="C724" t="str">
            <v>HCS</v>
          </cell>
          <cell r="D724" t="str">
            <v>Host Home/Companion Care</v>
          </cell>
          <cell r="E724" t="str">
            <v>Foster Care LON 8</v>
          </cell>
          <cell r="F724" t="str">
            <v>1218M0125</v>
          </cell>
        </row>
        <row r="725">
          <cell r="A725" t="str">
            <v>1915(c) waiver</v>
          </cell>
          <cell r="C725" t="str">
            <v>HCS</v>
          </cell>
          <cell r="D725" t="str">
            <v>Host Home/Companion Care</v>
          </cell>
          <cell r="E725" t="str">
            <v>Foster Care LON 9</v>
          </cell>
          <cell r="F725" t="str">
            <v>1218M0126</v>
          </cell>
        </row>
        <row r="726">
          <cell r="A726" t="str">
            <v>1915(c) waiver</v>
          </cell>
          <cell r="C726" t="str">
            <v>HCS</v>
          </cell>
          <cell r="D726" t="str">
            <v>Host Home/Companion Care</v>
          </cell>
          <cell r="E726" t="str">
            <v>HOST HOME/COMPANION CARE LON 1</v>
          </cell>
          <cell r="F726" t="str">
            <v>2118AM0122</v>
          </cell>
        </row>
        <row r="727">
          <cell r="A727" t="str">
            <v>1915(c) waiver</v>
          </cell>
          <cell r="C727" t="str">
            <v>HCS</v>
          </cell>
          <cell r="D727" t="str">
            <v>Host Home/Companion Care</v>
          </cell>
          <cell r="E727" t="str">
            <v>HOST HOME/COMPANION CARE LON 5</v>
          </cell>
          <cell r="F727" t="str">
            <v>2118AM0123</v>
          </cell>
        </row>
        <row r="728">
          <cell r="A728" t="str">
            <v>1915(c) waiver</v>
          </cell>
          <cell r="C728" t="str">
            <v>HCS</v>
          </cell>
          <cell r="D728" t="str">
            <v>Host Home/Companion Care</v>
          </cell>
          <cell r="E728" t="str">
            <v>HOST HOME/COMPANION CARE LON 6</v>
          </cell>
          <cell r="F728" t="str">
            <v>2118AM0124</v>
          </cell>
        </row>
        <row r="729">
          <cell r="A729" t="str">
            <v>1915(c) waiver</v>
          </cell>
          <cell r="C729" t="str">
            <v>HCS</v>
          </cell>
          <cell r="D729" t="str">
            <v>Host Home/Companion Care</v>
          </cell>
          <cell r="E729" t="str">
            <v>HOST HOME/COMPANION CARE LON 8</v>
          </cell>
          <cell r="F729" t="str">
            <v>2118AM0125</v>
          </cell>
        </row>
        <row r="730">
          <cell r="A730" t="str">
            <v>1915(c) waiver</v>
          </cell>
          <cell r="C730" t="str">
            <v>HCS</v>
          </cell>
          <cell r="D730" t="str">
            <v>Host Home/Companion Care</v>
          </cell>
          <cell r="E730" t="str">
            <v>HOST HOME/COMPANION CARE LON 9</v>
          </cell>
          <cell r="F730" t="str">
            <v>2118AM0126</v>
          </cell>
        </row>
        <row r="731">
          <cell r="A731" t="str">
            <v>1915(c) waiver</v>
          </cell>
          <cell r="C731" t="str">
            <v>HCS</v>
          </cell>
          <cell r="D731" t="str">
            <v>In Home Respite</v>
          </cell>
          <cell r="E731" t="str">
            <v>Hourly Respite (CDS) LOC 1</v>
          </cell>
          <cell r="F731" t="str">
            <v>1211XVM0145</v>
          </cell>
        </row>
        <row r="732">
          <cell r="A732" t="str">
            <v>1915(c) waiver</v>
          </cell>
          <cell r="C732" t="str">
            <v>HCS</v>
          </cell>
          <cell r="D732" t="str">
            <v>In Home Respite</v>
          </cell>
          <cell r="E732" t="str">
            <v>Hourly Respite (CDS) LOC 8</v>
          </cell>
          <cell r="F732" t="str">
            <v>1211XVM0146</v>
          </cell>
        </row>
        <row r="733">
          <cell r="A733" t="str">
            <v>1915(c) waiver</v>
          </cell>
          <cell r="C733" t="str">
            <v>HCS</v>
          </cell>
          <cell r="D733" t="str">
            <v>In Home Respite</v>
          </cell>
          <cell r="E733" t="str">
            <v>Hourly Respite LOC 1</v>
          </cell>
          <cell r="F733" t="str">
            <v>1211XM0143</v>
          </cell>
        </row>
        <row r="734">
          <cell r="A734" t="str">
            <v>1915(c) waiver</v>
          </cell>
          <cell r="C734" t="str">
            <v>HCS</v>
          </cell>
          <cell r="D734" t="str">
            <v>In Home Respite</v>
          </cell>
          <cell r="E734" t="str">
            <v>HOURLY RESPITE LOC 1 IN-HOME</v>
          </cell>
          <cell r="F734" t="str">
            <v>2111XM0143</v>
          </cell>
        </row>
        <row r="735">
          <cell r="A735" t="str">
            <v>1915(c) waiver</v>
          </cell>
          <cell r="C735" t="str">
            <v>HCS</v>
          </cell>
          <cell r="D735" t="str">
            <v>In Home Respite</v>
          </cell>
          <cell r="E735" t="str">
            <v>HOURLY RESPITE LOC 1 IN-HOME (CDS)</v>
          </cell>
          <cell r="F735" t="str">
            <v>2111XVM0145</v>
          </cell>
        </row>
        <row r="736">
          <cell r="A736" t="str">
            <v>1915(c) waiver</v>
          </cell>
          <cell r="C736" t="str">
            <v>HCS</v>
          </cell>
          <cell r="D736" t="str">
            <v>In Home Respite</v>
          </cell>
          <cell r="E736" t="str">
            <v>HOURLY RESPITE LOC 1 WHERE HH/CC IS PROVIDED</v>
          </cell>
          <cell r="F736" t="str">
            <v>2111XM0860</v>
          </cell>
        </row>
        <row r="737">
          <cell r="A737" t="str">
            <v>1915(c) waiver</v>
          </cell>
          <cell r="C737" t="str">
            <v>HCS</v>
          </cell>
          <cell r="D737" t="str">
            <v>In Home Respite</v>
          </cell>
          <cell r="E737" t="str">
            <v>HOURLY RESPITE LOC 1 WHERE HH/CC IS PROVIDED (CDS)</v>
          </cell>
          <cell r="F737" t="str">
            <v>2111XVM0875</v>
          </cell>
        </row>
        <row r="738">
          <cell r="A738" t="str">
            <v>1915(c) waiver</v>
          </cell>
          <cell r="C738" t="str">
            <v>HCS</v>
          </cell>
          <cell r="D738" t="str">
            <v>In Home Respite</v>
          </cell>
          <cell r="E738" t="str">
            <v>HOURLY RESPITE LOC 1 WHERE SL OR RSS IS PROVIDED</v>
          </cell>
          <cell r="F738" t="str">
            <v>2111XM0855</v>
          </cell>
        </row>
        <row r="739">
          <cell r="A739" t="str">
            <v>1915(c) waiver</v>
          </cell>
          <cell r="C739" t="str">
            <v>HCS</v>
          </cell>
          <cell r="D739" t="str">
            <v>In Home Respite</v>
          </cell>
          <cell r="E739" t="str">
            <v>HOURLY RESPITE LOC 1 WHERE SL OR RSS IS PROVIDED (CDS)</v>
          </cell>
          <cell r="F739" t="str">
            <v>2111XVM0873</v>
          </cell>
        </row>
        <row r="740">
          <cell r="A740" t="str">
            <v>1915(c) waiver</v>
          </cell>
          <cell r="C740" t="str">
            <v>HCS</v>
          </cell>
          <cell r="D740" t="str">
            <v>In Home Respite</v>
          </cell>
          <cell r="E740" t="str">
            <v>Hourly Respite LOC 8</v>
          </cell>
          <cell r="F740" t="str">
            <v>1211XM0144</v>
          </cell>
        </row>
        <row r="741">
          <cell r="A741" t="str">
            <v>1915(c) waiver</v>
          </cell>
          <cell r="C741" t="str">
            <v>HCS</v>
          </cell>
          <cell r="D741" t="str">
            <v>In Home Respite</v>
          </cell>
          <cell r="E741" t="str">
            <v>HOURLY RESPITE LOC 8 IN-HOME</v>
          </cell>
          <cell r="F741" t="str">
            <v>2111XM0144</v>
          </cell>
        </row>
        <row r="742">
          <cell r="A742" t="str">
            <v>1915(c) waiver</v>
          </cell>
          <cell r="C742" t="str">
            <v>HCS</v>
          </cell>
          <cell r="D742" t="str">
            <v>In Home Respite</v>
          </cell>
          <cell r="E742" t="str">
            <v>HOURLY RESPITE LOC 8 IN-HOME (CDS)</v>
          </cell>
          <cell r="F742" t="str">
            <v>2111XVM0146</v>
          </cell>
        </row>
        <row r="743">
          <cell r="A743" t="str">
            <v>1915(c) waiver</v>
          </cell>
          <cell r="C743" t="str">
            <v>HCS</v>
          </cell>
          <cell r="D743" t="str">
            <v>In Home Respite</v>
          </cell>
          <cell r="E743" t="str">
            <v>HOURLY RESPITE LOC 8 WHERE HH/CC IS PROVIDED</v>
          </cell>
          <cell r="F743" t="str">
            <v>2111XM0861</v>
          </cell>
        </row>
        <row r="744">
          <cell r="A744" t="str">
            <v>1915(c) waiver</v>
          </cell>
          <cell r="C744" t="str">
            <v>HCS</v>
          </cell>
          <cell r="D744" t="str">
            <v>In Home Respite</v>
          </cell>
          <cell r="E744" t="str">
            <v>HOURLY RESPITE LOC 8 WHERE HH/CC IS PROVIDED (CDS)</v>
          </cell>
          <cell r="F744" t="str">
            <v>2111XVM0876</v>
          </cell>
        </row>
        <row r="745">
          <cell r="A745" t="str">
            <v>1915(c) waiver</v>
          </cell>
          <cell r="C745" t="str">
            <v>HCS</v>
          </cell>
          <cell r="D745" t="str">
            <v>In Home Respite</v>
          </cell>
          <cell r="E745" t="str">
            <v>HOURLY RESPITE LOC 8 WHERE SL OR RSS IS PROVIDED</v>
          </cell>
          <cell r="F745" t="str">
            <v>2111XM0856</v>
          </cell>
        </row>
        <row r="746">
          <cell r="A746" t="str">
            <v>1915(c) waiver</v>
          </cell>
          <cell r="C746" t="str">
            <v>HCS</v>
          </cell>
          <cell r="D746" t="str">
            <v>In Home Respite</v>
          </cell>
          <cell r="E746" t="str">
            <v>HOURLY RESPITE LOC 8 WHERE SL OR RSS IS PROVIDED (CDS)</v>
          </cell>
          <cell r="F746" t="str">
            <v>2111XVM0874</v>
          </cell>
        </row>
        <row r="747">
          <cell r="A747" t="str">
            <v>1915(c) waiver</v>
          </cell>
          <cell r="C747" t="str">
            <v>HCS</v>
          </cell>
          <cell r="D747" t="str">
            <v>ISS</v>
          </cell>
          <cell r="E747" t="str">
            <v>Individualized Skills and Socialization (ISS) LON 1 In-Home EVV OHFH</v>
          </cell>
          <cell r="F747" t="str">
            <v>2123M0980</v>
          </cell>
        </row>
        <row r="748">
          <cell r="A748" t="str">
            <v>1915(c) waiver</v>
          </cell>
          <cell r="C748" t="str">
            <v>HCS</v>
          </cell>
          <cell r="D748" t="str">
            <v>ISS</v>
          </cell>
          <cell r="E748" t="str">
            <v>Individualized Skills and Socialization (ISS) LON 1 In-Home Other Residential Types</v>
          </cell>
          <cell r="F748" t="str">
            <v>2123M1095</v>
          </cell>
        </row>
        <row r="749">
          <cell r="A749" t="str">
            <v>1915(c) waiver</v>
          </cell>
          <cell r="C749" t="str">
            <v>HCS</v>
          </cell>
          <cell r="D749" t="str">
            <v>ISS</v>
          </cell>
          <cell r="E749" t="str">
            <v>Individualized Skills and Socialization (ISS) LON 1 Off-Site</v>
          </cell>
          <cell r="F749" t="str">
            <v>2123M0978</v>
          </cell>
        </row>
        <row r="750">
          <cell r="A750" t="str">
            <v>1915(c) waiver</v>
          </cell>
          <cell r="C750" t="str">
            <v>HCS</v>
          </cell>
          <cell r="D750" t="str">
            <v>ISS</v>
          </cell>
          <cell r="E750" t="str">
            <v>Individualized Skills and Socialization (ISS) LON 1 Off-Site (Enhanced) LVL 1</v>
          </cell>
          <cell r="F750" t="str">
            <v>2123M0979</v>
          </cell>
        </row>
        <row r="751">
          <cell r="A751" t="str">
            <v>1915(c) waiver</v>
          </cell>
          <cell r="C751" t="str">
            <v>HCS</v>
          </cell>
          <cell r="D751" t="str">
            <v>ISS</v>
          </cell>
          <cell r="E751" t="str">
            <v>Individualized Skills and Socialization (ISS) LON 1 Off-Site (Enhanced) LVL 2</v>
          </cell>
          <cell r="F751" t="str">
            <v>2123M1118</v>
          </cell>
        </row>
        <row r="752">
          <cell r="A752" t="str">
            <v>1915(c) waiver</v>
          </cell>
          <cell r="C752" t="str">
            <v>HCS</v>
          </cell>
          <cell r="D752" t="str">
            <v>ISS</v>
          </cell>
          <cell r="E752" t="str">
            <v>Individualized Skills and Socialization (ISS) LON 1 On-Site</v>
          </cell>
          <cell r="F752" t="str">
            <v>2123M0977</v>
          </cell>
        </row>
        <row r="753">
          <cell r="A753" t="str">
            <v>1915(c) waiver</v>
          </cell>
          <cell r="C753" t="str">
            <v>HCS</v>
          </cell>
          <cell r="D753" t="str">
            <v>ISS</v>
          </cell>
          <cell r="E753" t="str">
            <v>Individualized Skills and Socialization (ISS) LON 5 In-Home EVV OHFH</v>
          </cell>
          <cell r="F753" t="str">
            <v>2123M0984</v>
          </cell>
        </row>
        <row r="754">
          <cell r="A754" t="str">
            <v>1915(c) waiver</v>
          </cell>
          <cell r="C754" t="str">
            <v>HCS</v>
          </cell>
          <cell r="D754" t="str">
            <v>ISS</v>
          </cell>
          <cell r="E754" t="str">
            <v>Individualized Skills and Socialization (ISS) LON 5 In-Home Other Residential Types</v>
          </cell>
          <cell r="F754" t="str">
            <v>2123M1096</v>
          </cell>
        </row>
        <row r="755">
          <cell r="A755" t="str">
            <v>1915(c) waiver</v>
          </cell>
          <cell r="C755" t="str">
            <v>HCS</v>
          </cell>
          <cell r="D755" t="str">
            <v>ISS</v>
          </cell>
          <cell r="E755" t="str">
            <v>Individualized Skills and Socialization (ISS) LON 5 Off-Site</v>
          </cell>
          <cell r="F755" t="str">
            <v>2123M0982</v>
          </cell>
        </row>
        <row r="756">
          <cell r="A756" t="str">
            <v>1915(c) waiver</v>
          </cell>
          <cell r="C756" t="str">
            <v>HCS</v>
          </cell>
          <cell r="D756" t="str">
            <v>ISS</v>
          </cell>
          <cell r="E756" t="str">
            <v>Individualized Skills and Socialization (ISS) LON 5 Off-Site (Enhanced) LVL 1</v>
          </cell>
          <cell r="F756" t="str">
            <v>2123M0983</v>
          </cell>
        </row>
        <row r="757">
          <cell r="A757" t="str">
            <v>1915(c) waiver</v>
          </cell>
          <cell r="C757" t="str">
            <v>HCS</v>
          </cell>
          <cell r="D757" t="str">
            <v>ISS</v>
          </cell>
          <cell r="E757" t="str">
            <v>Individualized Skills and Socialization (ISS) LON 5 Off-Site (Enhanced) LVL 2</v>
          </cell>
          <cell r="F757" t="str">
            <v>2123M1119</v>
          </cell>
        </row>
        <row r="758">
          <cell r="A758" t="str">
            <v>1915(c) waiver</v>
          </cell>
          <cell r="C758" t="str">
            <v>HCS</v>
          </cell>
          <cell r="D758" t="str">
            <v>ISS</v>
          </cell>
          <cell r="E758" t="str">
            <v>Individualized Skills and Socialization (ISS) LON 5 On-Site</v>
          </cell>
          <cell r="F758" t="str">
            <v>2123M0981</v>
          </cell>
        </row>
        <row r="759">
          <cell r="A759" t="str">
            <v>1915(c) waiver</v>
          </cell>
          <cell r="C759" t="str">
            <v>HCS</v>
          </cell>
          <cell r="D759" t="str">
            <v>ISS</v>
          </cell>
          <cell r="E759" t="str">
            <v>Individualized Skills and Socialization (ISS) LON 6 In-Home EVV OHFH</v>
          </cell>
          <cell r="F759" t="str">
            <v>2123M0988</v>
          </cell>
        </row>
        <row r="760">
          <cell r="A760" t="str">
            <v>1915(c) waiver</v>
          </cell>
          <cell r="C760" t="str">
            <v>HCS</v>
          </cell>
          <cell r="D760" t="str">
            <v>ISS</v>
          </cell>
          <cell r="E760" t="str">
            <v>Individualized Skills and Socialization (ISS) LON 6 In-Home Other Residential Types</v>
          </cell>
          <cell r="F760" t="str">
            <v>2123M1097</v>
          </cell>
        </row>
        <row r="761">
          <cell r="A761" t="str">
            <v>1915(c) waiver</v>
          </cell>
          <cell r="C761" t="str">
            <v>HCS</v>
          </cell>
          <cell r="D761" t="str">
            <v>ISS</v>
          </cell>
          <cell r="E761" t="str">
            <v>Individualized Skills and Socialization (ISS) LON 6 Off-Site</v>
          </cell>
          <cell r="F761" t="str">
            <v>2123M0986</v>
          </cell>
        </row>
        <row r="762">
          <cell r="A762" t="str">
            <v>1915(c) waiver</v>
          </cell>
          <cell r="C762" t="str">
            <v>HCS</v>
          </cell>
          <cell r="D762" t="str">
            <v>ISS</v>
          </cell>
          <cell r="E762" t="str">
            <v>Individualized Skills and Socialization (ISS) LON 6 Off-Site (Enhanced) LVL 2</v>
          </cell>
          <cell r="F762" t="str">
            <v>2123M0987</v>
          </cell>
        </row>
        <row r="763">
          <cell r="A763" t="str">
            <v>1915(c) waiver</v>
          </cell>
          <cell r="C763" t="str">
            <v>HCS</v>
          </cell>
          <cell r="D763" t="str">
            <v>ISS</v>
          </cell>
          <cell r="E763" t="str">
            <v>Individualized Skills and Socialization (ISS) LON 6 On-Site</v>
          </cell>
          <cell r="F763" t="str">
            <v>2123M0985</v>
          </cell>
        </row>
        <row r="764">
          <cell r="A764" t="str">
            <v>1915(c) waiver</v>
          </cell>
          <cell r="C764" t="str">
            <v>HCS</v>
          </cell>
          <cell r="D764" t="str">
            <v>ISS</v>
          </cell>
          <cell r="E764" t="str">
            <v>Individualized Skills and Socialization (ISS) LON 8 In-Home EVV OHFH</v>
          </cell>
          <cell r="F764" t="str">
            <v>2123M0992</v>
          </cell>
        </row>
        <row r="765">
          <cell r="A765" t="str">
            <v>1915(c) waiver</v>
          </cell>
          <cell r="C765" t="str">
            <v>HCS</v>
          </cell>
          <cell r="D765" t="str">
            <v>ISS</v>
          </cell>
          <cell r="E765" t="str">
            <v>Individualized Skills and Socialization (ISS) LON 8 In-Home Other Residential Types</v>
          </cell>
          <cell r="F765" t="str">
            <v>2123M1098</v>
          </cell>
        </row>
        <row r="766">
          <cell r="A766" t="str">
            <v>1915(c) waiver</v>
          </cell>
          <cell r="C766" t="str">
            <v>HCS</v>
          </cell>
          <cell r="D766" t="str">
            <v>ISS</v>
          </cell>
          <cell r="E766" t="str">
            <v>Individualized Skills and Socialization (ISS) LON 8 Off-Site</v>
          </cell>
          <cell r="F766" t="str">
            <v>2123M0990</v>
          </cell>
        </row>
        <row r="767">
          <cell r="A767" t="str">
            <v>1915(c) waiver</v>
          </cell>
          <cell r="C767" t="str">
            <v>HCS</v>
          </cell>
          <cell r="D767" t="str">
            <v>ISS</v>
          </cell>
          <cell r="E767" t="str">
            <v>Individualized Skills and Socialization (ISS) LON 8 Off-Site (Enhanced) LVL 2</v>
          </cell>
          <cell r="F767" t="str">
            <v>2123M0991</v>
          </cell>
        </row>
        <row r="768">
          <cell r="A768" t="str">
            <v>1915(c) waiver</v>
          </cell>
          <cell r="C768" t="str">
            <v>HCS</v>
          </cell>
          <cell r="D768" t="str">
            <v>ISS</v>
          </cell>
          <cell r="E768" t="str">
            <v>Individualized Skills and Socialization (ISS) LON 8 On-Site</v>
          </cell>
          <cell r="F768" t="str">
            <v>2123M0989</v>
          </cell>
        </row>
        <row r="769">
          <cell r="A769" t="str">
            <v>1915(c) waiver</v>
          </cell>
          <cell r="C769" t="str">
            <v>HCS</v>
          </cell>
          <cell r="D769" t="str">
            <v>ISS</v>
          </cell>
          <cell r="E769" t="str">
            <v>Individualized Skills and Socialization (ISS) LON 9 In-Home EVV OHFH</v>
          </cell>
          <cell r="F769" t="str">
            <v>2123M0996</v>
          </cell>
        </row>
        <row r="770">
          <cell r="A770" t="str">
            <v>1915(c) waiver</v>
          </cell>
          <cell r="C770" t="str">
            <v>HCS</v>
          </cell>
          <cell r="D770" t="str">
            <v>ISS</v>
          </cell>
          <cell r="E770" t="str">
            <v>Individualized Skills and Socialization (ISS) LON 9 In-Home Other Residential Types</v>
          </cell>
          <cell r="F770" t="str">
            <v>2123M1099</v>
          </cell>
        </row>
        <row r="771">
          <cell r="A771" t="str">
            <v>1915(c) waiver</v>
          </cell>
          <cell r="C771" t="str">
            <v>HCS</v>
          </cell>
          <cell r="D771" t="str">
            <v>ISS</v>
          </cell>
          <cell r="E771" t="str">
            <v>Individualized Skills and Socialization (ISS) LON 9 Off-Site</v>
          </cell>
          <cell r="F771" t="str">
            <v>2123M0994</v>
          </cell>
        </row>
        <row r="772">
          <cell r="A772" t="str">
            <v>1915(c) waiver</v>
          </cell>
          <cell r="C772" t="str">
            <v>HCS</v>
          </cell>
          <cell r="D772" t="str">
            <v>ISS</v>
          </cell>
          <cell r="E772" t="str">
            <v>Individualized Skills and Socialization (ISS) LON 9 On-Site</v>
          </cell>
          <cell r="F772" t="str">
            <v>2123M0993</v>
          </cell>
        </row>
        <row r="773">
          <cell r="A773" t="str">
            <v>1915(c) waiver</v>
          </cell>
          <cell r="C773" t="str">
            <v>HCS</v>
          </cell>
          <cell r="D773" t="str">
            <v>Nursing</v>
          </cell>
          <cell r="E773" t="str">
            <v>CDS NURSING SERVICES - LVN - LOC 8 - Out-of-Home</v>
          </cell>
          <cell r="F773" t="str">
            <v>2113AVG2304</v>
          </cell>
          <cell r="P773"/>
        </row>
        <row r="774">
          <cell r="A774" t="str">
            <v>1915(c) waiver</v>
          </cell>
          <cell r="C774" t="str">
            <v>HCS</v>
          </cell>
          <cell r="D774" t="str">
            <v>Nursing</v>
          </cell>
          <cell r="E774" t="str">
            <v>CDS NURSING SERVICES - LVN- LOC 1 - Out-of-Home</v>
          </cell>
          <cell r="F774" t="str">
            <v>2113AVG2305</v>
          </cell>
          <cell r="P774"/>
        </row>
        <row r="775">
          <cell r="A775" t="str">
            <v>1915(c) waiver</v>
          </cell>
          <cell r="C775" t="str">
            <v>HCS</v>
          </cell>
          <cell r="D775" t="str">
            <v>Nursing</v>
          </cell>
          <cell r="E775" t="str">
            <v>CDS NURSING SERVICES - RN - LOC 1 - Out-of-Home</v>
          </cell>
          <cell r="F775" t="str">
            <v>2113BVG2309</v>
          </cell>
          <cell r="P775"/>
        </row>
        <row r="776">
          <cell r="A776" t="str">
            <v>1915(c) waiver</v>
          </cell>
          <cell r="C776" t="str">
            <v>HCS</v>
          </cell>
          <cell r="D776" t="str">
            <v>Nursing</v>
          </cell>
          <cell r="E776" t="str">
            <v>CDS NURSING SERVICES - RN - LOC 8 - Out-of-Home</v>
          </cell>
          <cell r="F776" t="str">
            <v>2113BVG2308</v>
          </cell>
          <cell r="P776"/>
        </row>
        <row r="777">
          <cell r="A777" t="str">
            <v>1915(c) waiver</v>
          </cell>
          <cell r="C777" t="str">
            <v>HCS</v>
          </cell>
          <cell r="D777" t="str">
            <v>Nursing</v>
          </cell>
          <cell r="E777" t="str">
            <v>CDS NURSING SERVICES SPECIALIZED - LVN - LOC 1 - Out-of-Home</v>
          </cell>
          <cell r="F777" t="str">
            <v>2113DVG2317</v>
          </cell>
          <cell r="P777"/>
        </row>
        <row r="778">
          <cell r="A778" t="str">
            <v>1915(c) waiver</v>
          </cell>
          <cell r="C778" t="str">
            <v>HCS</v>
          </cell>
          <cell r="D778" t="str">
            <v>Nursing</v>
          </cell>
          <cell r="E778" t="str">
            <v>CDS NURSING SERVICES SPECIALIZED - LVN - LOC 8 - Out-of-Home</v>
          </cell>
          <cell r="F778" t="str">
            <v>2113DVG2316</v>
          </cell>
          <cell r="P778"/>
        </row>
        <row r="779">
          <cell r="A779" t="str">
            <v>1915(c) waiver</v>
          </cell>
          <cell r="C779" t="str">
            <v>HCS</v>
          </cell>
          <cell r="D779" t="str">
            <v>Nursing</v>
          </cell>
          <cell r="E779" t="str">
            <v>CDS NURSING SERVICES SPECIALIZED - RN - LOC 1 - Out-of-Home</v>
          </cell>
          <cell r="F779" t="str">
            <v>2113CVG2313</v>
          </cell>
          <cell r="P779"/>
        </row>
        <row r="780">
          <cell r="A780" t="str">
            <v>1915(c) waiver</v>
          </cell>
          <cell r="C780" t="str">
            <v>HCS</v>
          </cell>
          <cell r="D780" t="str">
            <v>Nursing</v>
          </cell>
          <cell r="E780" t="str">
            <v>CDS NURSING SERVICES SPECIALIZED - RN - LOC 8 - Out-of-Home</v>
          </cell>
          <cell r="F780" t="str">
            <v>2113CVG2312</v>
          </cell>
          <cell r="P780"/>
        </row>
        <row r="781">
          <cell r="A781" t="str">
            <v>1915(c) waiver</v>
          </cell>
          <cell r="C781" t="str">
            <v>HCS</v>
          </cell>
          <cell r="D781" t="str">
            <v>Nursing</v>
          </cell>
          <cell r="E781" t="str">
            <v>In-Home CDS NURSING SERVICES - LVN - LOC 8 - EVV OHFH</v>
          </cell>
          <cell r="F781" t="str">
            <v>2113AVG2260</v>
          </cell>
          <cell r="P781"/>
        </row>
        <row r="782">
          <cell r="A782" t="str">
            <v>1915(c) waiver</v>
          </cell>
          <cell r="C782" t="str">
            <v>HCS</v>
          </cell>
          <cell r="D782" t="str">
            <v>Nursing</v>
          </cell>
          <cell r="E782" t="str">
            <v>In-Home CDS NURSING SERVICES - LVN- LOC 1 - EVV OHFH</v>
          </cell>
          <cell r="F782" t="str">
            <v>2113AVG2261</v>
          </cell>
          <cell r="P782"/>
        </row>
        <row r="783">
          <cell r="A783" t="str">
            <v>1915(c) waiver</v>
          </cell>
          <cell r="C783" t="str">
            <v>HCS</v>
          </cell>
          <cell r="D783" t="str">
            <v>Nursing</v>
          </cell>
          <cell r="E783" t="str">
            <v>In-Home CDS NURSING SERVICES - RN - LOC 1 - EVV OHFH</v>
          </cell>
          <cell r="F783" t="str">
            <v>2113BVG2265</v>
          </cell>
          <cell r="P783"/>
        </row>
        <row r="784">
          <cell r="A784" t="str">
            <v>1915(c) waiver</v>
          </cell>
          <cell r="C784" t="str">
            <v>HCS</v>
          </cell>
          <cell r="D784" t="str">
            <v>Nursing</v>
          </cell>
          <cell r="E784" t="str">
            <v>In-Home CDS NURSING SERVICES - RN - LOC 8 - EVV OHFH</v>
          </cell>
          <cell r="F784" t="str">
            <v>2113BVG2264</v>
          </cell>
          <cell r="P784"/>
        </row>
        <row r="785">
          <cell r="A785" t="str">
            <v>1915(c) waiver</v>
          </cell>
          <cell r="C785" t="str">
            <v>HCS</v>
          </cell>
          <cell r="D785" t="str">
            <v>Nursing</v>
          </cell>
          <cell r="E785" t="str">
            <v>In-Home CDS NURSING SERVICES SPECIALIZED - LVN - LOC 1 - EVV OHFH</v>
          </cell>
          <cell r="F785" t="str">
            <v>2113DVG2273</v>
          </cell>
          <cell r="P785"/>
        </row>
        <row r="786">
          <cell r="A786" t="str">
            <v>1915(c) waiver</v>
          </cell>
          <cell r="C786" t="str">
            <v>HCS</v>
          </cell>
          <cell r="D786" t="str">
            <v>Nursing</v>
          </cell>
          <cell r="E786" t="str">
            <v>In-Home CDS NURSING SERVICES SPECIALIZED - LVN - LOC 8 - EVV OHFH</v>
          </cell>
          <cell r="F786" t="str">
            <v>2113DVG2272</v>
          </cell>
          <cell r="P786"/>
        </row>
        <row r="787">
          <cell r="A787" t="str">
            <v>1915(c) waiver</v>
          </cell>
          <cell r="C787" t="str">
            <v>HCS</v>
          </cell>
          <cell r="D787" t="str">
            <v>Nursing</v>
          </cell>
          <cell r="E787" t="str">
            <v>In-Home CDS NURSING SERVICES SPECIALIZED - RN - LOC 1 - EVV OHFH</v>
          </cell>
          <cell r="F787" t="str">
            <v>2113CVG2269</v>
          </cell>
          <cell r="P787"/>
        </row>
        <row r="788">
          <cell r="A788" t="str">
            <v>1915(c) waiver</v>
          </cell>
          <cell r="C788" t="str">
            <v>HCS</v>
          </cell>
          <cell r="D788" t="str">
            <v>Nursing</v>
          </cell>
          <cell r="E788" t="str">
            <v>In-Home CDS NURSING SERVICES SPECIALIZED - RN - LOC 8 - EVV OHFH</v>
          </cell>
          <cell r="F788" t="str">
            <v>2113CVG2268</v>
          </cell>
          <cell r="P788"/>
        </row>
        <row r="789">
          <cell r="A789" t="str">
            <v>1915(c) waiver</v>
          </cell>
          <cell r="C789" t="str">
            <v>HCS</v>
          </cell>
          <cell r="D789" t="str">
            <v>Nursing</v>
          </cell>
          <cell r="E789" t="str">
            <v>In-Home NURSING SERVICES LVN - LC 1 - EVV OHFH</v>
          </cell>
          <cell r="F789" t="str">
            <v>2113AG2258</v>
          </cell>
          <cell r="P789"/>
        </row>
        <row r="790">
          <cell r="A790" t="str">
            <v>1915(c) waiver</v>
          </cell>
          <cell r="C790" t="str">
            <v>HCS</v>
          </cell>
          <cell r="D790" t="str">
            <v>Nursing</v>
          </cell>
          <cell r="E790" t="str">
            <v>In-Home NURSING SERVICES LVN - LC 1 - Other Residential Types</v>
          </cell>
          <cell r="F790" t="str">
            <v>2113AG2290</v>
          </cell>
          <cell r="P790"/>
        </row>
        <row r="791">
          <cell r="A791" t="str">
            <v>1915(c) waiver</v>
          </cell>
          <cell r="C791" t="str">
            <v>HCS</v>
          </cell>
          <cell r="D791" t="str">
            <v>Nursing</v>
          </cell>
          <cell r="E791" t="str">
            <v>In-Home NURSING SERVICES LVN - LC 8 - EVV OHFH</v>
          </cell>
          <cell r="F791" t="str">
            <v>2113AG2259</v>
          </cell>
          <cell r="P791"/>
        </row>
        <row r="792">
          <cell r="A792" t="str">
            <v>1915(c) waiver</v>
          </cell>
          <cell r="C792" t="str">
            <v>HCS</v>
          </cell>
          <cell r="D792" t="str">
            <v>Nursing</v>
          </cell>
          <cell r="E792" t="str">
            <v>In-Home NURSING SERVICES LVN - LC 8 - Other Residential Types</v>
          </cell>
          <cell r="F792" t="str">
            <v>2113AG2291</v>
          </cell>
          <cell r="P792"/>
        </row>
        <row r="793">
          <cell r="A793" t="str">
            <v>1915(c) waiver</v>
          </cell>
          <cell r="C793" t="str">
            <v>HCS</v>
          </cell>
          <cell r="D793" t="str">
            <v>Nursing</v>
          </cell>
          <cell r="E793" t="str">
            <v>In-Home NURSING SERVICES RN - LC 1 - EVV OHFH</v>
          </cell>
          <cell r="F793" t="str">
            <v>2113BG2262</v>
          </cell>
          <cell r="P793"/>
        </row>
        <row r="794">
          <cell r="A794" t="str">
            <v>1915(c) waiver</v>
          </cell>
          <cell r="C794" t="str">
            <v>HCS</v>
          </cell>
          <cell r="D794" t="str">
            <v>Nursing</v>
          </cell>
          <cell r="E794" t="str">
            <v>In-Home NURSING SERVICES RN - LC 1 - Other Residential Types</v>
          </cell>
          <cell r="F794" t="str">
            <v>2113BG2292</v>
          </cell>
          <cell r="P794"/>
        </row>
        <row r="795">
          <cell r="A795" t="str">
            <v>1915(c) waiver</v>
          </cell>
          <cell r="C795" t="str">
            <v>HCS</v>
          </cell>
          <cell r="D795" t="str">
            <v>Nursing</v>
          </cell>
          <cell r="E795" t="str">
            <v>In-Home NURSING SERVICES RN - LC 8 - EVV OHFH</v>
          </cell>
          <cell r="F795" t="str">
            <v>2113BG2263</v>
          </cell>
          <cell r="P795"/>
        </row>
        <row r="796">
          <cell r="A796" t="str">
            <v>1915(c) waiver</v>
          </cell>
          <cell r="C796" t="str">
            <v>HCS</v>
          </cell>
          <cell r="D796" t="str">
            <v>Nursing</v>
          </cell>
          <cell r="E796" t="str">
            <v>In-Home NURSING SERVICES RN - LC 8 - Other Residential Types</v>
          </cell>
          <cell r="F796" t="str">
            <v>2113BG2293</v>
          </cell>
          <cell r="P796"/>
        </row>
        <row r="797">
          <cell r="A797" t="str">
            <v>1915(c) waiver</v>
          </cell>
          <cell r="C797" t="str">
            <v>HCS</v>
          </cell>
          <cell r="D797" t="str">
            <v>Nursing</v>
          </cell>
          <cell r="E797" t="str">
            <v>In-Home NURSING SERVICES SPECIALIZED LVN - LC 1 - EVV OHFH</v>
          </cell>
          <cell r="F797" t="str">
            <v>2113DG2270</v>
          </cell>
          <cell r="P797"/>
        </row>
        <row r="798">
          <cell r="A798" t="str">
            <v>1915(c) waiver</v>
          </cell>
          <cell r="C798" t="str">
            <v>HCS</v>
          </cell>
          <cell r="D798" t="str">
            <v>Nursing</v>
          </cell>
          <cell r="E798" t="str">
            <v>In-Home NURSING SERVICES SPECIALIZED LVN - LC 1 - Other Residential Types</v>
          </cell>
          <cell r="F798" t="str">
            <v>2113DG2296</v>
          </cell>
          <cell r="P798"/>
        </row>
        <row r="799">
          <cell r="A799" t="str">
            <v>1915(c) waiver</v>
          </cell>
          <cell r="C799" t="str">
            <v>HCS</v>
          </cell>
          <cell r="D799" t="str">
            <v>Nursing</v>
          </cell>
          <cell r="E799" t="str">
            <v>In-Home NURSING SERVICES SPECIALIZED LVN - LC 8 - EVV OHFH</v>
          </cell>
          <cell r="F799" t="str">
            <v>2113DG2271</v>
          </cell>
          <cell r="P799"/>
        </row>
        <row r="800">
          <cell r="A800" t="str">
            <v>1915(c) waiver</v>
          </cell>
          <cell r="C800" t="str">
            <v>HCS</v>
          </cell>
          <cell r="D800" t="str">
            <v>Nursing</v>
          </cell>
          <cell r="E800" t="str">
            <v>In-Home NURSING SERVICES SPECIALIZED LVN - LC 8 - Other Residential Types</v>
          </cell>
          <cell r="F800" t="str">
            <v>2113DG2297</v>
          </cell>
          <cell r="P800"/>
        </row>
        <row r="801">
          <cell r="A801" t="str">
            <v>1915(c) waiver</v>
          </cell>
          <cell r="C801" t="str">
            <v>HCS</v>
          </cell>
          <cell r="D801" t="str">
            <v>Nursing</v>
          </cell>
          <cell r="E801" t="str">
            <v>In-Home NURSING SERVICES SPECIALIZED RN - LC 1 - EVV OHFH</v>
          </cell>
          <cell r="F801" t="str">
            <v>2113CG2266</v>
          </cell>
          <cell r="P801"/>
        </row>
        <row r="802">
          <cell r="A802" t="str">
            <v>1915(c) waiver</v>
          </cell>
          <cell r="C802" t="str">
            <v>HCS</v>
          </cell>
          <cell r="D802" t="str">
            <v>Nursing</v>
          </cell>
          <cell r="E802" t="str">
            <v>In-Home NURSING SERVICES SPECIALIZED RN - LC 1 - Other Residential Types</v>
          </cell>
          <cell r="F802" t="str">
            <v>2113CG2294</v>
          </cell>
          <cell r="P802"/>
        </row>
        <row r="803">
          <cell r="A803" t="str">
            <v>1915(c) waiver</v>
          </cell>
          <cell r="C803" t="str">
            <v>HCS</v>
          </cell>
          <cell r="D803" t="str">
            <v>Nursing</v>
          </cell>
          <cell r="E803" t="str">
            <v>In-Home NURSING SERVICES SPECIALIZED RN - LC 8 - EVV OHFH</v>
          </cell>
          <cell r="F803" t="str">
            <v>2113CG2267</v>
          </cell>
          <cell r="P803"/>
        </row>
        <row r="804">
          <cell r="A804" t="str">
            <v>1915(c) waiver</v>
          </cell>
          <cell r="C804" t="str">
            <v>HCS</v>
          </cell>
          <cell r="D804" t="str">
            <v>Nursing</v>
          </cell>
          <cell r="E804" t="str">
            <v>In-Home NURSING SERVICES SPECIALIZED RN - LC 8 - Other Residential Types</v>
          </cell>
          <cell r="F804" t="str">
            <v>2113CG2295</v>
          </cell>
          <cell r="P804"/>
        </row>
        <row r="805">
          <cell r="A805" t="str">
            <v>1915(c) waiver</v>
          </cell>
          <cell r="C805" t="str">
            <v>HCS</v>
          </cell>
          <cell r="D805" t="str">
            <v>Nursing</v>
          </cell>
          <cell r="E805" t="str">
            <v>NURSING SERVICES LVN - LC 1 - Out-of-Home</v>
          </cell>
          <cell r="F805" t="str">
            <v>2113AG2302</v>
          </cell>
          <cell r="P805"/>
        </row>
        <row r="806">
          <cell r="A806" t="str">
            <v>1915(c) waiver</v>
          </cell>
          <cell r="C806" t="str">
            <v>HCS</v>
          </cell>
          <cell r="D806" t="str">
            <v>Nursing</v>
          </cell>
          <cell r="E806" t="str">
            <v>NURSING SERVICES LVN - LC 8 - Out-of-Home</v>
          </cell>
          <cell r="F806" t="str">
            <v>2113AG2303</v>
          </cell>
          <cell r="P806"/>
        </row>
        <row r="807">
          <cell r="A807" t="str">
            <v>1915(c) waiver</v>
          </cell>
          <cell r="C807" t="str">
            <v>HCS</v>
          </cell>
          <cell r="D807" t="str">
            <v>Nursing</v>
          </cell>
          <cell r="E807" t="str">
            <v>NURSING SERVICES LVN LOC 1</v>
          </cell>
          <cell r="F807" t="str">
            <v>2113AM0298</v>
          </cell>
        </row>
        <row r="808">
          <cell r="A808" t="str">
            <v>1915(c) waiver</v>
          </cell>
          <cell r="C808" t="str">
            <v>HCS</v>
          </cell>
          <cell r="D808" t="str">
            <v>Nursing</v>
          </cell>
          <cell r="E808" t="str">
            <v>Nursing Services LVN LOC 1</v>
          </cell>
          <cell r="F808" t="str">
            <v>1213AM0298</v>
          </cell>
        </row>
        <row r="809">
          <cell r="A809" t="str">
            <v>1915(c) waiver</v>
          </cell>
          <cell r="C809" t="str">
            <v>HCS</v>
          </cell>
          <cell r="D809" t="str">
            <v>Nursing</v>
          </cell>
          <cell r="E809" t="str">
            <v>NURSING SERVICES LVN -LOC 1 (CDS)</v>
          </cell>
          <cell r="F809" t="str">
            <v>1213AVM0350</v>
          </cell>
        </row>
        <row r="810">
          <cell r="A810" t="str">
            <v>1915(c) waiver</v>
          </cell>
          <cell r="C810" t="str">
            <v>HCS</v>
          </cell>
          <cell r="D810" t="str">
            <v>Nursing</v>
          </cell>
          <cell r="E810" t="str">
            <v>NURSING SERVICES LVN- LOC 1 (CDS)</v>
          </cell>
          <cell r="F810" t="str">
            <v>2113AVM0350</v>
          </cell>
        </row>
        <row r="811">
          <cell r="A811" t="str">
            <v>1915(c) waiver</v>
          </cell>
          <cell r="C811" t="str">
            <v>HCS</v>
          </cell>
          <cell r="D811" t="str">
            <v>Nursing</v>
          </cell>
          <cell r="E811" t="str">
            <v>NURSING SERVICES LVN LOC 8</v>
          </cell>
          <cell r="F811" t="str">
            <v>2113AM0302</v>
          </cell>
        </row>
        <row r="812">
          <cell r="A812" t="str">
            <v>1915(c) waiver</v>
          </cell>
          <cell r="C812" t="str">
            <v>HCS</v>
          </cell>
          <cell r="D812" t="str">
            <v>Nursing</v>
          </cell>
          <cell r="E812" t="str">
            <v>Nursing Services LVN LOC 8</v>
          </cell>
          <cell r="F812" t="str">
            <v>1213AM0302</v>
          </cell>
        </row>
        <row r="813">
          <cell r="A813" t="str">
            <v>1915(c) waiver</v>
          </cell>
          <cell r="C813" t="str">
            <v>HCS</v>
          </cell>
          <cell r="D813" t="str">
            <v>Nursing</v>
          </cell>
          <cell r="E813" t="str">
            <v>NURSING SERVICES LVN LOC 8 (CDS)</v>
          </cell>
          <cell r="F813" t="str">
            <v>2113AVM0335</v>
          </cell>
        </row>
        <row r="814">
          <cell r="A814" t="str">
            <v>1915(c) waiver</v>
          </cell>
          <cell r="C814" t="str">
            <v>HCS</v>
          </cell>
          <cell r="D814" t="str">
            <v>Nursing</v>
          </cell>
          <cell r="E814" t="str">
            <v>NURSING SERVICES LVN LOC 8 (CDS)</v>
          </cell>
          <cell r="F814" t="str">
            <v>1213AVM0335</v>
          </cell>
        </row>
        <row r="815">
          <cell r="A815" t="str">
            <v>1915(c) waiver</v>
          </cell>
          <cell r="C815" t="str">
            <v>HCS</v>
          </cell>
          <cell r="D815" t="str">
            <v>Nursing</v>
          </cell>
          <cell r="E815" t="str">
            <v>NURSING SERVICES RN - LC 1 - Out-of-Home</v>
          </cell>
          <cell r="F815" t="str">
            <v>2113BG2306</v>
          </cell>
          <cell r="P815"/>
        </row>
        <row r="816">
          <cell r="A816" t="str">
            <v>1915(c) waiver</v>
          </cell>
          <cell r="C816" t="str">
            <v>HCS</v>
          </cell>
          <cell r="D816" t="str">
            <v>Nursing</v>
          </cell>
          <cell r="E816" t="str">
            <v>NURSING SERVICES RN - LC 8 - Out-of-Home</v>
          </cell>
          <cell r="F816" t="str">
            <v>2113BG2307</v>
          </cell>
          <cell r="P816"/>
        </row>
        <row r="817">
          <cell r="A817" t="str">
            <v>1915(c) waiver</v>
          </cell>
          <cell r="C817" t="str">
            <v>HCS</v>
          </cell>
          <cell r="D817" t="str">
            <v>Nursing</v>
          </cell>
          <cell r="E817" t="str">
            <v>NURSING SERVICES RN LOC 1</v>
          </cell>
          <cell r="F817" t="str">
            <v>2113BM0299</v>
          </cell>
        </row>
        <row r="818">
          <cell r="A818" t="str">
            <v>1915(c) waiver</v>
          </cell>
          <cell r="C818" t="str">
            <v>HCS</v>
          </cell>
          <cell r="D818" t="str">
            <v>Nursing</v>
          </cell>
          <cell r="E818" t="str">
            <v>Nursing Services RN LOC 1</v>
          </cell>
          <cell r="F818" t="str">
            <v>1213BM0299</v>
          </cell>
        </row>
        <row r="819">
          <cell r="A819" t="str">
            <v>1915(c) waiver</v>
          </cell>
          <cell r="C819" t="str">
            <v>HCS</v>
          </cell>
          <cell r="D819" t="str">
            <v>Nursing</v>
          </cell>
          <cell r="E819" t="str">
            <v>NURSING SERVICES RN LOC 1 (CDS)</v>
          </cell>
          <cell r="F819" t="str">
            <v>2113BVM0351</v>
          </cell>
        </row>
        <row r="820">
          <cell r="A820" t="str">
            <v>1915(c) waiver</v>
          </cell>
          <cell r="C820" t="str">
            <v>HCS</v>
          </cell>
          <cell r="D820" t="str">
            <v>Nursing</v>
          </cell>
          <cell r="E820" t="str">
            <v>NURSING SERVICES RN LOC 1 (CDS)</v>
          </cell>
          <cell r="F820" t="str">
            <v>1213BVM0351</v>
          </cell>
        </row>
        <row r="821">
          <cell r="A821" t="str">
            <v>1915(c) waiver</v>
          </cell>
          <cell r="C821" t="str">
            <v>HCS</v>
          </cell>
          <cell r="D821" t="str">
            <v>Nursing</v>
          </cell>
          <cell r="E821" t="str">
            <v>NURSING SERVICES RN LOC 8</v>
          </cell>
          <cell r="F821" t="str">
            <v>2113BM0303</v>
          </cell>
        </row>
        <row r="822">
          <cell r="A822" t="str">
            <v>1915(c) waiver</v>
          </cell>
          <cell r="C822" t="str">
            <v>HCS</v>
          </cell>
          <cell r="D822" t="str">
            <v>Nursing</v>
          </cell>
          <cell r="E822" t="str">
            <v>Nursing Services RN LOC 8</v>
          </cell>
          <cell r="F822" t="str">
            <v>1213BM0303</v>
          </cell>
        </row>
        <row r="823">
          <cell r="A823" t="str">
            <v>1915(c) waiver</v>
          </cell>
          <cell r="C823" t="str">
            <v>HCS</v>
          </cell>
          <cell r="D823" t="str">
            <v>Nursing</v>
          </cell>
          <cell r="E823" t="str">
            <v>NURSING SERVICES RN LOC 8 (CDS)</v>
          </cell>
          <cell r="F823" t="str">
            <v>2113BVM0338</v>
          </cell>
        </row>
        <row r="824">
          <cell r="A824" t="str">
            <v>1915(c) waiver</v>
          </cell>
          <cell r="C824" t="str">
            <v>HCS</v>
          </cell>
          <cell r="D824" t="str">
            <v>Nursing</v>
          </cell>
          <cell r="E824" t="str">
            <v>NURSING SERVICES RN LOC 8 (CDS)</v>
          </cell>
          <cell r="F824" t="str">
            <v>1213BVM0338</v>
          </cell>
        </row>
        <row r="825">
          <cell r="A825" t="str">
            <v>1915(c) waiver</v>
          </cell>
          <cell r="C825" t="str">
            <v>HCS</v>
          </cell>
          <cell r="D825" t="str">
            <v>Nursing</v>
          </cell>
          <cell r="E825" t="str">
            <v>NURSING SERVICES SPECIALIZED LVN - LC 1 - Out-of-Home</v>
          </cell>
          <cell r="F825" t="str">
            <v>2113DG2314</v>
          </cell>
          <cell r="P825"/>
        </row>
        <row r="826">
          <cell r="A826" t="str">
            <v>1915(c) waiver</v>
          </cell>
          <cell r="C826" t="str">
            <v>HCS</v>
          </cell>
          <cell r="D826" t="str">
            <v>Nursing</v>
          </cell>
          <cell r="E826" t="str">
            <v>NURSING SERVICES SPECIALIZED LVN - LC 8 - Out-of-Home</v>
          </cell>
          <cell r="F826" t="str">
            <v>2113DG2315</v>
          </cell>
          <cell r="P826"/>
        </row>
        <row r="827">
          <cell r="A827" t="str">
            <v>1915(c) waiver</v>
          </cell>
          <cell r="C827" t="str">
            <v>HCS</v>
          </cell>
          <cell r="D827" t="str">
            <v>Nursing</v>
          </cell>
          <cell r="E827" t="str">
            <v>NURSING SERVICES SPECIALIZED LVN LOC 1</v>
          </cell>
          <cell r="F827" t="str">
            <v>2113DM0300</v>
          </cell>
        </row>
        <row r="828">
          <cell r="A828" t="str">
            <v>1915(c) waiver</v>
          </cell>
          <cell r="C828" t="str">
            <v>HCS</v>
          </cell>
          <cell r="D828" t="str">
            <v>Nursing</v>
          </cell>
          <cell r="E828" t="str">
            <v>Nursing Services Specialized- LVN LOC 1</v>
          </cell>
          <cell r="F828" t="str">
            <v>1213DM0300</v>
          </cell>
        </row>
        <row r="829">
          <cell r="A829" t="str">
            <v>1915(c) waiver</v>
          </cell>
          <cell r="C829" t="str">
            <v>HCS</v>
          </cell>
          <cell r="D829" t="str">
            <v>Nursing</v>
          </cell>
          <cell r="E829" t="str">
            <v>NURSING SERVICES SPECIALIZED LVN LOC 1 (CDS)</v>
          </cell>
          <cell r="F829" t="str">
            <v>2113DVM0352</v>
          </cell>
        </row>
        <row r="830">
          <cell r="A830" t="str">
            <v>1915(c) waiver</v>
          </cell>
          <cell r="C830" t="str">
            <v>HCS</v>
          </cell>
          <cell r="D830" t="str">
            <v>Nursing</v>
          </cell>
          <cell r="E830" t="str">
            <v>NURSING SERVICES SPECIALIZED LVN LOC 1 (CDS)</v>
          </cell>
          <cell r="F830" t="str">
            <v>1213DVM0352</v>
          </cell>
        </row>
        <row r="831">
          <cell r="A831" t="str">
            <v>1915(c) waiver</v>
          </cell>
          <cell r="C831" t="str">
            <v>HCS</v>
          </cell>
          <cell r="D831" t="str">
            <v>Nursing</v>
          </cell>
          <cell r="E831" t="str">
            <v>NURSING SERVICES SPECIALIZED LVN LOC 8</v>
          </cell>
          <cell r="F831" t="str">
            <v>2113DM0304</v>
          </cell>
        </row>
        <row r="832">
          <cell r="A832" t="str">
            <v>1915(c) waiver</v>
          </cell>
          <cell r="C832" t="str">
            <v>HCS</v>
          </cell>
          <cell r="D832" t="str">
            <v>Nursing</v>
          </cell>
          <cell r="E832" t="str">
            <v>Nursing Services Specialized- LVN LOC 8</v>
          </cell>
          <cell r="F832" t="str">
            <v>1213DM0304</v>
          </cell>
        </row>
        <row r="833">
          <cell r="A833" t="str">
            <v>1915(c) waiver</v>
          </cell>
          <cell r="C833" t="str">
            <v>HCS</v>
          </cell>
          <cell r="D833" t="str">
            <v>Nursing</v>
          </cell>
          <cell r="E833" t="str">
            <v>NURSING SERVICES SPECIALIZED LVN LOC 8 (CDS)</v>
          </cell>
          <cell r="F833" t="str">
            <v>2113DVM0336</v>
          </cell>
        </row>
        <row r="834">
          <cell r="A834" t="str">
            <v>1915(c) waiver</v>
          </cell>
          <cell r="C834" t="str">
            <v>HCS</v>
          </cell>
          <cell r="D834" t="str">
            <v>Nursing</v>
          </cell>
          <cell r="E834" t="str">
            <v>NURSING SERVICES SPECIALIZED LVN LOC 8 (CDS)</v>
          </cell>
          <cell r="F834" t="str">
            <v>1213DVM0336</v>
          </cell>
        </row>
        <row r="835">
          <cell r="A835" t="str">
            <v>1915(c) waiver</v>
          </cell>
          <cell r="C835" t="str">
            <v>HCS</v>
          </cell>
          <cell r="D835" t="str">
            <v>Nursing</v>
          </cell>
          <cell r="E835" t="str">
            <v>NURSING SERVICES SPECIALIZED RN - LC 1 - Out-of-Home</v>
          </cell>
          <cell r="F835" t="str">
            <v>2113CG2310</v>
          </cell>
          <cell r="P835"/>
        </row>
        <row r="836">
          <cell r="A836" t="str">
            <v>1915(c) waiver</v>
          </cell>
          <cell r="C836" t="str">
            <v>HCS</v>
          </cell>
          <cell r="D836" t="str">
            <v>Nursing</v>
          </cell>
          <cell r="E836" t="str">
            <v>NURSING SERVICES SPECIALIZED RN - LC 8 - Out-of-Home</v>
          </cell>
          <cell r="F836" t="str">
            <v>2113CG2311</v>
          </cell>
          <cell r="P836"/>
        </row>
        <row r="837">
          <cell r="A837" t="str">
            <v>1915(c) waiver</v>
          </cell>
          <cell r="C837" t="str">
            <v>HCS</v>
          </cell>
          <cell r="D837" t="str">
            <v>Nursing</v>
          </cell>
          <cell r="E837" t="str">
            <v>NURSING SERVICES SPECIALIZED RN LOC 1</v>
          </cell>
          <cell r="F837" t="str">
            <v>2113CM0301</v>
          </cell>
        </row>
        <row r="838">
          <cell r="A838" t="str">
            <v>1915(c) waiver</v>
          </cell>
          <cell r="C838" t="str">
            <v>HCS</v>
          </cell>
          <cell r="D838" t="str">
            <v>Nursing</v>
          </cell>
          <cell r="E838" t="str">
            <v>Nursing Services Specialized RN LOC 1</v>
          </cell>
          <cell r="F838" t="str">
            <v>1213CM0301</v>
          </cell>
        </row>
        <row r="839">
          <cell r="A839" t="str">
            <v>1915(c) waiver</v>
          </cell>
          <cell r="C839" t="str">
            <v>HCS</v>
          </cell>
          <cell r="D839" t="str">
            <v>Nursing</v>
          </cell>
          <cell r="E839" t="str">
            <v>NURSING SERVICES SPECIALIZED RN LOC 1 (CDS)</v>
          </cell>
          <cell r="F839" t="str">
            <v>2113CVM0353</v>
          </cell>
        </row>
        <row r="840">
          <cell r="A840" t="str">
            <v>1915(c) waiver</v>
          </cell>
          <cell r="C840" t="str">
            <v>HCS</v>
          </cell>
          <cell r="D840" t="str">
            <v>Nursing</v>
          </cell>
          <cell r="E840" t="str">
            <v>NURSING SERVICES SPECIALIZED RN LOC 1 (CDS)</v>
          </cell>
          <cell r="F840" t="str">
            <v>1213CVM0353</v>
          </cell>
        </row>
        <row r="841">
          <cell r="A841" t="str">
            <v>1915(c) waiver</v>
          </cell>
          <cell r="C841" t="str">
            <v>HCS</v>
          </cell>
          <cell r="D841" t="str">
            <v>Nursing</v>
          </cell>
          <cell r="E841" t="str">
            <v>NURSING SERVICES SPECIALIZED RN LOC 8</v>
          </cell>
          <cell r="F841" t="str">
            <v>2113CM0305</v>
          </cell>
        </row>
        <row r="842">
          <cell r="A842" t="str">
            <v>1915(c) waiver</v>
          </cell>
          <cell r="C842" t="str">
            <v>HCS</v>
          </cell>
          <cell r="D842" t="str">
            <v>Nursing</v>
          </cell>
          <cell r="E842" t="str">
            <v>Nursing Services Specialized RN LOC 8</v>
          </cell>
          <cell r="F842" t="str">
            <v>1213CM0305</v>
          </cell>
        </row>
        <row r="843">
          <cell r="A843" t="str">
            <v>1915(c) waiver</v>
          </cell>
          <cell r="C843" t="str">
            <v>HCS</v>
          </cell>
          <cell r="D843" t="str">
            <v>Nursing</v>
          </cell>
          <cell r="E843" t="str">
            <v>NURSING SERVICES SPECIALIZED RN LOC 8 (CDS)</v>
          </cell>
          <cell r="F843" t="str">
            <v>2113CVM0337</v>
          </cell>
        </row>
        <row r="844">
          <cell r="A844" t="str">
            <v>1915(c) waiver</v>
          </cell>
          <cell r="C844" t="str">
            <v>HCS</v>
          </cell>
          <cell r="D844" t="str">
            <v>Nursing</v>
          </cell>
          <cell r="E844" t="str">
            <v>NURSING SERVICES SPECIALIZED RN LOC 8 (CDS)</v>
          </cell>
          <cell r="F844" t="str">
            <v>1213CVM0337</v>
          </cell>
        </row>
        <row r="845">
          <cell r="A845" t="str">
            <v>1915(c) waiver</v>
          </cell>
          <cell r="C845" t="str">
            <v>HCS</v>
          </cell>
          <cell r="D845" t="str">
            <v>Out of Home Respite</v>
          </cell>
          <cell r="E845" t="str">
            <v>HOURLY RESPITE LOC 1 IN A CAMP</v>
          </cell>
          <cell r="F845" t="str">
            <v>2111XM0867</v>
          </cell>
        </row>
        <row r="846">
          <cell r="A846" t="str">
            <v>1915(c) waiver</v>
          </cell>
          <cell r="C846" t="str">
            <v>HCS</v>
          </cell>
          <cell r="D846" t="str">
            <v>Out of Home Respite</v>
          </cell>
          <cell r="E846" t="str">
            <v>HOURLY RESPITE LOC 1 IN A DH FACILITY</v>
          </cell>
          <cell r="F846" t="str">
            <v>2111XM0850</v>
          </cell>
        </row>
        <row r="847">
          <cell r="A847" t="str">
            <v>1915(c) waiver</v>
          </cell>
          <cell r="C847" t="str">
            <v>HCS</v>
          </cell>
          <cell r="D847" t="str">
            <v>Out of Home Respite</v>
          </cell>
          <cell r="E847" t="str">
            <v>HOURLY RESPITE LOC 1 IN A DH FACILITY (CDS)</v>
          </cell>
          <cell r="F847" t="str">
            <v>2111XVM0871</v>
          </cell>
        </row>
        <row r="848">
          <cell r="A848" t="str">
            <v>1915(c) waiver</v>
          </cell>
          <cell r="C848" t="str">
            <v>HCS</v>
          </cell>
          <cell r="D848" t="str">
            <v>Out of Home Respite</v>
          </cell>
          <cell r="E848" t="str">
            <v>HOURLY RESPITE LOC 1 IN A RESPITE FACILITY</v>
          </cell>
          <cell r="F848" t="str">
            <v>2111XM0869</v>
          </cell>
        </row>
        <row r="849">
          <cell r="A849" t="str">
            <v>1915(c) waiver</v>
          </cell>
          <cell r="C849" t="str">
            <v>HCS</v>
          </cell>
          <cell r="D849" t="str">
            <v>Out of Home Respite</v>
          </cell>
          <cell r="E849" t="str">
            <v xml:space="preserve">HOURLY RESPITE LOC 1 IN A SETTING NOT LISTED </v>
          </cell>
          <cell r="F849" t="str">
            <v>2111XM0865</v>
          </cell>
        </row>
        <row r="850">
          <cell r="A850" t="str">
            <v>1915(c) waiver</v>
          </cell>
          <cell r="C850" t="str">
            <v>HCS</v>
          </cell>
          <cell r="D850" t="str">
            <v>Out of Home Respite</v>
          </cell>
          <cell r="E850" t="str">
            <v>HOURLY RESPITE LOC 1 IN A SETTING NOT LISTED (CDS)</v>
          </cell>
          <cell r="F850" t="str">
            <v>2111XVM0877</v>
          </cell>
        </row>
        <row r="851">
          <cell r="A851" t="str">
            <v>1915(c) waiver</v>
          </cell>
          <cell r="C851" t="str">
            <v>HCS</v>
          </cell>
          <cell r="D851" t="str">
            <v>Out of Home Respite</v>
          </cell>
          <cell r="E851" t="str">
            <v>HOURLY RESPITE LOC 1 IN-CAMP (CDS)</v>
          </cell>
          <cell r="F851" t="str">
            <v>2111XVM1091</v>
          </cell>
        </row>
        <row r="852">
          <cell r="A852" t="str">
            <v>1915(c) waiver</v>
          </cell>
          <cell r="C852" t="str">
            <v>HCS</v>
          </cell>
          <cell r="D852" t="str">
            <v>Out of Home Respite</v>
          </cell>
          <cell r="E852" t="str">
            <v>HOURLY RESPITE LOC 8 IN A CAMP</v>
          </cell>
          <cell r="F852" t="str">
            <v>2111XM0868</v>
          </cell>
        </row>
        <row r="853">
          <cell r="A853" t="str">
            <v>1915(c) waiver</v>
          </cell>
          <cell r="C853" t="str">
            <v>HCS</v>
          </cell>
          <cell r="D853" t="str">
            <v>Out of Home Respite</v>
          </cell>
          <cell r="E853" t="str">
            <v>HOURLY RESPITE LOC 8 IN A DH FACILITY</v>
          </cell>
          <cell r="F853" t="str">
            <v>2111XM0851</v>
          </cell>
        </row>
        <row r="854">
          <cell r="A854" t="str">
            <v>1915(c) waiver</v>
          </cell>
          <cell r="C854" t="str">
            <v>HCS</v>
          </cell>
          <cell r="D854" t="str">
            <v>Out of Home Respite</v>
          </cell>
          <cell r="E854" t="str">
            <v>HOURLY RESPITE LOC 8 IN A DH FACILITY (CDS)</v>
          </cell>
          <cell r="F854" t="str">
            <v>2111XVM0872</v>
          </cell>
        </row>
        <row r="855">
          <cell r="A855" t="str">
            <v>1915(c) waiver</v>
          </cell>
          <cell r="C855" t="str">
            <v>HCS</v>
          </cell>
          <cell r="D855" t="str">
            <v>Out of Home Respite</v>
          </cell>
          <cell r="E855" t="str">
            <v>HOURLY RESPITE LOC 8 IN A RESPITE FACILITY</v>
          </cell>
          <cell r="F855" t="str">
            <v>2111XM0870</v>
          </cell>
          <cell r="P855"/>
        </row>
        <row r="856">
          <cell r="A856" t="str">
            <v>1915(c) waiver</v>
          </cell>
          <cell r="C856" t="str">
            <v>HCS</v>
          </cell>
          <cell r="D856" t="str">
            <v>Out of Home Respite</v>
          </cell>
          <cell r="E856" t="str">
            <v xml:space="preserve">HOURLY RESPITE LOC 8 IN A SETTING NOT LISTED </v>
          </cell>
          <cell r="F856" t="str">
            <v>2111XM0866</v>
          </cell>
          <cell r="P856"/>
        </row>
        <row r="857">
          <cell r="A857" t="str">
            <v>1915(c) waiver</v>
          </cell>
          <cell r="C857" t="str">
            <v>HCS</v>
          </cell>
          <cell r="D857" t="str">
            <v>Out of Home Respite</v>
          </cell>
          <cell r="E857" t="str">
            <v>HOURLY RESPITE LOC 8 IN A SETTING NOT LISTED (CDS)</v>
          </cell>
          <cell r="F857" t="str">
            <v>2111XVM0878</v>
          </cell>
          <cell r="P857"/>
        </row>
        <row r="858">
          <cell r="A858" t="str">
            <v>1915(c) waiver</v>
          </cell>
          <cell r="C858" t="str">
            <v>HCS</v>
          </cell>
          <cell r="D858" t="str">
            <v>Out of Home Respite</v>
          </cell>
          <cell r="E858" t="str">
            <v>HOURLY RESPITE LOC 8 IN-CAMP (CDS)</v>
          </cell>
          <cell r="F858" t="str">
            <v>2111XVM1092</v>
          </cell>
          <cell r="P858"/>
        </row>
        <row r="859">
          <cell r="A859" t="str">
            <v>State Plan (Title XIX)</v>
          </cell>
          <cell r="C859" t="str">
            <v>HCS</v>
          </cell>
          <cell r="D859" t="str">
            <v>PAS/HAB</v>
          </cell>
          <cell r="E859" t="str">
            <v>CFC PAS/HAB (CDS) LOC 1</v>
          </cell>
          <cell r="F859" t="str">
            <v>2110CFVM0355</v>
          </cell>
          <cell r="P859" t="str">
            <v>CFC</v>
          </cell>
        </row>
        <row r="860">
          <cell r="A860" t="str">
            <v>State Plan (Title XIX)</v>
          </cell>
          <cell r="C860" t="str">
            <v>HCS</v>
          </cell>
          <cell r="D860" t="str">
            <v>PAS/HAB</v>
          </cell>
          <cell r="E860" t="str">
            <v>CFC PAS/HAB (CDS) LOC 1</v>
          </cell>
          <cell r="F860" t="str">
            <v>1210CFVM0355</v>
          </cell>
          <cell r="P860" t="str">
            <v>CFC</v>
          </cell>
        </row>
        <row r="861">
          <cell r="A861" t="str">
            <v>State Plan (Title XIX)</v>
          </cell>
          <cell r="C861" t="str">
            <v>HCS</v>
          </cell>
          <cell r="D861" t="str">
            <v>PAS/HAB</v>
          </cell>
          <cell r="E861" t="str">
            <v>CFC PAS/HAB (CDS) LOC 8</v>
          </cell>
          <cell r="F861" t="str">
            <v>2110CFVM0367</v>
          </cell>
          <cell r="P861" t="str">
            <v>CFC</v>
          </cell>
        </row>
        <row r="862">
          <cell r="A862" t="str">
            <v>State Plan (Title XIX)</v>
          </cell>
          <cell r="C862" t="str">
            <v>HCS</v>
          </cell>
          <cell r="D862" t="str">
            <v>PAS/HAB</v>
          </cell>
          <cell r="E862" t="str">
            <v>CFC PAS/HAB (CDS) LOC 8</v>
          </cell>
          <cell r="F862" t="str">
            <v>1210CFVM0367</v>
          </cell>
          <cell r="P862" t="str">
            <v>CFC</v>
          </cell>
        </row>
        <row r="863">
          <cell r="A863" t="str">
            <v>State Plan (Title XIX)</v>
          </cell>
          <cell r="C863" t="str">
            <v>HCS</v>
          </cell>
          <cell r="D863" t="str">
            <v>PAS/HAB</v>
          </cell>
          <cell r="E863" t="str">
            <v>CFC PAS/HAB LOC 1</v>
          </cell>
          <cell r="F863" t="str">
            <v>2110CFCM0354</v>
          </cell>
          <cell r="P863" t="str">
            <v>CFC</v>
          </cell>
        </row>
        <row r="864">
          <cell r="A864" t="str">
            <v>State Plan (Title XIX)</v>
          </cell>
          <cell r="C864" t="str">
            <v>HCS</v>
          </cell>
          <cell r="D864" t="str">
            <v>PAS/HAB</v>
          </cell>
          <cell r="E864" t="str">
            <v>CFC PAS/HAB LOC 1</v>
          </cell>
          <cell r="F864" t="str">
            <v>1210CFCM0354</v>
          </cell>
          <cell r="P864" t="str">
            <v>CFC</v>
          </cell>
        </row>
        <row r="865">
          <cell r="A865" t="str">
            <v>State Plan (Title XIX)</v>
          </cell>
          <cell r="C865" t="str">
            <v>HCS</v>
          </cell>
          <cell r="D865" t="str">
            <v>PAS/HAB</v>
          </cell>
          <cell r="E865" t="str">
            <v>CFC PAS/HAB LOC 8</v>
          </cell>
          <cell r="F865" t="str">
            <v>2110CFCM0366</v>
          </cell>
          <cell r="P865" t="str">
            <v>CFC</v>
          </cell>
        </row>
        <row r="866">
          <cell r="A866" t="str">
            <v>State Plan (Title XIX)</v>
          </cell>
          <cell r="C866" t="str">
            <v>HCS</v>
          </cell>
          <cell r="D866" t="str">
            <v>PAS/HAB</v>
          </cell>
          <cell r="E866" t="str">
            <v>CFC PAS/HAB LOC 8</v>
          </cell>
          <cell r="F866" t="str">
            <v>1210CFCM0366</v>
          </cell>
          <cell r="P866" t="str">
            <v>CFC</v>
          </cell>
        </row>
        <row r="867">
          <cell r="A867" t="str">
            <v>1915(c) waiver</v>
          </cell>
          <cell r="C867" t="str">
            <v>HCS</v>
          </cell>
          <cell r="D867" t="str">
            <v>PAS/HAB</v>
          </cell>
          <cell r="E867" t="str">
            <v>Supported Home Living (CDS) Transportation LOC 1</v>
          </cell>
          <cell r="F867" t="str">
            <v>1258VM0158</v>
          </cell>
          <cell r="P867"/>
        </row>
        <row r="868">
          <cell r="A868" t="str">
            <v>1915(c) waiver</v>
          </cell>
          <cell r="C868" t="str">
            <v>HCS</v>
          </cell>
          <cell r="D868" t="str">
            <v>PAS/HAB</v>
          </cell>
          <cell r="E868" t="str">
            <v>Supported Home Living (CDS) Transportation LOC 8</v>
          </cell>
          <cell r="F868" t="str">
            <v>1258VM0159</v>
          </cell>
          <cell r="P868"/>
        </row>
        <row r="869">
          <cell r="A869" t="str">
            <v>1915(c) waiver</v>
          </cell>
          <cell r="C869" t="str">
            <v>HCS</v>
          </cell>
          <cell r="D869" t="str">
            <v>PAS/HAB</v>
          </cell>
          <cell r="E869" t="str">
            <v>Supported Home Living Transportation LOC 1</v>
          </cell>
          <cell r="F869" t="str">
            <v>1258M0156</v>
          </cell>
          <cell r="P869"/>
        </row>
        <row r="870">
          <cell r="A870" t="str">
            <v>1915(c) waiver</v>
          </cell>
          <cell r="C870" t="str">
            <v>HCS</v>
          </cell>
          <cell r="D870" t="str">
            <v>PAS/HAB</v>
          </cell>
          <cell r="E870" t="str">
            <v>Supported Home Living Transportation LOC 8</v>
          </cell>
          <cell r="F870" t="str">
            <v>1258M0157</v>
          </cell>
          <cell r="P870"/>
        </row>
        <row r="871">
          <cell r="A871" t="str">
            <v>1915(c) waiver</v>
          </cell>
          <cell r="C871" t="str">
            <v>HCS</v>
          </cell>
          <cell r="D871" t="str">
            <v>PAS/HAB</v>
          </cell>
          <cell r="E871" t="str">
            <v>Transportation (CDS) LOC 1</v>
          </cell>
          <cell r="F871" t="str">
            <v>1248VM0373</v>
          </cell>
          <cell r="P871"/>
        </row>
        <row r="872">
          <cell r="A872" t="str">
            <v>1915(c) waiver</v>
          </cell>
          <cell r="C872" t="str">
            <v>HCS</v>
          </cell>
          <cell r="D872" t="str">
            <v>PAS/HAB</v>
          </cell>
          <cell r="E872" t="str">
            <v xml:space="preserve">TRANSPORTATION (CDS) LOC 1 </v>
          </cell>
          <cell r="F872" t="str">
            <v>2148VM0373</v>
          </cell>
          <cell r="P872"/>
        </row>
        <row r="873">
          <cell r="A873" t="str">
            <v>1915(c) waiver</v>
          </cell>
          <cell r="C873" t="str">
            <v>HCS</v>
          </cell>
          <cell r="D873" t="str">
            <v>PAS/HAB</v>
          </cell>
          <cell r="E873" t="str">
            <v>Transportation (CDS) LOC 8</v>
          </cell>
          <cell r="F873" t="str">
            <v>1248VM0418</v>
          </cell>
          <cell r="P873"/>
        </row>
        <row r="874">
          <cell r="A874" t="str">
            <v>1915(c) waiver</v>
          </cell>
          <cell r="C874" t="str">
            <v>HCS</v>
          </cell>
          <cell r="D874" t="str">
            <v>PAS/HAB</v>
          </cell>
          <cell r="E874" t="str">
            <v xml:space="preserve">TRANSPORTATION (CDS) LOC 8 </v>
          </cell>
          <cell r="F874" t="str">
            <v>2148VM0418</v>
          </cell>
          <cell r="P874"/>
        </row>
        <row r="875">
          <cell r="A875" t="str">
            <v>1915(c) waiver</v>
          </cell>
          <cell r="C875" t="str">
            <v>HCS</v>
          </cell>
          <cell r="D875" t="str">
            <v>PAS/HAB</v>
          </cell>
          <cell r="E875" t="str">
            <v>TRANSPORTATION LOC 1</v>
          </cell>
          <cell r="F875" t="str">
            <v>2148M0372</v>
          </cell>
          <cell r="P875"/>
        </row>
        <row r="876">
          <cell r="A876" t="str">
            <v>1915(c) waiver</v>
          </cell>
          <cell r="C876" t="str">
            <v>HCS</v>
          </cell>
          <cell r="D876" t="str">
            <v>PAS/HAB</v>
          </cell>
          <cell r="E876" t="str">
            <v>Transportation LOC 1</v>
          </cell>
          <cell r="F876" t="str">
            <v>1248M0372</v>
          </cell>
          <cell r="P876"/>
        </row>
        <row r="877">
          <cell r="A877" t="str">
            <v>1915(c) waiver</v>
          </cell>
          <cell r="C877" t="str">
            <v>HCS</v>
          </cell>
          <cell r="D877" t="str">
            <v>PAS/HAB</v>
          </cell>
          <cell r="E877" t="str">
            <v>TRANSPORTATION LOC 8</v>
          </cell>
          <cell r="F877" t="str">
            <v>2148M0374</v>
          </cell>
          <cell r="P877"/>
        </row>
        <row r="878">
          <cell r="A878" t="str">
            <v>1915(c) waiver</v>
          </cell>
          <cell r="C878" t="str">
            <v>HCS</v>
          </cell>
          <cell r="D878" t="str">
            <v>PAS/HAB</v>
          </cell>
          <cell r="E878" t="str">
            <v>Transportation LOC 8</v>
          </cell>
          <cell r="F878" t="str">
            <v>1248M0374</v>
          </cell>
          <cell r="P878"/>
        </row>
        <row r="879">
          <cell r="A879" t="str">
            <v>1915(c) waiver</v>
          </cell>
          <cell r="C879" t="str">
            <v>HCS</v>
          </cell>
          <cell r="D879" t="str">
            <v>PT/OT/ST</v>
          </cell>
          <cell r="E879" t="str">
            <v>In-Home OCCUPATIONAL THERAPY - LC 1 - EVV OHFH</v>
          </cell>
          <cell r="F879" t="str">
            <v>217G2254</v>
          </cell>
        </row>
        <row r="880">
          <cell r="A880" t="str">
            <v>1915(c) waiver</v>
          </cell>
          <cell r="C880" t="str">
            <v>HCS</v>
          </cell>
          <cell r="D880" t="str">
            <v>PT/OT/ST</v>
          </cell>
          <cell r="E880" t="str">
            <v>In-Home OCCUPATIONAL THERAPY - LC 1 - Other Residential Types</v>
          </cell>
          <cell r="F880" t="str">
            <v>217G2286</v>
          </cell>
        </row>
        <row r="881">
          <cell r="A881" t="str">
            <v>1915(c) waiver</v>
          </cell>
          <cell r="C881" t="str">
            <v>HCS</v>
          </cell>
          <cell r="D881" t="str">
            <v>PT/OT/ST</v>
          </cell>
          <cell r="E881" t="str">
            <v>In-Home OCCUPATIONAL THERAPY - LC 8 - EVV OHFH</v>
          </cell>
          <cell r="F881" t="str">
            <v>217G2255</v>
          </cell>
        </row>
        <row r="882">
          <cell r="A882" t="str">
            <v>1915(c) waiver</v>
          </cell>
          <cell r="C882" t="str">
            <v>HCS</v>
          </cell>
          <cell r="D882" t="str">
            <v>PT/OT/ST</v>
          </cell>
          <cell r="E882" t="str">
            <v>In-Home OCCUPATIONAL THERAPY - LC 8 - Other Residential Types</v>
          </cell>
          <cell r="F882" t="str">
            <v>217G2287</v>
          </cell>
        </row>
        <row r="883">
          <cell r="A883" t="str">
            <v>1915(c) waiver</v>
          </cell>
          <cell r="C883" t="str">
            <v>HCS</v>
          </cell>
          <cell r="D883" t="str">
            <v>PT/OT/ST</v>
          </cell>
          <cell r="E883" t="str">
            <v>In-Home PHYSICAL THERAPY - LC 1 - EVV OHFH</v>
          </cell>
          <cell r="F883" t="str">
            <v>218G2256</v>
          </cell>
        </row>
        <row r="884">
          <cell r="A884" t="str">
            <v>1915(c) waiver</v>
          </cell>
          <cell r="C884" t="str">
            <v>HCS</v>
          </cell>
          <cell r="D884" t="str">
            <v>PT/OT/ST</v>
          </cell>
          <cell r="E884" t="str">
            <v>In-Home PHYSICAL THERAPY - LC 1 - Other Residential Types</v>
          </cell>
          <cell r="F884" t="str">
            <v>218G2288</v>
          </cell>
        </row>
        <row r="885">
          <cell r="A885" t="str">
            <v>1915(c) waiver</v>
          </cell>
          <cell r="C885" t="str">
            <v>HCS</v>
          </cell>
          <cell r="D885" t="str">
            <v>PT/OT/ST</v>
          </cell>
          <cell r="E885" t="str">
            <v>In-Home PHYSICAL THERAPY - LC 8 - EVV OHFH</v>
          </cell>
          <cell r="F885" t="str">
            <v>218G2257</v>
          </cell>
        </row>
        <row r="886">
          <cell r="A886" t="str">
            <v>1915(c) waiver</v>
          </cell>
          <cell r="C886" t="str">
            <v>HCS</v>
          </cell>
          <cell r="D886" t="str">
            <v>PT/OT/ST</v>
          </cell>
          <cell r="E886" t="str">
            <v>In-Home PHYSICAL THERAPY - LC 8 - Other Residential Types</v>
          </cell>
          <cell r="F886" t="str">
            <v>218G2289</v>
          </cell>
        </row>
        <row r="887">
          <cell r="A887" t="str">
            <v>1915(c) waiver</v>
          </cell>
          <cell r="C887" t="str">
            <v>HCS</v>
          </cell>
          <cell r="D887" t="str">
            <v>PT/OT/ST</v>
          </cell>
          <cell r="E887" t="str">
            <v>OCCUPATIONAL THERAPY - LC 1 - Out-of-Home</v>
          </cell>
          <cell r="F887" t="str">
            <v>217G2298</v>
          </cell>
        </row>
        <row r="888">
          <cell r="A888" t="str">
            <v>1915(c) waiver</v>
          </cell>
          <cell r="C888" t="str">
            <v>HCS</v>
          </cell>
          <cell r="D888" t="str">
            <v>PT/OT/ST</v>
          </cell>
          <cell r="E888" t="str">
            <v>OCCUPATIONAL THERAPY - LC 8 - Out-of-Home</v>
          </cell>
          <cell r="F888" t="str">
            <v>217G2299</v>
          </cell>
        </row>
        <row r="889">
          <cell r="A889" t="str">
            <v>1915(c) waiver</v>
          </cell>
          <cell r="C889" t="str">
            <v>HCS</v>
          </cell>
          <cell r="D889" t="str">
            <v>PT/OT/ST</v>
          </cell>
          <cell r="E889" t="str">
            <v>OCCUPATIONAL THERAPY LOC 1</v>
          </cell>
          <cell r="F889" t="str">
            <v>217M0131</v>
          </cell>
          <cell r="P889"/>
        </row>
        <row r="890">
          <cell r="A890" t="str">
            <v>1915(c) waiver</v>
          </cell>
          <cell r="C890" t="str">
            <v>HCS</v>
          </cell>
          <cell r="D890" t="str">
            <v>PT/OT/ST</v>
          </cell>
          <cell r="E890" t="str">
            <v>Occupational Therapy LOC 1</v>
          </cell>
          <cell r="F890" t="str">
            <v>127M0131</v>
          </cell>
          <cell r="P890"/>
        </row>
        <row r="891">
          <cell r="A891" t="str">
            <v>1915(c) waiver</v>
          </cell>
          <cell r="C891" t="str">
            <v>HCS</v>
          </cell>
          <cell r="D891" t="str">
            <v>PT/OT/ST</v>
          </cell>
          <cell r="E891" t="str">
            <v>OCCUPATIONAL THERAPY LOC 1 Telehealth</v>
          </cell>
          <cell r="F891" t="str">
            <v>217M0131</v>
          </cell>
          <cell r="P891"/>
        </row>
        <row r="892">
          <cell r="A892" t="str">
            <v>1915(c) waiver</v>
          </cell>
          <cell r="C892" t="str">
            <v>HCS</v>
          </cell>
          <cell r="D892" t="str">
            <v>PT/OT/ST</v>
          </cell>
          <cell r="E892" t="str">
            <v>OCCUPATIONAL THERAPY LOC 8</v>
          </cell>
          <cell r="F892" t="str">
            <v>217M0132</v>
          </cell>
          <cell r="P892"/>
        </row>
        <row r="893">
          <cell r="A893" t="str">
            <v>1915(c) waiver</v>
          </cell>
          <cell r="C893" t="str">
            <v>HCS</v>
          </cell>
          <cell r="D893" t="str">
            <v>PT/OT/ST</v>
          </cell>
          <cell r="E893" t="str">
            <v>Occupational Therapy LOC 8</v>
          </cell>
          <cell r="F893" t="str">
            <v>127M0132</v>
          </cell>
          <cell r="P893"/>
        </row>
        <row r="894">
          <cell r="A894" t="str">
            <v>1915(c) waiver</v>
          </cell>
          <cell r="C894" t="str">
            <v>HCS</v>
          </cell>
          <cell r="D894" t="str">
            <v>PT/OT/ST</v>
          </cell>
          <cell r="E894" t="str">
            <v>OCCUPATIONAL THERAPY LOC 8 Telehealth</v>
          </cell>
          <cell r="F894" t="str">
            <v>217M0132</v>
          </cell>
          <cell r="P894"/>
        </row>
        <row r="895">
          <cell r="A895" t="str">
            <v>1915(c) waiver</v>
          </cell>
          <cell r="C895" t="str">
            <v>HCS</v>
          </cell>
          <cell r="D895" t="str">
            <v>PT/OT/ST</v>
          </cell>
          <cell r="E895" t="str">
            <v>PHYSICAL THERAPY - LC 1 - Out-of-Home</v>
          </cell>
          <cell r="F895" t="str">
            <v>218G2300</v>
          </cell>
        </row>
        <row r="896">
          <cell r="A896" t="str">
            <v>1915(c) waiver</v>
          </cell>
          <cell r="C896" t="str">
            <v>HCS</v>
          </cell>
          <cell r="D896" t="str">
            <v>PT/OT/ST</v>
          </cell>
          <cell r="E896" t="str">
            <v>PHYSICAL THERAPY - LC 8 - Out-of-Home</v>
          </cell>
          <cell r="F896" t="str">
            <v>218G2301</v>
          </cell>
        </row>
        <row r="897">
          <cell r="A897" t="str">
            <v>1915(c) waiver</v>
          </cell>
          <cell r="C897" t="str">
            <v>HCS</v>
          </cell>
          <cell r="D897" t="str">
            <v>PT/OT/ST</v>
          </cell>
          <cell r="E897" t="str">
            <v>PHYSICAL THERAPY LOC 1</v>
          </cell>
          <cell r="F897" t="str">
            <v>218M0135</v>
          </cell>
          <cell r="P897"/>
        </row>
        <row r="898">
          <cell r="A898" t="str">
            <v>1915(c) waiver</v>
          </cell>
          <cell r="C898" t="str">
            <v>HCS</v>
          </cell>
          <cell r="D898" t="str">
            <v>PT/OT/ST</v>
          </cell>
          <cell r="E898" t="str">
            <v>Physical therapy LOC 1</v>
          </cell>
          <cell r="F898" t="str">
            <v>128M0135</v>
          </cell>
          <cell r="P898"/>
        </row>
        <row r="899">
          <cell r="A899" t="str">
            <v>1915(c) waiver</v>
          </cell>
          <cell r="C899" t="str">
            <v>HCS</v>
          </cell>
          <cell r="D899" t="str">
            <v>PT/OT/ST</v>
          </cell>
          <cell r="E899" t="str">
            <v>PHYSICAL THERAPY LOC 1 Telehealth</v>
          </cell>
          <cell r="F899" t="str">
            <v>218M0135</v>
          </cell>
          <cell r="P899"/>
        </row>
        <row r="900">
          <cell r="A900" t="str">
            <v>1915(c) waiver</v>
          </cell>
          <cell r="C900" t="str">
            <v>HCS</v>
          </cell>
          <cell r="D900" t="str">
            <v>PT/OT/ST</v>
          </cell>
          <cell r="E900" t="str">
            <v>PHYSICAL THERAPY LOC 8</v>
          </cell>
          <cell r="F900" t="str">
            <v>218M0136</v>
          </cell>
          <cell r="P900"/>
        </row>
        <row r="901">
          <cell r="A901" t="str">
            <v>1915(c) waiver</v>
          </cell>
          <cell r="C901" t="str">
            <v>HCS</v>
          </cell>
          <cell r="D901" t="str">
            <v>PT/OT/ST</v>
          </cell>
          <cell r="E901" t="str">
            <v>Physical therapy LOC 8</v>
          </cell>
          <cell r="F901" t="str">
            <v>128M0136</v>
          </cell>
          <cell r="P901"/>
        </row>
        <row r="902">
          <cell r="A902" t="str">
            <v>1915(c) waiver</v>
          </cell>
          <cell r="C902" t="str">
            <v>HCS</v>
          </cell>
          <cell r="D902" t="str">
            <v>PT/OT/ST</v>
          </cell>
          <cell r="E902" t="str">
            <v>PHYSICAL THERAPY LOC 8 Telehealth</v>
          </cell>
          <cell r="F902" t="str">
            <v>218M0136</v>
          </cell>
          <cell r="P902"/>
        </row>
        <row r="903">
          <cell r="A903" t="str">
            <v>1915(c) waiver</v>
          </cell>
          <cell r="C903" t="str">
            <v>HCS</v>
          </cell>
          <cell r="D903" t="str">
            <v>PT/OT/ST</v>
          </cell>
          <cell r="E903" t="str">
            <v>Speech therapy LOC 1</v>
          </cell>
          <cell r="F903" t="str">
            <v>129M0171</v>
          </cell>
          <cell r="P903"/>
        </row>
        <row r="904">
          <cell r="A904" t="str">
            <v>1915(c) waiver</v>
          </cell>
          <cell r="C904" t="str">
            <v>HCS</v>
          </cell>
          <cell r="D904" t="str">
            <v>PT/OT/ST</v>
          </cell>
          <cell r="E904" t="str">
            <v>Speech therapy LOC 8</v>
          </cell>
          <cell r="F904" t="str">
            <v>129M0172</v>
          </cell>
          <cell r="P904"/>
        </row>
        <row r="905">
          <cell r="A905" t="str">
            <v>1915(c) waiver</v>
          </cell>
          <cell r="C905" t="str">
            <v>HCS</v>
          </cell>
          <cell r="D905" t="str">
            <v>PT/OT/ST</v>
          </cell>
          <cell r="E905" t="str">
            <v>SPEECH/LANGUAGE/PATHOLOGY THERAPY LOC 1</v>
          </cell>
          <cell r="F905" t="str">
            <v>219M0171</v>
          </cell>
          <cell r="P905"/>
        </row>
        <row r="906">
          <cell r="A906" t="str">
            <v>1915(c) waiver</v>
          </cell>
          <cell r="C906" t="str">
            <v>HCS</v>
          </cell>
          <cell r="D906" t="str">
            <v>PT/OT/ST</v>
          </cell>
          <cell r="E906" t="str">
            <v>SPEECH/LANGUAGE/PATHOLOGY THERAPY LOC 1 Telehealth</v>
          </cell>
          <cell r="F906" t="str">
            <v>219M0171</v>
          </cell>
          <cell r="P906"/>
        </row>
        <row r="907">
          <cell r="A907" t="str">
            <v>1915(c) waiver</v>
          </cell>
          <cell r="C907" t="str">
            <v>HCS</v>
          </cell>
          <cell r="D907" t="str">
            <v>PT/OT/ST</v>
          </cell>
          <cell r="E907" t="str">
            <v>SPEECH/LANGUAGE/PATHOLOGY THERAPY LOC 8</v>
          </cell>
          <cell r="F907" t="str">
            <v>219M0172</v>
          </cell>
          <cell r="P907"/>
        </row>
        <row r="908">
          <cell r="A908" t="str">
            <v>1915(c) waiver</v>
          </cell>
          <cell r="C908" t="str">
            <v>HCS</v>
          </cell>
          <cell r="D908" t="str">
            <v>Requisition Fees</v>
          </cell>
          <cell r="E908" t="str">
            <v>AA REQUISITION FEE $0-499.99</v>
          </cell>
          <cell r="F908" t="str">
            <v>2141M0248</v>
          </cell>
          <cell r="P908"/>
        </row>
        <row r="909">
          <cell r="A909" t="str">
            <v>1915(c) waiver</v>
          </cell>
          <cell r="C909" t="str">
            <v>HCS</v>
          </cell>
          <cell r="D909" t="str">
            <v>Requisition Fees</v>
          </cell>
          <cell r="E909" t="str">
            <v>AA REQUISITION FEE $0-499.99</v>
          </cell>
          <cell r="F909" t="str">
            <v>2141M0259</v>
          </cell>
          <cell r="P909"/>
        </row>
        <row r="910">
          <cell r="A910" t="str">
            <v>1915(c) waiver</v>
          </cell>
          <cell r="C910" t="str">
            <v>HCS</v>
          </cell>
          <cell r="D910" t="str">
            <v>Requisition Fees</v>
          </cell>
          <cell r="E910" t="str">
            <v>AA REQUISITION FEE $1000.00-1499.99</v>
          </cell>
          <cell r="F910" t="str">
            <v>2141M0250</v>
          </cell>
          <cell r="P910"/>
        </row>
        <row r="911">
          <cell r="A911" t="str">
            <v>1915(c) waiver</v>
          </cell>
          <cell r="C911" t="str">
            <v>HCS</v>
          </cell>
          <cell r="D911" t="str">
            <v>Requisition Fees</v>
          </cell>
          <cell r="E911" t="str">
            <v>AA REQUISITION FEE $1000.00-1499.99</v>
          </cell>
          <cell r="F911" t="str">
            <v>2141M0261</v>
          </cell>
        </row>
        <row r="912">
          <cell r="A912" t="str">
            <v>1915(c) waiver</v>
          </cell>
          <cell r="C912" t="str">
            <v>HCS</v>
          </cell>
          <cell r="D912" t="str">
            <v>Requisition Fees</v>
          </cell>
          <cell r="E912" t="str">
            <v>AA REQUISITION FEE $1500.00-1999.99</v>
          </cell>
          <cell r="F912" t="str">
            <v>2141M0251</v>
          </cell>
        </row>
        <row r="913">
          <cell r="A913" t="str">
            <v>1915(c) waiver</v>
          </cell>
          <cell r="C913" t="str">
            <v>HCS</v>
          </cell>
          <cell r="D913" t="str">
            <v>Requisition Fees</v>
          </cell>
          <cell r="E913" t="str">
            <v>AA REQUISITION FEE $1500.00-1999.99</v>
          </cell>
          <cell r="F913" t="str">
            <v>2141M0262</v>
          </cell>
        </row>
        <row r="914">
          <cell r="A914" t="str">
            <v>1915(c) waiver</v>
          </cell>
          <cell r="C914" t="str">
            <v>HCS</v>
          </cell>
          <cell r="D914" t="str">
            <v>Requisition Fees</v>
          </cell>
          <cell r="E914" t="str">
            <v>AA REQUISITION FEE $2000.00-2499.99</v>
          </cell>
          <cell r="F914" t="str">
            <v>2141M0252</v>
          </cell>
        </row>
        <row r="915">
          <cell r="A915" t="str">
            <v>1915(c) waiver</v>
          </cell>
          <cell r="C915" t="str">
            <v>HCS</v>
          </cell>
          <cell r="D915" t="str">
            <v>Requisition Fees</v>
          </cell>
          <cell r="E915" t="str">
            <v>AA REQUISITION FEE $2000.00-2499.99</v>
          </cell>
          <cell r="F915" t="str">
            <v>2141M0263</v>
          </cell>
        </row>
        <row r="916">
          <cell r="A916" t="str">
            <v>1915(c) waiver</v>
          </cell>
          <cell r="C916" t="str">
            <v>HCS</v>
          </cell>
          <cell r="D916" t="str">
            <v>Requisition Fees</v>
          </cell>
          <cell r="E916" t="str">
            <v>AA REQUISITION FEE $2500.00-2999.99</v>
          </cell>
          <cell r="F916" t="str">
            <v>2141M0253</v>
          </cell>
        </row>
        <row r="917">
          <cell r="A917" t="str">
            <v>1915(c) waiver</v>
          </cell>
          <cell r="C917" t="str">
            <v>HCS</v>
          </cell>
          <cell r="D917" t="str">
            <v>Requisition Fees</v>
          </cell>
          <cell r="E917" t="str">
            <v>AA REQUISITION FEE $2500.00-2999.99</v>
          </cell>
          <cell r="F917" t="str">
            <v>2141M0264</v>
          </cell>
        </row>
        <row r="918">
          <cell r="A918" t="str">
            <v>1915(c) waiver</v>
          </cell>
          <cell r="C918" t="str">
            <v>HCS</v>
          </cell>
          <cell r="D918" t="str">
            <v>Requisition Fees</v>
          </cell>
          <cell r="E918" t="str">
            <v>AA REQUISITION FEE $3000.00-3499.99</v>
          </cell>
          <cell r="F918" t="str">
            <v>2141M0254</v>
          </cell>
        </row>
        <row r="919">
          <cell r="A919" t="str">
            <v>1915(c) waiver</v>
          </cell>
          <cell r="C919" t="str">
            <v>HCS</v>
          </cell>
          <cell r="D919" t="str">
            <v>Requisition Fees</v>
          </cell>
          <cell r="E919" t="str">
            <v>AA REQUISITION FEE $3000.00-3499.99</v>
          </cell>
          <cell r="F919" t="str">
            <v>2141M0265</v>
          </cell>
        </row>
        <row r="920">
          <cell r="A920" t="str">
            <v>1915(c) waiver</v>
          </cell>
          <cell r="C920" t="str">
            <v>HCS</v>
          </cell>
          <cell r="D920" t="str">
            <v>Requisition Fees</v>
          </cell>
          <cell r="E920" t="str">
            <v>AA REQUISITION FEE $3500.00-3999.99</v>
          </cell>
          <cell r="F920" t="str">
            <v>2141M0255</v>
          </cell>
        </row>
        <row r="921">
          <cell r="A921" t="str">
            <v>1915(c) waiver</v>
          </cell>
          <cell r="C921" t="str">
            <v>HCS</v>
          </cell>
          <cell r="D921" t="str">
            <v>Requisition Fees</v>
          </cell>
          <cell r="E921" t="str">
            <v>AA REQUISITION FEE $3500.00-3999.99</v>
          </cell>
          <cell r="F921" t="str">
            <v>2141M0266</v>
          </cell>
        </row>
        <row r="922">
          <cell r="A922" t="str">
            <v>1915(c) waiver</v>
          </cell>
          <cell r="C922" t="str">
            <v>HCS</v>
          </cell>
          <cell r="D922" t="str">
            <v>Requisition Fees</v>
          </cell>
          <cell r="E922" t="str">
            <v>AA REQUISITION FEE $4000.00-4499.99</v>
          </cell>
          <cell r="F922" t="str">
            <v>2141M0256</v>
          </cell>
        </row>
        <row r="923">
          <cell r="A923" t="str">
            <v>1915(c) waiver</v>
          </cell>
          <cell r="C923" t="str">
            <v>HCS</v>
          </cell>
          <cell r="D923" t="str">
            <v>Requisition Fees</v>
          </cell>
          <cell r="E923" t="str">
            <v>AA REQUISITION FEE $4000.00-4499.99</v>
          </cell>
          <cell r="F923" t="str">
            <v>2141M0267</v>
          </cell>
        </row>
        <row r="924">
          <cell r="A924" t="str">
            <v>1915(c) waiver</v>
          </cell>
          <cell r="C924" t="str">
            <v>HCS</v>
          </cell>
          <cell r="D924" t="str">
            <v>Requisition Fees</v>
          </cell>
          <cell r="E924" t="str">
            <v>AA REQUISITION FEE $4500.00-4999.99</v>
          </cell>
          <cell r="F924" t="str">
            <v>2141M0257</v>
          </cell>
        </row>
        <row r="925">
          <cell r="A925" t="str">
            <v>1915(c) waiver</v>
          </cell>
          <cell r="C925" t="str">
            <v>HCS</v>
          </cell>
          <cell r="D925" t="str">
            <v>Requisition Fees</v>
          </cell>
          <cell r="E925" t="str">
            <v>AA REQUISITION FEE $4500.00-4999.99</v>
          </cell>
          <cell r="F925" t="str">
            <v>2141M0268</v>
          </cell>
        </row>
        <row r="926">
          <cell r="A926" t="str">
            <v>1915(c) waiver</v>
          </cell>
          <cell r="C926" t="str">
            <v>HCS</v>
          </cell>
          <cell r="D926" t="str">
            <v>Requisition Fees</v>
          </cell>
          <cell r="E926" t="str">
            <v>AA REQUISITION FEE $500.00-999.99</v>
          </cell>
          <cell r="F926" t="str">
            <v>2141M0249</v>
          </cell>
        </row>
        <row r="927">
          <cell r="A927" t="str">
            <v>1915(c) waiver</v>
          </cell>
          <cell r="C927" t="str">
            <v>HCS</v>
          </cell>
          <cell r="D927" t="str">
            <v>Requisition Fees</v>
          </cell>
          <cell r="E927" t="str">
            <v>AA REQUISITION FEE $500.00-999.99</v>
          </cell>
          <cell r="F927" t="str">
            <v>2141M0260</v>
          </cell>
        </row>
        <row r="928">
          <cell r="A928" t="str">
            <v>1915(c) waiver</v>
          </cell>
          <cell r="C928" t="str">
            <v>HCS</v>
          </cell>
          <cell r="D928" t="str">
            <v>Requisition Fees</v>
          </cell>
          <cell r="E928" t="str">
            <v>AA REQUISITION FEE $5000.00+</v>
          </cell>
          <cell r="F928" t="str">
            <v>2141M0258</v>
          </cell>
        </row>
        <row r="929">
          <cell r="A929" t="str">
            <v>1915(c) waiver</v>
          </cell>
          <cell r="C929" t="str">
            <v>HCS</v>
          </cell>
          <cell r="D929" t="str">
            <v>Requisition Fees</v>
          </cell>
          <cell r="E929" t="str">
            <v>AA REQUISITION FEE $5000.00+</v>
          </cell>
          <cell r="F929" t="str">
            <v>2141M0269</v>
          </cell>
        </row>
        <row r="930">
          <cell r="A930" t="str">
            <v>1915(c) waiver</v>
          </cell>
          <cell r="C930" t="str">
            <v>HCS</v>
          </cell>
          <cell r="D930" t="str">
            <v>Requisition Fees</v>
          </cell>
          <cell r="E930" t="str">
            <v>MHM REQUISITION FEE $0-499.99</v>
          </cell>
          <cell r="F930" t="str">
            <v>2141BM0430</v>
          </cell>
        </row>
        <row r="931">
          <cell r="A931" t="str">
            <v>1915(c) waiver</v>
          </cell>
          <cell r="C931" t="str">
            <v>HCS</v>
          </cell>
          <cell r="D931" t="str">
            <v>Requisition Fees</v>
          </cell>
          <cell r="E931" t="str">
            <v>MHM REQUISITION FEE $0-499.99</v>
          </cell>
          <cell r="F931" t="str">
            <v>2141BM0444</v>
          </cell>
        </row>
        <row r="932">
          <cell r="A932" t="str">
            <v>1915(c) waiver</v>
          </cell>
          <cell r="C932" t="str">
            <v>HCS</v>
          </cell>
          <cell r="D932" t="str">
            <v>Requisition Fees</v>
          </cell>
          <cell r="E932" t="str">
            <v>MHM REQUISITION FEE $1000.00-1499.99</v>
          </cell>
          <cell r="F932" t="str">
            <v>2141BM0432</v>
          </cell>
        </row>
        <row r="933">
          <cell r="A933" t="str">
            <v>1915(c) waiver</v>
          </cell>
          <cell r="C933" t="str">
            <v>HCS</v>
          </cell>
          <cell r="D933" t="str">
            <v>Requisition Fees</v>
          </cell>
          <cell r="E933" t="str">
            <v>MHM REQUISITION FEE $1000.00-1499.99</v>
          </cell>
          <cell r="F933" t="str">
            <v>2141BM0446</v>
          </cell>
        </row>
        <row r="934">
          <cell r="A934" t="str">
            <v>1915(c) waiver</v>
          </cell>
          <cell r="C934" t="str">
            <v>HCS</v>
          </cell>
          <cell r="D934" t="str">
            <v>Requisition Fees</v>
          </cell>
          <cell r="E934" t="str">
            <v>MHM REQUISITION FEE $1500.00-1999.99</v>
          </cell>
          <cell r="F934" t="str">
            <v>2141BM0433</v>
          </cell>
        </row>
        <row r="935">
          <cell r="A935" t="str">
            <v>1915(c) waiver</v>
          </cell>
          <cell r="C935" t="str">
            <v>HCS</v>
          </cell>
          <cell r="D935" t="str">
            <v>Requisition Fees</v>
          </cell>
          <cell r="E935" t="str">
            <v>MHM REQUISITION FEE $1500.00-1999.99</v>
          </cell>
          <cell r="F935" t="str">
            <v>2141BM0447</v>
          </cell>
        </row>
        <row r="936">
          <cell r="A936" t="str">
            <v>1915(c) waiver</v>
          </cell>
          <cell r="C936" t="str">
            <v>HCS</v>
          </cell>
          <cell r="D936" t="str">
            <v>Requisition Fees</v>
          </cell>
          <cell r="E936" t="str">
            <v>MHM REQUISITION FEE $2000.00-2499.99</v>
          </cell>
          <cell r="F936" t="str">
            <v>2141BM0434</v>
          </cell>
        </row>
        <row r="937">
          <cell r="A937" t="str">
            <v>1915(c) waiver</v>
          </cell>
          <cell r="C937" t="str">
            <v>HCS</v>
          </cell>
          <cell r="D937" t="str">
            <v>Requisition Fees</v>
          </cell>
          <cell r="E937" t="str">
            <v>MHM REQUISITION FEE $2000.00-2499.99</v>
          </cell>
          <cell r="F937" t="str">
            <v>2141BM0448</v>
          </cell>
        </row>
        <row r="938">
          <cell r="A938" t="str">
            <v>1915(c) waiver</v>
          </cell>
          <cell r="C938" t="str">
            <v>HCS</v>
          </cell>
          <cell r="D938" t="str">
            <v>Requisition Fees</v>
          </cell>
          <cell r="E938" t="str">
            <v>MHM REQUISITION FEE $2500.00-2999.99</v>
          </cell>
          <cell r="F938" t="str">
            <v>2141BM0435</v>
          </cell>
        </row>
        <row r="939">
          <cell r="A939" t="str">
            <v>1915(c) waiver</v>
          </cell>
          <cell r="C939" t="str">
            <v>HCS</v>
          </cell>
          <cell r="D939" t="str">
            <v>Requisition Fees</v>
          </cell>
          <cell r="E939" t="str">
            <v>MHM REQUISITION FEE $2500.00-2999.99</v>
          </cell>
          <cell r="F939" t="str">
            <v>2141BM0449</v>
          </cell>
        </row>
        <row r="940">
          <cell r="A940" t="str">
            <v>1915(c) waiver</v>
          </cell>
          <cell r="C940" t="str">
            <v>HCS</v>
          </cell>
          <cell r="D940" t="str">
            <v>Requisition Fees</v>
          </cell>
          <cell r="E940" t="str">
            <v>MHM REQUISITION FEE $3000.00-3499.99</v>
          </cell>
          <cell r="F940" t="str">
            <v>2141BM0436</v>
          </cell>
        </row>
        <row r="941">
          <cell r="A941" t="str">
            <v>1915(c) waiver</v>
          </cell>
          <cell r="C941" t="str">
            <v>HCS</v>
          </cell>
          <cell r="D941" t="str">
            <v>Requisition Fees</v>
          </cell>
          <cell r="E941" t="str">
            <v>MHM REQUISITION FEE $3000.00-3499.99</v>
          </cell>
          <cell r="F941" t="str">
            <v>2141BM0450</v>
          </cell>
        </row>
        <row r="942">
          <cell r="A942" t="str">
            <v>1915(c) waiver</v>
          </cell>
          <cell r="C942" t="str">
            <v>HCS</v>
          </cell>
          <cell r="D942" t="str">
            <v>Requisition Fees</v>
          </cell>
          <cell r="E942" t="str">
            <v>MHM REQUISITION FEE $3500.00-3999.99</v>
          </cell>
          <cell r="F942" t="str">
            <v>2141BM0437</v>
          </cell>
        </row>
        <row r="943">
          <cell r="A943" t="str">
            <v>1915(c) waiver</v>
          </cell>
          <cell r="C943" t="str">
            <v>HCS</v>
          </cell>
          <cell r="D943" t="str">
            <v>Requisition Fees</v>
          </cell>
          <cell r="E943" t="str">
            <v>MHM REQUISITION FEE $3500.00-3999.99</v>
          </cell>
          <cell r="F943" t="str">
            <v>2141BM0451</v>
          </cell>
        </row>
        <row r="944">
          <cell r="A944" t="str">
            <v>1915(c) waiver</v>
          </cell>
          <cell r="C944" t="str">
            <v>HCS</v>
          </cell>
          <cell r="D944" t="str">
            <v>Requisition Fees</v>
          </cell>
          <cell r="E944" t="str">
            <v>MHM REQUISITION FEE $4000.00-4499.99</v>
          </cell>
          <cell r="F944" t="str">
            <v>2141BM0438</v>
          </cell>
        </row>
        <row r="945">
          <cell r="A945" t="str">
            <v>1915(c) waiver</v>
          </cell>
          <cell r="C945" t="str">
            <v>HCS</v>
          </cell>
          <cell r="D945" t="str">
            <v>Requisition Fees</v>
          </cell>
          <cell r="E945" t="str">
            <v>MHM REQUISITION FEE $4000.00-4499.99</v>
          </cell>
          <cell r="F945" t="str">
            <v>2141BM0452</v>
          </cell>
        </row>
        <row r="946">
          <cell r="A946" t="str">
            <v>1915(c) waiver</v>
          </cell>
          <cell r="C946" t="str">
            <v>HCS</v>
          </cell>
          <cell r="D946" t="str">
            <v>Requisition Fees</v>
          </cell>
          <cell r="E946" t="str">
            <v>MHM REQUISITION FEE $4500.00-4999.99</v>
          </cell>
          <cell r="F946" t="str">
            <v>2141BM0439</v>
          </cell>
        </row>
        <row r="947">
          <cell r="A947" t="str">
            <v>1915(c) waiver</v>
          </cell>
          <cell r="C947" t="str">
            <v>HCS</v>
          </cell>
          <cell r="D947" t="str">
            <v>Requisition Fees</v>
          </cell>
          <cell r="E947" t="str">
            <v>MHM REQUISITION FEE $4500.00-4999.99</v>
          </cell>
          <cell r="F947" t="str">
            <v>2141BM0453</v>
          </cell>
        </row>
        <row r="948">
          <cell r="A948" t="str">
            <v>1915(c) waiver</v>
          </cell>
          <cell r="C948" t="str">
            <v>HCS</v>
          </cell>
          <cell r="D948" t="str">
            <v>Requisition Fees</v>
          </cell>
          <cell r="E948" t="str">
            <v>MHM REQUISITION FEE $500.00-999.99</v>
          </cell>
          <cell r="F948" t="str">
            <v>2141BM0431</v>
          </cell>
        </row>
        <row r="949">
          <cell r="A949" t="str">
            <v>1915(c) waiver</v>
          </cell>
          <cell r="C949" t="str">
            <v>HCS</v>
          </cell>
          <cell r="D949" t="str">
            <v>Requisition Fees</v>
          </cell>
          <cell r="E949" t="str">
            <v>MHM REQUISITION FEE $500.00-999.99</v>
          </cell>
          <cell r="F949" t="str">
            <v>2141BM0445</v>
          </cell>
        </row>
        <row r="950">
          <cell r="A950" t="str">
            <v>1915(c) waiver</v>
          </cell>
          <cell r="C950" t="str">
            <v>HCS</v>
          </cell>
          <cell r="D950" t="str">
            <v>Requisition Fees</v>
          </cell>
          <cell r="E950" t="str">
            <v>MHM REQUISITION FEE $5000.00-5499.99</v>
          </cell>
          <cell r="F950" t="str">
            <v>2141BM0440</v>
          </cell>
        </row>
        <row r="951">
          <cell r="A951" t="str">
            <v>1915(c) waiver</v>
          </cell>
          <cell r="C951" t="str">
            <v>HCS</v>
          </cell>
          <cell r="D951" t="str">
            <v>Requisition Fees</v>
          </cell>
          <cell r="E951" t="str">
            <v>MHM REQUISITION FEE $5000.00-5499.99</v>
          </cell>
          <cell r="F951" t="str">
            <v>2141BM0454</v>
          </cell>
        </row>
        <row r="952">
          <cell r="A952" t="str">
            <v>1915(c) waiver</v>
          </cell>
          <cell r="C952" t="str">
            <v>HCS</v>
          </cell>
          <cell r="D952" t="str">
            <v>Requisition Fees</v>
          </cell>
          <cell r="E952" t="str">
            <v>MHM REQUISITION FEE $5500.00-5999.99</v>
          </cell>
          <cell r="F952" t="str">
            <v>2141BM0441</v>
          </cell>
        </row>
        <row r="953">
          <cell r="A953" t="str">
            <v>1915(c) waiver</v>
          </cell>
          <cell r="C953" t="str">
            <v>HCS</v>
          </cell>
          <cell r="D953" t="str">
            <v>Requisition Fees</v>
          </cell>
          <cell r="E953" t="str">
            <v>MHM REQUISITION FEE $5500.00-5999.99</v>
          </cell>
          <cell r="F953" t="str">
            <v>2141BM0455</v>
          </cell>
        </row>
        <row r="954">
          <cell r="A954" t="str">
            <v>1915(c) waiver</v>
          </cell>
          <cell r="C954" t="str">
            <v>HCS</v>
          </cell>
          <cell r="D954" t="str">
            <v>Requisition Fees</v>
          </cell>
          <cell r="E954" t="str">
            <v>MHM REQUISITION FEE $6000.00-6499.99</v>
          </cell>
          <cell r="F954" t="str">
            <v>2141BM0442</v>
          </cell>
        </row>
        <row r="955">
          <cell r="A955" t="str">
            <v>1915(c) waiver</v>
          </cell>
          <cell r="C955" t="str">
            <v>HCS</v>
          </cell>
          <cell r="D955" t="str">
            <v>Requisition Fees</v>
          </cell>
          <cell r="E955" t="str">
            <v>MHM REQUISITION FEE $6000.00-6499.99</v>
          </cell>
          <cell r="F955" t="str">
            <v>2141BM0456</v>
          </cell>
        </row>
        <row r="956">
          <cell r="A956" t="str">
            <v>1915(c) waiver</v>
          </cell>
          <cell r="C956" t="str">
            <v>HCS</v>
          </cell>
          <cell r="D956" t="str">
            <v>Requisition Fees</v>
          </cell>
          <cell r="E956" t="str">
            <v>MHM REQUISITION FEE $6500.00+</v>
          </cell>
          <cell r="F956" t="str">
            <v>2141BM0443</v>
          </cell>
        </row>
        <row r="957">
          <cell r="A957" t="str">
            <v>1915(c) waiver</v>
          </cell>
          <cell r="C957" t="str">
            <v>HCS</v>
          </cell>
          <cell r="D957" t="str">
            <v>Requisition Fees</v>
          </cell>
          <cell r="E957" t="str">
            <v>MHM REQUISITION FEE $6500.00+</v>
          </cell>
          <cell r="F957" t="str">
            <v>2141BM0457</v>
          </cell>
        </row>
        <row r="958">
          <cell r="A958" t="str">
            <v>1915(c) waiver</v>
          </cell>
          <cell r="C958" t="str">
            <v>HCS</v>
          </cell>
          <cell r="D958" t="str">
            <v>Requisition Fees</v>
          </cell>
          <cell r="E958" t="str">
            <v>Requisition Fee AA $0-499.99</v>
          </cell>
          <cell r="F958" t="str">
            <v>1241M0248</v>
          </cell>
        </row>
        <row r="959">
          <cell r="A959" t="str">
            <v>1915(c) waiver</v>
          </cell>
          <cell r="C959" t="str">
            <v>HCS</v>
          </cell>
          <cell r="D959" t="str">
            <v>Requisition Fees</v>
          </cell>
          <cell r="E959" t="str">
            <v>Requisition Fee AA $0-499.99</v>
          </cell>
          <cell r="F959" t="str">
            <v>1241M0259</v>
          </cell>
        </row>
        <row r="960">
          <cell r="A960" t="str">
            <v>1915(c) waiver</v>
          </cell>
          <cell r="C960" t="str">
            <v>HCS</v>
          </cell>
          <cell r="D960" t="str">
            <v>Requisition Fees</v>
          </cell>
          <cell r="E960" t="str">
            <v>Requisition Fee AA $1000.00-1499.99</v>
          </cell>
          <cell r="F960" t="str">
            <v>1241M0250</v>
          </cell>
        </row>
        <row r="961">
          <cell r="A961" t="str">
            <v>1915(c) waiver</v>
          </cell>
          <cell r="C961" t="str">
            <v>HCS</v>
          </cell>
          <cell r="D961" t="str">
            <v>Requisition Fees</v>
          </cell>
          <cell r="E961" t="str">
            <v>Requisition Fee AA $1000.00-1499.99</v>
          </cell>
          <cell r="F961" t="str">
            <v>1241M0261</v>
          </cell>
        </row>
        <row r="962">
          <cell r="A962" t="str">
            <v>1915(c) waiver</v>
          </cell>
          <cell r="C962" t="str">
            <v>HCS</v>
          </cell>
          <cell r="D962" t="str">
            <v>Requisition Fees</v>
          </cell>
          <cell r="E962" t="str">
            <v>Requisition Fee AA $1500.00-1999.99</v>
          </cell>
          <cell r="F962" t="str">
            <v>1241M0251</v>
          </cell>
          <cell r="P962"/>
        </row>
        <row r="963">
          <cell r="A963" t="str">
            <v>1915(c) waiver</v>
          </cell>
          <cell r="C963" t="str">
            <v>HCS</v>
          </cell>
          <cell r="D963" t="str">
            <v>Requisition Fees</v>
          </cell>
          <cell r="E963" t="str">
            <v>Requisition Fee AA $1500.00-1999.99</v>
          </cell>
          <cell r="F963" t="str">
            <v>1241M0262</v>
          </cell>
          <cell r="P963"/>
        </row>
        <row r="964">
          <cell r="A964" t="str">
            <v>1915(c) waiver</v>
          </cell>
          <cell r="C964" t="str">
            <v>HCS</v>
          </cell>
          <cell r="D964" t="str">
            <v>Requisition Fees</v>
          </cell>
          <cell r="E964" t="str">
            <v>Requisition Fee AA $2000.00-2499.99</v>
          </cell>
          <cell r="F964" t="str">
            <v>1241M0252</v>
          </cell>
          <cell r="P964"/>
        </row>
        <row r="965">
          <cell r="A965" t="str">
            <v>1915(c) waiver</v>
          </cell>
          <cell r="C965" t="str">
            <v>HCS</v>
          </cell>
          <cell r="D965" t="str">
            <v>Requisition Fees</v>
          </cell>
          <cell r="E965" t="str">
            <v>Requisition Fee AA $2000.00-2499.99</v>
          </cell>
          <cell r="F965" t="str">
            <v>1241M0263</v>
          </cell>
          <cell r="P965"/>
        </row>
        <row r="966">
          <cell r="A966" t="str">
            <v>1915(c) waiver</v>
          </cell>
          <cell r="C966" t="str">
            <v>HCS</v>
          </cell>
          <cell r="D966" t="str">
            <v>Requisition Fees</v>
          </cell>
          <cell r="E966" t="str">
            <v>Requisition Fee AA $2500.00-2999.99</v>
          </cell>
          <cell r="F966" t="str">
            <v>1241M0253</v>
          </cell>
          <cell r="P966"/>
        </row>
        <row r="967">
          <cell r="A967" t="str">
            <v>1915(c) waiver</v>
          </cell>
          <cell r="C967" t="str">
            <v>HCS</v>
          </cell>
          <cell r="D967" t="str">
            <v>Requisition Fees</v>
          </cell>
          <cell r="E967" t="str">
            <v>Requisition Fee AA $2500.00-2999.99</v>
          </cell>
          <cell r="F967" t="str">
            <v>1241M0264</v>
          </cell>
          <cell r="P967"/>
        </row>
        <row r="968">
          <cell r="A968" t="str">
            <v>1915(c) waiver</v>
          </cell>
          <cell r="C968" t="str">
            <v>HCS</v>
          </cell>
          <cell r="D968" t="str">
            <v>Requisition Fees</v>
          </cell>
          <cell r="E968" t="str">
            <v>Requisition Fee AA $3000.00-3499.99</v>
          </cell>
          <cell r="F968" t="str">
            <v>1241M0254</v>
          </cell>
          <cell r="P968"/>
        </row>
        <row r="969">
          <cell r="A969" t="str">
            <v>1915(c) waiver</v>
          </cell>
          <cell r="C969" t="str">
            <v>HCS</v>
          </cell>
          <cell r="D969" t="str">
            <v>Requisition Fees</v>
          </cell>
          <cell r="E969" t="str">
            <v>Requisition Fee AA $3000.00-3499.99</v>
          </cell>
          <cell r="F969" t="str">
            <v>1241M0265</v>
          </cell>
          <cell r="P969"/>
        </row>
        <row r="970">
          <cell r="A970" t="str">
            <v>1915(c) waiver</v>
          </cell>
          <cell r="C970" t="str">
            <v>HCS</v>
          </cell>
          <cell r="D970" t="str">
            <v>Requisition Fees</v>
          </cell>
          <cell r="E970" t="str">
            <v>Requisition Fee AA $3500.00-3999.99</v>
          </cell>
          <cell r="F970" t="str">
            <v>1241M0255</v>
          </cell>
          <cell r="P970"/>
        </row>
        <row r="971">
          <cell r="A971" t="str">
            <v>1915(c) waiver</v>
          </cell>
          <cell r="C971" t="str">
            <v>HCS</v>
          </cell>
          <cell r="D971" t="str">
            <v>Requisition Fees</v>
          </cell>
          <cell r="E971" t="str">
            <v>Requisition Fee AA $3500.00-3999.99</v>
          </cell>
          <cell r="F971" t="str">
            <v>1241M0266</v>
          </cell>
          <cell r="P971"/>
        </row>
        <row r="972">
          <cell r="A972" t="str">
            <v>1915(c) waiver</v>
          </cell>
          <cell r="C972" t="str">
            <v>HCS</v>
          </cell>
          <cell r="D972" t="str">
            <v>Requisition Fees</v>
          </cell>
          <cell r="E972" t="str">
            <v>Requisition Fee AA $4000.00-4499.99</v>
          </cell>
          <cell r="F972" t="str">
            <v>1241M0256</v>
          </cell>
          <cell r="P972"/>
        </row>
        <row r="973">
          <cell r="A973" t="str">
            <v>1915(c) waiver</v>
          </cell>
          <cell r="C973" t="str">
            <v>HCS</v>
          </cell>
          <cell r="D973" t="str">
            <v>Requisition Fees</v>
          </cell>
          <cell r="E973" t="str">
            <v>Requisition Fee AA $4000.00-4499.99</v>
          </cell>
          <cell r="F973" t="str">
            <v>1241M0267</v>
          </cell>
          <cell r="P973"/>
        </row>
        <row r="974">
          <cell r="A974" t="str">
            <v>1915(c) waiver</v>
          </cell>
          <cell r="C974" t="str">
            <v>HCS</v>
          </cell>
          <cell r="D974" t="str">
            <v>Requisition Fees</v>
          </cell>
          <cell r="E974" t="str">
            <v>Requisition Fee AA $4500.00-4999.99</v>
          </cell>
          <cell r="F974" t="str">
            <v>1241M0257</v>
          </cell>
          <cell r="P974"/>
        </row>
        <row r="975">
          <cell r="A975" t="str">
            <v>1915(c) waiver</v>
          </cell>
          <cell r="C975" t="str">
            <v>HCS</v>
          </cell>
          <cell r="D975" t="str">
            <v>Requisition Fees</v>
          </cell>
          <cell r="E975" t="str">
            <v>Requisition Fee AA $4500.00-4999.99</v>
          </cell>
          <cell r="F975" t="str">
            <v>1241M0268</v>
          </cell>
          <cell r="P975"/>
        </row>
        <row r="976">
          <cell r="A976" t="str">
            <v>1915(c) waiver</v>
          </cell>
          <cell r="C976" t="str">
            <v>HCS</v>
          </cell>
          <cell r="D976" t="str">
            <v>Requisition Fees</v>
          </cell>
          <cell r="E976" t="str">
            <v>Requisition Fee AA $500.00-999.99</v>
          </cell>
          <cell r="F976" t="str">
            <v>1241M0249</v>
          </cell>
          <cell r="P976"/>
        </row>
        <row r="977">
          <cell r="A977" t="str">
            <v>1915(c) waiver</v>
          </cell>
          <cell r="C977" t="str">
            <v>HCS</v>
          </cell>
          <cell r="D977" t="str">
            <v>Requisition Fees</v>
          </cell>
          <cell r="E977" t="str">
            <v>Requisition Fee AA $500.00-999.99</v>
          </cell>
          <cell r="F977" t="str">
            <v>1241M0260</v>
          </cell>
          <cell r="P977"/>
        </row>
        <row r="978">
          <cell r="A978" t="str">
            <v>1915(c) waiver</v>
          </cell>
          <cell r="C978" t="str">
            <v>HCS</v>
          </cell>
          <cell r="D978" t="str">
            <v>Requisition Fees</v>
          </cell>
          <cell r="E978" t="str">
            <v>Requisition Fee AA $5000.00 +</v>
          </cell>
          <cell r="F978" t="str">
            <v>1241M0258</v>
          </cell>
          <cell r="P978"/>
        </row>
        <row r="979">
          <cell r="A979" t="str">
            <v>1915(c) waiver</v>
          </cell>
          <cell r="C979" t="str">
            <v>HCS</v>
          </cell>
          <cell r="D979" t="str">
            <v>Requisition Fees</v>
          </cell>
          <cell r="E979" t="str">
            <v>Requisition Fee AA $5000.00 +</v>
          </cell>
          <cell r="F979" t="str">
            <v>1241M0269</v>
          </cell>
          <cell r="P979"/>
        </row>
        <row r="980">
          <cell r="A980" t="str">
            <v>1915(c) waiver</v>
          </cell>
          <cell r="C980" t="str">
            <v>HCS</v>
          </cell>
          <cell r="D980" t="str">
            <v>Requisition Fees</v>
          </cell>
          <cell r="E980" t="str">
            <v>Requisition Fee DE $0-499.99</v>
          </cell>
          <cell r="F980" t="str">
            <v>1241EM0315</v>
          </cell>
          <cell r="P980"/>
        </row>
        <row r="981">
          <cell r="A981" t="str">
            <v>1915(c) waiver</v>
          </cell>
          <cell r="C981" t="str">
            <v>HCS</v>
          </cell>
          <cell r="D981" t="str">
            <v>Requisition Fees</v>
          </cell>
          <cell r="E981" t="str">
            <v>Requisition Fee DE $0-499.99</v>
          </cell>
          <cell r="F981" t="str">
            <v>1241EM0318</v>
          </cell>
          <cell r="P981"/>
        </row>
        <row r="982">
          <cell r="A982" t="str">
            <v>1915(c) waiver</v>
          </cell>
          <cell r="C982" t="str">
            <v>HCS</v>
          </cell>
          <cell r="D982" t="str">
            <v>Requisition Fees</v>
          </cell>
          <cell r="E982" t="str">
            <v>Requisition Fee DE $1,000.00 $1,499.99</v>
          </cell>
          <cell r="F982" t="str">
            <v>1241EM0320</v>
          </cell>
        </row>
        <row r="983">
          <cell r="A983" t="str">
            <v>1915(c) waiver</v>
          </cell>
          <cell r="C983" t="str">
            <v>HCS</v>
          </cell>
          <cell r="D983" t="str">
            <v>Requisition Fees</v>
          </cell>
          <cell r="E983" t="str">
            <v>Requisition Fee DE $1000.00 $1,499.99</v>
          </cell>
          <cell r="F983" t="str">
            <v>1241EM0317</v>
          </cell>
        </row>
        <row r="984">
          <cell r="A984" t="str">
            <v>1915(c) waiver</v>
          </cell>
          <cell r="C984" t="str">
            <v>HCS</v>
          </cell>
          <cell r="D984" t="str">
            <v>Requisition Fees</v>
          </cell>
          <cell r="E984" t="str">
            <v>Requisition Fee DE $1500.00 $1,999,99</v>
          </cell>
          <cell r="F984" t="str">
            <v>1241EM0414</v>
          </cell>
        </row>
        <row r="985">
          <cell r="A985" t="str">
            <v>1915(c) waiver</v>
          </cell>
          <cell r="C985" t="str">
            <v>HCS</v>
          </cell>
          <cell r="D985" t="str">
            <v>Requisition Fees</v>
          </cell>
          <cell r="E985" t="str">
            <v>Requisition Fee DE $1500.00 $1,999,99</v>
          </cell>
          <cell r="F985" t="str">
            <v>1241EM0416</v>
          </cell>
        </row>
        <row r="986">
          <cell r="A986" t="str">
            <v>1915(c) waiver</v>
          </cell>
          <cell r="C986" t="str">
            <v>HCS</v>
          </cell>
          <cell r="D986" t="str">
            <v>Requisition Fees</v>
          </cell>
          <cell r="E986" t="str">
            <v>Requisition Fee DE $2,000.00</v>
          </cell>
          <cell r="F986" t="str">
            <v>1241EM0415</v>
          </cell>
        </row>
        <row r="987">
          <cell r="A987" t="str">
            <v>1915(c) waiver</v>
          </cell>
          <cell r="C987" t="str">
            <v>HCS</v>
          </cell>
          <cell r="D987" t="str">
            <v>Requisition Fees</v>
          </cell>
          <cell r="E987" t="str">
            <v>Requisition Fee DE $2,000.00</v>
          </cell>
          <cell r="F987" t="str">
            <v>1241EM0417</v>
          </cell>
        </row>
        <row r="988">
          <cell r="A988" t="str">
            <v>1915(c) waiver</v>
          </cell>
          <cell r="C988" t="str">
            <v>HCS</v>
          </cell>
          <cell r="D988" t="str">
            <v>Requisition Fees</v>
          </cell>
          <cell r="E988" t="str">
            <v>Requisition Fee DE $500.00-999.99</v>
          </cell>
          <cell r="F988" t="str">
            <v>1241EM0316</v>
          </cell>
        </row>
        <row r="989">
          <cell r="A989" t="str">
            <v>1915(c) waiver</v>
          </cell>
          <cell r="C989" t="str">
            <v>HCS</v>
          </cell>
          <cell r="D989" t="str">
            <v>Requisition Fees</v>
          </cell>
          <cell r="E989" t="str">
            <v>Requisition Fee DE $500.00-999.99</v>
          </cell>
          <cell r="F989" t="str">
            <v>1241EM0319</v>
          </cell>
        </row>
        <row r="990">
          <cell r="A990" t="str">
            <v>1915(c) waiver</v>
          </cell>
          <cell r="C990" t="str">
            <v>HCS</v>
          </cell>
          <cell r="D990" t="str">
            <v>Requisition Fees</v>
          </cell>
          <cell r="E990" t="str">
            <v>Requisition Fee L125 MHM $6500 +</v>
          </cell>
          <cell r="F990" t="str">
            <v>1241DM0283</v>
          </cell>
        </row>
        <row r="991">
          <cell r="A991" t="str">
            <v>1915(c) waiver</v>
          </cell>
          <cell r="C991" t="str">
            <v>HCS</v>
          </cell>
          <cell r="D991" t="str">
            <v>Requisition Fees</v>
          </cell>
          <cell r="E991" t="str">
            <v>Requisition Fee L125 MHM $6500 +</v>
          </cell>
          <cell r="F991" t="str">
            <v>1241DM0297</v>
          </cell>
        </row>
        <row r="992">
          <cell r="A992" t="str">
            <v>1915(c) waiver</v>
          </cell>
          <cell r="C992" t="str">
            <v>HCS</v>
          </cell>
          <cell r="D992" t="str">
            <v>Requisition Fees</v>
          </cell>
          <cell r="E992" t="str">
            <v>Requisition Fee MHM $0-499.99</v>
          </cell>
          <cell r="F992" t="str">
            <v>1241DM0270</v>
          </cell>
        </row>
        <row r="993">
          <cell r="A993" t="str">
            <v>1915(c) waiver</v>
          </cell>
          <cell r="C993" t="str">
            <v>HCS</v>
          </cell>
          <cell r="D993" t="str">
            <v>Requisition Fees</v>
          </cell>
          <cell r="E993" t="str">
            <v>Requisition Fee MHM $0-499.99</v>
          </cell>
          <cell r="F993" t="str">
            <v>1241DM0284</v>
          </cell>
        </row>
        <row r="994">
          <cell r="A994" t="str">
            <v>1915(c) waiver</v>
          </cell>
          <cell r="C994" t="str">
            <v>HCS</v>
          </cell>
          <cell r="D994" t="str">
            <v>Requisition Fees</v>
          </cell>
          <cell r="E994" t="str">
            <v>Requisition Fee MHM $1000.00-1499.99</v>
          </cell>
          <cell r="F994" t="str">
            <v>1241DM0272</v>
          </cell>
        </row>
        <row r="995">
          <cell r="A995" t="str">
            <v>1915(c) waiver</v>
          </cell>
          <cell r="C995" t="str">
            <v>HCS</v>
          </cell>
          <cell r="D995" t="str">
            <v>Requisition Fees</v>
          </cell>
          <cell r="E995" t="str">
            <v>Requisition Fee MHM $1000.00-1499.99</v>
          </cell>
          <cell r="F995" t="str">
            <v>1241DM0286</v>
          </cell>
        </row>
        <row r="996">
          <cell r="A996" t="str">
            <v>1915(c) waiver</v>
          </cell>
          <cell r="C996" t="str">
            <v>HCS</v>
          </cell>
          <cell r="D996" t="str">
            <v>Requisition Fees</v>
          </cell>
          <cell r="E996" t="str">
            <v>Requisition Fee MHM $1500.00-1999.99</v>
          </cell>
          <cell r="F996" t="str">
            <v>1241DM0273</v>
          </cell>
        </row>
        <row r="997">
          <cell r="A997" t="str">
            <v>1915(c) waiver</v>
          </cell>
          <cell r="C997" t="str">
            <v>HCS</v>
          </cell>
          <cell r="D997" t="str">
            <v>Requisition Fees</v>
          </cell>
          <cell r="E997" t="str">
            <v>Requisition Fee MHM $1500.00-1999.99</v>
          </cell>
          <cell r="F997" t="str">
            <v>1241DM0287</v>
          </cell>
        </row>
        <row r="998">
          <cell r="A998" t="str">
            <v>1915(c) waiver</v>
          </cell>
          <cell r="C998" t="str">
            <v>HCS</v>
          </cell>
          <cell r="D998" t="str">
            <v>Requisition Fees</v>
          </cell>
          <cell r="E998" t="str">
            <v>Requisition Fee MHM $2000.00-2499.99</v>
          </cell>
          <cell r="F998" t="str">
            <v>1241DM0274</v>
          </cell>
        </row>
        <row r="999">
          <cell r="A999" t="str">
            <v>1915(c) waiver</v>
          </cell>
          <cell r="C999" t="str">
            <v>HCS</v>
          </cell>
          <cell r="D999" t="str">
            <v>Requisition Fees</v>
          </cell>
          <cell r="E999" t="str">
            <v>Requisition Fee MHM $2000.00-2499.99</v>
          </cell>
          <cell r="F999" t="str">
            <v>1241DM0288</v>
          </cell>
        </row>
        <row r="1000">
          <cell r="A1000" t="str">
            <v>1915(c) waiver</v>
          </cell>
          <cell r="C1000" t="str">
            <v>HCS</v>
          </cell>
          <cell r="D1000" t="str">
            <v>Requisition Fees</v>
          </cell>
          <cell r="E1000" t="str">
            <v>Requisition Fee MHM $2500.00-2999.99</v>
          </cell>
          <cell r="F1000" t="str">
            <v>1241DM0275</v>
          </cell>
        </row>
        <row r="1001">
          <cell r="A1001" t="str">
            <v>1915(c) waiver</v>
          </cell>
          <cell r="C1001" t="str">
            <v>HCS</v>
          </cell>
          <cell r="D1001" t="str">
            <v>Requisition Fees</v>
          </cell>
          <cell r="E1001" t="str">
            <v>Requisition Fee MHM $2500.00-2999.99</v>
          </cell>
          <cell r="F1001" t="str">
            <v>1241DM0289</v>
          </cell>
        </row>
        <row r="1002">
          <cell r="A1002" t="str">
            <v>1915(c) waiver</v>
          </cell>
          <cell r="C1002" t="str">
            <v>HCS</v>
          </cell>
          <cell r="D1002" t="str">
            <v>Requisition Fees</v>
          </cell>
          <cell r="E1002" t="str">
            <v>Requisition Fee MHM $3000.00-3499.99</v>
          </cell>
          <cell r="F1002" t="str">
            <v>1241DM0276</v>
          </cell>
        </row>
        <row r="1003">
          <cell r="A1003" t="str">
            <v>1915(c) waiver</v>
          </cell>
          <cell r="C1003" t="str">
            <v>HCS</v>
          </cell>
          <cell r="D1003" t="str">
            <v>Requisition Fees</v>
          </cell>
          <cell r="E1003" t="str">
            <v>Requisition Fee MHM $3000.00-3499.99</v>
          </cell>
          <cell r="F1003" t="str">
            <v>1241DM0290</v>
          </cell>
        </row>
        <row r="1004">
          <cell r="A1004" t="str">
            <v>1915(c) waiver</v>
          </cell>
          <cell r="C1004" t="str">
            <v>HCS</v>
          </cell>
          <cell r="D1004" t="str">
            <v>Requisition Fees</v>
          </cell>
          <cell r="E1004" t="str">
            <v>Requisition Fee MHM $3500.00-3999.99</v>
          </cell>
          <cell r="F1004" t="str">
            <v>1241DM0277</v>
          </cell>
        </row>
        <row r="1005">
          <cell r="A1005" t="str">
            <v>1915(c) waiver</v>
          </cell>
          <cell r="C1005" t="str">
            <v>HCS</v>
          </cell>
          <cell r="D1005" t="str">
            <v>Requisition Fees</v>
          </cell>
          <cell r="E1005" t="str">
            <v>Requisition Fee MHM $3500.00-3999.99</v>
          </cell>
          <cell r="F1005" t="str">
            <v>1241DM0291</v>
          </cell>
        </row>
        <row r="1006">
          <cell r="A1006" t="str">
            <v>1915(c) waiver</v>
          </cell>
          <cell r="C1006" t="str">
            <v>HCS</v>
          </cell>
          <cell r="D1006" t="str">
            <v>Requisition Fees</v>
          </cell>
          <cell r="E1006" t="str">
            <v>Requisition Fee MHM $4000.00-4499.99</v>
          </cell>
          <cell r="F1006" t="str">
            <v>1241DM0278</v>
          </cell>
        </row>
        <row r="1007">
          <cell r="A1007" t="str">
            <v>1915(c) waiver</v>
          </cell>
          <cell r="C1007" t="str">
            <v>HCS</v>
          </cell>
          <cell r="D1007" t="str">
            <v>Requisition Fees</v>
          </cell>
          <cell r="E1007" t="str">
            <v>Requisition Fee MHM $4000.00-4499.99</v>
          </cell>
          <cell r="F1007" t="str">
            <v>1241DM0292</v>
          </cell>
        </row>
        <row r="1008">
          <cell r="A1008" t="str">
            <v>1915(c) waiver</v>
          </cell>
          <cell r="C1008" t="str">
            <v>HCS</v>
          </cell>
          <cell r="D1008" t="str">
            <v>Requisition Fees</v>
          </cell>
          <cell r="E1008" t="str">
            <v>Requisition Fee MHM $4500.00-4999.99</v>
          </cell>
          <cell r="F1008" t="str">
            <v>1241DM0279</v>
          </cell>
        </row>
        <row r="1009">
          <cell r="A1009" t="str">
            <v>1915(c) waiver</v>
          </cell>
          <cell r="C1009" t="str">
            <v>HCS</v>
          </cell>
          <cell r="D1009" t="str">
            <v>Requisition Fees</v>
          </cell>
          <cell r="E1009" t="str">
            <v>Requisition Fee MHM $4500.00-4999.99</v>
          </cell>
          <cell r="F1009" t="str">
            <v>1241DM0293</v>
          </cell>
        </row>
        <row r="1010">
          <cell r="A1010" t="str">
            <v>1915(c) waiver</v>
          </cell>
          <cell r="C1010" t="str">
            <v>HCS</v>
          </cell>
          <cell r="D1010" t="str">
            <v>Requisition Fees</v>
          </cell>
          <cell r="E1010" t="str">
            <v>Requisition Fee MHM $500.00-999.99</v>
          </cell>
          <cell r="F1010" t="str">
            <v>1241DM0271</v>
          </cell>
        </row>
        <row r="1011">
          <cell r="A1011" t="str">
            <v>1915(c) waiver</v>
          </cell>
          <cell r="C1011" t="str">
            <v>HCS</v>
          </cell>
          <cell r="D1011" t="str">
            <v>Requisition Fees</v>
          </cell>
          <cell r="E1011" t="str">
            <v>Requisition Fee MHM $500.00-999.99</v>
          </cell>
          <cell r="F1011" t="str">
            <v>1241DM0285</v>
          </cell>
        </row>
        <row r="1012">
          <cell r="A1012" t="str">
            <v>1915(c) waiver</v>
          </cell>
          <cell r="C1012" t="str">
            <v>HCS</v>
          </cell>
          <cell r="D1012" t="str">
            <v>Requisition Fees</v>
          </cell>
          <cell r="E1012" t="str">
            <v>Requisition Fee MHM $5000.00-5499.99</v>
          </cell>
          <cell r="F1012" t="str">
            <v>1241DM0280</v>
          </cell>
        </row>
        <row r="1013">
          <cell r="A1013" t="str">
            <v>1915(c) waiver</v>
          </cell>
          <cell r="C1013" t="str">
            <v>HCS</v>
          </cell>
          <cell r="D1013" t="str">
            <v>Requisition Fees</v>
          </cell>
          <cell r="E1013" t="str">
            <v>Requisition Fee MHM $5000.00-5499.99</v>
          </cell>
          <cell r="F1013" t="str">
            <v>1241DM0294</v>
          </cell>
        </row>
        <row r="1014">
          <cell r="A1014" t="str">
            <v>1915(c) waiver</v>
          </cell>
          <cell r="C1014" t="str">
            <v>HCS</v>
          </cell>
          <cell r="D1014" t="str">
            <v>Requisition Fees</v>
          </cell>
          <cell r="E1014" t="str">
            <v>Requisition Fee MHM $5500.00-5999.99</v>
          </cell>
          <cell r="F1014" t="str">
            <v>1241DM0281</v>
          </cell>
        </row>
        <row r="1015">
          <cell r="A1015" t="str">
            <v>1915(c) waiver</v>
          </cell>
          <cell r="C1015" t="str">
            <v>HCS</v>
          </cell>
          <cell r="D1015" t="str">
            <v>Requisition Fees</v>
          </cell>
          <cell r="E1015" t="str">
            <v>Requisition Fee MHM $5500.00-5999.99</v>
          </cell>
          <cell r="F1015" t="str">
            <v>1241DM0295</v>
          </cell>
        </row>
        <row r="1016">
          <cell r="A1016" t="str">
            <v>1915(c) waiver</v>
          </cell>
          <cell r="C1016" t="str">
            <v>HCS</v>
          </cell>
          <cell r="D1016" t="str">
            <v>Requisition Fees</v>
          </cell>
          <cell r="E1016" t="str">
            <v>Requisition Fee MHM $6000.00-6499.99</v>
          </cell>
          <cell r="F1016" t="str">
            <v>1241DM0282</v>
          </cell>
        </row>
        <row r="1017">
          <cell r="A1017" t="str">
            <v>1915(c) waiver</v>
          </cell>
          <cell r="C1017" t="str">
            <v>HCS</v>
          </cell>
          <cell r="D1017" t="str">
            <v>Requisition Fees</v>
          </cell>
          <cell r="E1017" t="str">
            <v>Requisition Fee MHM $6000.00-6499.99</v>
          </cell>
          <cell r="F1017" t="str">
            <v>1241DM0296</v>
          </cell>
        </row>
        <row r="1018">
          <cell r="A1018" t="str">
            <v>1915(c) waiver</v>
          </cell>
          <cell r="C1018" t="str">
            <v>HCS</v>
          </cell>
          <cell r="D1018" t="str">
            <v>Requisition Fees</v>
          </cell>
          <cell r="E1018" t="str">
            <v>REQUISITION FEES DENTAL 0.00 499.99</v>
          </cell>
          <cell r="F1018" t="str">
            <v>2141EM0315</v>
          </cell>
        </row>
        <row r="1019">
          <cell r="A1019" t="str">
            <v>1915(c) waiver</v>
          </cell>
          <cell r="C1019" t="str">
            <v>HCS</v>
          </cell>
          <cell r="D1019" t="str">
            <v>Requisition Fees</v>
          </cell>
          <cell r="E1019" t="str">
            <v>REQUISITION FEES DENTAL 0.00 499.99</v>
          </cell>
          <cell r="F1019" t="str">
            <v>2141EM0318</v>
          </cell>
        </row>
        <row r="1020">
          <cell r="A1020" t="str">
            <v>1915(c) waiver</v>
          </cell>
          <cell r="C1020" t="str">
            <v>HCS</v>
          </cell>
          <cell r="D1020" t="str">
            <v>Requisition Fees</v>
          </cell>
          <cell r="E1020" t="str">
            <v>REQUISITION FEES DENTAL 1000.00-1499.99</v>
          </cell>
          <cell r="F1020" t="str">
            <v>2141EM0317</v>
          </cell>
        </row>
        <row r="1021">
          <cell r="A1021" t="str">
            <v>1915(c) waiver</v>
          </cell>
          <cell r="C1021" t="str">
            <v>HCS</v>
          </cell>
          <cell r="D1021" t="str">
            <v>Requisition Fees</v>
          </cell>
          <cell r="E1021" t="str">
            <v>REQUISITION FEES DENTAL 1000.00-1499.99</v>
          </cell>
          <cell r="F1021" t="str">
            <v>2141EM0320</v>
          </cell>
        </row>
        <row r="1022">
          <cell r="A1022" t="str">
            <v>1915(c) waiver</v>
          </cell>
          <cell r="C1022" t="str">
            <v>HCS</v>
          </cell>
          <cell r="D1022" t="str">
            <v>Requisition Fees</v>
          </cell>
          <cell r="E1022" t="str">
            <v>REQUISITION FEES DENTAL 1500.00-1999.99</v>
          </cell>
          <cell r="F1022" t="str">
            <v>2141EM0953</v>
          </cell>
        </row>
        <row r="1023">
          <cell r="A1023" t="str">
            <v>1915(c) waiver</v>
          </cell>
          <cell r="C1023" t="str">
            <v>HCS</v>
          </cell>
          <cell r="D1023" t="str">
            <v>Requisition Fees</v>
          </cell>
          <cell r="E1023" t="str">
            <v>REQUISITION FEES DENTAL 1500.00-1999.99</v>
          </cell>
          <cell r="F1023" t="str">
            <v>2141EM0961</v>
          </cell>
        </row>
        <row r="1024">
          <cell r="A1024" t="str">
            <v>1915(c) waiver</v>
          </cell>
          <cell r="C1024" t="str">
            <v>HCS</v>
          </cell>
          <cell r="D1024" t="str">
            <v>Requisition Fees</v>
          </cell>
          <cell r="E1024" t="str">
            <v>REQUISITION FEES DENTAL 2000.00-2499.99</v>
          </cell>
          <cell r="F1024" t="str">
            <v>2141EM0954</v>
          </cell>
        </row>
        <row r="1025">
          <cell r="A1025" t="str">
            <v>1915(c) waiver</v>
          </cell>
          <cell r="C1025" t="str">
            <v>HCS</v>
          </cell>
          <cell r="D1025" t="str">
            <v>Requisition Fees</v>
          </cell>
          <cell r="E1025" t="str">
            <v>REQUISITION FEES DENTAL 2000.00-2499.99</v>
          </cell>
          <cell r="F1025" t="str">
            <v>2141EM0962</v>
          </cell>
        </row>
        <row r="1026">
          <cell r="A1026" t="str">
            <v>1915(c) waiver</v>
          </cell>
          <cell r="C1026" t="str">
            <v>HCS</v>
          </cell>
          <cell r="D1026" t="str">
            <v>Requisition Fees</v>
          </cell>
          <cell r="E1026" t="str">
            <v>REQUISITION FEES DENTAL 2500.00-2999.99</v>
          </cell>
          <cell r="F1026" t="str">
            <v>2141EM0955</v>
          </cell>
        </row>
        <row r="1027">
          <cell r="A1027" t="str">
            <v>1915(c) waiver</v>
          </cell>
          <cell r="C1027" t="str">
            <v>HCS</v>
          </cell>
          <cell r="D1027" t="str">
            <v>Requisition Fees</v>
          </cell>
          <cell r="E1027" t="str">
            <v>REQUISITION FEES DENTAL 2500.00-2999.99</v>
          </cell>
          <cell r="F1027" t="str">
            <v>2141EM0963</v>
          </cell>
        </row>
        <row r="1028">
          <cell r="A1028" t="str">
            <v>1915(c) waiver</v>
          </cell>
          <cell r="C1028" t="str">
            <v>HCS</v>
          </cell>
          <cell r="D1028" t="str">
            <v>Requisition Fees</v>
          </cell>
          <cell r="E1028" t="str">
            <v>REQUISITION FEES DENTAL 3000.00-3499.99</v>
          </cell>
          <cell r="F1028" t="str">
            <v>2141EM0956</v>
          </cell>
        </row>
        <row r="1029">
          <cell r="A1029" t="str">
            <v>1915(c) waiver</v>
          </cell>
          <cell r="C1029" t="str">
            <v>HCS</v>
          </cell>
          <cell r="D1029" t="str">
            <v>Requisition Fees</v>
          </cell>
          <cell r="E1029" t="str">
            <v>REQUISITION FEES DENTAL 3000.00-3499.99</v>
          </cell>
          <cell r="F1029" t="str">
            <v>2141EM0964</v>
          </cell>
        </row>
        <row r="1030">
          <cell r="A1030" t="str">
            <v>1915(c) waiver</v>
          </cell>
          <cell r="C1030" t="str">
            <v>HCS</v>
          </cell>
          <cell r="D1030" t="str">
            <v>Requisition Fees</v>
          </cell>
          <cell r="E1030" t="str">
            <v>REQUISITION FEES DENTAL 3500.00-3999.99</v>
          </cell>
          <cell r="F1030" t="str">
            <v>2141EM0957</v>
          </cell>
        </row>
        <row r="1031">
          <cell r="A1031" t="str">
            <v>1915(c) waiver</v>
          </cell>
          <cell r="C1031" t="str">
            <v>HCS</v>
          </cell>
          <cell r="D1031" t="str">
            <v>Requisition Fees</v>
          </cell>
          <cell r="E1031" t="str">
            <v>REQUISITION FEES DENTAL 3500.00-3999.99</v>
          </cell>
          <cell r="F1031" t="str">
            <v>2141EM0965</v>
          </cell>
        </row>
        <row r="1032">
          <cell r="A1032" t="str">
            <v>1915(c) waiver</v>
          </cell>
          <cell r="C1032" t="str">
            <v>HCS</v>
          </cell>
          <cell r="D1032" t="str">
            <v>Requisition Fees</v>
          </cell>
          <cell r="E1032" t="str">
            <v>REQUISITION FEES DENTAL 4000.00-4499.99</v>
          </cell>
          <cell r="F1032" t="str">
            <v>2141EM0958</v>
          </cell>
        </row>
        <row r="1033">
          <cell r="A1033" t="str">
            <v>1915(c) waiver</v>
          </cell>
          <cell r="C1033" t="str">
            <v>HCS</v>
          </cell>
          <cell r="D1033" t="str">
            <v>Requisition Fees</v>
          </cell>
          <cell r="E1033" t="str">
            <v>REQUISITION FEES DENTAL 4000.00-4499.99</v>
          </cell>
          <cell r="F1033" t="str">
            <v>2141EM0966</v>
          </cell>
        </row>
        <row r="1034">
          <cell r="A1034" t="str">
            <v>1915(c) waiver</v>
          </cell>
          <cell r="C1034" t="str">
            <v>HCS</v>
          </cell>
          <cell r="D1034" t="str">
            <v>Requisition Fees</v>
          </cell>
          <cell r="E1034" t="str">
            <v>REQUISITION FEES DENTAL 4500.00-4999.99</v>
          </cell>
          <cell r="F1034" t="str">
            <v>2141EM0959</v>
          </cell>
        </row>
        <row r="1035">
          <cell r="A1035" t="str">
            <v>1915(c) waiver</v>
          </cell>
          <cell r="C1035" t="str">
            <v>HCS</v>
          </cell>
          <cell r="D1035" t="str">
            <v>Requisition Fees</v>
          </cell>
          <cell r="E1035" t="str">
            <v>REQUISITION FEES DENTAL 4500.00-4999.99</v>
          </cell>
          <cell r="F1035" t="str">
            <v>2141EM0967</v>
          </cell>
        </row>
        <row r="1036">
          <cell r="A1036" t="str">
            <v>1915(c) waiver</v>
          </cell>
          <cell r="C1036" t="str">
            <v>HCS</v>
          </cell>
          <cell r="D1036" t="str">
            <v>Requisition Fees</v>
          </cell>
          <cell r="E1036" t="str">
            <v>REQUISITION FEES DENTAL 500.00 999.99</v>
          </cell>
          <cell r="F1036" t="str">
            <v>2141EM0316</v>
          </cell>
        </row>
        <row r="1037">
          <cell r="A1037" t="str">
            <v>1915(c) waiver</v>
          </cell>
          <cell r="C1037" t="str">
            <v>HCS</v>
          </cell>
          <cell r="D1037" t="str">
            <v>Requisition Fees</v>
          </cell>
          <cell r="E1037" t="str">
            <v>REQUISITION FEES DENTAL 500.00 999.99</v>
          </cell>
          <cell r="F1037" t="str">
            <v>2141EM0319</v>
          </cell>
        </row>
        <row r="1038">
          <cell r="A1038" t="str">
            <v>1915(c) waiver</v>
          </cell>
          <cell r="C1038" t="str">
            <v>HCS</v>
          </cell>
          <cell r="D1038" t="str">
            <v>Requisition Fees</v>
          </cell>
          <cell r="E1038" t="str">
            <v>REQUISITION FEES DENTAL 5000.00 and over</v>
          </cell>
          <cell r="F1038" t="str">
            <v>2141EM0960</v>
          </cell>
        </row>
        <row r="1039">
          <cell r="A1039" t="str">
            <v>1915(c) waiver</v>
          </cell>
          <cell r="C1039" t="str">
            <v>HCS</v>
          </cell>
          <cell r="D1039" t="str">
            <v>Requisition Fees</v>
          </cell>
          <cell r="E1039" t="str">
            <v>REQUISITION FEES DENTAL 5000.00 and over</v>
          </cell>
          <cell r="F1039" t="str">
            <v>2141EM0968</v>
          </cell>
        </row>
        <row r="1040">
          <cell r="A1040" t="str">
            <v>1915(c) waiver</v>
          </cell>
          <cell r="C1040" t="str">
            <v>HCS</v>
          </cell>
          <cell r="D1040" t="str">
            <v>Requisition Fees</v>
          </cell>
          <cell r="E1040" t="str">
            <v>TAS MHM Requisition Fee L125 MHM $6500 + LOC 1</v>
          </cell>
          <cell r="F1040" t="str">
            <v>1241BAM0396</v>
          </cell>
        </row>
        <row r="1041">
          <cell r="A1041" t="str">
            <v>1915(c) waiver</v>
          </cell>
          <cell r="C1041" t="str">
            <v>HCS</v>
          </cell>
          <cell r="D1041" t="str">
            <v>Requisition Fees</v>
          </cell>
          <cell r="E1041" t="str">
            <v xml:space="preserve">TAS MHM REQUISITION FEE L125 MHM $6500 + LOC 1 </v>
          </cell>
          <cell r="F1041" t="str">
            <v>2141BAM0396</v>
          </cell>
        </row>
        <row r="1042">
          <cell r="A1042" t="str">
            <v>1915(c) waiver</v>
          </cell>
          <cell r="C1042" t="str">
            <v>HCS</v>
          </cell>
          <cell r="D1042" t="str">
            <v>Requisition Fees</v>
          </cell>
          <cell r="E1042" t="str">
            <v>TAS MHM Requisition Fee L125 MHM $6500 + LOC 8</v>
          </cell>
          <cell r="F1042" t="str">
            <v>1241BAM0410</v>
          </cell>
        </row>
        <row r="1043">
          <cell r="A1043" t="str">
            <v>1915(c) waiver</v>
          </cell>
          <cell r="C1043" t="str">
            <v>HCS</v>
          </cell>
          <cell r="D1043" t="str">
            <v>Requisition Fees</v>
          </cell>
          <cell r="E1043" t="str">
            <v xml:space="preserve">TAS MHM REQUISITION FEE L125 MHM $6500 + LOC 8 </v>
          </cell>
          <cell r="F1043" t="str">
            <v>2141BAM0410</v>
          </cell>
        </row>
        <row r="1044">
          <cell r="A1044" t="str">
            <v>1915(c) waiver</v>
          </cell>
          <cell r="C1044" t="str">
            <v>HCS</v>
          </cell>
          <cell r="D1044" t="str">
            <v>Requisition Fees</v>
          </cell>
          <cell r="E1044" t="str">
            <v>TAS MHM Requisition Fee MHM $0-499.99 LOC 1</v>
          </cell>
          <cell r="F1044" t="str">
            <v>1241BAM0383</v>
          </cell>
        </row>
        <row r="1045">
          <cell r="A1045" t="str">
            <v>1915(c) waiver</v>
          </cell>
          <cell r="C1045" t="str">
            <v>HCS</v>
          </cell>
          <cell r="D1045" t="str">
            <v>Requisition Fees</v>
          </cell>
          <cell r="E1045" t="str">
            <v xml:space="preserve">TAS MHM REQUISITION FEE MHM $0-499.99 LOC 1 </v>
          </cell>
          <cell r="F1045" t="str">
            <v>2141BAM0383</v>
          </cell>
        </row>
        <row r="1046">
          <cell r="A1046" t="str">
            <v>1915(c) waiver</v>
          </cell>
          <cell r="C1046" t="str">
            <v>HCS</v>
          </cell>
          <cell r="D1046" t="str">
            <v>Requisition Fees</v>
          </cell>
          <cell r="E1046" t="str">
            <v>TAS MHM Requisition Fee MHM $0-499.99 LOC 8</v>
          </cell>
          <cell r="F1046" t="str">
            <v>1241BAM0397</v>
          </cell>
        </row>
        <row r="1047">
          <cell r="A1047" t="str">
            <v>1915(c) waiver</v>
          </cell>
          <cell r="C1047" t="str">
            <v>HCS</v>
          </cell>
          <cell r="D1047" t="str">
            <v>Requisition Fees</v>
          </cell>
          <cell r="E1047" t="str">
            <v xml:space="preserve">TAS MHM REQUISITION FEE MHM $0-499.99 LOC 8 </v>
          </cell>
          <cell r="F1047" t="str">
            <v>2141BAM0397</v>
          </cell>
        </row>
        <row r="1048">
          <cell r="A1048" t="str">
            <v>1915(c) waiver</v>
          </cell>
          <cell r="C1048" t="str">
            <v>HCS</v>
          </cell>
          <cell r="D1048" t="str">
            <v>Requisition Fees</v>
          </cell>
          <cell r="E1048" t="str">
            <v>TAS MHM Requisition Fee MHM $1000.00-1499.99 LOC 1</v>
          </cell>
          <cell r="F1048" t="str">
            <v>1241BAM0385</v>
          </cell>
        </row>
        <row r="1049">
          <cell r="A1049" t="str">
            <v>1915(c) waiver</v>
          </cell>
          <cell r="C1049" t="str">
            <v>HCS</v>
          </cell>
          <cell r="D1049" t="str">
            <v>Requisition Fees</v>
          </cell>
          <cell r="E1049" t="str">
            <v xml:space="preserve">TAS MHM REQUISITION FEE MHM $1000.00-1499.99 LOC 1 </v>
          </cell>
          <cell r="F1049" t="str">
            <v>2141BAM0385</v>
          </cell>
        </row>
        <row r="1050">
          <cell r="A1050" t="str">
            <v>1915(c) waiver</v>
          </cell>
          <cell r="C1050" t="str">
            <v>HCS</v>
          </cell>
          <cell r="D1050" t="str">
            <v>Requisition Fees</v>
          </cell>
          <cell r="E1050" t="str">
            <v>TAS MHM Requisition Fee MHM $1000.00-1499.99 LOC 8</v>
          </cell>
          <cell r="F1050" t="str">
            <v>1241BAM0399</v>
          </cell>
        </row>
        <row r="1051">
          <cell r="A1051" t="str">
            <v>1915(c) waiver</v>
          </cell>
          <cell r="C1051" t="str">
            <v>HCS</v>
          </cell>
          <cell r="D1051" t="str">
            <v>Requisition Fees</v>
          </cell>
          <cell r="E1051" t="str">
            <v xml:space="preserve">TAS MHM REQUISITION FEE MHM $1000.00-1499.99 LOC 8 </v>
          </cell>
          <cell r="F1051" t="str">
            <v>2141BAM0399</v>
          </cell>
        </row>
        <row r="1052">
          <cell r="A1052" t="str">
            <v>1915(c) waiver</v>
          </cell>
          <cell r="C1052" t="str">
            <v>HCS</v>
          </cell>
          <cell r="D1052" t="str">
            <v>Requisition Fees</v>
          </cell>
          <cell r="E1052" t="str">
            <v>TAS MHM Requisition Fee MHM $1500.00-1999.99 LOC 1</v>
          </cell>
          <cell r="F1052" t="str">
            <v>1241BAM0386</v>
          </cell>
        </row>
        <row r="1053">
          <cell r="A1053" t="str">
            <v>1915(c) waiver</v>
          </cell>
          <cell r="C1053" t="str">
            <v>HCS</v>
          </cell>
          <cell r="D1053" t="str">
            <v>Requisition Fees</v>
          </cell>
          <cell r="E1053" t="str">
            <v xml:space="preserve">TAS MHM REQUISITION FEE MHM $1500.00-1999.99 LOC 1 </v>
          </cell>
          <cell r="F1053" t="str">
            <v>2141BAM0386</v>
          </cell>
        </row>
        <row r="1054">
          <cell r="A1054" t="str">
            <v>1915(c) waiver</v>
          </cell>
          <cell r="C1054" t="str">
            <v>HCS</v>
          </cell>
          <cell r="D1054" t="str">
            <v>Requisition Fees</v>
          </cell>
          <cell r="E1054" t="str">
            <v>TAS MHM Requisition Fee MHM $1500.00-1999.99 LOC 8</v>
          </cell>
          <cell r="F1054" t="str">
            <v>1241BAM0400</v>
          </cell>
        </row>
        <row r="1055">
          <cell r="A1055" t="str">
            <v>1915(c) waiver</v>
          </cell>
          <cell r="C1055" t="str">
            <v>HCS</v>
          </cell>
          <cell r="D1055" t="str">
            <v>Requisition Fees</v>
          </cell>
          <cell r="E1055" t="str">
            <v xml:space="preserve">TAS MHM REQUISITION FEE MHM $1500.00-1999.99 LOC 8 </v>
          </cell>
          <cell r="F1055" t="str">
            <v>2141BAM0400</v>
          </cell>
        </row>
        <row r="1056">
          <cell r="A1056" t="str">
            <v>1915(c) waiver</v>
          </cell>
          <cell r="C1056" t="str">
            <v>HCS</v>
          </cell>
          <cell r="D1056" t="str">
            <v>Requisition Fees</v>
          </cell>
          <cell r="E1056" t="str">
            <v>TAS MHM Requisition Fee MHM $2000.00-2499.99 LOC 1</v>
          </cell>
          <cell r="F1056" t="str">
            <v>1241BAM0387</v>
          </cell>
        </row>
        <row r="1057">
          <cell r="A1057" t="str">
            <v>1915(c) waiver</v>
          </cell>
          <cell r="C1057" t="str">
            <v>HCS</v>
          </cell>
          <cell r="D1057" t="str">
            <v>Requisition Fees</v>
          </cell>
          <cell r="E1057" t="str">
            <v xml:space="preserve">TAS MHM REQUISITION FEE MHM $2000.00-2499.99 LOC 1 </v>
          </cell>
          <cell r="F1057" t="str">
            <v>2141BAM0387</v>
          </cell>
        </row>
        <row r="1058">
          <cell r="A1058" t="str">
            <v>1915(c) waiver</v>
          </cell>
          <cell r="C1058" t="str">
            <v>HCS</v>
          </cell>
          <cell r="D1058" t="str">
            <v>Requisition Fees</v>
          </cell>
          <cell r="E1058" t="str">
            <v>TAS MHM Requisition Fee MHM $2000.00-2499.99 LOC 8</v>
          </cell>
          <cell r="F1058" t="str">
            <v>1241BAM0401</v>
          </cell>
        </row>
        <row r="1059">
          <cell r="A1059" t="str">
            <v>1915(c) waiver</v>
          </cell>
          <cell r="C1059" t="str">
            <v>HCS</v>
          </cell>
          <cell r="D1059" t="str">
            <v>Requisition Fees</v>
          </cell>
          <cell r="E1059" t="str">
            <v xml:space="preserve">TAS MHM REQUISITION FEE MHM $2000.00-2499.99 LOC 8 </v>
          </cell>
          <cell r="F1059" t="str">
            <v>2141BAM0401</v>
          </cell>
        </row>
        <row r="1060">
          <cell r="A1060" t="str">
            <v>1915(c) waiver</v>
          </cell>
          <cell r="C1060" t="str">
            <v>HCS</v>
          </cell>
          <cell r="D1060" t="str">
            <v>Requisition Fees</v>
          </cell>
          <cell r="E1060" t="str">
            <v>TAS MHM Requisition Fee MHM $3000.00-3499.99 LOC 1</v>
          </cell>
          <cell r="F1060" t="str">
            <v>1241BAM0389</v>
          </cell>
        </row>
        <row r="1061">
          <cell r="A1061" t="str">
            <v>1915(c) waiver</v>
          </cell>
          <cell r="C1061" t="str">
            <v>HCS</v>
          </cell>
          <cell r="D1061" t="str">
            <v>Requisition Fees</v>
          </cell>
          <cell r="E1061" t="str">
            <v xml:space="preserve">TAS MHM REQUISITION FEE MHM $3000.00-3499.99 LOC 1 </v>
          </cell>
          <cell r="F1061" t="str">
            <v>2141BAM0389</v>
          </cell>
        </row>
        <row r="1062">
          <cell r="A1062" t="str">
            <v>1915(c) waiver</v>
          </cell>
          <cell r="C1062" t="str">
            <v>HCS</v>
          </cell>
          <cell r="D1062" t="str">
            <v>Requisition Fees</v>
          </cell>
          <cell r="E1062" t="str">
            <v>TAS MHM Requisition Fee MHM $3000.00-3499.99 LOC 8</v>
          </cell>
          <cell r="F1062" t="str">
            <v>1241BAM0403</v>
          </cell>
        </row>
        <row r="1063">
          <cell r="A1063" t="str">
            <v>1915(c) waiver</v>
          </cell>
          <cell r="C1063" t="str">
            <v>HCS</v>
          </cell>
          <cell r="D1063" t="str">
            <v>Requisition Fees</v>
          </cell>
          <cell r="E1063" t="str">
            <v xml:space="preserve">TAS MHM REQUISITION FEE MHM $3000.00-3499.99 LOC 8 </v>
          </cell>
          <cell r="F1063" t="str">
            <v>2141BAM0403</v>
          </cell>
        </row>
        <row r="1064">
          <cell r="A1064" t="str">
            <v>1915(c) waiver</v>
          </cell>
          <cell r="C1064" t="str">
            <v>HCS</v>
          </cell>
          <cell r="D1064" t="str">
            <v>Requisition Fees</v>
          </cell>
          <cell r="E1064" t="str">
            <v>TAS MHM Requisition Fee MHM $3500.00-3999.99 LOC 1</v>
          </cell>
          <cell r="F1064" t="str">
            <v>1241BAM0390</v>
          </cell>
        </row>
        <row r="1065">
          <cell r="A1065" t="str">
            <v>1915(c) waiver</v>
          </cell>
          <cell r="C1065" t="str">
            <v>HCS</v>
          </cell>
          <cell r="D1065" t="str">
            <v>Requisition Fees</v>
          </cell>
          <cell r="E1065" t="str">
            <v xml:space="preserve">TAS MHM REQUISITION FEE MHM $3500.00-3999.99 LOC 1 </v>
          </cell>
          <cell r="F1065" t="str">
            <v>2141BAM0390</v>
          </cell>
        </row>
        <row r="1066">
          <cell r="A1066" t="str">
            <v>1915(c) waiver</v>
          </cell>
          <cell r="C1066" t="str">
            <v>HCS</v>
          </cell>
          <cell r="D1066" t="str">
            <v>Requisition Fees</v>
          </cell>
          <cell r="E1066" t="str">
            <v>TAS MHM Requisition Fee MHM $3500.00-3999.99 LOC 8</v>
          </cell>
          <cell r="F1066" t="str">
            <v>1241BAM0404</v>
          </cell>
        </row>
        <row r="1067">
          <cell r="A1067" t="str">
            <v>1915(c) waiver</v>
          </cell>
          <cell r="C1067" t="str">
            <v>HCS</v>
          </cell>
          <cell r="D1067" t="str">
            <v>Requisition Fees</v>
          </cell>
          <cell r="E1067" t="str">
            <v xml:space="preserve">TAS MHM REQUISITION FEE MHM $3500.00-3999.99 LOC 8 </v>
          </cell>
          <cell r="F1067" t="str">
            <v>2141BAM0404</v>
          </cell>
        </row>
        <row r="1068">
          <cell r="A1068" t="str">
            <v>1915(c) waiver</v>
          </cell>
          <cell r="C1068" t="str">
            <v>HCS</v>
          </cell>
          <cell r="D1068" t="str">
            <v>Requisition Fees</v>
          </cell>
          <cell r="E1068" t="str">
            <v>TAS MHM Requisition Fee MHM $4000.00-4499.99 LOC 1</v>
          </cell>
          <cell r="F1068" t="str">
            <v>1241BAM0391</v>
          </cell>
        </row>
        <row r="1069">
          <cell r="A1069" t="str">
            <v>1915(c) waiver</v>
          </cell>
          <cell r="C1069" t="str">
            <v>HCS</v>
          </cell>
          <cell r="D1069" t="str">
            <v>Requisition Fees</v>
          </cell>
          <cell r="E1069" t="str">
            <v xml:space="preserve">TAS MHM REQUISITION FEE MHM $4000.00-4499.99 LOC 1 </v>
          </cell>
          <cell r="F1069" t="str">
            <v>2141BAM0391</v>
          </cell>
        </row>
        <row r="1070">
          <cell r="A1070" t="str">
            <v>1915(c) waiver</v>
          </cell>
          <cell r="C1070" t="str">
            <v>HCS</v>
          </cell>
          <cell r="D1070" t="str">
            <v>Requisition Fees</v>
          </cell>
          <cell r="E1070" t="str">
            <v>TAS MHM Requisition Fee MHM $4000.00-4499.99 LOC 8</v>
          </cell>
          <cell r="F1070" t="str">
            <v>1241BAM0405</v>
          </cell>
        </row>
        <row r="1071">
          <cell r="A1071" t="str">
            <v>1915(c) waiver</v>
          </cell>
          <cell r="C1071" t="str">
            <v>HCS</v>
          </cell>
          <cell r="D1071" t="str">
            <v>Requisition Fees</v>
          </cell>
          <cell r="E1071" t="str">
            <v xml:space="preserve">TAS MHM REQUISITION FEE MHM $4000.00-4499.99 LOC 8 </v>
          </cell>
          <cell r="F1071" t="str">
            <v>2141BAM0405</v>
          </cell>
        </row>
        <row r="1072">
          <cell r="A1072" t="str">
            <v>1915(c) waiver</v>
          </cell>
          <cell r="C1072" t="str">
            <v>HCS</v>
          </cell>
          <cell r="D1072" t="str">
            <v>Requisition Fees</v>
          </cell>
          <cell r="E1072" t="str">
            <v>TAS MHM Requisition Fee MHM $4500.00-4999.99 LOC 1</v>
          </cell>
          <cell r="F1072" t="str">
            <v>1241BAM0392</v>
          </cell>
        </row>
        <row r="1073">
          <cell r="A1073" t="str">
            <v>1915(c) waiver</v>
          </cell>
          <cell r="C1073" t="str">
            <v>HCS</v>
          </cell>
          <cell r="D1073" t="str">
            <v>Requisition Fees</v>
          </cell>
          <cell r="E1073" t="str">
            <v xml:space="preserve">TAS MHM REQUISITION FEE MHM $4500.00-4999.99 LOC 1 </v>
          </cell>
          <cell r="F1073" t="str">
            <v>2141BAM0392</v>
          </cell>
        </row>
        <row r="1074">
          <cell r="A1074" t="str">
            <v>1915(c) waiver</v>
          </cell>
          <cell r="C1074" t="str">
            <v>HCS</v>
          </cell>
          <cell r="D1074" t="str">
            <v>Requisition Fees</v>
          </cell>
          <cell r="E1074" t="str">
            <v>TAS MHM Requisition Fee MHM $4500.00-4999.99 LOC 8</v>
          </cell>
          <cell r="F1074" t="str">
            <v>1241BAM0406</v>
          </cell>
        </row>
        <row r="1075">
          <cell r="A1075" t="str">
            <v>1915(c) waiver</v>
          </cell>
          <cell r="C1075" t="str">
            <v>HCS</v>
          </cell>
          <cell r="D1075" t="str">
            <v>Requisition Fees</v>
          </cell>
          <cell r="E1075" t="str">
            <v xml:space="preserve">TAS MHM REQUISITION FEE MHM $4500.00-4999.99 LOC 8 </v>
          </cell>
          <cell r="F1075" t="str">
            <v>2141BAM0406</v>
          </cell>
        </row>
        <row r="1076">
          <cell r="A1076" t="str">
            <v>1915(c) waiver</v>
          </cell>
          <cell r="C1076" t="str">
            <v>HCS</v>
          </cell>
          <cell r="D1076" t="str">
            <v>Requisition Fees</v>
          </cell>
          <cell r="E1076" t="str">
            <v>TAS MHM Requisition Fee MHM $500.00-999.99 LOC 1</v>
          </cell>
          <cell r="F1076" t="str">
            <v>1241BAM0384</v>
          </cell>
        </row>
        <row r="1077">
          <cell r="A1077" t="str">
            <v>1915(c) waiver</v>
          </cell>
          <cell r="C1077" t="str">
            <v>HCS</v>
          </cell>
          <cell r="D1077" t="str">
            <v>Requisition Fees</v>
          </cell>
          <cell r="E1077" t="str">
            <v xml:space="preserve">TAS MHM REQUISITION FEE MHM $500.00-999.99 LOC 1 </v>
          </cell>
          <cell r="F1077" t="str">
            <v>2141BAM0384</v>
          </cell>
        </row>
        <row r="1078">
          <cell r="A1078" t="str">
            <v>1915(c) waiver</v>
          </cell>
          <cell r="C1078" t="str">
            <v>HCS</v>
          </cell>
          <cell r="D1078" t="str">
            <v>Requisition Fees</v>
          </cell>
          <cell r="E1078" t="str">
            <v>TAS MHM Requisition Fee MHM $500.00-999.99 LOC 8</v>
          </cell>
          <cell r="F1078" t="str">
            <v>1241BAM0398</v>
          </cell>
        </row>
        <row r="1079">
          <cell r="A1079" t="str">
            <v>1915(c) waiver</v>
          </cell>
          <cell r="C1079" t="str">
            <v>HCS</v>
          </cell>
          <cell r="D1079" t="str">
            <v>Requisition Fees</v>
          </cell>
          <cell r="E1079" t="str">
            <v xml:space="preserve">TAS MHM REQUISITION FEE MHM $500.00-999.99 LOC 8 </v>
          </cell>
          <cell r="F1079" t="str">
            <v>2141BAM0398</v>
          </cell>
        </row>
        <row r="1080">
          <cell r="A1080" t="str">
            <v>1915(c) waiver</v>
          </cell>
          <cell r="C1080" t="str">
            <v>HCS</v>
          </cell>
          <cell r="D1080" t="str">
            <v>Requisition Fees</v>
          </cell>
          <cell r="E1080" t="str">
            <v>TAS MHM Requisition Fee MHM $5000.00-5499.99 LOC 1</v>
          </cell>
          <cell r="F1080" t="str">
            <v>1241BAM0393</v>
          </cell>
        </row>
        <row r="1081">
          <cell r="A1081" t="str">
            <v>1915(c) waiver</v>
          </cell>
          <cell r="C1081" t="str">
            <v>HCS</v>
          </cell>
          <cell r="D1081" t="str">
            <v>Requisition Fees</v>
          </cell>
          <cell r="E1081" t="str">
            <v xml:space="preserve">TAS MHM REQUISITION FEE MHM $5000.00-5499.99 LOC 1 </v>
          </cell>
          <cell r="F1081" t="str">
            <v>2141BAM0393</v>
          </cell>
        </row>
        <row r="1082">
          <cell r="A1082" t="str">
            <v>1915(c) waiver</v>
          </cell>
          <cell r="C1082" t="str">
            <v>HCS</v>
          </cell>
          <cell r="D1082" t="str">
            <v>Requisition Fees</v>
          </cell>
          <cell r="E1082" t="str">
            <v>TAS MHM Requisition Fee MHM $5000.00-5499.99 LOC 8</v>
          </cell>
          <cell r="F1082" t="str">
            <v>1241BAM0407</v>
          </cell>
        </row>
        <row r="1083">
          <cell r="A1083" t="str">
            <v>1915(c) waiver</v>
          </cell>
          <cell r="C1083" t="str">
            <v>HCS</v>
          </cell>
          <cell r="D1083" t="str">
            <v>Requisition Fees</v>
          </cell>
          <cell r="E1083" t="str">
            <v xml:space="preserve">TAS MHM REQUISITION FEE MHM $5000.00-5499.99 LOC 8 </v>
          </cell>
          <cell r="F1083" t="str">
            <v>2141BAM0407</v>
          </cell>
        </row>
        <row r="1084">
          <cell r="A1084" t="str">
            <v>1915(c) waiver</v>
          </cell>
          <cell r="C1084" t="str">
            <v>HCS</v>
          </cell>
          <cell r="D1084" t="str">
            <v>Requisition Fees</v>
          </cell>
          <cell r="E1084" t="str">
            <v>TAS MHM Requisition Fee MHM $6000.00-6499.99 LOC 1</v>
          </cell>
          <cell r="F1084" t="str">
            <v>1241BAM0395</v>
          </cell>
        </row>
        <row r="1085">
          <cell r="A1085" t="str">
            <v>1915(c) waiver</v>
          </cell>
          <cell r="C1085" t="str">
            <v>HCS</v>
          </cell>
          <cell r="D1085" t="str">
            <v>Requisition Fees</v>
          </cell>
          <cell r="E1085" t="str">
            <v xml:space="preserve">TAS MHM REQUISITION FEE MHM $6000.00-6499.99 LOC 1 </v>
          </cell>
          <cell r="F1085" t="str">
            <v>2141BAM0395</v>
          </cell>
        </row>
        <row r="1086">
          <cell r="A1086" t="str">
            <v>1915(c) waiver</v>
          </cell>
          <cell r="C1086" t="str">
            <v>HCS</v>
          </cell>
          <cell r="D1086" t="str">
            <v>Requisition Fees</v>
          </cell>
          <cell r="E1086" t="str">
            <v>TAS MHM Requisition Fee MHM $6000.00-6499.99 LOC 8</v>
          </cell>
          <cell r="F1086" t="str">
            <v>1241BAM0409</v>
          </cell>
        </row>
        <row r="1087">
          <cell r="A1087" t="str">
            <v>1915(c) waiver</v>
          </cell>
          <cell r="C1087" t="str">
            <v>HCS</v>
          </cell>
          <cell r="D1087" t="str">
            <v>Requisition Fees</v>
          </cell>
          <cell r="E1087" t="str">
            <v xml:space="preserve">TAS MHM REQUISITION FEE MHM $6000.00-6499.99 LOC 8 </v>
          </cell>
          <cell r="F1087" t="str">
            <v>2141BAM0409</v>
          </cell>
        </row>
        <row r="1088">
          <cell r="A1088" t="str">
            <v>1915(c) waiver</v>
          </cell>
          <cell r="C1088" t="str">
            <v>HCS</v>
          </cell>
          <cell r="D1088" t="str">
            <v>Requisition Fees</v>
          </cell>
          <cell r="E1088" t="str">
            <v>TAS MMHM Requisition Fee MHM $2500.00-2999.99 LOC 1</v>
          </cell>
          <cell r="F1088" t="str">
            <v>1241BAM0388</v>
          </cell>
        </row>
        <row r="1089">
          <cell r="A1089" t="str">
            <v>1915(c) waiver</v>
          </cell>
          <cell r="C1089" t="str">
            <v>HCS</v>
          </cell>
          <cell r="D1089" t="str">
            <v>Requisition Fees</v>
          </cell>
          <cell r="E1089" t="str">
            <v xml:space="preserve">TAS MMHM REQUISITION FEE MHM $2500.00-2999.99 LOC 1 </v>
          </cell>
          <cell r="F1089" t="str">
            <v>2141BAM0388</v>
          </cell>
        </row>
        <row r="1090">
          <cell r="A1090" t="str">
            <v>1915(c) waiver</v>
          </cell>
          <cell r="C1090" t="str">
            <v>HCS</v>
          </cell>
          <cell r="D1090" t="str">
            <v>Requisition Fees</v>
          </cell>
          <cell r="E1090" t="str">
            <v>TAS MMHM Requisition Fee MHM $2500.00-2999.99 LOC 8</v>
          </cell>
          <cell r="F1090" t="str">
            <v>1241BAM0402</v>
          </cell>
        </row>
        <row r="1091">
          <cell r="A1091" t="str">
            <v>1915(c) waiver</v>
          </cell>
          <cell r="C1091" t="str">
            <v>HCS</v>
          </cell>
          <cell r="D1091" t="str">
            <v>Requisition Fees</v>
          </cell>
          <cell r="E1091" t="str">
            <v xml:space="preserve">TAS MMHM REQUISITION FEE MHM $2500.00-2999.99 LOC 8 </v>
          </cell>
          <cell r="F1091" t="str">
            <v>2141BAM0402</v>
          </cell>
        </row>
        <row r="1092">
          <cell r="A1092" t="str">
            <v>1915(c) waiver</v>
          </cell>
          <cell r="C1092" t="str">
            <v>HCS</v>
          </cell>
          <cell r="D1092" t="str">
            <v>Requisition Fees</v>
          </cell>
          <cell r="E1092" t="str">
            <v>TAS MMHM Requisition Fee MHM $5500.00-5999.99 LOC 1</v>
          </cell>
          <cell r="F1092" t="str">
            <v>1241BAM0394</v>
          </cell>
        </row>
        <row r="1093">
          <cell r="A1093" t="str">
            <v>1915(c) waiver</v>
          </cell>
          <cell r="C1093" t="str">
            <v>HCS</v>
          </cell>
          <cell r="D1093" t="str">
            <v>Requisition Fees</v>
          </cell>
          <cell r="E1093" t="str">
            <v xml:space="preserve">TAS MMHM REQUISITION FEE MHM $5500.00-5999.99 LOC 1 </v>
          </cell>
          <cell r="F1093" t="str">
            <v>2141BAM0394</v>
          </cell>
        </row>
        <row r="1094">
          <cell r="A1094" t="str">
            <v>1915(c) waiver</v>
          </cell>
          <cell r="C1094" t="str">
            <v>HCS</v>
          </cell>
          <cell r="D1094" t="str">
            <v>Requisition Fees</v>
          </cell>
          <cell r="E1094" t="str">
            <v>TAS MMHM Requisition Fee MHM $5500.00-5999.99 LOC 8</v>
          </cell>
          <cell r="F1094" t="str">
            <v>1241BAM0408</v>
          </cell>
        </row>
        <row r="1095">
          <cell r="A1095" t="str">
            <v>1915(c) waiver</v>
          </cell>
          <cell r="C1095" t="str">
            <v>HCS</v>
          </cell>
          <cell r="D1095" t="str">
            <v>Requisition Fees</v>
          </cell>
          <cell r="E1095" t="str">
            <v xml:space="preserve">TAS MMHM REQUISITION FEE MHM $5500.00-5999.99 LOC 8 </v>
          </cell>
          <cell r="F1095" t="str">
            <v>2141BAM0408</v>
          </cell>
        </row>
        <row r="1096">
          <cell r="A1096" t="str">
            <v>1915(c) waiver</v>
          </cell>
          <cell r="C1096" t="str">
            <v>HCS</v>
          </cell>
          <cell r="D1096" t="str">
            <v>TAS</v>
          </cell>
          <cell r="E1096" t="str">
            <v xml:space="preserve">Transition Assistance Services (TAS) Fee LOC 1 </v>
          </cell>
          <cell r="F1096" t="str">
            <v>2153AM0377</v>
          </cell>
        </row>
        <row r="1097">
          <cell r="A1097" t="str">
            <v>1915(c) waiver</v>
          </cell>
          <cell r="C1097" t="str">
            <v>HCS</v>
          </cell>
          <cell r="D1097" t="str">
            <v>TAS</v>
          </cell>
          <cell r="E1097" t="str">
            <v xml:space="preserve">Transition Assistance Services (TAS) Fee LOC 8 </v>
          </cell>
          <cell r="F1097" t="str">
            <v>2153AM0378</v>
          </cell>
        </row>
        <row r="1098">
          <cell r="A1098" t="str">
            <v>1915(c) waiver</v>
          </cell>
          <cell r="C1098" t="str">
            <v>HCS</v>
          </cell>
          <cell r="D1098" t="str">
            <v>TAS</v>
          </cell>
          <cell r="E1098" t="str">
            <v xml:space="preserve">Transition Assistance Services (TAS) Fee LOC 1 </v>
          </cell>
          <cell r="F1098" t="str">
            <v>1253AM0377</v>
          </cell>
        </row>
        <row r="1099">
          <cell r="A1099" t="str">
            <v>1915(c) waiver</v>
          </cell>
          <cell r="C1099" t="str">
            <v>HCS</v>
          </cell>
          <cell r="D1099" t="str">
            <v>TAS</v>
          </cell>
          <cell r="E1099" t="str">
            <v xml:space="preserve">Transition Assistance Services (TAS) Fee LOC 8 </v>
          </cell>
          <cell r="F1099" t="str">
            <v>1253AM0378</v>
          </cell>
        </row>
        <row r="1100">
          <cell r="A1100" t="str">
            <v>1915(c) waiver</v>
          </cell>
          <cell r="C1100" t="str">
            <v>HCS</v>
          </cell>
          <cell r="D1100" t="str">
            <v>SL/RSS</v>
          </cell>
          <cell r="E1100" t="str">
            <v>RESIDENTIAL SUPPORT SERVICES LON 1</v>
          </cell>
          <cell r="F1100" t="str">
            <v>2146M0149</v>
          </cell>
        </row>
        <row r="1101">
          <cell r="A1101" t="str">
            <v>1915(c) waiver</v>
          </cell>
          <cell r="C1101" t="str">
            <v>HCS</v>
          </cell>
          <cell r="D1101" t="str">
            <v>SL/RSS</v>
          </cell>
          <cell r="E1101" t="str">
            <v>Residential Support Services LON 1</v>
          </cell>
          <cell r="F1101" t="str">
            <v>1246M0149</v>
          </cell>
        </row>
        <row r="1102">
          <cell r="A1102" t="str">
            <v>1915(c) waiver</v>
          </cell>
          <cell r="C1102" t="str">
            <v>HCS</v>
          </cell>
          <cell r="D1102" t="str">
            <v>SL/RSS</v>
          </cell>
          <cell r="E1102" t="str">
            <v>RESIDENTIAL SUPPORT SERVICES LON 5</v>
          </cell>
          <cell r="F1102" t="str">
            <v>2146M0150</v>
          </cell>
        </row>
        <row r="1103">
          <cell r="A1103" t="str">
            <v>1915(c) waiver</v>
          </cell>
          <cell r="C1103" t="str">
            <v>HCS</v>
          </cell>
          <cell r="D1103" t="str">
            <v>SL/RSS</v>
          </cell>
          <cell r="E1103" t="str">
            <v>Residential Support Services LON 5</v>
          </cell>
          <cell r="F1103" t="str">
            <v>1246M0150</v>
          </cell>
        </row>
        <row r="1104">
          <cell r="A1104" t="str">
            <v>1915(c) waiver</v>
          </cell>
          <cell r="C1104" t="str">
            <v>HCS</v>
          </cell>
          <cell r="D1104" t="str">
            <v>SL/RSS</v>
          </cell>
          <cell r="E1104" t="str">
            <v>RESIDENTIAL SUPPORT SERVICES LON 6</v>
          </cell>
          <cell r="F1104" t="str">
            <v>2146M0151</v>
          </cell>
        </row>
        <row r="1105">
          <cell r="A1105" t="str">
            <v>1915(c) waiver</v>
          </cell>
          <cell r="C1105" t="str">
            <v>HCS</v>
          </cell>
          <cell r="D1105" t="str">
            <v>SL/RSS</v>
          </cell>
          <cell r="E1105" t="str">
            <v>Residential Support Services LON 6</v>
          </cell>
          <cell r="F1105" t="str">
            <v>1246M0151</v>
          </cell>
        </row>
        <row r="1106">
          <cell r="A1106" t="str">
            <v>1915(c) waiver</v>
          </cell>
          <cell r="C1106" t="str">
            <v>HCS</v>
          </cell>
          <cell r="D1106" t="str">
            <v>SL/RSS</v>
          </cell>
          <cell r="E1106" t="str">
            <v>RESIDENTIAL SUPPORT SERVICES LON 8</v>
          </cell>
          <cell r="F1106" t="str">
            <v>2146M0152</v>
          </cell>
        </row>
        <row r="1107">
          <cell r="A1107" t="str">
            <v>1915(c) waiver</v>
          </cell>
          <cell r="C1107" t="str">
            <v>HCS</v>
          </cell>
          <cell r="D1107" t="str">
            <v>SL/RSS</v>
          </cell>
          <cell r="E1107" t="str">
            <v>Residential Support Services LON 8</v>
          </cell>
          <cell r="F1107" t="str">
            <v>1246M0152</v>
          </cell>
        </row>
        <row r="1108">
          <cell r="A1108" t="str">
            <v>1915(c) waiver</v>
          </cell>
          <cell r="C1108" t="str">
            <v>HCS</v>
          </cell>
          <cell r="D1108" t="str">
            <v>SL/RSS</v>
          </cell>
          <cell r="E1108" t="str">
            <v>RESIDENTIAL SUPPORT SERVICES LON 9</v>
          </cell>
          <cell r="F1108" t="str">
            <v>2146M0153</v>
          </cell>
        </row>
        <row r="1109">
          <cell r="A1109" t="str">
            <v>1915(c) waiver</v>
          </cell>
          <cell r="C1109" t="str">
            <v>HCS</v>
          </cell>
          <cell r="D1109" t="str">
            <v>SL/RSS</v>
          </cell>
          <cell r="E1109" t="str">
            <v>Residential Support Services LON 9</v>
          </cell>
          <cell r="F1109" t="str">
            <v>1246M0153</v>
          </cell>
        </row>
        <row r="1110">
          <cell r="A1110" t="str">
            <v>1915(c) waiver</v>
          </cell>
          <cell r="C1110" t="str">
            <v>HCS</v>
          </cell>
          <cell r="D1110" t="str">
            <v>SL/RSS</v>
          </cell>
          <cell r="E1110" t="str">
            <v>SUPERVISED LIVING LON 1</v>
          </cell>
          <cell r="F1110" t="str">
            <v>2147M0166</v>
          </cell>
        </row>
        <row r="1111">
          <cell r="A1111" t="str">
            <v>1915(c) waiver</v>
          </cell>
          <cell r="C1111" t="str">
            <v>HCS</v>
          </cell>
          <cell r="D1111" t="str">
            <v>SL/RSS</v>
          </cell>
          <cell r="E1111" t="str">
            <v>Supervised Living LON 1</v>
          </cell>
          <cell r="F1111" t="str">
            <v>1247M0166</v>
          </cell>
        </row>
        <row r="1112">
          <cell r="A1112" t="str">
            <v>1915(c) waiver</v>
          </cell>
          <cell r="C1112" t="str">
            <v>HCS</v>
          </cell>
          <cell r="D1112" t="str">
            <v>SL/RSS</v>
          </cell>
          <cell r="E1112" t="str">
            <v>SUPERVISED LIVING LON 5</v>
          </cell>
          <cell r="F1112" t="str">
            <v>2147M0167</v>
          </cell>
        </row>
        <row r="1113">
          <cell r="A1113" t="str">
            <v>1915(c) waiver</v>
          </cell>
          <cell r="C1113" t="str">
            <v>HCS</v>
          </cell>
          <cell r="D1113" t="str">
            <v>SL/RSS</v>
          </cell>
          <cell r="E1113" t="str">
            <v>Supervised Living LON 5</v>
          </cell>
          <cell r="F1113" t="str">
            <v>1247M0167</v>
          </cell>
        </row>
        <row r="1114">
          <cell r="A1114" t="str">
            <v>1915(c) waiver</v>
          </cell>
          <cell r="C1114" t="str">
            <v>HCS</v>
          </cell>
          <cell r="D1114" t="str">
            <v>SL/RSS</v>
          </cell>
          <cell r="E1114" t="str">
            <v>SUPERVISED LIVING LON 6</v>
          </cell>
          <cell r="F1114" t="str">
            <v>2147M0168</v>
          </cell>
        </row>
        <row r="1115">
          <cell r="A1115" t="str">
            <v>1915(c) waiver</v>
          </cell>
          <cell r="C1115" t="str">
            <v>HCS</v>
          </cell>
          <cell r="D1115" t="str">
            <v>SL/RSS</v>
          </cell>
          <cell r="E1115" t="str">
            <v>Supervised Living LON 6</v>
          </cell>
          <cell r="F1115" t="str">
            <v>1247M0168</v>
          </cell>
        </row>
        <row r="1116">
          <cell r="A1116" t="str">
            <v>1915(c) waiver</v>
          </cell>
          <cell r="C1116" t="str">
            <v>HCS</v>
          </cell>
          <cell r="D1116" t="str">
            <v>SL/RSS</v>
          </cell>
          <cell r="E1116" t="str">
            <v>SUPERVISED LIVING LON 8</v>
          </cell>
          <cell r="F1116" t="str">
            <v>2147M0169</v>
          </cell>
        </row>
        <row r="1117">
          <cell r="A1117" t="str">
            <v>1915(c) waiver</v>
          </cell>
          <cell r="C1117" t="str">
            <v>HCS</v>
          </cell>
          <cell r="D1117" t="str">
            <v>SL/RSS</v>
          </cell>
          <cell r="E1117" t="str">
            <v>Supervised Living LON 8</v>
          </cell>
          <cell r="F1117" t="str">
            <v>1247M0169</v>
          </cell>
        </row>
        <row r="1118">
          <cell r="A1118" t="str">
            <v>1915(c) waiver</v>
          </cell>
          <cell r="C1118" t="str">
            <v>HCS</v>
          </cell>
          <cell r="D1118" t="str">
            <v>SL/RSS</v>
          </cell>
          <cell r="E1118" t="str">
            <v>SUPERVISED LIVING LON 9</v>
          </cell>
          <cell r="F1118" t="str">
            <v>2147M0170</v>
          </cell>
        </row>
        <row r="1119">
          <cell r="A1119" t="str">
            <v>1915(c) waiver</v>
          </cell>
          <cell r="C1119" t="str">
            <v>HCS</v>
          </cell>
          <cell r="D1119" t="str">
            <v>SL/RSS</v>
          </cell>
          <cell r="E1119" t="str">
            <v>Supervised Living LON 9</v>
          </cell>
          <cell r="F1119" t="str">
            <v>1247M0170</v>
          </cell>
        </row>
        <row r="1120">
          <cell r="A1120" t="str">
            <v>1915(c) waiver</v>
          </cell>
          <cell r="C1120" t="str">
            <v>HCS</v>
          </cell>
          <cell r="D1120" t="str">
            <v>Social Work</v>
          </cell>
          <cell r="E1120" t="str">
            <v>SOCIAL WORK LOC 1</v>
          </cell>
          <cell r="F1120" t="str">
            <v>2136M0173</v>
          </cell>
        </row>
        <row r="1121">
          <cell r="A1121" t="str">
            <v>1915(c) waiver</v>
          </cell>
          <cell r="C1121" t="str">
            <v>HCS</v>
          </cell>
          <cell r="D1121" t="str">
            <v>Social Work</v>
          </cell>
          <cell r="E1121" t="str">
            <v>Social Work LOC 1</v>
          </cell>
          <cell r="F1121" t="str">
            <v>1236M0173</v>
          </cell>
        </row>
        <row r="1122">
          <cell r="A1122" t="str">
            <v>1915(c) waiver</v>
          </cell>
          <cell r="C1122" t="str">
            <v>HCS</v>
          </cell>
          <cell r="D1122" t="str">
            <v>Social Work</v>
          </cell>
          <cell r="E1122" t="str">
            <v>SOCIAL WORK LOC 8</v>
          </cell>
          <cell r="F1122" t="str">
            <v>2136M0174</v>
          </cell>
        </row>
        <row r="1123">
          <cell r="A1123" t="str">
            <v>1915(c) waiver</v>
          </cell>
          <cell r="C1123" t="str">
            <v>HCS</v>
          </cell>
          <cell r="D1123" t="str">
            <v>Social Work</v>
          </cell>
          <cell r="E1123" t="str">
            <v>Social Work LOC 8</v>
          </cell>
          <cell r="F1123" t="str">
            <v>1236M0174</v>
          </cell>
        </row>
        <row r="1124">
          <cell r="A1124" t="str">
            <v>State Plan (Title XIX)</v>
          </cell>
          <cell r="C1124" t="str">
            <v>HCS</v>
          </cell>
          <cell r="D1124" t="str">
            <v>Support Consultation</v>
          </cell>
          <cell r="E1124" t="str">
            <v>CFC SUPPORT CONSULTATION LOC 1 (CDS)</v>
          </cell>
          <cell r="F1124" t="str">
            <v>2157CFVM0411</v>
          </cell>
          <cell r="P1124" t="str">
            <v>CFC</v>
          </cell>
        </row>
        <row r="1125">
          <cell r="A1125" t="str">
            <v>State Plan (Title XIX)</v>
          </cell>
          <cell r="C1125" t="str">
            <v>HCS</v>
          </cell>
          <cell r="D1125" t="str">
            <v>Support Consultation</v>
          </cell>
          <cell r="E1125" t="str">
            <v>CFC Support Consultation LOC 1 (CDS)</v>
          </cell>
          <cell r="F1125" t="str">
            <v>1257CFVM0411</v>
          </cell>
          <cell r="P1125" t="str">
            <v>CFC</v>
          </cell>
        </row>
        <row r="1126">
          <cell r="A1126" t="str">
            <v>State Plan (Title XIX)</v>
          </cell>
          <cell r="C1126" t="str">
            <v>HCS</v>
          </cell>
          <cell r="D1126" t="str">
            <v>Support Consultation</v>
          </cell>
          <cell r="E1126" t="str">
            <v>CFC SUPPORT CONSULTATION LOC 8 (CDS)</v>
          </cell>
          <cell r="F1126" t="str">
            <v>2157CFVM0412</v>
          </cell>
          <cell r="P1126" t="str">
            <v>CFC</v>
          </cell>
        </row>
        <row r="1127">
          <cell r="A1127" t="str">
            <v>State Plan (Title XIX)</v>
          </cell>
          <cell r="C1127" t="str">
            <v>HCS</v>
          </cell>
          <cell r="D1127" t="str">
            <v>Support Consultation</v>
          </cell>
          <cell r="E1127" t="str">
            <v>CFC Support Consultation LOC 8 (CDS)</v>
          </cell>
          <cell r="F1127" t="str">
            <v>1257CFVM0412</v>
          </cell>
          <cell r="P1127" t="str">
            <v>CFC</v>
          </cell>
        </row>
        <row r="1128">
          <cell r="A1128" t="str">
            <v>1915(c) waiver</v>
          </cell>
          <cell r="C1128" t="str">
            <v>HCS</v>
          </cell>
          <cell r="D1128" t="str">
            <v>Support Consultation</v>
          </cell>
          <cell r="E1128" t="str">
            <v>Support Consultation (CDS) LOC 1</v>
          </cell>
          <cell r="F1128" t="str">
            <v>1257VM0162</v>
          </cell>
        </row>
        <row r="1129">
          <cell r="A1129" t="str">
            <v>1915(c) waiver</v>
          </cell>
          <cell r="C1129" t="str">
            <v>HCS</v>
          </cell>
          <cell r="D1129" t="str">
            <v>Support Consultation</v>
          </cell>
          <cell r="E1129" t="str">
            <v>Support Consultation (CDS) LOC 8</v>
          </cell>
          <cell r="F1129" t="str">
            <v>1257VM0163</v>
          </cell>
        </row>
        <row r="1130">
          <cell r="A1130" t="str">
            <v>1915(c) waiver</v>
          </cell>
          <cell r="C1130" t="str">
            <v>HCS</v>
          </cell>
          <cell r="D1130" t="str">
            <v>Support Consultation</v>
          </cell>
          <cell r="E1130" t="str">
            <v>SUPPORT CONSULTATION LOC 1 (CDS)</v>
          </cell>
          <cell r="F1130" t="str">
            <v>2157VM0162</v>
          </cell>
        </row>
        <row r="1131">
          <cell r="A1131" t="str">
            <v>1915(c) waiver</v>
          </cell>
          <cell r="C1131" t="str">
            <v>HCS</v>
          </cell>
          <cell r="D1131" t="str">
            <v>Support Consultation</v>
          </cell>
          <cell r="E1131" t="str">
            <v>SUPPORT CONSULTATION LOC 8 (CDS)</v>
          </cell>
          <cell r="F1131" t="str">
            <v>2157VM0163</v>
          </cell>
        </row>
        <row r="1132">
          <cell r="A1132" t="str">
            <v>1915(c) waiver</v>
          </cell>
          <cell r="C1132" t="str">
            <v>HCS</v>
          </cell>
          <cell r="D1132" t="str">
            <v>TAS</v>
          </cell>
          <cell r="E1132" t="str">
            <v xml:space="preserve">TAS PREENROLLMENT MHM ASSESSMENT LOC 1 </v>
          </cell>
          <cell r="F1132" t="str">
            <v>2116AM0379</v>
          </cell>
        </row>
        <row r="1133">
          <cell r="A1133" t="str">
            <v>1915(c) waiver</v>
          </cell>
          <cell r="C1133" t="str">
            <v>HCS</v>
          </cell>
          <cell r="D1133" t="str">
            <v>TAS</v>
          </cell>
          <cell r="E1133" t="str">
            <v xml:space="preserve">TAS PREENROLLMENT MHM ASSESSMENT LOC 8 </v>
          </cell>
          <cell r="F1133" t="str">
            <v>2116AM0380</v>
          </cell>
        </row>
        <row r="1134">
          <cell r="A1134" t="str">
            <v>1915(c) waiver</v>
          </cell>
          <cell r="C1134" t="str">
            <v>HCS</v>
          </cell>
          <cell r="D1134" t="str">
            <v>TAS</v>
          </cell>
          <cell r="E1134" t="str">
            <v>TAS PREENROLLMENT MHM LOC 1</v>
          </cell>
          <cell r="F1134" t="str">
            <v>2116BM0381</v>
          </cell>
        </row>
        <row r="1135">
          <cell r="A1135" t="str">
            <v>1915(c) waiver</v>
          </cell>
          <cell r="C1135" t="str">
            <v>HCS</v>
          </cell>
          <cell r="D1135" t="str">
            <v>TAS</v>
          </cell>
          <cell r="E1135" t="str">
            <v>TAS PREENROLLMENT MHM LOC 8</v>
          </cell>
          <cell r="F1135" t="str">
            <v>2116BM0382</v>
          </cell>
        </row>
        <row r="1136">
          <cell r="A1136" t="str">
            <v>1915(c) waiver</v>
          </cell>
          <cell r="C1136" t="str">
            <v>HCS</v>
          </cell>
          <cell r="D1136" t="str">
            <v>TAS At Cost</v>
          </cell>
          <cell r="E1136" t="str">
            <v>TRANSITION ASSISTANCE SERVICES (TAS) LOC 1</v>
          </cell>
          <cell r="F1136" t="str">
            <v>2153M0375</v>
          </cell>
        </row>
        <row r="1137">
          <cell r="A1137" t="str">
            <v>1915(c) waiver</v>
          </cell>
          <cell r="C1137" t="str">
            <v>HCS</v>
          </cell>
          <cell r="D1137" t="str">
            <v>TAS At Cost</v>
          </cell>
          <cell r="E1137" t="str">
            <v>Transition Assistance Services (TAS) LOC 1</v>
          </cell>
          <cell r="F1137" t="str">
            <v>1253M0375</v>
          </cell>
        </row>
        <row r="1138">
          <cell r="A1138" t="str">
            <v>1915(c) waiver</v>
          </cell>
          <cell r="C1138" t="str">
            <v>HCS</v>
          </cell>
          <cell r="D1138" t="str">
            <v>TAS At Cost</v>
          </cell>
          <cell r="E1138" t="str">
            <v>TRANSITION ASSISTANCE SERVICES (TAS) LOC 8</v>
          </cell>
          <cell r="F1138" t="str">
            <v>2153M0376</v>
          </cell>
        </row>
        <row r="1139">
          <cell r="A1139" t="str">
            <v>1915(c) waiver</v>
          </cell>
          <cell r="C1139" t="str">
            <v>HCS</v>
          </cell>
          <cell r="D1139" t="str">
            <v>TAS At Cost</v>
          </cell>
          <cell r="E1139" t="str">
            <v>Transition Assistance Services (TAS) LOC 8</v>
          </cell>
          <cell r="F1139" t="str">
            <v>1253M0376</v>
          </cell>
        </row>
        <row r="1140">
          <cell r="A1140" t="str">
            <v>State Plan (Title XIX)</v>
          </cell>
          <cell r="C1140" t="str">
            <v>HCS</v>
          </cell>
          <cell r="D1140" t="str">
            <v>Taxes/Benefits</v>
          </cell>
          <cell r="E1140" t="str">
            <v>CFC PAS/HAB (CDS) ES/BENEFITS</v>
          </cell>
          <cell r="F1140" t="str">
            <v>2110CFVM0492</v>
          </cell>
          <cell r="P1140" t="str">
            <v>CFC</v>
          </cell>
        </row>
        <row r="1141">
          <cell r="A1141" t="str">
            <v>State Plan (Title XIX)</v>
          </cell>
          <cell r="C1141" t="str">
            <v>HCS</v>
          </cell>
          <cell r="D1141" t="str">
            <v>Taxes/Benefits</v>
          </cell>
          <cell r="E1141" t="str">
            <v>CFC PAS/HAB (CDS) TAXES</v>
          </cell>
          <cell r="F1141" t="str">
            <v>2110CFVM0493</v>
          </cell>
          <cell r="P1141" t="str">
            <v>CFC</v>
          </cell>
        </row>
        <row r="1142">
          <cell r="A1142" t="str">
            <v>State Plan (Title XIX)</v>
          </cell>
          <cell r="C1142" t="str">
            <v>HCS</v>
          </cell>
          <cell r="D1142" t="str">
            <v>Taxes/Benefits</v>
          </cell>
          <cell r="E1142" t="str">
            <v>CFC SUPPORT CONSULTATION (CDS) ES/BENEFITS</v>
          </cell>
          <cell r="F1142" t="str">
            <v>2157CFVM0548</v>
          </cell>
          <cell r="P1142" t="str">
            <v>CFC</v>
          </cell>
        </row>
        <row r="1143">
          <cell r="A1143" t="str">
            <v>State Plan (Title XIX)</v>
          </cell>
          <cell r="C1143" t="str">
            <v>HCS</v>
          </cell>
          <cell r="D1143" t="str">
            <v>Taxes/Benefits</v>
          </cell>
          <cell r="E1143" t="str">
            <v>CFC SUPPORT CONSULTATION (CDS) TAXES</v>
          </cell>
          <cell r="F1143" t="str">
            <v>2157CFVM0549</v>
          </cell>
          <cell r="P1143" t="str">
            <v>CFC</v>
          </cell>
        </row>
        <row r="1144">
          <cell r="A1144" t="str">
            <v>1915(c) waiver</v>
          </cell>
          <cell r="C1144" t="str">
            <v>HCS</v>
          </cell>
          <cell r="D1144" t="str">
            <v>Taxes/Benefits</v>
          </cell>
          <cell r="E1144" t="str">
            <v>COGNITIVE REHABILITATION THERAPY (CDS) ES/BENEFITS</v>
          </cell>
          <cell r="F1144" t="str">
            <v>2161VM0572</v>
          </cell>
        </row>
        <row r="1145">
          <cell r="A1145" t="str">
            <v>1915(c) waiver</v>
          </cell>
          <cell r="C1145" t="str">
            <v>HCS</v>
          </cell>
          <cell r="D1145" t="str">
            <v>Taxes/Benefits</v>
          </cell>
          <cell r="E1145" t="str">
            <v>COGNITIVE REHABILITATION THERAPY (CDS) TAXES</v>
          </cell>
          <cell r="F1145" t="str">
            <v>2161VM0573</v>
          </cell>
        </row>
        <row r="1146">
          <cell r="A1146" t="str">
            <v>1915(c) waiver</v>
          </cell>
          <cell r="C1146" t="str">
            <v>HCS</v>
          </cell>
          <cell r="D1146" t="str">
            <v>Taxes/Benefits</v>
          </cell>
          <cell r="E1146" t="str">
            <v>EMPLOYMENT ASSISTANCE (CDS) ES/BENEFITS</v>
          </cell>
          <cell r="F1146" t="str">
            <v>2154VM0544</v>
          </cell>
        </row>
        <row r="1147">
          <cell r="A1147" t="str">
            <v>1915(c) waiver</v>
          </cell>
          <cell r="C1147" t="str">
            <v>HCS</v>
          </cell>
          <cell r="D1147" t="str">
            <v>Taxes/Benefits</v>
          </cell>
          <cell r="E1147" t="str">
            <v>EMPLOYMENT ASSISTANCE (CDS) TAXES</v>
          </cell>
          <cell r="F1147" t="str">
            <v>2154VM0545</v>
          </cell>
        </row>
        <row r="1148">
          <cell r="A1148" t="str">
            <v>1915(c) waiver</v>
          </cell>
          <cell r="C1148" t="str">
            <v>HCS</v>
          </cell>
          <cell r="D1148" t="str">
            <v>Taxes/Benefits</v>
          </cell>
          <cell r="E1148" t="str">
            <v xml:space="preserve">HOURLY RESPITE (CDS) ES/BENEFITS </v>
          </cell>
          <cell r="F1148" t="str">
            <v>2111XVM0504</v>
          </cell>
        </row>
        <row r="1149">
          <cell r="A1149" t="str">
            <v>1915(c) waiver</v>
          </cell>
          <cell r="C1149" t="str">
            <v>HCS</v>
          </cell>
          <cell r="D1149" t="str">
            <v>Taxes/Benefits</v>
          </cell>
          <cell r="E1149" t="str">
            <v xml:space="preserve">HOURLY RESPITE (CDS) TAXES </v>
          </cell>
          <cell r="F1149" t="str">
            <v>2111XVM0505</v>
          </cell>
        </row>
        <row r="1150">
          <cell r="A1150" t="str">
            <v>1915(c) waiver</v>
          </cell>
          <cell r="C1150" t="str">
            <v>HCS</v>
          </cell>
          <cell r="D1150" t="str">
            <v>Taxes/Benefits</v>
          </cell>
          <cell r="E1150" t="str">
            <v>NURSING SERVICES LVN (CDS) ES/BENEFITS</v>
          </cell>
          <cell r="F1150" t="str">
            <v>2113AVM0509</v>
          </cell>
        </row>
        <row r="1151">
          <cell r="A1151" t="str">
            <v>1915(c) waiver</v>
          </cell>
          <cell r="C1151" t="str">
            <v>HCS</v>
          </cell>
          <cell r="D1151" t="str">
            <v>Taxes/Benefits</v>
          </cell>
          <cell r="E1151" t="str">
            <v>NURSING SERVICES LVN (CDS) TAXES</v>
          </cell>
          <cell r="F1151" t="str">
            <v>2113AVM0508</v>
          </cell>
        </row>
        <row r="1152">
          <cell r="A1152" t="str">
            <v>1915(c) waiver</v>
          </cell>
          <cell r="C1152" t="str">
            <v>HCS</v>
          </cell>
          <cell r="D1152" t="str">
            <v>Taxes/Benefits</v>
          </cell>
          <cell r="E1152" t="str">
            <v>NURSING SERVICES RN (CDS) ES/BENEFITS</v>
          </cell>
          <cell r="F1152" t="str">
            <v>2113BVM0513</v>
          </cell>
        </row>
        <row r="1153">
          <cell r="A1153" t="str">
            <v>1915(c) waiver</v>
          </cell>
          <cell r="C1153" t="str">
            <v>HCS</v>
          </cell>
          <cell r="D1153" t="str">
            <v>Taxes/Benefits</v>
          </cell>
          <cell r="E1153" t="str">
            <v>NURSING SERVICES RN (CDS) TAXES</v>
          </cell>
          <cell r="F1153" t="str">
            <v>2113BVM0512</v>
          </cell>
        </row>
        <row r="1154">
          <cell r="A1154" t="str">
            <v>1915(c) waiver</v>
          </cell>
          <cell r="C1154" t="str">
            <v>HCS</v>
          </cell>
          <cell r="D1154" t="str">
            <v>Taxes/Benefits</v>
          </cell>
          <cell r="E1154" t="str">
            <v>NURSING SERVICES SPECIALIZED LVN (CDS) ES/BENEFITS</v>
          </cell>
          <cell r="F1154" t="str">
            <v>2113DVM0520</v>
          </cell>
        </row>
        <row r="1155">
          <cell r="A1155" t="str">
            <v>1915(c) waiver</v>
          </cell>
          <cell r="C1155" t="str">
            <v>HCS</v>
          </cell>
          <cell r="D1155" t="str">
            <v>Taxes/Benefits</v>
          </cell>
          <cell r="E1155" t="str">
            <v>NURSING SERVICES SPECIALIZED LVN (CDS) TAXES</v>
          </cell>
          <cell r="F1155" t="str">
            <v>2113DVM0521</v>
          </cell>
        </row>
        <row r="1156">
          <cell r="A1156" t="str">
            <v>1915(c) waiver</v>
          </cell>
          <cell r="C1156" t="str">
            <v>HCS</v>
          </cell>
          <cell r="D1156" t="str">
            <v>Taxes/Benefits</v>
          </cell>
          <cell r="E1156" t="str">
            <v>NURSING SERVICES SPECIALIZED RN (CDS) ES/BENEFITS</v>
          </cell>
          <cell r="F1156" t="str">
            <v>2113CVM0517</v>
          </cell>
        </row>
        <row r="1157">
          <cell r="A1157" t="str">
            <v>1915(c) waiver</v>
          </cell>
          <cell r="C1157" t="str">
            <v>HCS</v>
          </cell>
          <cell r="D1157" t="str">
            <v>Taxes/Benefits</v>
          </cell>
          <cell r="E1157" t="str">
            <v>NURSING SERVICES SPECIALIZED RN (CDS) TAXES</v>
          </cell>
          <cell r="F1157" t="str">
            <v>2113CVM0516</v>
          </cell>
        </row>
        <row r="1158">
          <cell r="A1158" t="str">
            <v>1915(c) waiver</v>
          </cell>
          <cell r="C1158" t="str">
            <v>HCS</v>
          </cell>
          <cell r="D1158" t="str">
            <v>Taxes/Benefits</v>
          </cell>
          <cell r="E1158" t="str">
            <v>SUPPORT CONSULTATION (CDS) ES/BENEFITS</v>
          </cell>
          <cell r="F1158" t="str">
            <v>2157VM0552</v>
          </cell>
        </row>
        <row r="1159">
          <cell r="A1159" t="str">
            <v>1915(c) waiver</v>
          </cell>
          <cell r="C1159" t="str">
            <v>HCS</v>
          </cell>
          <cell r="D1159" t="str">
            <v>Taxes/Benefits</v>
          </cell>
          <cell r="E1159" t="str">
            <v>SUPPORT CONSULTATION (CDS) TAXES</v>
          </cell>
          <cell r="F1159" t="str">
            <v>2157VM0553</v>
          </cell>
        </row>
        <row r="1160">
          <cell r="A1160" t="str">
            <v>1915(c) waiver</v>
          </cell>
          <cell r="C1160" t="str">
            <v>HCS</v>
          </cell>
          <cell r="D1160" t="str">
            <v>Taxes/Benefits</v>
          </cell>
          <cell r="E1160" t="str">
            <v>SUPPORTED EMPLOYMENT (CDS) ES/BENEFITS</v>
          </cell>
          <cell r="F1160" t="str">
            <v>2137VM0532</v>
          </cell>
        </row>
        <row r="1161">
          <cell r="A1161" t="str">
            <v>1915(c) waiver</v>
          </cell>
          <cell r="C1161" t="str">
            <v>HCS</v>
          </cell>
          <cell r="D1161" t="str">
            <v>Taxes/Benefits</v>
          </cell>
          <cell r="E1161" t="str">
            <v>SUPPORTED EMPLOYMENT (CDS) TAXES</v>
          </cell>
          <cell r="F1161" t="str">
            <v>2137VM0533</v>
          </cell>
        </row>
        <row r="1162">
          <cell r="A1162" t="str">
            <v>1915(c) waiver</v>
          </cell>
          <cell r="C1162" t="str">
            <v>HCS</v>
          </cell>
          <cell r="D1162" t="str">
            <v>Taxes/Benefits</v>
          </cell>
          <cell r="E1162" t="str">
            <v>TRANSPORTATION (CDS) ES/BENEFITS</v>
          </cell>
          <cell r="F1162" t="str">
            <v>2148VM0538</v>
          </cell>
        </row>
        <row r="1163">
          <cell r="A1163" t="str">
            <v>1915(c) waiver</v>
          </cell>
          <cell r="C1163" t="str">
            <v>HCS</v>
          </cell>
          <cell r="D1163" t="str">
            <v>Taxes/Benefits</v>
          </cell>
          <cell r="E1163" t="str">
            <v>TRANSPORTATION (CDS) TAXES</v>
          </cell>
          <cell r="F1163" t="str">
            <v>2148VM0539</v>
          </cell>
        </row>
        <row r="1164">
          <cell r="A1164" t="str">
            <v>Title XX</v>
          </cell>
          <cell r="C1164" t="str">
            <v>HDM</v>
          </cell>
          <cell r="D1164" t="str">
            <v>HDM</v>
          </cell>
          <cell r="E1164" t="str">
            <v>HOME DELIVERED MEALS</v>
          </cell>
          <cell r="F1164" t="str">
            <v>725C0100</v>
          </cell>
        </row>
        <row r="1165">
          <cell r="A1165"/>
          <cell r="C1165" t="str">
            <v>Hospice</v>
          </cell>
          <cell r="D1165" t="str">
            <v>CONSULTATION</v>
          </cell>
          <cell r="E1165" t="str">
            <v>PHYSICIAN DIRECT CARE-21 AND OLDER</v>
          </cell>
          <cell r="F1165" t="str">
            <v>T0387KX</v>
          </cell>
          <cell r="P1165"/>
        </row>
        <row r="1166">
          <cell r="A1166"/>
          <cell r="C1166" t="str">
            <v>Hospice</v>
          </cell>
          <cell r="D1166" t="str">
            <v>CONSULTATION</v>
          </cell>
          <cell r="E1166" t="str">
            <v>PHYSICIAN DIRECT CARE-21 AND OLDER</v>
          </cell>
          <cell r="F1166" t="str">
            <v>T0385KX</v>
          </cell>
          <cell r="P1166"/>
        </row>
        <row r="1167">
          <cell r="A1167"/>
          <cell r="C1167" t="str">
            <v>Hospice</v>
          </cell>
          <cell r="D1167" t="str">
            <v>CONSULTATION</v>
          </cell>
          <cell r="E1167" t="str">
            <v>PHYSICIAN DIRECT CARE-21 AND OLDER</v>
          </cell>
          <cell r="F1167" t="str">
            <v>T0383KX</v>
          </cell>
          <cell r="P1167"/>
        </row>
        <row r="1168">
          <cell r="A1168"/>
          <cell r="C1168" t="str">
            <v>Hospice</v>
          </cell>
          <cell r="D1168" t="str">
            <v>CONSULTATION</v>
          </cell>
          <cell r="E1168" t="str">
            <v>PHYSICIAN DIRECT CARE-21 AND OLDER</v>
          </cell>
          <cell r="F1168" t="str">
            <v>T0381KX</v>
          </cell>
          <cell r="P1168"/>
        </row>
        <row r="1169">
          <cell r="A1169"/>
          <cell r="C1169" t="str">
            <v>Hospice</v>
          </cell>
          <cell r="D1169" t="str">
            <v>CONSULTATION</v>
          </cell>
          <cell r="E1169" t="str">
            <v>PHYSICIAN DIRECT CARE-21 AND OLDER</v>
          </cell>
          <cell r="F1169" t="str">
            <v>T0377KX</v>
          </cell>
          <cell r="P1169"/>
        </row>
        <row r="1170">
          <cell r="A1170"/>
          <cell r="C1170" t="str">
            <v>Hospice</v>
          </cell>
          <cell r="D1170" t="str">
            <v>CONSULTATION</v>
          </cell>
          <cell r="E1170" t="str">
            <v>PHYSICIAN DIRECT CARE-21 AND OLDER</v>
          </cell>
          <cell r="F1170" t="str">
            <v>T0375KX</v>
          </cell>
          <cell r="P1170"/>
        </row>
        <row r="1171">
          <cell r="A1171"/>
          <cell r="C1171" t="str">
            <v>Hospice</v>
          </cell>
          <cell r="D1171" t="str">
            <v>CONSULTATION</v>
          </cell>
          <cell r="E1171" t="str">
            <v>PHYSICIAN DIRECT CARE-21 AND OLDER</v>
          </cell>
          <cell r="F1171" t="str">
            <v>T0373KX</v>
          </cell>
          <cell r="P1171"/>
        </row>
        <row r="1172">
          <cell r="A1172"/>
          <cell r="C1172" t="str">
            <v>Hospice</v>
          </cell>
          <cell r="D1172" t="str">
            <v>CONSULTATION</v>
          </cell>
          <cell r="E1172" t="str">
            <v>PHYSICIAN DIRECT CARE-21 AND OLDER</v>
          </cell>
          <cell r="F1172" t="str">
            <v>T0371KX</v>
          </cell>
          <cell r="P1172"/>
        </row>
        <row r="1173">
          <cell r="A1173"/>
          <cell r="C1173" t="str">
            <v>Hospice</v>
          </cell>
          <cell r="D1173" t="str">
            <v>CONSULTATION</v>
          </cell>
          <cell r="E1173" t="str">
            <v>PHYSICIAN DIRECT CARE-UNDER 21</v>
          </cell>
          <cell r="F1173" t="str">
            <v>T0386</v>
          </cell>
          <cell r="P1173"/>
        </row>
        <row r="1174">
          <cell r="A1174"/>
          <cell r="C1174" t="str">
            <v>Hospice</v>
          </cell>
          <cell r="D1174" t="str">
            <v>CONSULTATION</v>
          </cell>
          <cell r="E1174" t="str">
            <v>PHYSICIAN DIRECT CARE-UNDER 21</v>
          </cell>
          <cell r="F1174" t="str">
            <v>T0384</v>
          </cell>
          <cell r="P1174"/>
        </row>
        <row r="1175">
          <cell r="A1175"/>
          <cell r="C1175" t="str">
            <v>Hospice</v>
          </cell>
          <cell r="D1175" t="str">
            <v>CONSULTATION</v>
          </cell>
          <cell r="E1175" t="str">
            <v>PHYSICIAN DIRECT CARE-UNDER 21</v>
          </cell>
          <cell r="F1175" t="str">
            <v>T0382</v>
          </cell>
          <cell r="P1175"/>
        </row>
        <row r="1176">
          <cell r="A1176"/>
          <cell r="C1176" t="str">
            <v>Hospice</v>
          </cell>
          <cell r="D1176" t="str">
            <v>CONSULTATION</v>
          </cell>
          <cell r="E1176" t="str">
            <v>PHYSICIAN DIRECT CARE-UNDER 21</v>
          </cell>
          <cell r="F1176" t="str">
            <v>T0380</v>
          </cell>
          <cell r="P1176"/>
        </row>
        <row r="1177">
          <cell r="A1177"/>
          <cell r="C1177" t="str">
            <v>Hospice</v>
          </cell>
          <cell r="D1177" t="str">
            <v>CONSULTATION</v>
          </cell>
          <cell r="E1177" t="str">
            <v>PHYSICIAN DIRECT CARE-UNDER 21</v>
          </cell>
          <cell r="F1177" t="str">
            <v>T0376</v>
          </cell>
          <cell r="P1177"/>
        </row>
        <row r="1178">
          <cell r="A1178"/>
          <cell r="C1178" t="str">
            <v>Hospice</v>
          </cell>
          <cell r="D1178" t="str">
            <v>CONSULTATION</v>
          </cell>
          <cell r="E1178" t="str">
            <v>PHYSICIAN DIRECT CARE-UNDER 21</v>
          </cell>
          <cell r="F1178" t="str">
            <v>T0374</v>
          </cell>
          <cell r="P1178"/>
        </row>
        <row r="1179">
          <cell r="A1179"/>
          <cell r="C1179" t="str">
            <v>Hospice</v>
          </cell>
          <cell r="D1179" t="str">
            <v>CONSULTATION</v>
          </cell>
          <cell r="E1179" t="str">
            <v>PHYSICIAN DIRECT CARE-UNDER 21</v>
          </cell>
          <cell r="F1179" t="str">
            <v>T0372</v>
          </cell>
          <cell r="P1179"/>
        </row>
        <row r="1180">
          <cell r="A1180"/>
          <cell r="C1180" t="str">
            <v>Hospice</v>
          </cell>
          <cell r="D1180" t="str">
            <v>CONSULTATION</v>
          </cell>
          <cell r="E1180" t="str">
            <v>PHYSICIAN DIRECT CARE-UNDER 21</v>
          </cell>
          <cell r="F1180" t="str">
            <v>T0370</v>
          </cell>
          <cell r="P1180"/>
        </row>
        <row r="1181">
          <cell r="A1181" t="str">
            <v>State Plan (Title XIX)</v>
          </cell>
          <cell r="C1181" t="str">
            <v>Hospice</v>
          </cell>
          <cell r="D1181" t="str">
            <v>Hospice</v>
          </cell>
          <cell r="E1181" t="str">
            <v>CHC END OF LIFE RN</v>
          </cell>
          <cell r="F1181" t="str">
            <v>81AT0201</v>
          </cell>
        </row>
        <row r="1182">
          <cell r="A1182" t="str">
            <v>State Plan (Title XIX)</v>
          </cell>
          <cell r="C1182" t="str">
            <v>Hospice</v>
          </cell>
          <cell r="D1182" t="str">
            <v>Hospice</v>
          </cell>
          <cell r="E1182" t="str">
            <v>CHC END OF LIFE SOCIAL WORKER</v>
          </cell>
          <cell r="F1182" t="str">
            <v>81AT0202</v>
          </cell>
        </row>
        <row r="1183">
          <cell r="A1183" t="str">
            <v>State Plan (Title XIX)</v>
          </cell>
          <cell r="C1183" t="str">
            <v>Hospice</v>
          </cell>
          <cell r="D1183" t="str">
            <v>Hospice</v>
          </cell>
          <cell r="E1183" t="str">
            <v>CHILD TRACHEOSTOMY</v>
          </cell>
          <cell r="F1183" t="str">
            <v>824N0502</v>
          </cell>
        </row>
        <row r="1184">
          <cell r="A1184" t="str">
            <v>State Plan (Title XIX)</v>
          </cell>
          <cell r="C1184" t="str">
            <v>Hospice</v>
          </cell>
          <cell r="D1184" t="str">
            <v>Hospice</v>
          </cell>
          <cell r="E1184" t="str">
            <v>CONTINUOUS HOME CARE</v>
          </cell>
          <cell r="F1184" t="str">
            <v>81T0200</v>
          </cell>
        </row>
        <row r="1185">
          <cell r="A1185" t="str">
            <v>State Plan (Title XIX)</v>
          </cell>
          <cell r="C1185" t="str">
            <v>Hospice</v>
          </cell>
          <cell r="D1185" t="str">
            <v>Hospice</v>
          </cell>
          <cell r="E1185" t="str">
            <v>GENERAL INPATIENT CARE</v>
          </cell>
          <cell r="F1185" t="str">
            <v>81T0301</v>
          </cell>
        </row>
        <row r="1186">
          <cell r="A1186" t="str">
            <v>State Plan (Title XIX)</v>
          </cell>
          <cell r="C1186" t="str">
            <v>Hospice</v>
          </cell>
          <cell r="D1186" t="str">
            <v>Hospice</v>
          </cell>
          <cell r="E1186" t="str">
            <v>INPATIENT RESPITE CARE</v>
          </cell>
          <cell r="F1186" t="str">
            <v>81T0300</v>
          </cell>
        </row>
        <row r="1187">
          <cell r="A1187" t="str">
            <v>State Plan (Title XIX)</v>
          </cell>
          <cell r="C1187" t="str">
            <v>Hospice</v>
          </cell>
          <cell r="D1187" t="str">
            <v>Hospice</v>
          </cell>
          <cell r="E1187" t="str">
            <v>PHYSICAN DIRECT CARE-SPECIAL</v>
          </cell>
          <cell r="F1187" t="str">
            <v>830T0303</v>
          </cell>
        </row>
        <row r="1188">
          <cell r="A1188" t="str">
            <v>State Plan (Title XIX)</v>
          </cell>
          <cell r="C1188" t="str">
            <v>Hospice</v>
          </cell>
          <cell r="D1188" t="str">
            <v>Hospice</v>
          </cell>
          <cell r="E1188" t="str">
            <v>PHYSICAN DIRECT CARE-SPECIAL</v>
          </cell>
          <cell r="F1188" t="str">
            <v>830T0303</v>
          </cell>
        </row>
        <row r="1189">
          <cell r="A1189" t="str">
            <v>State Plan (Title XIX)</v>
          </cell>
          <cell r="C1189" t="str">
            <v>Hospice</v>
          </cell>
          <cell r="D1189" t="str">
            <v>Hospice</v>
          </cell>
          <cell r="E1189" t="str">
            <v>PHYSICAN DIRECT CARE-SPECIAL</v>
          </cell>
          <cell r="F1189" t="str">
            <v>830T0303</v>
          </cell>
        </row>
        <row r="1190">
          <cell r="A1190" t="str">
            <v>State Plan (Title XIX)</v>
          </cell>
          <cell r="C1190" t="str">
            <v>Hospice</v>
          </cell>
          <cell r="D1190" t="str">
            <v>Hospice</v>
          </cell>
          <cell r="E1190" t="str">
            <v>PHYSICIAN DIRECT CARE</v>
          </cell>
          <cell r="F1190" t="str">
            <v>830T0302</v>
          </cell>
        </row>
        <row r="1191">
          <cell r="A1191" t="str">
            <v>State Plan (Title XIX)</v>
          </cell>
          <cell r="C1191" t="str">
            <v>Hospice</v>
          </cell>
          <cell r="D1191" t="str">
            <v>Hospice</v>
          </cell>
          <cell r="E1191" t="str">
            <v>PHYSICIAN DIRECT CARE</v>
          </cell>
          <cell r="F1191" t="str">
            <v>830T0302</v>
          </cell>
        </row>
        <row r="1192">
          <cell r="A1192" t="str">
            <v>State Plan (Title XIX)</v>
          </cell>
          <cell r="C1192" t="str">
            <v>Hospice</v>
          </cell>
          <cell r="D1192" t="str">
            <v>Hospice</v>
          </cell>
          <cell r="E1192" t="str">
            <v>PHYSICIAN DIRECT CARE</v>
          </cell>
          <cell r="F1192" t="str">
            <v>830T0302</v>
          </cell>
        </row>
        <row r="1193">
          <cell r="A1193" t="str">
            <v>State Plan (Title XIX)</v>
          </cell>
          <cell r="C1193" t="str">
            <v>Hospice</v>
          </cell>
          <cell r="D1193" t="str">
            <v>Hospice</v>
          </cell>
          <cell r="E1193" t="str">
            <v>PHYSICIAN DIRECT CARE</v>
          </cell>
          <cell r="F1193" t="str">
            <v>830T0302</v>
          </cell>
        </row>
        <row r="1194">
          <cell r="A1194" t="str">
            <v>State Plan (Title XIX)</v>
          </cell>
          <cell r="C1194" t="str">
            <v>Hospice</v>
          </cell>
          <cell r="D1194" t="str">
            <v>Hospice</v>
          </cell>
          <cell r="E1194" t="str">
            <v>PHYSICIAN DIRECT CARE</v>
          </cell>
          <cell r="F1194" t="str">
            <v>830T0302</v>
          </cell>
        </row>
        <row r="1195">
          <cell r="A1195" t="str">
            <v>State Plan (Title XIX)</v>
          </cell>
          <cell r="C1195" t="str">
            <v>Hospice</v>
          </cell>
          <cell r="D1195" t="str">
            <v>Hospice</v>
          </cell>
          <cell r="E1195" t="str">
            <v>PHYSICIAN DIRECT CARE</v>
          </cell>
          <cell r="F1195" t="str">
            <v>830T0302</v>
          </cell>
        </row>
        <row r="1196">
          <cell r="A1196" t="str">
            <v>State Plan (Title XIX)</v>
          </cell>
          <cell r="C1196" t="str">
            <v>Hospice</v>
          </cell>
          <cell r="D1196" t="str">
            <v>Hospice</v>
          </cell>
          <cell r="E1196" t="str">
            <v>PHYSICIAN DIRECT CARE</v>
          </cell>
          <cell r="F1196" t="str">
            <v>830T0302</v>
          </cell>
        </row>
        <row r="1197">
          <cell r="A1197" t="str">
            <v>State Plan (Title XIX)</v>
          </cell>
          <cell r="C1197" t="str">
            <v>Hospice</v>
          </cell>
          <cell r="D1197" t="str">
            <v>Hospice</v>
          </cell>
          <cell r="E1197" t="str">
            <v>PHYSICIAN DIRECT CARE</v>
          </cell>
          <cell r="F1197" t="str">
            <v>830T0302</v>
          </cell>
        </row>
        <row r="1198">
          <cell r="A1198" t="str">
            <v>State Plan (Title XIX)</v>
          </cell>
          <cell r="C1198" t="str">
            <v>Hospice</v>
          </cell>
          <cell r="D1198" t="str">
            <v>Hospice</v>
          </cell>
          <cell r="E1198" t="str">
            <v>PHYSICIAN DIRECT CARE</v>
          </cell>
          <cell r="F1198" t="str">
            <v>830T0302</v>
          </cell>
        </row>
        <row r="1199">
          <cell r="A1199" t="str">
            <v>State Plan (Title XIX)</v>
          </cell>
          <cell r="C1199" t="str">
            <v>Hospice</v>
          </cell>
          <cell r="D1199" t="str">
            <v>Hospice</v>
          </cell>
          <cell r="E1199" t="str">
            <v>PHYSICIAN DIRECT CARE</v>
          </cell>
          <cell r="F1199" t="str">
            <v>830T0302</v>
          </cell>
        </row>
        <row r="1200">
          <cell r="A1200" t="str">
            <v>State Plan (Title XIX)</v>
          </cell>
          <cell r="C1200" t="str">
            <v>Hospice</v>
          </cell>
          <cell r="D1200" t="str">
            <v>Hospice</v>
          </cell>
          <cell r="E1200" t="str">
            <v>PHYSICIAN DIRECT CARE</v>
          </cell>
          <cell r="F1200" t="str">
            <v>830T0302</v>
          </cell>
        </row>
        <row r="1201">
          <cell r="A1201" t="str">
            <v>State Plan (Title XIX)</v>
          </cell>
          <cell r="C1201" t="str">
            <v>Hospice</v>
          </cell>
          <cell r="D1201" t="str">
            <v>Hospice</v>
          </cell>
          <cell r="E1201" t="str">
            <v>PHYSICIAN DIRECT CARE</v>
          </cell>
          <cell r="F1201" t="str">
            <v>830T0302</v>
          </cell>
        </row>
        <row r="1202">
          <cell r="A1202" t="str">
            <v>State Plan (Title XIX)</v>
          </cell>
          <cell r="C1202" t="str">
            <v>Hospice</v>
          </cell>
          <cell r="D1202" t="str">
            <v>Hospice</v>
          </cell>
          <cell r="E1202" t="str">
            <v>PHYSICIAN DIRECT CARE</v>
          </cell>
          <cell r="F1202" t="str">
            <v>830T0302</v>
          </cell>
        </row>
        <row r="1203">
          <cell r="A1203" t="str">
            <v>State Plan (Title XIX)</v>
          </cell>
          <cell r="C1203" t="str">
            <v>Hospice</v>
          </cell>
          <cell r="D1203" t="str">
            <v>Hospice</v>
          </cell>
          <cell r="E1203" t="str">
            <v>PHYSICIAN DIRECT CARE</v>
          </cell>
          <cell r="F1203" t="str">
            <v>830T0302</v>
          </cell>
        </row>
        <row r="1204">
          <cell r="A1204" t="str">
            <v>State Plan (Title XIX)</v>
          </cell>
          <cell r="C1204" t="str">
            <v>Hospice</v>
          </cell>
          <cell r="D1204" t="str">
            <v>Hospice</v>
          </cell>
          <cell r="E1204" t="str">
            <v>PHYSICIAN DIRECT CARE</v>
          </cell>
          <cell r="F1204" t="str">
            <v>830T0302</v>
          </cell>
        </row>
        <row r="1205">
          <cell r="A1205" t="str">
            <v>State Plan (Title XIX)</v>
          </cell>
          <cell r="C1205" t="str">
            <v>Hospice</v>
          </cell>
          <cell r="D1205" t="str">
            <v>Hospice</v>
          </cell>
          <cell r="E1205" t="str">
            <v>PHYSICIAN DIRECT CARE</v>
          </cell>
          <cell r="F1205" t="str">
            <v>830T0302</v>
          </cell>
        </row>
        <row r="1206">
          <cell r="A1206" t="str">
            <v>State Plan (Title XIX)</v>
          </cell>
          <cell r="C1206" t="str">
            <v>Hospice</v>
          </cell>
          <cell r="D1206" t="str">
            <v>Hospice</v>
          </cell>
          <cell r="E1206" t="str">
            <v>PHYSICIAN DIRECT CARE</v>
          </cell>
          <cell r="F1206" t="str">
            <v>830T0302</v>
          </cell>
        </row>
        <row r="1207">
          <cell r="A1207" t="str">
            <v>State Plan (Title XIX)</v>
          </cell>
          <cell r="C1207" t="str">
            <v>Hospice</v>
          </cell>
          <cell r="D1207" t="str">
            <v>Hospice</v>
          </cell>
          <cell r="E1207" t="str">
            <v>PHYSICIAN DIRECT CARE</v>
          </cell>
          <cell r="F1207" t="str">
            <v>830T0302</v>
          </cell>
        </row>
        <row r="1208">
          <cell r="A1208" t="str">
            <v>State Plan (Title XIX)</v>
          </cell>
          <cell r="C1208" t="str">
            <v>Hospice</v>
          </cell>
          <cell r="D1208" t="str">
            <v>Hospice</v>
          </cell>
          <cell r="E1208" t="str">
            <v>PHYSICIAN DIRECT CARE</v>
          </cell>
          <cell r="F1208" t="str">
            <v>830T0302</v>
          </cell>
        </row>
        <row r="1209">
          <cell r="A1209" t="str">
            <v>State Plan (Title XIX)</v>
          </cell>
          <cell r="C1209" t="str">
            <v>Hospice</v>
          </cell>
          <cell r="D1209" t="str">
            <v>Hospice</v>
          </cell>
          <cell r="E1209" t="str">
            <v>PHYSICIAN DIRECT CARE</v>
          </cell>
          <cell r="F1209" t="str">
            <v>830T0302</v>
          </cell>
        </row>
        <row r="1210">
          <cell r="A1210" t="str">
            <v>State Plan (Title XIX)</v>
          </cell>
          <cell r="C1210" t="str">
            <v>Hospice</v>
          </cell>
          <cell r="D1210" t="str">
            <v>Hospice</v>
          </cell>
          <cell r="E1210" t="str">
            <v>PHYSICIAN DIRECT CARE</v>
          </cell>
          <cell r="F1210" t="str">
            <v>830T0302</v>
          </cell>
        </row>
        <row r="1211">
          <cell r="A1211" t="str">
            <v>State Plan (Title XIX)</v>
          </cell>
          <cell r="C1211" t="str">
            <v>Hospice</v>
          </cell>
          <cell r="D1211" t="str">
            <v>Hospice</v>
          </cell>
          <cell r="E1211" t="str">
            <v>PHYSICIAN DIRECT CARE</v>
          </cell>
          <cell r="F1211" t="str">
            <v>830T0302</v>
          </cell>
        </row>
        <row r="1212">
          <cell r="A1212" t="str">
            <v>State Plan (Title XIX)</v>
          </cell>
          <cell r="C1212" t="str">
            <v>Hospice</v>
          </cell>
          <cell r="D1212" t="str">
            <v>Hospice</v>
          </cell>
          <cell r="E1212" t="str">
            <v>PHYSICIAN DIRECT CARE</v>
          </cell>
          <cell r="F1212" t="str">
            <v>830T0302</v>
          </cell>
        </row>
        <row r="1213">
          <cell r="A1213" t="str">
            <v>State Plan (Title XIX)</v>
          </cell>
          <cell r="C1213" t="str">
            <v>Hospice</v>
          </cell>
          <cell r="D1213" t="str">
            <v>Hospice</v>
          </cell>
          <cell r="E1213" t="str">
            <v>PHYSICIAN DIRECT CARE</v>
          </cell>
          <cell r="F1213" t="str">
            <v>830T0302</v>
          </cell>
        </row>
        <row r="1214">
          <cell r="A1214" t="str">
            <v>State Plan (Title XIX)</v>
          </cell>
          <cell r="C1214" t="str">
            <v>Hospice</v>
          </cell>
          <cell r="D1214" t="str">
            <v>Hospice</v>
          </cell>
          <cell r="E1214" t="str">
            <v>PHYSICIAN DIRECT CARE</v>
          </cell>
          <cell r="F1214" t="str">
            <v>830T0302</v>
          </cell>
        </row>
        <row r="1215">
          <cell r="A1215" t="str">
            <v>State Plan (Title XIX)</v>
          </cell>
          <cell r="C1215" t="str">
            <v>Hospice</v>
          </cell>
          <cell r="D1215" t="str">
            <v>Hospice</v>
          </cell>
          <cell r="E1215" t="str">
            <v>PHYSICIAN DIRECT CARE</v>
          </cell>
          <cell r="F1215" t="str">
            <v>830T0302</v>
          </cell>
        </row>
        <row r="1216">
          <cell r="A1216" t="str">
            <v>State Plan (Title XIX)</v>
          </cell>
          <cell r="C1216" t="str">
            <v>Hospice</v>
          </cell>
          <cell r="D1216" t="str">
            <v>Hospice</v>
          </cell>
          <cell r="E1216" t="str">
            <v>PHYSICIAN DIRECT CARE</v>
          </cell>
          <cell r="F1216" t="str">
            <v>830T0302</v>
          </cell>
        </row>
        <row r="1217">
          <cell r="A1217" t="str">
            <v>State Plan (Title XIX)</v>
          </cell>
          <cell r="C1217" t="str">
            <v>Hospice</v>
          </cell>
          <cell r="D1217" t="str">
            <v>Hospice</v>
          </cell>
          <cell r="E1217" t="str">
            <v>PHYSICIAN DIRECT CARE</v>
          </cell>
          <cell r="F1217" t="str">
            <v>830T0302</v>
          </cell>
        </row>
        <row r="1218">
          <cell r="A1218" t="str">
            <v>State Plan (Title XIX)</v>
          </cell>
          <cell r="C1218" t="str">
            <v>Hospice</v>
          </cell>
          <cell r="D1218" t="str">
            <v>Hospice</v>
          </cell>
          <cell r="E1218" t="str">
            <v>PHYSICIAN DIRECT CARE</v>
          </cell>
          <cell r="F1218" t="str">
            <v>830T0302</v>
          </cell>
        </row>
        <row r="1219">
          <cell r="A1219" t="str">
            <v>State Plan (Title XIX)</v>
          </cell>
          <cell r="C1219" t="str">
            <v>Hospice</v>
          </cell>
          <cell r="D1219" t="str">
            <v>Hospice</v>
          </cell>
          <cell r="E1219" t="str">
            <v>PHYSICIAN DIRECT CARE</v>
          </cell>
          <cell r="F1219" t="str">
            <v>830T0302</v>
          </cell>
        </row>
        <row r="1220">
          <cell r="A1220" t="str">
            <v>State Plan (Title XIX)</v>
          </cell>
          <cell r="C1220" t="str">
            <v>Hospice</v>
          </cell>
          <cell r="D1220" t="str">
            <v>Hospice</v>
          </cell>
          <cell r="E1220" t="str">
            <v>PHYSICIAN DIRECT CARE</v>
          </cell>
          <cell r="F1220" t="str">
            <v>830T0302</v>
          </cell>
        </row>
        <row r="1221">
          <cell r="A1221" t="str">
            <v>State Plan (Title XIX)</v>
          </cell>
          <cell r="C1221" t="str">
            <v>Hospice</v>
          </cell>
          <cell r="D1221" t="str">
            <v>Hospice</v>
          </cell>
          <cell r="E1221" t="str">
            <v>PHYSICIAN DIRECT CARE</v>
          </cell>
          <cell r="F1221" t="str">
            <v>830T0302</v>
          </cell>
        </row>
        <row r="1222">
          <cell r="A1222" t="str">
            <v>State Plan (Title XIX)</v>
          </cell>
          <cell r="C1222" t="str">
            <v>Hospice</v>
          </cell>
          <cell r="D1222" t="str">
            <v>Hospice</v>
          </cell>
          <cell r="E1222" t="str">
            <v>PHYSICIAN DIRECT CARE</v>
          </cell>
          <cell r="F1222" t="str">
            <v>830T0302</v>
          </cell>
        </row>
        <row r="1223">
          <cell r="A1223" t="str">
            <v>State Plan (Title XIX)</v>
          </cell>
          <cell r="C1223" t="str">
            <v>Hospice</v>
          </cell>
          <cell r="D1223" t="str">
            <v>Hospice</v>
          </cell>
          <cell r="E1223" t="str">
            <v>PHYSICIAN DIRECT CARE</v>
          </cell>
          <cell r="F1223" t="str">
            <v>830T0302</v>
          </cell>
        </row>
        <row r="1224">
          <cell r="A1224" t="str">
            <v>State Plan (Title XIX)</v>
          </cell>
          <cell r="C1224" t="str">
            <v>Hospice</v>
          </cell>
          <cell r="D1224" t="str">
            <v>Hospice</v>
          </cell>
          <cell r="E1224" t="str">
            <v>PHYSICIAN DIRECT CARE</v>
          </cell>
          <cell r="F1224" t="str">
            <v>830T0302</v>
          </cell>
        </row>
        <row r="1225">
          <cell r="A1225" t="str">
            <v>State Plan (Title XIX)</v>
          </cell>
          <cell r="C1225" t="str">
            <v>Hospice</v>
          </cell>
          <cell r="D1225" t="str">
            <v>Hospice</v>
          </cell>
          <cell r="E1225" t="str">
            <v>PHYSICIAN DIRECT CARE</v>
          </cell>
          <cell r="F1225" t="str">
            <v>830T0302</v>
          </cell>
        </row>
        <row r="1226">
          <cell r="A1226" t="str">
            <v>State Plan (Title XIX)</v>
          </cell>
          <cell r="C1226" t="str">
            <v>Hospice</v>
          </cell>
          <cell r="D1226" t="str">
            <v>Hospice</v>
          </cell>
          <cell r="E1226" t="str">
            <v>PHYSICIAN DIRECT CARE</v>
          </cell>
          <cell r="F1226" t="str">
            <v>830T0302</v>
          </cell>
        </row>
        <row r="1227">
          <cell r="A1227" t="str">
            <v>State Plan (Title XIX)</v>
          </cell>
          <cell r="C1227" t="str">
            <v>Hospice</v>
          </cell>
          <cell r="D1227" t="str">
            <v>Hospice</v>
          </cell>
          <cell r="E1227" t="str">
            <v>PHYSICIAN DIRECT CARE</v>
          </cell>
          <cell r="F1227" t="str">
            <v>830T0302</v>
          </cell>
        </row>
        <row r="1228">
          <cell r="A1228" t="str">
            <v>State Plan (Title XIX)</v>
          </cell>
          <cell r="C1228" t="str">
            <v>Hospice</v>
          </cell>
          <cell r="D1228" t="str">
            <v>Hospice</v>
          </cell>
          <cell r="E1228" t="str">
            <v>PHYSICIAN DIRECT CARE</v>
          </cell>
          <cell r="F1228" t="str">
            <v>830T0302</v>
          </cell>
        </row>
        <row r="1229">
          <cell r="A1229" t="str">
            <v>State Plan (Title XIX)</v>
          </cell>
          <cell r="C1229" t="str">
            <v>Hospice</v>
          </cell>
          <cell r="D1229" t="str">
            <v>Hospice</v>
          </cell>
          <cell r="E1229" t="str">
            <v>PHYSICIAN DIRECT CARE</v>
          </cell>
          <cell r="F1229" t="str">
            <v>830T0302</v>
          </cell>
        </row>
        <row r="1230">
          <cell r="A1230" t="str">
            <v>State Plan (Title XIX)</v>
          </cell>
          <cell r="C1230" t="str">
            <v>Hospice</v>
          </cell>
          <cell r="D1230" t="str">
            <v>Hospice</v>
          </cell>
          <cell r="E1230" t="str">
            <v>PHYSICIAN DIRECT CARE</v>
          </cell>
          <cell r="F1230" t="str">
            <v>830T0302</v>
          </cell>
        </row>
        <row r="1231">
          <cell r="A1231" t="str">
            <v>State Plan (Title XIX)</v>
          </cell>
          <cell r="C1231" t="str">
            <v>Hospice</v>
          </cell>
          <cell r="D1231" t="str">
            <v>Hospice</v>
          </cell>
          <cell r="E1231" t="str">
            <v>PHYSICIAN DIRECT CARE</v>
          </cell>
          <cell r="F1231" t="str">
            <v>830T0302</v>
          </cell>
        </row>
        <row r="1232">
          <cell r="A1232" t="str">
            <v>State Plan (Title XIX)</v>
          </cell>
          <cell r="C1232" t="str">
            <v>Hospice</v>
          </cell>
          <cell r="D1232" t="str">
            <v>Hospice</v>
          </cell>
          <cell r="E1232" t="str">
            <v>PHYSICIAN DIRECT CARE</v>
          </cell>
          <cell r="F1232" t="str">
            <v>830T0302</v>
          </cell>
        </row>
        <row r="1233">
          <cell r="A1233" t="str">
            <v>State Plan (Title XIX)</v>
          </cell>
          <cell r="C1233" t="str">
            <v>Hospice</v>
          </cell>
          <cell r="D1233" t="str">
            <v>Hospice</v>
          </cell>
          <cell r="E1233" t="str">
            <v>PHYSICIAN DIRECT CARE</v>
          </cell>
          <cell r="F1233" t="str">
            <v>830T0302</v>
          </cell>
        </row>
        <row r="1234">
          <cell r="A1234" t="str">
            <v>State Plan (Title XIX)</v>
          </cell>
          <cell r="C1234" t="str">
            <v>Hospice</v>
          </cell>
          <cell r="D1234" t="str">
            <v>Hospice</v>
          </cell>
          <cell r="E1234" t="str">
            <v>PHYSICIAN DIRECT CARE</v>
          </cell>
          <cell r="F1234" t="str">
            <v>830T0302</v>
          </cell>
        </row>
        <row r="1235">
          <cell r="A1235" t="str">
            <v>State Plan (Title XIX)</v>
          </cell>
          <cell r="C1235" t="str">
            <v>Hospice</v>
          </cell>
          <cell r="D1235" t="str">
            <v>Hospice</v>
          </cell>
          <cell r="E1235" t="str">
            <v>PHYSICIAN DIRECT CARE</v>
          </cell>
          <cell r="F1235" t="str">
            <v>830T0302</v>
          </cell>
        </row>
        <row r="1236">
          <cell r="A1236" t="str">
            <v>State Plan (Title XIX)</v>
          </cell>
          <cell r="C1236" t="str">
            <v>Hospice</v>
          </cell>
          <cell r="D1236" t="str">
            <v>Hospice</v>
          </cell>
          <cell r="E1236" t="str">
            <v>PHYSICIAN DIRECT CARE</v>
          </cell>
          <cell r="F1236" t="str">
            <v>830T0302</v>
          </cell>
        </row>
        <row r="1237">
          <cell r="A1237" t="str">
            <v>State Plan (Title XIX)</v>
          </cell>
          <cell r="C1237" t="str">
            <v>Hospice</v>
          </cell>
          <cell r="D1237" t="str">
            <v>Hospice</v>
          </cell>
          <cell r="E1237" t="str">
            <v>PHYSICIAN DIRECT CARE</v>
          </cell>
          <cell r="F1237" t="str">
            <v>830T0302</v>
          </cell>
        </row>
        <row r="1238">
          <cell r="A1238" t="str">
            <v>State Plan (Title XIX)</v>
          </cell>
          <cell r="C1238" t="str">
            <v>Hospice</v>
          </cell>
          <cell r="D1238" t="str">
            <v>Hospice</v>
          </cell>
          <cell r="E1238" t="str">
            <v>PHYSICIAN DIRECT CARE</v>
          </cell>
          <cell r="F1238" t="str">
            <v>830T0302</v>
          </cell>
        </row>
        <row r="1239">
          <cell r="A1239" t="str">
            <v>State Plan (Title XIX)</v>
          </cell>
          <cell r="C1239" t="str">
            <v>Hospice</v>
          </cell>
          <cell r="D1239" t="str">
            <v>Hospice</v>
          </cell>
          <cell r="E1239" t="str">
            <v>PHYSICIAN DIRECT CARE</v>
          </cell>
          <cell r="F1239" t="str">
            <v>830T0302</v>
          </cell>
        </row>
        <row r="1240">
          <cell r="A1240" t="str">
            <v>State Plan (Title XIX)</v>
          </cell>
          <cell r="C1240" t="str">
            <v>Hospice</v>
          </cell>
          <cell r="D1240" t="str">
            <v>Hospice</v>
          </cell>
          <cell r="E1240" t="str">
            <v>PHYSICIAN DIRECT CARE</v>
          </cell>
          <cell r="F1240" t="str">
            <v>830T0302</v>
          </cell>
        </row>
        <row r="1241">
          <cell r="A1241" t="str">
            <v>State Plan (Title XIX)</v>
          </cell>
          <cell r="C1241" t="str">
            <v>Hospice</v>
          </cell>
          <cell r="D1241" t="str">
            <v>Hospice</v>
          </cell>
          <cell r="E1241" t="str">
            <v>PHYSICIAN DIRECT CARE</v>
          </cell>
          <cell r="F1241" t="str">
            <v>830T0302</v>
          </cell>
        </row>
        <row r="1242">
          <cell r="A1242" t="str">
            <v>State Plan (Title XIX)</v>
          </cell>
          <cell r="C1242" t="str">
            <v>Hospice</v>
          </cell>
          <cell r="D1242" t="str">
            <v>Hospice</v>
          </cell>
          <cell r="E1242" t="str">
            <v>PHYSICIAN DIRECT CARE</v>
          </cell>
          <cell r="F1242" t="str">
            <v>830T0302</v>
          </cell>
        </row>
        <row r="1243">
          <cell r="A1243" t="str">
            <v>State Plan (Title XIX)</v>
          </cell>
          <cell r="C1243" t="str">
            <v>Hospice</v>
          </cell>
          <cell r="D1243" t="str">
            <v>Hospice</v>
          </cell>
          <cell r="E1243" t="str">
            <v>PHYSICIAN DIRECT CARE</v>
          </cell>
          <cell r="F1243" t="str">
            <v>830T0302</v>
          </cell>
        </row>
        <row r="1244">
          <cell r="A1244" t="str">
            <v>State Plan (Title XIX)</v>
          </cell>
          <cell r="C1244" t="str">
            <v>Hospice</v>
          </cell>
          <cell r="D1244" t="str">
            <v>Hospice</v>
          </cell>
          <cell r="E1244" t="str">
            <v>PHYSICIAN DIRECT CARE</v>
          </cell>
          <cell r="F1244" t="str">
            <v>830T0302</v>
          </cell>
        </row>
        <row r="1245">
          <cell r="A1245" t="str">
            <v>State Plan (Title XIX)</v>
          </cell>
          <cell r="C1245" t="str">
            <v>Hospice</v>
          </cell>
          <cell r="D1245" t="str">
            <v>Hospice</v>
          </cell>
          <cell r="E1245" t="str">
            <v>PHYSICIAN DIRECT CARE</v>
          </cell>
          <cell r="F1245" t="str">
            <v>830T0302</v>
          </cell>
        </row>
        <row r="1246">
          <cell r="A1246" t="str">
            <v>State Plan (Title XIX)</v>
          </cell>
          <cell r="C1246" t="str">
            <v>Hospice</v>
          </cell>
          <cell r="D1246" t="str">
            <v>Hospice</v>
          </cell>
          <cell r="E1246" t="str">
            <v>PHYSICIAN DIRECT CARE</v>
          </cell>
          <cell r="F1246" t="str">
            <v>830T0302</v>
          </cell>
        </row>
        <row r="1247">
          <cell r="A1247" t="str">
            <v>State Plan (Title XIX)</v>
          </cell>
          <cell r="C1247" t="str">
            <v>Hospice</v>
          </cell>
          <cell r="D1247" t="str">
            <v>Hospice</v>
          </cell>
          <cell r="E1247" t="str">
            <v>PHYSICIAN DIRECT CARE</v>
          </cell>
          <cell r="F1247" t="str">
            <v>830T0302</v>
          </cell>
        </row>
        <row r="1248">
          <cell r="A1248" t="str">
            <v>State Plan (Title XIX)</v>
          </cell>
          <cell r="C1248" t="str">
            <v>Hospice</v>
          </cell>
          <cell r="D1248" t="str">
            <v>Hospice</v>
          </cell>
          <cell r="E1248" t="str">
            <v>PHYSICIAN DIRECT CARE</v>
          </cell>
          <cell r="F1248" t="str">
            <v>830T0302</v>
          </cell>
        </row>
        <row r="1249">
          <cell r="A1249" t="str">
            <v>State Plan (Title XIX)</v>
          </cell>
          <cell r="C1249" t="str">
            <v>Hospice</v>
          </cell>
          <cell r="D1249" t="str">
            <v>Hospice</v>
          </cell>
          <cell r="E1249" t="str">
            <v>PHYSICIAN DIRECT CARE</v>
          </cell>
          <cell r="F1249" t="str">
            <v>830T0302</v>
          </cell>
        </row>
        <row r="1250">
          <cell r="A1250" t="str">
            <v>State Plan (Title XIX)</v>
          </cell>
          <cell r="C1250" t="str">
            <v>Hospice</v>
          </cell>
          <cell r="D1250" t="str">
            <v>Hospice</v>
          </cell>
          <cell r="E1250" t="str">
            <v>PHYSICIAN DIRECT CARE</v>
          </cell>
          <cell r="F1250" t="str">
            <v>830T0302</v>
          </cell>
        </row>
        <row r="1251">
          <cell r="A1251" t="str">
            <v>State Plan (Title XIX)</v>
          </cell>
          <cell r="C1251" t="str">
            <v>Hospice</v>
          </cell>
          <cell r="D1251" t="str">
            <v>Hospice</v>
          </cell>
          <cell r="E1251" t="str">
            <v>PHYSICIAN DIRECT CARE</v>
          </cell>
          <cell r="F1251" t="str">
            <v>830T0302</v>
          </cell>
        </row>
        <row r="1252">
          <cell r="A1252" t="str">
            <v>State Plan (Title XIX)</v>
          </cell>
          <cell r="C1252" t="str">
            <v>Hospice</v>
          </cell>
          <cell r="D1252" t="str">
            <v>Hospice</v>
          </cell>
          <cell r="E1252" t="str">
            <v>PHYSICIAN DIRECT CARE</v>
          </cell>
          <cell r="F1252" t="str">
            <v>830T0302</v>
          </cell>
        </row>
        <row r="1253">
          <cell r="A1253" t="str">
            <v>State Plan (Title XIX)</v>
          </cell>
          <cell r="C1253" t="str">
            <v>Hospice</v>
          </cell>
          <cell r="D1253" t="str">
            <v>Hospice</v>
          </cell>
          <cell r="E1253" t="str">
            <v>PHYSICIAN DIRECT CARE</v>
          </cell>
          <cell r="F1253" t="str">
            <v>830T0302</v>
          </cell>
        </row>
        <row r="1254">
          <cell r="A1254" t="str">
            <v>State Plan (Title XIX)</v>
          </cell>
          <cell r="C1254" t="str">
            <v>Hospice</v>
          </cell>
          <cell r="D1254" t="str">
            <v>Hospice</v>
          </cell>
          <cell r="E1254" t="str">
            <v>PHYSICIAN DIRECT CARE</v>
          </cell>
          <cell r="F1254" t="str">
            <v>830T0302</v>
          </cell>
        </row>
        <row r="1255">
          <cell r="A1255" t="str">
            <v>State Plan (Title XIX)</v>
          </cell>
          <cell r="C1255" t="str">
            <v>Hospice</v>
          </cell>
          <cell r="D1255" t="str">
            <v>Hospice</v>
          </cell>
          <cell r="E1255" t="str">
            <v>PHYSICIAN DIRECT CARE</v>
          </cell>
          <cell r="F1255" t="str">
            <v>830T0302</v>
          </cell>
        </row>
        <row r="1256">
          <cell r="A1256" t="str">
            <v>State Plan (Title XIX)</v>
          </cell>
          <cell r="C1256" t="str">
            <v>Hospice</v>
          </cell>
          <cell r="D1256" t="str">
            <v>Hospice</v>
          </cell>
          <cell r="E1256" t="str">
            <v>PHYSICIAN DIRECT CARE</v>
          </cell>
          <cell r="F1256" t="str">
            <v>830T0302</v>
          </cell>
        </row>
        <row r="1257">
          <cell r="A1257" t="str">
            <v>State Plan (Title XIX)</v>
          </cell>
          <cell r="C1257" t="str">
            <v>Hospice</v>
          </cell>
          <cell r="D1257" t="str">
            <v>Hospice</v>
          </cell>
          <cell r="E1257" t="str">
            <v>PHYSICIAN DIRECT CARE</v>
          </cell>
          <cell r="F1257" t="str">
            <v>830T0302</v>
          </cell>
        </row>
        <row r="1258">
          <cell r="A1258" t="str">
            <v>State Plan (Title XIX)</v>
          </cell>
          <cell r="C1258" t="str">
            <v>Hospice</v>
          </cell>
          <cell r="D1258" t="str">
            <v>Hospice</v>
          </cell>
          <cell r="E1258" t="str">
            <v>PHYSICIAN DIRECT CARE</v>
          </cell>
          <cell r="F1258" t="str">
            <v>830T0302</v>
          </cell>
        </row>
        <row r="1259">
          <cell r="A1259" t="str">
            <v>State Plan (Title XIX)</v>
          </cell>
          <cell r="C1259" t="str">
            <v>Hospice</v>
          </cell>
          <cell r="D1259" t="str">
            <v>Hospice</v>
          </cell>
          <cell r="E1259" t="str">
            <v>PHYSICIAN DIRECT CARE</v>
          </cell>
          <cell r="F1259" t="str">
            <v>830T0302</v>
          </cell>
        </row>
        <row r="1260">
          <cell r="A1260" t="str">
            <v>State Plan (Title XIX)</v>
          </cell>
          <cell r="C1260" t="str">
            <v>Hospice</v>
          </cell>
          <cell r="D1260" t="str">
            <v>Hospice</v>
          </cell>
          <cell r="E1260" t="str">
            <v>PHYSICIAN DIRECT CARE</v>
          </cell>
          <cell r="F1260" t="str">
            <v>830T0302</v>
          </cell>
        </row>
        <row r="1261">
          <cell r="A1261" t="str">
            <v>State Plan (Title XIX)</v>
          </cell>
          <cell r="C1261" t="str">
            <v>Hospice</v>
          </cell>
          <cell r="D1261" t="str">
            <v>Hospice</v>
          </cell>
          <cell r="E1261" t="str">
            <v>PHYSICIAN DIRECT CARE</v>
          </cell>
          <cell r="F1261" t="str">
            <v>830T0302</v>
          </cell>
        </row>
        <row r="1262">
          <cell r="A1262" t="str">
            <v>State Plan (Title XIX)</v>
          </cell>
          <cell r="C1262" t="str">
            <v>Hospice</v>
          </cell>
          <cell r="D1262" t="str">
            <v>Hospice</v>
          </cell>
          <cell r="E1262" t="str">
            <v>PHYSICIAN DIRECT CARE</v>
          </cell>
          <cell r="F1262" t="str">
            <v>830T0302</v>
          </cell>
        </row>
        <row r="1263">
          <cell r="A1263" t="str">
            <v>State Plan (Title XIX)</v>
          </cell>
          <cell r="C1263" t="str">
            <v>Hospice</v>
          </cell>
          <cell r="D1263" t="str">
            <v>Hospice</v>
          </cell>
          <cell r="E1263" t="str">
            <v>PHYSICIAN DIRECT CARE</v>
          </cell>
          <cell r="F1263" t="str">
            <v>830T0302</v>
          </cell>
        </row>
        <row r="1264">
          <cell r="A1264" t="str">
            <v>State Plan (Title XIX)</v>
          </cell>
          <cell r="C1264" t="str">
            <v>Hospice</v>
          </cell>
          <cell r="D1264" t="str">
            <v>Hospice</v>
          </cell>
          <cell r="E1264" t="str">
            <v>PHYSICIAN DIRECT CARE</v>
          </cell>
          <cell r="F1264" t="str">
            <v>830T0302</v>
          </cell>
        </row>
        <row r="1265">
          <cell r="A1265" t="str">
            <v>State Plan (Title XIX)</v>
          </cell>
          <cell r="C1265" t="str">
            <v>Hospice</v>
          </cell>
          <cell r="D1265" t="str">
            <v>Hospice</v>
          </cell>
          <cell r="E1265" t="str">
            <v>PHYSICIAN DIRECT CARE</v>
          </cell>
          <cell r="F1265" t="str">
            <v>830T0302</v>
          </cell>
        </row>
        <row r="1266">
          <cell r="A1266" t="str">
            <v>State Plan (Title XIX)</v>
          </cell>
          <cell r="C1266" t="str">
            <v>Hospice</v>
          </cell>
          <cell r="D1266" t="str">
            <v>Hospice</v>
          </cell>
          <cell r="E1266" t="str">
            <v>PHYSICIAN DIRECT CARE</v>
          </cell>
          <cell r="F1266" t="str">
            <v>830T0302</v>
          </cell>
        </row>
        <row r="1267">
          <cell r="A1267" t="str">
            <v>State Plan (Title XIX)</v>
          </cell>
          <cell r="C1267" t="str">
            <v>Hospice</v>
          </cell>
          <cell r="D1267" t="str">
            <v>Hospice</v>
          </cell>
          <cell r="E1267" t="str">
            <v>PHYSICIAN DIRECT CARE</v>
          </cell>
          <cell r="F1267" t="str">
            <v>830T0302</v>
          </cell>
        </row>
        <row r="1268">
          <cell r="A1268" t="str">
            <v>State Plan (Title XIX)</v>
          </cell>
          <cell r="C1268" t="str">
            <v>Hospice</v>
          </cell>
          <cell r="D1268" t="str">
            <v>Hospice</v>
          </cell>
          <cell r="E1268" t="str">
            <v>PHYSICIAN DIRECT CARE-21 AND OLDER</v>
          </cell>
          <cell r="F1268" t="str">
            <v>830T0319</v>
          </cell>
        </row>
        <row r="1269">
          <cell r="A1269" t="str">
            <v>State Plan (Title XIX)</v>
          </cell>
          <cell r="C1269" t="str">
            <v>Hospice</v>
          </cell>
          <cell r="D1269" t="str">
            <v>Hospice</v>
          </cell>
          <cell r="E1269" t="str">
            <v>PHYSICIAN DIRECT CARE-21 AND OLDER</v>
          </cell>
          <cell r="F1269" t="str">
            <v>830T0321</v>
          </cell>
        </row>
        <row r="1270">
          <cell r="A1270" t="str">
            <v>State Plan (Title XIX)</v>
          </cell>
          <cell r="C1270" t="str">
            <v>Hospice</v>
          </cell>
          <cell r="D1270" t="str">
            <v>Hospice</v>
          </cell>
          <cell r="E1270" t="str">
            <v>PHYSICIAN DIRECT CARE-21 AND OLDER</v>
          </cell>
          <cell r="F1270" t="str">
            <v>830T0323</v>
          </cell>
        </row>
        <row r="1271">
          <cell r="A1271" t="str">
            <v>State Plan (Title XIX)</v>
          </cell>
          <cell r="C1271" t="str">
            <v>Hospice</v>
          </cell>
          <cell r="D1271" t="str">
            <v>Hospice</v>
          </cell>
          <cell r="E1271" t="str">
            <v>PHYSICIAN DIRECT CARE-21 AND OLDER</v>
          </cell>
          <cell r="F1271" t="str">
            <v>830T0325</v>
          </cell>
        </row>
        <row r="1272">
          <cell r="A1272" t="str">
            <v>State Plan (Title XIX)</v>
          </cell>
          <cell r="C1272" t="str">
            <v>Hospice</v>
          </cell>
          <cell r="D1272" t="str">
            <v>Hospice</v>
          </cell>
          <cell r="E1272" t="str">
            <v>PHYSICIAN DIRECT CARE-21 AND OLDER</v>
          </cell>
          <cell r="F1272" t="str">
            <v>830T0327</v>
          </cell>
        </row>
        <row r="1273">
          <cell r="A1273" t="str">
            <v>State Plan (Title XIX)</v>
          </cell>
          <cell r="C1273" t="str">
            <v>Hospice</v>
          </cell>
          <cell r="D1273" t="str">
            <v>Hospice</v>
          </cell>
          <cell r="E1273" t="str">
            <v>PHYSICIAN DIRECT CARE-21 AND OLDER</v>
          </cell>
          <cell r="F1273" t="str">
            <v>830T0329</v>
          </cell>
        </row>
        <row r="1274">
          <cell r="A1274" t="str">
            <v>State Plan (Title XIX)</v>
          </cell>
          <cell r="C1274" t="str">
            <v>Hospice</v>
          </cell>
          <cell r="D1274" t="str">
            <v>Hospice</v>
          </cell>
          <cell r="E1274" t="str">
            <v>PHYSICIAN DIRECT CARE-21 AND OLDER</v>
          </cell>
          <cell r="F1274" t="str">
            <v>830T0333</v>
          </cell>
        </row>
        <row r="1275">
          <cell r="A1275" t="str">
            <v>State Plan (Title XIX)</v>
          </cell>
          <cell r="C1275" t="str">
            <v>Hospice</v>
          </cell>
          <cell r="D1275" t="str">
            <v>Hospice</v>
          </cell>
          <cell r="E1275" t="str">
            <v>PHYSICIAN DIRECT CARE-21 AND OLDER</v>
          </cell>
          <cell r="F1275" t="str">
            <v>830T0335</v>
          </cell>
        </row>
        <row r="1276">
          <cell r="A1276" t="str">
            <v>State Plan (Title XIX)</v>
          </cell>
          <cell r="C1276" t="str">
            <v>Hospice</v>
          </cell>
          <cell r="D1276" t="str">
            <v>Hospice</v>
          </cell>
          <cell r="E1276" t="str">
            <v>PHYSICIAN DIRECT CARE-21 AND OLDER</v>
          </cell>
          <cell r="F1276" t="str">
            <v>830T0353</v>
          </cell>
        </row>
        <row r="1277">
          <cell r="A1277" t="str">
            <v>State Plan (Title XIX)</v>
          </cell>
          <cell r="C1277" t="str">
            <v>Hospice</v>
          </cell>
          <cell r="D1277" t="str">
            <v>Hospice</v>
          </cell>
          <cell r="E1277" t="str">
            <v>PHYSICIAN DIRECT CARE-21 AND OLDER</v>
          </cell>
          <cell r="F1277" t="str">
            <v>830T0355</v>
          </cell>
        </row>
        <row r="1278">
          <cell r="A1278" t="str">
            <v>State Plan (Title XIX)</v>
          </cell>
          <cell r="C1278" t="str">
            <v>Hospice</v>
          </cell>
          <cell r="D1278" t="str">
            <v>Hospice</v>
          </cell>
          <cell r="E1278" t="str">
            <v>PHYSICIAN DIRECT CARE-21 AND OLDER</v>
          </cell>
          <cell r="F1278" t="str">
            <v>830T0357</v>
          </cell>
        </row>
        <row r="1279">
          <cell r="A1279" t="str">
            <v>State Plan (Title XIX)</v>
          </cell>
          <cell r="C1279" t="str">
            <v>Hospice</v>
          </cell>
          <cell r="D1279" t="str">
            <v>Hospice</v>
          </cell>
          <cell r="E1279" t="str">
            <v>PHYSICIAN DIRECT CARE-21 AND OLDER</v>
          </cell>
          <cell r="F1279" t="str">
            <v>830T0359</v>
          </cell>
        </row>
        <row r="1280">
          <cell r="A1280" t="str">
            <v>State Plan (Title XIX)</v>
          </cell>
          <cell r="C1280" t="str">
            <v>Hospice</v>
          </cell>
          <cell r="D1280" t="str">
            <v>Hospice</v>
          </cell>
          <cell r="E1280" t="str">
            <v>PHYSICIAN DIRECT CARE-21 AND OLDER</v>
          </cell>
          <cell r="F1280" t="str">
            <v>830T0361</v>
          </cell>
        </row>
        <row r="1281">
          <cell r="A1281" t="str">
            <v>State Plan (Title XIX)</v>
          </cell>
          <cell r="C1281" t="str">
            <v>Hospice</v>
          </cell>
          <cell r="D1281" t="str">
            <v>Hospice</v>
          </cell>
          <cell r="E1281" t="str">
            <v>PHYSICIAN DIRECT CARE-21 AND OLDER</v>
          </cell>
          <cell r="F1281" t="str">
            <v>830T0363</v>
          </cell>
        </row>
        <row r="1282">
          <cell r="A1282" t="str">
            <v>State Plan (Title XIX)</v>
          </cell>
          <cell r="C1282" t="str">
            <v>Hospice</v>
          </cell>
          <cell r="D1282" t="str">
            <v>Hospice</v>
          </cell>
          <cell r="E1282" t="str">
            <v>PHYSICIAN DIRECT CARE-21 AND OLDER</v>
          </cell>
          <cell r="F1282" t="str">
            <v>830T0365</v>
          </cell>
        </row>
        <row r="1283">
          <cell r="A1283" t="str">
            <v>State Plan (Title XIX)</v>
          </cell>
          <cell r="C1283" t="str">
            <v>Hospice</v>
          </cell>
          <cell r="D1283" t="str">
            <v>Hospice</v>
          </cell>
          <cell r="E1283" t="str">
            <v>PHYSICIAN DIRECT CARE-21 AND OLDER</v>
          </cell>
          <cell r="F1283" t="str">
            <v>830T0367</v>
          </cell>
        </row>
        <row r="1284">
          <cell r="A1284" t="str">
            <v>State Plan (Title XIX)</v>
          </cell>
          <cell r="C1284" t="str">
            <v>Hospice</v>
          </cell>
          <cell r="D1284" t="str">
            <v>Hospice</v>
          </cell>
          <cell r="E1284" t="str">
            <v>PHYSICIAN DIRECT CARE-21 AND OLDER</v>
          </cell>
          <cell r="F1284" t="str">
            <v>830T0369</v>
          </cell>
        </row>
        <row r="1285">
          <cell r="A1285" t="str">
            <v>State Plan (Title XIX)</v>
          </cell>
          <cell r="C1285" t="str">
            <v>Hospice</v>
          </cell>
          <cell r="D1285" t="str">
            <v>Hospice</v>
          </cell>
          <cell r="E1285" t="str">
            <v>PHYSICIAN DIRECT CARE-21 AND OLDER</v>
          </cell>
          <cell r="F1285" t="str">
            <v>830T0371</v>
          </cell>
        </row>
        <row r="1286">
          <cell r="A1286" t="str">
            <v>State Plan (Title XIX)</v>
          </cell>
          <cell r="C1286" t="str">
            <v>Hospice</v>
          </cell>
          <cell r="D1286" t="str">
            <v>Hospice</v>
          </cell>
          <cell r="E1286" t="str">
            <v>PHYSICIAN DIRECT CARE-21 AND OLDER</v>
          </cell>
          <cell r="F1286" t="str">
            <v>830T0373</v>
          </cell>
        </row>
        <row r="1287">
          <cell r="A1287" t="str">
            <v>State Plan (Title XIX)</v>
          </cell>
          <cell r="C1287" t="str">
            <v>Hospice</v>
          </cell>
          <cell r="D1287" t="str">
            <v>Hospice</v>
          </cell>
          <cell r="E1287" t="str">
            <v>PHYSICIAN DIRECT CARE-21 AND OLDER</v>
          </cell>
          <cell r="F1287" t="str">
            <v>830T0375</v>
          </cell>
        </row>
        <row r="1288">
          <cell r="A1288" t="str">
            <v>State Plan (Title XIX)</v>
          </cell>
          <cell r="C1288" t="str">
            <v>Hospice</v>
          </cell>
          <cell r="D1288" t="str">
            <v>Hospice</v>
          </cell>
          <cell r="E1288" t="str">
            <v>PHYSICIAN DIRECT CARE-21 AND OLDER</v>
          </cell>
          <cell r="F1288" t="str">
            <v>830T0377</v>
          </cell>
        </row>
        <row r="1289">
          <cell r="A1289" t="str">
            <v>State Plan (Title XIX)</v>
          </cell>
          <cell r="C1289" t="str">
            <v>Hospice</v>
          </cell>
          <cell r="D1289" t="str">
            <v>Hospice</v>
          </cell>
          <cell r="E1289" t="str">
            <v>PHYSICIAN DIRECT CARE-21 AND OLDER</v>
          </cell>
          <cell r="F1289" t="str">
            <v>830T0381</v>
          </cell>
        </row>
        <row r="1290">
          <cell r="A1290" t="str">
            <v>State Plan (Title XIX)</v>
          </cell>
          <cell r="C1290" t="str">
            <v>Hospice</v>
          </cell>
          <cell r="D1290" t="str">
            <v>Hospice</v>
          </cell>
          <cell r="E1290" t="str">
            <v>PHYSICIAN DIRECT CARE-21 AND OLDER</v>
          </cell>
          <cell r="F1290" t="str">
            <v>830T0383</v>
          </cell>
        </row>
        <row r="1291">
          <cell r="A1291" t="str">
            <v>State Plan (Title XIX)</v>
          </cell>
          <cell r="C1291" t="str">
            <v>Hospice</v>
          </cell>
          <cell r="D1291" t="str">
            <v>Hospice</v>
          </cell>
          <cell r="E1291" t="str">
            <v>PHYSICIAN DIRECT CARE-21 AND OLDER</v>
          </cell>
          <cell r="F1291" t="str">
            <v>830T0385</v>
          </cell>
        </row>
        <row r="1292">
          <cell r="A1292" t="str">
            <v>State Plan (Title XIX)</v>
          </cell>
          <cell r="C1292" t="str">
            <v>Hospice</v>
          </cell>
          <cell r="D1292" t="str">
            <v>Hospice</v>
          </cell>
          <cell r="E1292" t="str">
            <v>PHYSICIAN DIRECT CARE-21 AND OLDER</v>
          </cell>
          <cell r="F1292" t="str">
            <v>830T0387</v>
          </cell>
        </row>
        <row r="1293">
          <cell r="A1293" t="str">
            <v>State Plan (Title XIX)</v>
          </cell>
          <cell r="C1293" t="str">
            <v>Hospice</v>
          </cell>
          <cell r="D1293" t="str">
            <v>Hospice</v>
          </cell>
          <cell r="E1293" t="str">
            <v>PHYSICIAN DIRECT CARE-21 AND OLDER</v>
          </cell>
          <cell r="F1293" t="str">
            <v>830T0391</v>
          </cell>
        </row>
        <row r="1294">
          <cell r="A1294" t="str">
            <v>State Plan (Title XIX)</v>
          </cell>
          <cell r="C1294" t="str">
            <v>Hospice</v>
          </cell>
          <cell r="D1294" t="str">
            <v>Hospice</v>
          </cell>
          <cell r="E1294" t="str">
            <v>PHYSICIAN DIRECT CARE-21 AND OLDER</v>
          </cell>
          <cell r="F1294" t="str">
            <v>830T0393</v>
          </cell>
        </row>
        <row r="1295">
          <cell r="A1295" t="str">
            <v>State Plan (Title XIX)</v>
          </cell>
          <cell r="C1295" t="str">
            <v>Hospice</v>
          </cell>
          <cell r="D1295" t="str">
            <v>Hospice</v>
          </cell>
          <cell r="E1295" t="str">
            <v>PHYSICIAN DIRECT CARE-21 AND OLDER</v>
          </cell>
          <cell r="F1295" t="str">
            <v>830T0395</v>
          </cell>
        </row>
        <row r="1296">
          <cell r="A1296" t="str">
            <v>State Plan (Title XIX)</v>
          </cell>
          <cell r="C1296" t="str">
            <v>Hospice</v>
          </cell>
          <cell r="D1296" t="str">
            <v>Hospice</v>
          </cell>
          <cell r="E1296" t="str">
            <v>PHYSICIAN DIRECT CARE-21 AND OLDER</v>
          </cell>
          <cell r="F1296" t="str">
            <v>830T0397</v>
          </cell>
        </row>
        <row r="1297">
          <cell r="A1297" t="str">
            <v>State Plan (Title XIX)</v>
          </cell>
          <cell r="C1297" t="str">
            <v>Hospice</v>
          </cell>
          <cell r="D1297" t="str">
            <v>Hospice</v>
          </cell>
          <cell r="E1297" t="str">
            <v>PHYSICIAN DIRECT CARE-21 AND OLDER</v>
          </cell>
          <cell r="F1297" t="str">
            <v>830T0399</v>
          </cell>
        </row>
        <row r="1298">
          <cell r="A1298" t="str">
            <v>State Plan (Title XIX)</v>
          </cell>
          <cell r="C1298" t="str">
            <v>Hospice</v>
          </cell>
          <cell r="D1298" t="str">
            <v>Hospice</v>
          </cell>
          <cell r="E1298" t="str">
            <v>PHYSICIAN DIRECT CARE-21 AND OLDER</v>
          </cell>
          <cell r="F1298" t="str">
            <v>830T0411</v>
          </cell>
        </row>
        <row r="1299">
          <cell r="A1299" t="str">
            <v>State Plan (Title XIX)</v>
          </cell>
          <cell r="C1299" t="str">
            <v>Hospice</v>
          </cell>
          <cell r="D1299" t="str">
            <v>Hospice</v>
          </cell>
          <cell r="E1299" t="str">
            <v>PHYSICIAN DIRECT CARE-21 AND OLDER</v>
          </cell>
          <cell r="F1299" t="str">
            <v>830T0413</v>
          </cell>
        </row>
        <row r="1300">
          <cell r="A1300" t="str">
            <v>State Plan (Title XIX)</v>
          </cell>
          <cell r="C1300" t="str">
            <v>Hospice</v>
          </cell>
          <cell r="D1300" t="str">
            <v>Hospice</v>
          </cell>
          <cell r="E1300" t="str">
            <v>PHYSICIAN DIRECT CARE-21 AND OLDER</v>
          </cell>
          <cell r="F1300" t="str">
            <v>830T0415</v>
          </cell>
        </row>
        <row r="1301">
          <cell r="A1301" t="str">
            <v>State Plan (Title XIX)</v>
          </cell>
          <cell r="C1301" t="str">
            <v>Hospice</v>
          </cell>
          <cell r="D1301" t="str">
            <v>Hospice</v>
          </cell>
          <cell r="E1301" t="str">
            <v>PHYSICIAN DIRECT CARE-21 AND OLDER</v>
          </cell>
          <cell r="F1301" t="str">
            <v>830T0417</v>
          </cell>
        </row>
        <row r="1302">
          <cell r="A1302" t="str">
            <v>State Plan (Title XIX)</v>
          </cell>
          <cell r="C1302" t="str">
            <v>Hospice</v>
          </cell>
          <cell r="D1302" t="str">
            <v>Hospice</v>
          </cell>
          <cell r="E1302" t="str">
            <v>PHYSICIAN DIRECT CARE-21 AND OLDER</v>
          </cell>
          <cell r="F1302" t="str">
            <v>830T0419</v>
          </cell>
        </row>
        <row r="1303">
          <cell r="A1303" t="str">
            <v>State Plan (Title XIX)</v>
          </cell>
          <cell r="C1303" t="str">
            <v>Hospice</v>
          </cell>
          <cell r="D1303" t="str">
            <v>Hospice</v>
          </cell>
          <cell r="E1303" t="str">
            <v>PHYSICIAN DIRECT CARE-21 AND OLDER</v>
          </cell>
          <cell r="F1303" t="str">
            <v>830T0421</v>
          </cell>
        </row>
        <row r="1304">
          <cell r="A1304" t="str">
            <v>State Plan (Title XIX)</v>
          </cell>
          <cell r="C1304" t="str">
            <v>Hospice</v>
          </cell>
          <cell r="D1304" t="str">
            <v>Hospice</v>
          </cell>
          <cell r="E1304" t="str">
            <v>PHYSICIAN DIRECT CARE-21 AND OLDER</v>
          </cell>
          <cell r="F1304" t="str">
            <v>830T0423</v>
          </cell>
        </row>
        <row r="1305">
          <cell r="A1305" t="str">
            <v>State Plan (Title XIX)</v>
          </cell>
          <cell r="C1305" t="str">
            <v>Hospice</v>
          </cell>
          <cell r="D1305" t="str">
            <v>Hospice</v>
          </cell>
          <cell r="E1305" t="str">
            <v>PHYSICIAN DIRECT CARE-21 AND OLDER</v>
          </cell>
          <cell r="F1305" t="str">
            <v>830T0425</v>
          </cell>
        </row>
        <row r="1306">
          <cell r="A1306" t="str">
            <v>State Plan (Title XIX)</v>
          </cell>
          <cell r="C1306" t="str">
            <v>Hospice</v>
          </cell>
          <cell r="D1306" t="str">
            <v>Hospice</v>
          </cell>
          <cell r="E1306" t="str">
            <v>PHYSICIAN DIRECT CARE-21 AND OLDER</v>
          </cell>
          <cell r="F1306" t="str">
            <v>830T0427</v>
          </cell>
        </row>
        <row r="1307">
          <cell r="A1307" t="str">
            <v>State Plan (Title XIX)</v>
          </cell>
          <cell r="C1307" t="str">
            <v>Hospice</v>
          </cell>
          <cell r="D1307" t="str">
            <v>Hospice</v>
          </cell>
          <cell r="E1307" t="str">
            <v>PHYSICIAN DIRECT CARE-21 AND OLDER</v>
          </cell>
          <cell r="F1307" t="str">
            <v>830T0429</v>
          </cell>
        </row>
        <row r="1308">
          <cell r="A1308" t="str">
            <v>State Plan (Title XIX)</v>
          </cell>
          <cell r="C1308" t="str">
            <v>Hospice</v>
          </cell>
          <cell r="D1308" t="str">
            <v>Hospice</v>
          </cell>
          <cell r="E1308" t="str">
            <v>PHYSICIAN DIRECT CARE-21 AND OLDER</v>
          </cell>
          <cell r="F1308" t="str">
            <v>830T0431</v>
          </cell>
        </row>
        <row r="1309">
          <cell r="A1309" t="str">
            <v>State Plan (Title XIX)</v>
          </cell>
          <cell r="C1309" t="str">
            <v>Hospice</v>
          </cell>
          <cell r="D1309" t="str">
            <v>Hospice</v>
          </cell>
          <cell r="E1309" t="str">
            <v>PHYSICIAN DIRECT CARE-21 AND OLDER</v>
          </cell>
          <cell r="F1309" t="str">
            <v>830T0433</v>
          </cell>
        </row>
        <row r="1310">
          <cell r="A1310" t="str">
            <v>State Plan (Title XIX)</v>
          </cell>
          <cell r="C1310" t="str">
            <v>Hospice</v>
          </cell>
          <cell r="D1310" t="str">
            <v>Hospice</v>
          </cell>
          <cell r="E1310" t="str">
            <v>PHYSICIAN DIRECT CARE-21 AND OLDER</v>
          </cell>
          <cell r="F1310" t="str">
            <v>830T0437</v>
          </cell>
        </row>
        <row r="1311">
          <cell r="A1311" t="str">
            <v>State Plan (Title XIX)</v>
          </cell>
          <cell r="C1311" t="str">
            <v>Hospice</v>
          </cell>
          <cell r="D1311" t="str">
            <v>Hospice</v>
          </cell>
          <cell r="E1311" t="str">
            <v>PHYSICIAN DIRECT CARE-21 AND OLDER</v>
          </cell>
          <cell r="F1311" t="str">
            <v>830T0439</v>
          </cell>
        </row>
        <row r="1312">
          <cell r="A1312" t="str">
            <v>State Plan (Title XIX)</v>
          </cell>
          <cell r="C1312" t="str">
            <v>Hospice</v>
          </cell>
          <cell r="D1312" t="str">
            <v>Hospice</v>
          </cell>
          <cell r="E1312" t="str">
            <v>PHYSICIAN DIRECT CARE-21 AND OLDER</v>
          </cell>
          <cell r="F1312" t="str">
            <v>830T0441</v>
          </cell>
        </row>
        <row r="1313">
          <cell r="A1313" t="str">
            <v>State Plan (Title XIX)</v>
          </cell>
          <cell r="C1313" t="str">
            <v>Hospice</v>
          </cell>
          <cell r="D1313" t="str">
            <v>Hospice</v>
          </cell>
          <cell r="E1313" t="str">
            <v>PHYSICIAN DIRECT CARE-21 AND OLDER</v>
          </cell>
          <cell r="F1313" t="str">
            <v>830T0443</v>
          </cell>
        </row>
        <row r="1314">
          <cell r="A1314" t="str">
            <v>State Plan (Title XIX)</v>
          </cell>
          <cell r="C1314" t="str">
            <v>Hospice</v>
          </cell>
          <cell r="D1314" t="str">
            <v>Hospice</v>
          </cell>
          <cell r="E1314" t="str">
            <v>PHYSICIAN DIRECT CARE-21 AND OLDER</v>
          </cell>
          <cell r="F1314" t="str">
            <v>830T0445</v>
          </cell>
        </row>
        <row r="1315">
          <cell r="A1315" t="str">
            <v>State Plan (Title XIX)</v>
          </cell>
          <cell r="C1315" t="str">
            <v>Hospice</v>
          </cell>
          <cell r="D1315" t="str">
            <v>Hospice</v>
          </cell>
          <cell r="E1315" t="str">
            <v>PHYSICIAN DIRECT CARE-21 AND OLDER</v>
          </cell>
          <cell r="F1315" t="str">
            <v>830T0447</v>
          </cell>
        </row>
        <row r="1316">
          <cell r="A1316" t="str">
            <v>State Plan (Title XIX)</v>
          </cell>
          <cell r="C1316" t="str">
            <v>Hospice</v>
          </cell>
          <cell r="D1316" t="str">
            <v>Hospice</v>
          </cell>
          <cell r="E1316" t="str">
            <v>PHYSICIAN DIRECT CARE-21 AND OLDER</v>
          </cell>
          <cell r="F1316" t="str">
            <v>830T0449</v>
          </cell>
        </row>
        <row r="1317">
          <cell r="A1317" t="str">
            <v>State Plan (Title XIX)</v>
          </cell>
          <cell r="C1317" t="str">
            <v>Hospice</v>
          </cell>
          <cell r="D1317" t="str">
            <v>Hospice</v>
          </cell>
          <cell r="E1317" t="str">
            <v>PHYSICIAN DIRECT CARE-21 AND OLDER</v>
          </cell>
          <cell r="F1317" t="str">
            <v>830T0451</v>
          </cell>
        </row>
        <row r="1318">
          <cell r="A1318" t="str">
            <v>State Plan (Title XIX)</v>
          </cell>
          <cell r="C1318" t="str">
            <v>Hospice</v>
          </cell>
          <cell r="D1318" t="str">
            <v>Hospice</v>
          </cell>
          <cell r="E1318" t="str">
            <v>PHYSICIAN DIRECT CARE-21 AND OLDER</v>
          </cell>
          <cell r="F1318" t="str">
            <v>830T0453</v>
          </cell>
        </row>
        <row r="1319">
          <cell r="A1319" t="str">
            <v>State Plan (Title XIX)</v>
          </cell>
          <cell r="C1319" t="str">
            <v>Hospice</v>
          </cell>
          <cell r="D1319" t="str">
            <v>Hospice</v>
          </cell>
          <cell r="E1319" t="str">
            <v>PHYSICIAN DIRECT CARE-21 AND OLDER</v>
          </cell>
          <cell r="F1319" t="str">
            <v>830T0455</v>
          </cell>
        </row>
        <row r="1320">
          <cell r="A1320" t="str">
            <v>State Plan (Title XIX)</v>
          </cell>
          <cell r="C1320" t="str">
            <v>Hospice</v>
          </cell>
          <cell r="D1320" t="str">
            <v>Hospice</v>
          </cell>
          <cell r="E1320" t="str">
            <v>PHYSICIAN DIRECT CARE-21 AND OLDER</v>
          </cell>
          <cell r="F1320" t="str">
            <v>830T0457</v>
          </cell>
        </row>
        <row r="1321">
          <cell r="A1321" t="str">
            <v>State Plan (Title XIX)</v>
          </cell>
          <cell r="C1321" t="str">
            <v>Hospice</v>
          </cell>
          <cell r="D1321" t="str">
            <v>Hospice</v>
          </cell>
          <cell r="E1321" t="str">
            <v>PHYSICIAN DIRECT CARE-21 AND OLDER</v>
          </cell>
          <cell r="F1321" t="str">
            <v>830T0459</v>
          </cell>
        </row>
        <row r="1322">
          <cell r="A1322" t="str">
            <v>State Plan (Title XIX)</v>
          </cell>
          <cell r="C1322" t="str">
            <v>Hospice</v>
          </cell>
          <cell r="D1322" t="str">
            <v>Hospice</v>
          </cell>
          <cell r="E1322" t="str">
            <v>PHYSICIAN DIRECT CARE-21 AND OLDER</v>
          </cell>
          <cell r="F1322" t="str">
            <v>830T0461</v>
          </cell>
        </row>
        <row r="1323">
          <cell r="A1323" t="str">
            <v>State Plan (Title XIX)</v>
          </cell>
          <cell r="C1323" t="str">
            <v>Hospice</v>
          </cell>
          <cell r="D1323" t="str">
            <v>Hospice</v>
          </cell>
          <cell r="E1323" t="str">
            <v>PHYSICIAN DIRECT CARE-21 AND OLDER</v>
          </cell>
          <cell r="F1323" t="str">
            <v>830T0463</v>
          </cell>
        </row>
        <row r="1324">
          <cell r="A1324" t="str">
            <v>State Plan (Title XIX)</v>
          </cell>
          <cell r="C1324" t="str">
            <v>Hospice</v>
          </cell>
          <cell r="D1324" t="str">
            <v>Hospice</v>
          </cell>
          <cell r="E1324" t="str">
            <v>PHYSICIAN DIRECT CARE-21 AND OLDER</v>
          </cell>
          <cell r="F1324" t="str">
            <v>830T0465</v>
          </cell>
        </row>
        <row r="1325">
          <cell r="A1325" t="str">
            <v>State Plan (Title XIX)</v>
          </cell>
          <cell r="C1325" t="str">
            <v>Hospice</v>
          </cell>
          <cell r="D1325" t="str">
            <v>Hospice</v>
          </cell>
          <cell r="E1325" t="str">
            <v>PHYSICIAN DIRECT CARE-21 AND OLDER</v>
          </cell>
          <cell r="F1325" t="str">
            <v>830T0467</v>
          </cell>
        </row>
        <row r="1326">
          <cell r="A1326" t="str">
            <v>State Plan (Title XIX)</v>
          </cell>
          <cell r="C1326" t="str">
            <v>Hospice</v>
          </cell>
          <cell r="D1326" t="str">
            <v>Hospice</v>
          </cell>
          <cell r="E1326" t="str">
            <v>PHYSICIAN DIRECT CARE-21 AND OLDER</v>
          </cell>
          <cell r="F1326" t="str">
            <v>830T0477</v>
          </cell>
        </row>
        <row r="1327">
          <cell r="A1327" t="str">
            <v>State Plan (Title XIX)</v>
          </cell>
          <cell r="C1327" t="str">
            <v>Hospice</v>
          </cell>
          <cell r="D1327" t="str">
            <v>Hospice</v>
          </cell>
          <cell r="E1327" t="str">
            <v>PHYSICIAN DIRECT CARE-21 AND OLDER</v>
          </cell>
          <cell r="F1327" t="str">
            <v>830T0481</v>
          </cell>
        </row>
        <row r="1328">
          <cell r="A1328" t="str">
            <v>State Plan (Title XIX)</v>
          </cell>
          <cell r="C1328" t="str">
            <v>Hospice</v>
          </cell>
          <cell r="D1328" t="str">
            <v>Hospice</v>
          </cell>
          <cell r="E1328" t="str">
            <v>PHYSICIAN DIRECT CARE-21 AND OLDER</v>
          </cell>
          <cell r="F1328" t="str">
            <v>830T0417</v>
          </cell>
        </row>
        <row r="1329">
          <cell r="A1329" t="str">
            <v>State Plan (Title XIX)</v>
          </cell>
          <cell r="C1329" t="str">
            <v>Hospice</v>
          </cell>
          <cell r="D1329" t="str">
            <v>Hospice</v>
          </cell>
          <cell r="E1329" t="str">
            <v>PHYSICIAN DIRECT CARE-21 AND OLDER</v>
          </cell>
          <cell r="F1329" t="str">
            <v>830T0419</v>
          </cell>
        </row>
        <row r="1330">
          <cell r="A1330" t="str">
            <v>State Plan (Title XIX)</v>
          </cell>
          <cell r="C1330" t="str">
            <v>Hospice</v>
          </cell>
          <cell r="D1330" t="str">
            <v>Hospice</v>
          </cell>
          <cell r="E1330" t="str">
            <v>PHYSICIAN DIRECT CARE-21 AND OLDER</v>
          </cell>
          <cell r="F1330" t="str">
            <v>830T0421</v>
          </cell>
        </row>
        <row r="1331">
          <cell r="A1331" t="str">
            <v>State Plan (Title XIX)</v>
          </cell>
          <cell r="C1331" t="str">
            <v>Hospice</v>
          </cell>
          <cell r="D1331" t="str">
            <v>Hospice</v>
          </cell>
          <cell r="E1331" t="str">
            <v>PHYSICIAN DIRECT CARE-21 AND OLDER</v>
          </cell>
          <cell r="F1331" t="str">
            <v>830T0423</v>
          </cell>
        </row>
        <row r="1332">
          <cell r="A1332" t="str">
            <v>State Plan (Title XIX)</v>
          </cell>
          <cell r="C1332" t="str">
            <v>Hospice</v>
          </cell>
          <cell r="D1332" t="str">
            <v>Hospice</v>
          </cell>
          <cell r="E1332" t="str">
            <v>PHYSICIAN DIRECT CARE-21 AND OLDER</v>
          </cell>
          <cell r="F1332" t="str">
            <v>830T0425</v>
          </cell>
        </row>
        <row r="1333">
          <cell r="A1333" t="str">
            <v>State Plan (Title XIX)</v>
          </cell>
          <cell r="C1333" t="str">
            <v>Hospice</v>
          </cell>
          <cell r="D1333" t="str">
            <v>Hospice</v>
          </cell>
          <cell r="E1333" t="str">
            <v>PHYSICIAN DIRECT CARE-21 AND OLDER</v>
          </cell>
          <cell r="F1333" t="str">
            <v>830T0311</v>
          </cell>
        </row>
        <row r="1334">
          <cell r="A1334" t="str">
            <v>State Plan (Title XIX)</v>
          </cell>
          <cell r="C1334" t="str">
            <v>Hospice</v>
          </cell>
          <cell r="D1334" t="str">
            <v>Hospice</v>
          </cell>
          <cell r="E1334" t="str">
            <v>PHYSICIAN DIRECT CARE-21 AND OLDER</v>
          </cell>
          <cell r="F1334" t="str">
            <v>830T0313</v>
          </cell>
        </row>
        <row r="1335">
          <cell r="A1335" t="str">
            <v>State Plan (Title XIX)</v>
          </cell>
          <cell r="C1335" t="str">
            <v>Hospice</v>
          </cell>
          <cell r="D1335" t="str">
            <v>Hospice</v>
          </cell>
          <cell r="E1335" t="str">
            <v>PHYSICIAN DIRECT CARE-21 AND OLDER</v>
          </cell>
          <cell r="F1335" t="str">
            <v>830T0315</v>
          </cell>
        </row>
        <row r="1336">
          <cell r="A1336" t="str">
            <v>State Plan (Title XIX)</v>
          </cell>
          <cell r="C1336" t="str">
            <v>Hospice</v>
          </cell>
          <cell r="D1336" t="str">
            <v>Hospice</v>
          </cell>
          <cell r="E1336" t="str">
            <v>PHYSICIAN DIRECT CARE-21 AND OLDER</v>
          </cell>
          <cell r="F1336" t="str">
            <v>830T0317</v>
          </cell>
        </row>
        <row r="1337">
          <cell r="A1337" t="str">
            <v>State Plan (Title XIX)</v>
          </cell>
          <cell r="C1337" t="str">
            <v>Hospice</v>
          </cell>
          <cell r="D1337" t="str">
            <v>Hospice</v>
          </cell>
          <cell r="E1337" t="str">
            <v>PHYSICIAN DIRECT CARE-21 AND OLDER</v>
          </cell>
          <cell r="F1337" t="str">
            <v>830T0331</v>
          </cell>
        </row>
        <row r="1338">
          <cell r="A1338" t="str">
            <v>State Plan (Title XIX)</v>
          </cell>
          <cell r="C1338" t="str">
            <v>Hospice</v>
          </cell>
          <cell r="D1338" t="str">
            <v>Hospice</v>
          </cell>
          <cell r="E1338" t="str">
            <v>PHYSICIAN DIRECT CARE-21 AND OLDER</v>
          </cell>
          <cell r="F1338" t="str">
            <v>830T0337</v>
          </cell>
        </row>
        <row r="1339">
          <cell r="A1339" t="str">
            <v>State Plan (Title XIX)</v>
          </cell>
          <cell r="C1339" t="str">
            <v>Hospice</v>
          </cell>
          <cell r="D1339" t="str">
            <v>Hospice</v>
          </cell>
          <cell r="E1339" t="str">
            <v>PHYSICIAN DIRECT CARE-21 AND OLDER</v>
          </cell>
          <cell r="F1339" t="str">
            <v>830T0339</v>
          </cell>
        </row>
        <row r="1340">
          <cell r="A1340" t="str">
            <v>State Plan (Title XIX)</v>
          </cell>
          <cell r="C1340" t="str">
            <v>Hospice</v>
          </cell>
          <cell r="D1340" t="str">
            <v>Hospice</v>
          </cell>
          <cell r="E1340" t="str">
            <v>PHYSICIAN DIRECT CARE-21 AND OLDER</v>
          </cell>
          <cell r="F1340" t="str">
            <v>830T0341</v>
          </cell>
        </row>
        <row r="1341">
          <cell r="A1341" t="str">
            <v>State Plan (Title XIX)</v>
          </cell>
          <cell r="C1341" t="str">
            <v>Hospice</v>
          </cell>
          <cell r="D1341" t="str">
            <v>Hospice</v>
          </cell>
          <cell r="E1341" t="str">
            <v>PHYSICIAN DIRECT CARE-21 AND OLDER</v>
          </cell>
          <cell r="F1341" t="str">
            <v>830T0343</v>
          </cell>
        </row>
        <row r="1342">
          <cell r="A1342" t="str">
            <v>State Plan (Title XIX)</v>
          </cell>
          <cell r="C1342" t="str">
            <v>Hospice</v>
          </cell>
          <cell r="D1342" t="str">
            <v>Hospice</v>
          </cell>
          <cell r="E1342" t="str">
            <v>PHYSICIAN DIRECT CARE-21 AND OLDER</v>
          </cell>
          <cell r="F1342" t="str">
            <v>830T0345</v>
          </cell>
        </row>
        <row r="1343">
          <cell r="A1343" t="str">
            <v>State Plan (Title XIX)</v>
          </cell>
          <cell r="C1343" t="str">
            <v>Hospice</v>
          </cell>
          <cell r="D1343" t="str">
            <v>Hospice</v>
          </cell>
          <cell r="E1343" t="str">
            <v>PHYSICIAN DIRECT CARE-21 AND OLDER</v>
          </cell>
          <cell r="F1343" t="str">
            <v>830T0347</v>
          </cell>
        </row>
        <row r="1344">
          <cell r="A1344" t="str">
            <v>State Plan (Title XIX)</v>
          </cell>
          <cell r="C1344" t="str">
            <v>Hospice</v>
          </cell>
          <cell r="D1344" t="str">
            <v>Hospice</v>
          </cell>
          <cell r="E1344" t="str">
            <v>PHYSICIAN DIRECT CARE-21 AND OLDER</v>
          </cell>
          <cell r="F1344" t="str">
            <v>830T0349</v>
          </cell>
        </row>
        <row r="1345">
          <cell r="A1345" t="str">
            <v>State Plan (Title XIX)</v>
          </cell>
          <cell r="C1345" t="str">
            <v>Hospice</v>
          </cell>
          <cell r="D1345" t="str">
            <v>Hospice</v>
          </cell>
          <cell r="E1345" t="str">
            <v>PHYSICIAN DIRECT CARE-21 AND OLDER</v>
          </cell>
          <cell r="F1345" t="str">
            <v>830T0351</v>
          </cell>
        </row>
        <row r="1346">
          <cell r="A1346" t="str">
            <v>State Plan (Title XIX)</v>
          </cell>
          <cell r="C1346" t="str">
            <v>Hospice</v>
          </cell>
          <cell r="D1346" t="str">
            <v>Hospice</v>
          </cell>
          <cell r="E1346" t="str">
            <v>PHYSICIAN DIRECT CARE-21 AND OLDER</v>
          </cell>
          <cell r="F1346" t="str">
            <v>830T0379</v>
          </cell>
        </row>
        <row r="1347">
          <cell r="A1347" t="str">
            <v>State Plan (Title XIX)</v>
          </cell>
          <cell r="C1347" t="str">
            <v>Hospice</v>
          </cell>
          <cell r="D1347" t="str">
            <v>Hospice</v>
          </cell>
          <cell r="E1347" t="str">
            <v>PHYSICIAN DIRECT CARE-21 AND OLDER</v>
          </cell>
          <cell r="F1347" t="str">
            <v>830T0389</v>
          </cell>
        </row>
        <row r="1348">
          <cell r="A1348" t="str">
            <v>State Plan (Title XIX)</v>
          </cell>
          <cell r="C1348" t="str">
            <v>Hospice</v>
          </cell>
          <cell r="D1348" t="str">
            <v>Hospice</v>
          </cell>
          <cell r="E1348" t="str">
            <v>PHYSICIAN DIRECT CARE-21 AND OLDER</v>
          </cell>
          <cell r="F1348" t="str">
            <v>830T0483</v>
          </cell>
        </row>
        <row r="1349">
          <cell r="A1349" t="str">
            <v>State Plan (Title XIX)</v>
          </cell>
          <cell r="C1349" t="str">
            <v>Hospice</v>
          </cell>
          <cell r="D1349" t="str">
            <v>Hospice</v>
          </cell>
          <cell r="E1349" t="str">
            <v>PHYSICIAN DIRECT CARE-21 AND OLDER</v>
          </cell>
          <cell r="F1349" t="str">
            <v>830T0485</v>
          </cell>
        </row>
        <row r="1350">
          <cell r="A1350" t="str">
            <v>State Plan (Title XIX)</v>
          </cell>
          <cell r="C1350" t="str">
            <v>Hospice</v>
          </cell>
          <cell r="D1350" t="str">
            <v>Hospice</v>
          </cell>
          <cell r="E1350" t="str">
            <v>PHYSICIAN DIRECT CARE-21 AND OLDER</v>
          </cell>
          <cell r="F1350" t="str">
            <v>830T0435</v>
          </cell>
        </row>
        <row r="1351">
          <cell r="A1351" t="str">
            <v>State Plan (Title XIX)</v>
          </cell>
          <cell r="C1351" t="str">
            <v>Hospice</v>
          </cell>
          <cell r="D1351" t="str">
            <v>Hospice</v>
          </cell>
          <cell r="E1351" t="str">
            <v>PHYSICIAN DIRECT CARE-21 AND OLDER</v>
          </cell>
          <cell r="F1351" t="str">
            <v>830T0471</v>
          </cell>
        </row>
        <row r="1352">
          <cell r="A1352" t="str">
            <v>State Plan (Title XIX)</v>
          </cell>
          <cell r="C1352" t="str">
            <v>Hospice</v>
          </cell>
          <cell r="D1352" t="str">
            <v>Hospice</v>
          </cell>
          <cell r="E1352" t="str">
            <v>PHYSICIAN DIRECT CARE-21 AND OLDER</v>
          </cell>
          <cell r="F1352" t="str">
            <v>830T0473</v>
          </cell>
        </row>
        <row r="1353">
          <cell r="A1353" t="str">
            <v>State Plan (Title XIX)</v>
          </cell>
          <cell r="C1353" t="str">
            <v>Hospice</v>
          </cell>
          <cell r="D1353" t="str">
            <v>Hospice</v>
          </cell>
          <cell r="E1353" t="str">
            <v>PHYSICIAN DIRECT CARE-21 AND OLDER</v>
          </cell>
          <cell r="F1353" t="str">
            <v>830T0479</v>
          </cell>
        </row>
        <row r="1354">
          <cell r="A1354" t="str">
            <v>State Plan (Title XIX)</v>
          </cell>
          <cell r="C1354" t="str">
            <v>Hospice</v>
          </cell>
          <cell r="D1354" t="str">
            <v>Hospice</v>
          </cell>
          <cell r="E1354" t="str">
            <v>PHYSICIAN DIRECT CARE-SPECIAL-21 AND OLDER</v>
          </cell>
          <cell r="F1354" t="str">
            <v>830T0469</v>
          </cell>
        </row>
        <row r="1355">
          <cell r="A1355" t="str">
            <v>State Plan (Title XIX)</v>
          </cell>
          <cell r="C1355" t="str">
            <v>Hospice</v>
          </cell>
          <cell r="D1355" t="str">
            <v>Hospice</v>
          </cell>
          <cell r="E1355" t="str">
            <v>PHYSICIAN DIRECT CARE-SPECIAL-21 AND OLDER</v>
          </cell>
          <cell r="F1355" t="str">
            <v>830T0475</v>
          </cell>
        </row>
        <row r="1356">
          <cell r="A1356" t="str">
            <v>State Plan (Title XIX)</v>
          </cell>
          <cell r="C1356" t="str">
            <v>Hospice</v>
          </cell>
          <cell r="D1356" t="str">
            <v>Hospice</v>
          </cell>
          <cell r="E1356" t="str">
            <v>PHYSICIAN DIRECT CARE-SPECIAL-UNDER 21</v>
          </cell>
          <cell r="F1356" t="str">
            <v>830T0468</v>
          </cell>
        </row>
        <row r="1357">
          <cell r="A1357" t="str">
            <v>State Plan (Title XIX)</v>
          </cell>
          <cell r="C1357" t="str">
            <v>Hospice</v>
          </cell>
          <cell r="D1357" t="str">
            <v>Hospice</v>
          </cell>
          <cell r="E1357" t="str">
            <v>PHYSICIAN DIRECT CARE-SPECIAL-UNDER 21</v>
          </cell>
          <cell r="F1357" t="str">
            <v>830T0474</v>
          </cell>
        </row>
        <row r="1358">
          <cell r="A1358" t="str">
            <v>State Plan (Title XIX)</v>
          </cell>
          <cell r="C1358" t="str">
            <v>Hospice</v>
          </cell>
          <cell r="D1358" t="str">
            <v>Hospice</v>
          </cell>
          <cell r="E1358" t="str">
            <v>PHYSICIAN DIRECT CARE-UNDER 21</v>
          </cell>
          <cell r="F1358" t="str">
            <v>830T0318</v>
          </cell>
        </row>
        <row r="1359">
          <cell r="A1359" t="str">
            <v>State Plan (Title XIX)</v>
          </cell>
          <cell r="C1359" t="str">
            <v>Hospice</v>
          </cell>
          <cell r="D1359" t="str">
            <v>Hospice</v>
          </cell>
          <cell r="E1359" t="str">
            <v>PHYSICIAN DIRECT CARE-UNDER 21</v>
          </cell>
          <cell r="F1359" t="str">
            <v>830T0320</v>
          </cell>
        </row>
        <row r="1360">
          <cell r="A1360" t="str">
            <v>State Plan (Title XIX)</v>
          </cell>
          <cell r="C1360" t="str">
            <v>Hospice</v>
          </cell>
          <cell r="D1360" t="str">
            <v>Hospice</v>
          </cell>
          <cell r="E1360" t="str">
            <v>PHYSICIAN DIRECT CARE-UNDER 21</v>
          </cell>
          <cell r="F1360" t="str">
            <v>830T0322</v>
          </cell>
        </row>
        <row r="1361">
          <cell r="A1361" t="str">
            <v>State Plan (Title XIX)</v>
          </cell>
          <cell r="C1361" t="str">
            <v>Hospice</v>
          </cell>
          <cell r="D1361" t="str">
            <v>Hospice</v>
          </cell>
          <cell r="E1361" t="str">
            <v>PHYSICIAN DIRECT CARE-UNDER 21</v>
          </cell>
          <cell r="F1361" t="str">
            <v>830T0324</v>
          </cell>
        </row>
        <row r="1362">
          <cell r="A1362" t="str">
            <v>State Plan (Title XIX)</v>
          </cell>
          <cell r="C1362" t="str">
            <v>Hospice</v>
          </cell>
          <cell r="D1362" t="str">
            <v>Hospice</v>
          </cell>
          <cell r="E1362" t="str">
            <v>PHYSICIAN DIRECT CARE-UNDER 21</v>
          </cell>
          <cell r="F1362" t="str">
            <v>830T0326</v>
          </cell>
        </row>
        <row r="1363">
          <cell r="A1363" t="str">
            <v>State Plan (Title XIX)</v>
          </cell>
          <cell r="C1363" t="str">
            <v>Hospice</v>
          </cell>
          <cell r="D1363" t="str">
            <v>Hospice</v>
          </cell>
          <cell r="E1363" t="str">
            <v>PHYSICIAN DIRECT CARE-UNDER 21</v>
          </cell>
          <cell r="F1363" t="str">
            <v>830T0328</v>
          </cell>
        </row>
        <row r="1364">
          <cell r="A1364" t="str">
            <v>State Plan (Title XIX)</v>
          </cell>
          <cell r="C1364" t="str">
            <v>Hospice</v>
          </cell>
          <cell r="D1364" t="str">
            <v>Hospice</v>
          </cell>
          <cell r="E1364" t="str">
            <v>PHYSICIAN DIRECT CARE-UNDER 21</v>
          </cell>
          <cell r="F1364" t="str">
            <v>830T0332</v>
          </cell>
        </row>
        <row r="1365">
          <cell r="A1365" t="str">
            <v>State Plan (Title XIX)</v>
          </cell>
          <cell r="C1365" t="str">
            <v>Hospice</v>
          </cell>
          <cell r="D1365" t="str">
            <v>Hospice</v>
          </cell>
          <cell r="E1365" t="str">
            <v>PHYSICIAN DIRECT CARE-UNDER 21</v>
          </cell>
          <cell r="F1365" t="str">
            <v>830T0334</v>
          </cell>
        </row>
        <row r="1366">
          <cell r="A1366" t="str">
            <v>State Plan (Title XIX)</v>
          </cell>
          <cell r="C1366" t="str">
            <v>Hospice</v>
          </cell>
          <cell r="D1366" t="str">
            <v>Hospice</v>
          </cell>
          <cell r="E1366" t="str">
            <v>PHYSICIAN DIRECT CARE-UNDER 21</v>
          </cell>
          <cell r="F1366" t="str">
            <v>830T0352</v>
          </cell>
        </row>
        <row r="1367">
          <cell r="A1367" t="str">
            <v>State Plan (Title XIX)</v>
          </cell>
          <cell r="C1367" t="str">
            <v>Hospice</v>
          </cell>
          <cell r="D1367" t="str">
            <v>Hospice</v>
          </cell>
          <cell r="E1367" t="str">
            <v>PHYSICIAN DIRECT CARE-UNDER 21</v>
          </cell>
          <cell r="F1367" t="str">
            <v>830T0354</v>
          </cell>
        </row>
        <row r="1368">
          <cell r="A1368" t="str">
            <v>State Plan (Title XIX)</v>
          </cell>
          <cell r="C1368" t="str">
            <v>Hospice</v>
          </cell>
          <cell r="D1368" t="str">
            <v>Hospice</v>
          </cell>
          <cell r="E1368" t="str">
            <v>PHYSICIAN DIRECT CARE-UNDER 21</v>
          </cell>
          <cell r="F1368" t="str">
            <v>830T0356</v>
          </cell>
        </row>
        <row r="1369">
          <cell r="A1369" t="str">
            <v>State Plan (Title XIX)</v>
          </cell>
          <cell r="C1369" t="str">
            <v>Hospice</v>
          </cell>
          <cell r="D1369" t="str">
            <v>Hospice</v>
          </cell>
          <cell r="E1369" t="str">
            <v>PHYSICIAN DIRECT CARE-UNDER 21</v>
          </cell>
          <cell r="F1369" t="str">
            <v>830T0358</v>
          </cell>
        </row>
        <row r="1370">
          <cell r="A1370" t="str">
            <v>State Plan (Title XIX)</v>
          </cell>
          <cell r="C1370" t="str">
            <v>Hospice</v>
          </cell>
          <cell r="D1370" t="str">
            <v>Hospice</v>
          </cell>
          <cell r="E1370" t="str">
            <v>PHYSICIAN DIRECT CARE-UNDER 21</v>
          </cell>
          <cell r="F1370" t="str">
            <v>830T0360</v>
          </cell>
        </row>
        <row r="1371">
          <cell r="A1371" t="str">
            <v>State Plan (Title XIX)</v>
          </cell>
          <cell r="C1371" t="str">
            <v>Hospice</v>
          </cell>
          <cell r="D1371" t="str">
            <v>Hospice</v>
          </cell>
          <cell r="E1371" t="str">
            <v>PHYSICIAN DIRECT CARE-UNDER 21</v>
          </cell>
          <cell r="F1371" t="str">
            <v>830T0362</v>
          </cell>
        </row>
        <row r="1372">
          <cell r="A1372" t="str">
            <v>State Plan (Title XIX)</v>
          </cell>
          <cell r="C1372" t="str">
            <v>Hospice</v>
          </cell>
          <cell r="D1372" t="str">
            <v>Hospice</v>
          </cell>
          <cell r="E1372" t="str">
            <v>PHYSICIAN DIRECT CARE-UNDER 21</v>
          </cell>
          <cell r="F1372" t="str">
            <v>830T0364</v>
          </cell>
        </row>
        <row r="1373">
          <cell r="A1373" t="str">
            <v>State Plan (Title XIX)</v>
          </cell>
          <cell r="C1373" t="str">
            <v>Hospice</v>
          </cell>
          <cell r="D1373" t="str">
            <v>Hospice</v>
          </cell>
          <cell r="E1373" t="str">
            <v>PHYSICIAN DIRECT CARE-UNDER 21</v>
          </cell>
          <cell r="F1373" t="str">
            <v>830T0366</v>
          </cell>
        </row>
        <row r="1374">
          <cell r="A1374" t="str">
            <v>State Plan (Title XIX)</v>
          </cell>
          <cell r="C1374" t="str">
            <v>Hospice</v>
          </cell>
          <cell r="D1374" t="str">
            <v>Hospice</v>
          </cell>
          <cell r="E1374" t="str">
            <v>PHYSICIAN DIRECT CARE-UNDER 21</v>
          </cell>
          <cell r="F1374" t="str">
            <v>830T0368</v>
          </cell>
        </row>
        <row r="1375">
          <cell r="A1375" t="str">
            <v>State Plan (Title XIX)</v>
          </cell>
          <cell r="C1375" t="str">
            <v>Hospice</v>
          </cell>
          <cell r="D1375" t="str">
            <v>Hospice</v>
          </cell>
          <cell r="E1375" t="str">
            <v>PHYSICIAN DIRECT CARE-UNDER 21</v>
          </cell>
          <cell r="F1375" t="str">
            <v>830T0370</v>
          </cell>
        </row>
        <row r="1376">
          <cell r="A1376" t="str">
            <v>State Plan (Title XIX)</v>
          </cell>
          <cell r="C1376" t="str">
            <v>Hospice</v>
          </cell>
          <cell r="D1376" t="str">
            <v>Hospice</v>
          </cell>
          <cell r="E1376" t="str">
            <v>PHYSICIAN DIRECT CARE-UNDER 21</v>
          </cell>
          <cell r="F1376" t="str">
            <v>830T0372</v>
          </cell>
        </row>
        <row r="1377">
          <cell r="A1377" t="str">
            <v>State Plan (Title XIX)</v>
          </cell>
          <cell r="C1377" t="str">
            <v>Hospice</v>
          </cell>
          <cell r="D1377" t="str">
            <v>Hospice</v>
          </cell>
          <cell r="E1377" t="str">
            <v>PHYSICIAN DIRECT CARE-UNDER 21</v>
          </cell>
          <cell r="F1377" t="str">
            <v>830T0374</v>
          </cell>
        </row>
        <row r="1378">
          <cell r="A1378" t="str">
            <v>State Plan (Title XIX)</v>
          </cell>
          <cell r="C1378" t="str">
            <v>Hospice</v>
          </cell>
          <cell r="D1378" t="str">
            <v>Hospice</v>
          </cell>
          <cell r="E1378" t="str">
            <v>PHYSICIAN DIRECT CARE-UNDER 21</v>
          </cell>
          <cell r="F1378" t="str">
            <v>830T0376</v>
          </cell>
        </row>
        <row r="1379">
          <cell r="A1379" t="str">
            <v>State Plan (Title XIX)</v>
          </cell>
          <cell r="C1379" t="str">
            <v>Hospice</v>
          </cell>
          <cell r="D1379" t="str">
            <v>Hospice</v>
          </cell>
          <cell r="E1379" t="str">
            <v>PHYSICIAN DIRECT CARE-UNDER 21</v>
          </cell>
          <cell r="F1379" t="str">
            <v>830T0380</v>
          </cell>
        </row>
        <row r="1380">
          <cell r="A1380" t="str">
            <v>State Plan (Title XIX)</v>
          </cell>
          <cell r="C1380" t="str">
            <v>Hospice</v>
          </cell>
          <cell r="D1380" t="str">
            <v>Hospice</v>
          </cell>
          <cell r="E1380" t="str">
            <v>PHYSICIAN DIRECT CARE-UNDER 21</v>
          </cell>
          <cell r="F1380" t="str">
            <v>830T0382</v>
          </cell>
        </row>
        <row r="1381">
          <cell r="A1381" t="str">
            <v>State Plan (Title XIX)</v>
          </cell>
          <cell r="C1381" t="str">
            <v>Hospice</v>
          </cell>
          <cell r="D1381" t="str">
            <v>Hospice</v>
          </cell>
          <cell r="E1381" t="str">
            <v>PHYSICIAN DIRECT CARE-UNDER 21</v>
          </cell>
          <cell r="F1381" t="str">
            <v>830T0384</v>
          </cell>
        </row>
        <row r="1382">
          <cell r="A1382" t="str">
            <v>State Plan (Title XIX)</v>
          </cell>
          <cell r="C1382" t="str">
            <v>Hospice</v>
          </cell>
          <cell r="D1382" t="str">
            <v>Hospice</v>
          </cell>
          <cell r="E1382" t="str">
            <v>PHYSICIAN DIRECT CARE-UNDER 21</v>
          </cell>
          <cell r="F1382" t="str">
            <v>830T0386</v>
          </cell>
        </row>
        <row r="1383">
          <cell r="A1383" t="str">
            <v>State Plan (Title XIX)</v>
          </cell>
          <cell r="C1383" t="str">
            <v>Hospice</v>
          </cell>
          <cell r="D1383" t="str">
            <v>Hospice</v>
          </cell>
          <cell r="E1383" t="str">
            <v>PHYSICIAN DIRECT CARE-UNDER 21</v>
          </cell>
          <cell r="F1383" t="str">
            <v>830T0390</v>
          </cell>
        </row>
        <row r="1384">
          <cell r="A1384" t="str">
            <v>State Plan (Title XIX)</v>
          </cell>
          <cell r="C1384" t="str">
            <v>Hospice</v>
          </cell>
          <cell r="D1384" t="str">
            <v>Hospice</v>
          </cell>
          <cell r="E1384" t="str">
            <v>PHYSICIAN DIRECT CARE-UNDER 21</v>
          </cell>
          <cell r="F1384" t="str">
            <v>830T0392</v>
          </cell>
        </row>
        <row r="1385">
          <cell r="A1385" t="str">
            <v>State Plan (Title XIX)</v>
          </cell>
          <cell r="C1385" t="str">
            <v>Hospice</v>
          </cell>
          <cell r="D1385" t="str">
            <v>Hospice</v>
          </cell>
          <cell r="E1385" t="str">
            <v>PHYSICIAN DIRECT CARE-UNDER 21</v>
          </cell>
          <cell r="F1385" t="str">
            <v>830T0394</v>
          </cell>
        </row>
        <row r="1386">
          <cell r="A1386" t="str">
            <v>State Plan (Title XIX)</v>
          </cell>
          <cell r="C1386" t="str">
            <v>Hospice</v>
          </cell>
          <cell r="D1386" t="str">
            <v>Hospice</v>
          </cell>
          <cell r="E1386" t="str">
            <v>PHYSICIAN DIRECT CARE-UNDER 21</v>
          </cell>
          <cell r="F1386" t="str">
            <v>830T0396</v>
          </cell>
        </row>
        <row r="1387">
          <cell r="A1387" t="str">
            <v>State Plan (Title XIX)</v>
          </cell>
          <cell r="C1387" t="str">
            <v>Hospice</v>
          </cell>
          <cell r="D1387" t="str">
            <v>Hospice</v>
          </cell>
          <cell r="E1387" t="str">
            <v>PHYSICIAN DIRECT CARE-UNDER 21</v>
          </cell>
          <cell r="F1387" t="str">
            <v>830T0398</v>
          </cell>
        </row>
        <row r="1388">
          <cell r="A1388" t="str">
            <v>State Plan (Title XIX)</v>
          </cell>
          <cell r="C1388" t="str">
            <v>Hospice</v>
          </cell>
          <cell r="D1388" t="str">
            <v>Hospice</v>
          </cell>
          <cell r="E1388" t="str">
            <v>PHYSICIAN DIRECT CARE-UNDER 21</v>
          </cell>
          <cell r="F1388" t="str">
            <v>830T0410</v>
          </cell>
        </row>
        <row r="1389">
          <cell r="A1389" t="str">
            <v>State Plan (Title XIX)</v>
          </cell>
          <cell r="C1389" t="str">
            <v>Hospice</v>
          </cell>
          <cell r="D1389" t="str">
            <v>Hospice</v>
          </cell>
          <cell r="E1389" t="str">
            <v>PHYSICIAN DIRECT CARE-UNDER 21</v>
          </cell>
          <cell r="F1389" t="str">
            <v>830T0412</v>
          </cell>
        </row>
        <row r="1390">
          <cell r="A1390" t="str">
            <v>State Plan (Title XIX)</v>
          </cell>
          <cell r="C1390" t="str">
            <v>Hospice</v>
          </cell>
          <cell r="D1390" t="str">
            <v>Hospice</v>
          </cell>
          <cell r="E1390" t="str">
            <v>PHYSICIAN DIRECT CARE-UNDER 21</v>
          </cell>
          <cell r="F1390" t="str">
            <v>830T0414</v>
          </cell>
        </row>
        <row r="1391">
          <cell r="A1391" t="str">
            <v>State Plan (Title XIX)</v>
          </cell>
          <cell r="C1391" t="str">
            <v>Hospice</v>
          </cell>
          <cell r="D1391" t="str">
            <v>Hospice</v>
          </cell>
          <cell r="E1391" t="str">
            <v>PHYSICIAN DIRECT CARE-UNDER 21</v>
          </cell>
          <cell r="F1391" t="str">
            <v>830T0416</v>
          </cell>
        </row>
        <row r="1392">
          <cell r="A1392" t="str">
            <v>State Plan (Title XIX)</v>
          </cell>
          <cell r="C1392" t="str">
            <v>Hospice</v>
          </cell>
          <cell r="D1392" t="str">
            <v>Hospice</v>
          </cell>
          <cell r="E1392" t="str">
            <v>PHYSICIAN DIRECT CARE-UNDER 21</v>
          </cell>
          <cell r="F1392" t="str">
            <v>830T0418</v>
          </cell>
        </row>
        <row r="1393">
          <cell r="A1393" t="str">
            <v>State Plan (Title XIX)</v>
          </cell>
          <cell r="C1393" t="str">
            <v>Hospice</v>
          </cell>
          <cell r="D1393" t="str">
            <v>Hospice</v>
          </cell>
          <cell r="E1393" t="str">
            <v>PHYSICIAN DIRECT CARE-UNDER 21</v>
          </cell>
          <cell r="F1393" t="str">
            <v>830T0420</v>
          </cell>
        </row>
        <row r="1394">
          <cell r="A1394" t="str">
            <v>State Plan (Title XIX)</v>
          </cell>
          <cell r="C1394" t="str">
            <v>Hospice</v>
          </cell>
          <cell r="D1394" t="str">
            <v>Hospice</v>
          </cell>
          <cell r="E1394" t="str">
            <v>PHYSICIAN DIRECT CARE-UNDER 21</v>
          </cell>
          <cell r="F1394" t="str">
            <v>830T0422</v>
          </cell>
        </row>
        <row r="1395">
          <cell r="A1395" t="str">
            <v>State Plan (Title XIX)</v>
          </cell>
          <cell r="C1395" t="str">
            <v>Hospice</v>
          </cell>
          <cell r="D1395" t="str">
            <v>Hospice</v>
          </cell>
          <cell r="E1395" t="str">
            <v>PHYSICIAN DIRECT CARE-UNDER 21</v>
          </cell>
          <cell r="F1395" t="str">
            <v>830T0424</v>
          </cell>
        </row>
        <row r="1396">
          <cell r="A1396" t="str">
            <v>State Plan (Title XIX)</v>
          </cell>
          <cell r="C1396" t="str">
            <v>Hospice</v>
          </cell>
          <cell r="D1396" t="str">
            <v>Hospice</v>
          </cell>
          <cell r="E1396" t="str">
            <v>PHYSICIAN DIRECT CARE-UNDER 21</v>
          </cell>
          <cell r="F1396" t="str">
            <v>830T0426</v>
          </cell>
        </row>
        <row r="1397">
          <cell r="A1397" t="str">
            <v>State Plan (Title XIX)</v>
          </cell>
          <cell r="C1397" t="str">
            <v>Hospice</v>
          </cell>
          <cell r="D1397" t="str">
            <v>Hospice</v>
          </cell>
          <cell r="E1397" t="str">
            <v>PHYSICIAN DIRECT CARE-UNDER 21</v>
          </cell>
          <cell r="F1397" t="str">
            <v>830T0428</v>
          </cell>
        </row>
        <row r="1398">
          <cell r="A1398" t="str">
            <v>State Plan (Title XIX)</v>
          </cell>
          <cell r="C1398" t="str">
            <v>Hospice</v>
          </cell>
          <cell r="D1398" t="str">
            <v>Hospice</v>
          </cell>
          <cell r="E1398" t="str">
            <v>PHYSICIAN DIRECT CARE-UNDER 21</v>
          </cell>
          <cell r="F1398" t="str">
            <v>830T0430</v>
          </cell>
        </row>
        <row r="1399">
          <cell r="A1399" t="str">
            <v>State Plan (Title XIX)</v>
          </cell>
          <cell r="C1399" t="str">
            <v>Hospice</v>
          </cell>
          <cell r="D1399" t="str">
            <v>Hospice</v>
          </cell>
          <cell r="E1399" t="str">
            <v>PHYSICIAN DIRECT CARE-UNDER 21</v>
          </cell>
          <cell r="F1399" t="str">
            <v>830T0432</v>
          </cell>
        </row>
        <row r="1400">
          <cell r="A1400" t="str">
            <v>State Plan (Title XIX)</v>
          </cell>
          <cell r="C1400" t="str">
            <v>Hospice</v>
          </cell>
          <cell r="D1400" t="str">
            <v>Hospice</v>
          </cell>
          <cell r="E1400" t="str">
            <v>PHYSICIAN DIRECT CARE-UNDER 21</v>
          </cell>
          <cell r="F1400" t="str">
            <v>830T0436</v>
          </cell>
        </row>
        <row r="1401">
          <cell r="A1401" t="str">
            <v>State Plan (Title XIX)</v>
          </cell>
          <cell r="C1401" t="str">
            <v>Hospice</v>
          </cell>
          <cell r="D1401" t="str">
            <v>Hospice</v>
          </cell>
          <cell r="E1401" t="str">
            <v>PHYSICIAN DIRECT CARE-UNDER 21</v>
          </cell>
          <cell r="F1401" t="str">
            <v>830T0438</v>
          </cell>
        </row>
        <row r="1402">
          <cell r="A1402" t="str">
            <v>State Plan (Title XIX)</v>
          </cell>
          <cell r="C1402" t="str">
            <v>Hospice</v>
          </cell>
          <cell r="D1402" t="str">
            <v>Hospice</v>
          </cell>
          <cell r="E1402" t="str">
            <v>PHYSICIAN DIRECT CARE-UNDER 21</v>
          </cell>
          <cell r="F1402" t="str">
            <v>830T0440</v>
          </cell>
        </row>
        <row r="1403">
          <cell r="A1403" t="str">
            <v>State Plan (Title XIX)</v>
          </cell>
          <cell r="C1403" t="str">
            <v>Hospice</v>
          </cell>
          <cell r="D1403" t="str">
            <v>Hospice</v>
          </cell>
          <cell r="E1403" t="str">
            <v>PHYSICIAN DIRECT CARE-UNDER 21</v>
          </cell>
          <cell r="F1403" t="str">
            <v>830T0442</v>
          </cell>
        </row>
        <row r="1404">
          <cell r="A1404" t="str">
            <v>State Plan (Title XIX)</v>
          </cell>
          <cell r="C1404" t="str">
            <v>Hospice</v>
          </cell>
          <cell r="D1404" t="str">
            <v>Hospice</v>
          </cell>
          <cell r="E1404" t="str">
            <v>PHYSICIAN DIRECT CARE-UNDER 21</v>
          </cell>
          <cell r="F1404" t="str">
            <v>830T0444</v>
          </cell>
        </row>
        <row r="1405">
          <cell r="A1405" t="str">
            <v>State Plan (Title XIX)</v>
          </cell>
          <cell r="C1405" t="str">
            <v>Hospice</v>
          </cell>
          <cell r="D1405" t="str">
            <v>Hospice</v>
          </cell>
          <cell r="E1405" t="str">
            <v>PHYSICIAN DIRECT CARE-UNDER 21</v>
          </cell>
          <cell r="F1405" t="str">
            <v>830T0446</v>
          </cell>
        </row>
        <row r="1406">
          <cell r="A1406" t="str">
            <v>State Plan (Title XIX)</v>
          </cell>
          <cell r="C1406" t="str">
            <v>Hospice</v>
          </cell>
          <cell r="D1406" t="str">
            <v>Hospice</v>
          </cell>
          <cell r="E1406" t="str">
            <v>PHYSICIAN DIRECT CARE-UNDER 21</v>
          </cell>
          <cell r="F1406" t="str">
            <v>830T0448</v>
          </cell>
        </row>
        <row r="1407">
          <cell r="A1407" t="str">
            <v>State Plan (Title XIX)</v>
          </cell>
          <cell r="C1407" t="str">
            <v>Hospice</v>
          </cell>
          <cell r="D1407" t="str">
            <v>Hospice</v>
          </cell>
          <cell r="E1407" t="str">
            <v>PHYSICIAN DIRECT CARE-UNDER 21</v>
          </cell>
          <cell r="F1407" t="str">
            <v>830T0450</v>
          </cell>
        </row>
        <row r="1408">
          <cell r="A1408" t="str">
            <v>State Plan (Title XIX)</v>
          </cell>
          <cell r="C1408" t="str">
            <v>Hospice</v>
          </cell>
          <cell r="D1408" t="str">
            <v>Hospice</v>
          </cell>
          <cell r="E1408" t="str">
            <v>PHYSICIAN DIRECT CARE-UNDER 21</v>
          </cell>
          <cell r="F1408" t="str">
            <v>830T0452</v>
          </cell>
        </row>
        <row r="1409">
          <cell r="A1409" t="str">
            <v>State Plan (Title XIX)</v>
          </cell>
          <cell r="C1409" t="str">
            <v>Hospice</v>
          </cell>
          <cell r="D1409" t="str">
            <v>Hospice</v>
          </cell>
          <cell r="E1409" t="str">
            <v>PHYSICIAN DIRECT CARE-UNDER 21</v>
          </cell>
          <cell r="F1409" t="str">
            <v>830T0454</v>
          </cell>
        </row>
        <row r="1410">
          <cell r="A1410" t="str">
            <v>State Plan (Title XIX)</v>
          </cell>
          <cell r="C1410" t="str">
            <v>Hospice</v>
          </cell>
          <cell r="D1410" t="str">
            <v>Hospice</v>
          </cell>
          <cell r="E1410" t="str">
            <v>PHYSICIAN DIRECT CARE-UNDER 21</v>
          </cell>
          <cell r="F1410" t="str">
            <v>830T0456</v>
          </cell>
        </row>
        <row r="1411">
          <cell r="A1411" t="str">
            <v>State Plan (Title XIX)</v>
          </cell>
          <cell r="C1411" t="str">
            <v>Hospice</v>
          </cell>
          <cell r="D1411" t="str">
            <v>Hospice</v>
          </cell>
          <cell r="E1411" t="str">
            <v>PHYSICIAN DIRECT CARE-UNDER 21</v>
          </cell>
          <cell r="F1411" t="str">
            <v>830T0458</v>
          </cell>
        </row>
        <row r="1412">
          <cell r="A1412" t="str">
            <v>State Plan (Title XIX)</v>
          </cell>
          <cell r="C1412" t="str">
            <v>Hospice</v>
          </cell>
          <cell r="D1412" t="str">
            <v>Hospice</v>
          </cell>
          <cell r="E1412" t="str">
            <v>PHYSICIAN DIRECT CARE-UNDER 21</v>
          </cell>
          <cell r="F1412" t="str">
            <v>830T0460</v>
          </cell>
        </row>
        <row r="1413">
          <cell r="A1413" t="str">
            <v>State Plan (Title XIX)</v>
          </cell>
          <cell r="C1413" t="str">
            <v>Hospice</v>
          </cell>
          <cell r="D1413" t="str">
            <v>Hospice</v>
          </cell>
          <cell r="E1413" t="str">
            <v>PHYSICIAN DIRECT CARE-UNDER 21</v>
          </cell>
          <cell r="F1413" t="str">
            <v>830T0462</v>
          </cell>
        </row>
        <row r="1414">
          <cell r="A1414" t="str">
            <v>State Plan (Title XIX)</v>
          </cell>
          <cell r="C1414" t="str">
            <v>Hospice</v>
          </cell>
          <cell r="D1414" t="str">
            <v>Hospice</v>
          </cell>
          <cell r="E1414" t="str">
            <v>PHYSICIAN DIRECT CARE-UNDER 21</v>
          </cell>
          <cell r="F1414" t="str">
            <v>830T0464</v>
          </cell>
        </row>
        <row r="1415">
          <cell r="A1415" t="str">
            <v>State Plan (Title XIX)</v>
          </cell>
          <cell r="C1415" t="str">
            <v>Hospice</v>
          </cell>
          <cell r="D1415" t="str">
            <v>Hospice</v>
          </cell>
          <cell r="E1415" t="str">
            <v>PHYSICIAN DIRECT CARE-UNDER 21</v>
          </cell>
          <cell r="F1415" t="str">
            <v>830T0466</v>
          </cell>
        </row>
        <row r="1416">
          <cell r="A1416" t="str">
            <v>State Plan (Title XIX)</v>
          </cell>
          <cell r="C1416" t="str">
            <v>Hospice</v>
          </cell>
          <cell r="D1416" t="str">
            <v>Hospice</v>
          </cell>
          <cell r="E1416" t="str">
            <v>PHYSICIAN DIRECT CARE-UNDER 21</v>
          </cell>
          <cell r="F1416" t="str">
            <v>830T0476</v>
          </cell>
        </row>
        <row r="1417">
          <cell r="A1417" t="str">
            <v>State Plan (Title XIX)</v>
          </cell>
          <cell r="C1417" t="str">
            <v>Hospice</v>
          </cell>
          <cell r="D1417" t="str">
            <v>Hospice</v>
          </cell>
          <cell r="E1417" t="str">
            <v>PHYSICIAN DIRECT CARE-UNDER 21</v>
          </cell>
          <cell r="F1417" t="str">
            <v>830T0480</v>
          </cell>
        </row>
        <row r="1418">
          <cell r="A1418" t="str">
            <v>State Plan (Title XIX)</v>
          </cell>
          <cell r="C1418" t="str">
            <v>Hospice</v>
          </cell>
          <cell r="D1418" t="str">
            <v>Hospice</v>
          </cell>
          <cell r="E1418" t="str">
            <v>PHYSICIAN DIRECT CARE-UNDER 21</v>
          </cell>
          <cell r="F1418" t="str">
            <v>830T0416</v>
          </cell>
        </row>
        <row r="1419">
          <cell r="A1419" t="str">
            <v>State Plan (Title XIX)</v>
          </cell>
          <cell r="C1419" t="str">
            <v>Hospice</v>
          </cell>
          <cell r="D1419" t="str">
            <v>Hospice</v>
          </cell>
          <cell r="E1419" t="str">
            <v>PHYSICIAN DIRECT CARE-UNDER 21</v>
          </cell>
          <cell r="F1419" t="str">
            <v>830T0418</v>
          </cell>
        </row>
        <row r="1420">
          <cell r="A1420" t="str">
            <v>State Plan (Title XIX)</v>
          </cell>
          <cell r="C1420" t="str">
            <v>Hospice</v>
          </cell>
          <cell r="D1420" t="str">
            <v>Hospice</v>
          </cell>
          <cell r="E1420" t="str">
            <v>PHYSICIAN DIRECT CARE-UNDER 21</v>
          </cell>
          <cell r="F1420" t="str">
            <v>830T0420</v>
          </cell>
        </row>
        <row r="1421">
          <cell r="A1421" t="str">
            <v>State Plan (Title XIX)</v>
          </cell>
          <cell r="C1421" t="str">
            <v>Hospice</v>
          </cell>
          <cell r="D1421" t="str">
            <v>Hospice</v>
          </cell>
          <cell r="E1421" t="str">
            <v>PHYSICIAN DIRECT CARE-UNDER 21</v>
          </cell>
          <cell r="F1421" t="str">
            <v>830T0422</v>
          </cell>
        </row>
        <row r="1422">
          <cell r="A1422" t="str">
            <v>State Plan (Title XIX)</v>
          </cell>
          <cell r="C1422" t="str">
            <v>Hospice</v>
          </cell>
          <cell r="D1422" t="str">
            <v>Hospice</v>
          </cell>
          <cell r="E1422" t="str">
            <v>PHYSICIAN DIRECT CARE-UNDER 21</v>
          </cell>
          <cell r="F1422" t="str">
            <v>830T0424</v>
          </cell>
        </row>
        <row r="1423">
          <cell r="A1423" t="str">
            <v>State Plan (Title XIX)</v>
          </cell>
          <cell r="C1423" t="str">
            <v>Hospice</v>
          </cell>
          <cell r="D1423" t="str">
            <v>Hospice</v>
          </cell>
          <cell r="E1423" t="str">
            <v>PHYSICIAN DIRECT CARE-UNDER 21</v>
          </cell>
          <cell r="F1423" t="str">
            <v>830T0310</v>
          </cell>
        </row>
        <row r="1424">
          <cell r="A1424" t="str">
            <v>State Plan (Title XIX)</v>
          </cell>
          <cell r="C1424" t="str">
            <v>Hospice</v>
          </cell>
          <cell r="D1424" t="str">
            <v>Hospice</v>
          </cell>
          <cell r="E1424" t="str">
            <v>PHYSICIAN DIRECT CARE-UNDER 21</v>
          </cell>
          <cell r="F1424" t="str">
            <v>830T0312</v>
          </cell>
        </row>
        <row r="1425">
          <cell r="A1425" t="str">
            <v>State Plan (Title XIX)</v>
          </cell>
          <cell r="C1425" t="str">
            <v>Hospice</v>
          </cell>
          <cell r="D1425" t="str">
            <v>Hospice</v>
          </cell>
          <cell r="E1425" t="str">
            <v>PHYSICIAN DIRECT CARE-UNDER 21</v>
          </cell>
          <cell r="F1425" t="str">
            <v>830T0314</v>
          </cell>
        </row>
        <row r="1426">
          <cell r="A1426" t="str">
            <v>State Plan (Title XIX)</v>
          </cell>
          <cell r="C1426" t="str">
            <v>Hospice</v>
          </cell>
          <cell r="D1426" t="str">
            <v>Hospice</v>
          </cell>
          <cell r="E1426" t="str">
            <v>PHYSICIAN DIRECT CARE-UNDER 21</v>
          </cell>
          <cell r="F1426" t="str">
            <v>830T0316</v>
          </cell>
        </row>
        <row r="1427">
          <cell r="A1427" t="str">
            <v>State Plan (Title XIX)</v>
          </cell>
          <cell r="C1427" t="str">
            <v>Hospice</v>
          </cell>
          <cell r="D1427" t="str">
            <v>Hospice</v>
          </cell>
          <cell r="E1427" t="str">
            <v>PHYSICIAN DIRECT CARE-UNDER 21</v>
          </cell>
          <cell r="F1427" t="str">
            <v>830T0330</v>
          </cell>
        </row>
        <row r="1428">
          <cell r="A1428" t="str">
            <v>State Plan (Title XIX)</v>
          </cell>
          <cell r="C1428" t="str">
            <v>Hospice</v>
          </cell>
          <cell r="D1428" t="str">
            <v>Hospice</v>
          </cell>
          <cell r="E1428" t="str">
            <v>PHYSICIAN DIRECT CARE-UNDER 21</v>
          </cell>
          <cell r="F1428" t="str">
            <v>830T0336</v>
          </cell>
        </row>
        <row r="1429">
          <cell r="A1429" t="str">
            <v>State Plan (Title XIX)</v>
          </cell>
          <cell r="C1429" t="str">
            <v>Hospice</v>
          </cell>
          <cell r="D1429" t="str">
            <v>Hospice</v>
          </cell>
          <cell r="E1429" t="str">
            <v>PHYSICIAN DIRECT CARE-UNDER 21</v>
          </cell>
          <cell r="F1429" t="str">
            <v>830T0338</v>
          </cell>
        </row>
        <row r="1430">
          <cell r="A1430" t="str">
            <v>State Plan (Title XIX)</v>
          </cell>
          <cell r="C1430" t="str">
            <v>Hospice</v>
          </cell>
          <cell r="D1430" t="str">
            <v>Hospice</v>
          </cell>
          <cell r="E1430" t="str">
            <v>PHYSICIAN DIRECT CARE-UNDER 21</v>
          </cell>
          <cell r="F1430" t="str">
            <v>830T0340</v>
          </cell>
        </row>
        <row r="1431">
          <cell r="A1431" t="str">
            <v>State Plan (Title XIX)</v>
          </cell>
          <cell r="C1431" t="str">
            <v>Hospice</v>
          </cell>
          <cell r="D1431" t="str">
            <v>Hospice</v>
          </cell>
          <cell r="E1431" t="str">
            <v>PHYSICIAN DIRECT CARE-UNDER 21</v>
          </cell>
          <cell r="F1431" t="str">
            <v>830T0342</v>
          </cell>
        </row>
        <row r="1432">
          <cell r="A1432" t="str">
            <v>State Plan (Title XIX)</v>
          </cell>
          <cell r="C1432" t="str">
            <v>Hospice</v>
          </cell>
          <cell r="D1432" t="str">
            <v>Hospice</v>
          </cell>
          <cell r="E1432" t="str">
            <v>PHYSICIAN DIRECT CARE-UNDER 21</v>
          </cell>
          <cell r="F1432" t="str">
            <v>830T0344</v>
          </cell>
        </row>
        <row r="1433">
          <cell r="A1433" t="str">
            <v>State Plan (Title XIX)</v>
          </cell>
          <cell r="C1433" t="str">
            <v>Hospice</v>
          </cell>
          <cell r="D1433" t="str">
            <v>Hospice</v>
          </cell>
          <cell r="E1433" t="str">
            <v>PHYSICIAN DIRECT CARE-UNDER 21</v>
          </cell>
          <cell r="F1433" t="str">
            <v>830T0346</v>
          </cell>
        </row>
        <row r="1434">
          <cell r="A1434" t="str">
            <v>State Plan (Title XIX)</v>
          </cell>
          <cell r="C1434" t="str">
            <v>Hospice</v>
          </cell>
          <cell r="D1434" t="str">
            <v>Hospice</v>
          </cell>
          <cell r="E1434" t="str">
            <v>PHYSICIAN DIRECT CARE-UNDER 21</v>
          </cell>
          <cell r="F1434" t="str">
            <v>830T0348</v>
          </cell>
        </row>
        <row r="1435">
          <cell r="A1435" t="str">
            <v>State Plan (Title XIX)</v>
          </cell>
          <cell r="C1435" t="str">
            <v>Hospice</v>
          </cell>
          <cell r="D1435" t="str">
            <v>Hospice</v>
          </cell>
          <cell r="E1435" t="str">
            <v>PHYSICIAN DIRECT CARE-UNDER 21</v>
          </cell>
          <cell r="F1435" t="str">
            <v>830T0350</v>
          </cell>
        </row>
        <row r="1436">
          <cell r="A1436" t="str">
            <v>State Plan (Title XIX)</v>
          </cell>
          <cell r="C1436" t="str">
            <v>Hospice</v>
          </cell>
          <cell r="D1436" t="str">
            <v>Hospice</v>
          </cell>
          <cell r="E1436" t="str">
            <v>PHYSICIAN DIRECT CARE-UNDER 21</v>
          </cell>
          <cell r="F1436" t="str">
            <v>830T0378</v>
          </cell>
        </row>
        <row r="1437">
          <cell r="A1437" t="str">
            <v>State Plan (Title XIX)</v>
          </cell>
          <cell r="C1437" t="str">
            <v>Hospice</v>
          </cell>
          <cell r="D1437" t="str">
            <v>Hospice</v>
          </cell>
          <cell r="E1437" t="str">
            <v>PHYSICIAN DIRECT CARE-UNDER 21</v>
          </cell>
          <cell r="F1437" t="str">
            <v>830T0388</v>
          </cell>
        </row>
        <row r="1438">
          <cell r="A1438" t="str">
            <v>State Plan (Title XIX)</v>
          </cell>
          <cell r="C1438" t="str">
            <v>Hospice</v>
          </cell>
          <cell r="D1438" t="str">
            <v>Hospice</v>
          </cell>
          <cell r="E1438" t="str">
            <v>PHYSICIAN DIRECT CARE-UNDER 21</v>
          </cell>
          <cell r="F1438" t="str">
            <v>830T0482</v>
          </cell>
        </row>
        <row r="1439">
          <cell r="A1439" t="str">
            <v>State Plan (Title XIX)</v>
          </cell>
          <cell r="C1439" t="str">
            <v>Hospice</v>
          </cell>
          <cell r="D1439" t="str">
            <v>Hospice</v>
          </cell>
          <cell r="E1439" t="str">
            <v>PHYSICIAN DIRECT CARE-UNDER 21</v>
          </cell>
          <cell r="F1439" t="str">
            <v>830T0484</v>
          </cell>
        </row>
        <row r="1440">
          <cell r="A1440" t="str">
            <v>State Plan (Title XIX)</v>
          </cell>
          <cell r="C1440" t="str">
            <v>Hospice</v>
          </cell>
          <cell r="D1440" t="str">
            <v>Hospice</v>
          </cell>
          <cell r="E1440" t="str">
            <v>PHYSICIAN DIRECT CARE-UNDER 21</v>
          </cell>
          <cell r="F1440" t="str">
            <v>830T0434</v>
          </cell>
        </row>
        <row r="1441">
          <cell r="A1441" t="str">
            <v>State Plan (Title XIX)</v>
          </cell>
          <cell r="C1441" t="str">
            <v>Hospice</v>
          </cell>
          <cell r="D1441" t="str">
            <v>Hospice</v>
          </cell>
          <cell r="E1441" t="str">
            <v>PHYSICIAN DIRECT CARE-UNDER 21</v>
          </cell>
          <cell r="F1441" t="str">
            <v>830T0470</v>
          </cell>
        </row>
        <row r="1442">
          <cell r="A1442" t="str">
            <v>State Plan (Title XIX)</v>
          </cell>
          <cell r="C1442" t="str">
            <v>Hospice</v>
          </cell>
          <cell r="D1442" t="str">
            <v>Hospice</v>
          </cell>
          <cell r="E1442" t="str">
            <v>PHYSICIAN DIRECT CARE-UNDER 21</v>
          </cell>
          <cell r="F1442" t="str">
            <v>830T0472</v>
          </cell>
        </row>
        <row r="1443">
          <cell r="A1443" t="str">
            <v>State Plan (Title XIX)</v>
          </cell>
          <cell r="C1443" t="str">
            <v>Hospice</v>
          </cell>
          <cell r="D1443" t="str">
            <v>Hospice</v>
          </cell>
          <cell r="E1443" t="str">
            <v>PHYSICIAN DIRECT CARE-UNDER 21</v>
          </cell>
          <cell r="F1443" t="str">
            <v>830T0478</v>
          </cell>
        </row>
        <row r="1444">
          <cell r="A1444" t="str">
            <v>State Plan (Title XIX)</v>
          </cell>
          <cell r="C1444" t="str">
            <v>Hospice</v>
          </cell>
          <cell r="D1444" t="str">
            <v>Hospice</v>
          </cell>
          <cell r="E1444" t="str">
            <v>ROUTINE IN HOME CARE</v>
          </cell>
          <cell r="F1444" t="str">
            <v>81T0100</v>
          </cell>
        </row>
        <row r="1445">
          <cell r="A1445" t="str">
            <v>State Plan (Title XIX)</v>
          </cell>
          <cell r="C1445" t="str">
            <v>Hospice</v>
          </cell>
          <cell r="D1445" t="str">
            <v>Hospice</v>
          </cell>
          <cell r="E1445" t="str">
            <v>ROUTINE IN-HOME CARE DAYS 1-60</v>
          </cell>
          <cell r="F1445" t="str">
            <v>81T0101</v>
          </cell>
        </row>
        <row r="1446">
          <cell r="A1446" t="str">
            <v>State Plan (Title XIX)</v>
          </cell>
          <cell r="C1446" t="str">
            <v>Hospice</v>
          </cell>
          <cell r="D1446" t="str">
            <v>Hospice</v>
          </cell>
          <cell r="E1446" t="str">
            <v>VENTILATOR FULL</v>
          </cell>
          <cell r="F1446" t="str">
            <v>84N0500</v>
          </cell>
        </row>
        <row r="1447">
          <cell r="A1447" t="str">
            <v>State Plan (Title XIX)</v>
          </cell>
          <cell r="C1447" t="str">
            <v>Hospice</v>
          </cell>
          <cell r="D1447" t="str">
            <v>Hospice</v>
          </cell>
          <cell r="E1447" t="str">
            <v>VENTILATOR PARTIAL</v>
          </cell>
          <cell r="F1447" t="str">
            <v>84N0501</v>
          </cell>
        </row>
        <row r="1448">
          <cell r="A1448" t="str">
            <v>State Plan (Title XIX)</v>
          </cell>
          <cell r="C1448" t="str">
            <v>Hospice</v>
          </cell>
          <cell r="D1448" t="str">
            <v>Hospice-ICF</v>
          </cell>
          <cell r="E1448" t="str">
            <v>HOSPICE IN ICF/IID CAMPUS/STATE LOC 1 CONTRACT SPECIFIC WITH DRUGS</v>
          </cell>
          <cell r="F1448" t="str">
            <v>831AF0234</v>
          </cell>
        </row>
        <row r="1449">
          <cell r="A1449" t="str">
            <v>State Plan (Title XIX)</v>
          </cell>
          <cell r="C1449" t="str">
            <v>Hospice</v>
          </cell>
          <cell r="D1449" t="str">
            <v>Hospice-ICF</v>
          </cell>
          <cell r="E1449" t="str">
            <v>HOSPICE IN ICF/IID CAMPUS/STATE LOC 1 CONTRACT SPECIFIC WITH DRUGS</v>
          </cell>
          <cell r="F1449" t="str">
            <v>831AF0234</v>
          </cell>
        </row>
        <row r="1450">
          <cell r="A1450" t="str">
            <v>State Plan (Title XIX)</v>
          </cell>
          <cell r="C1450" t="str">
            <v>Hospice</v>
          </cell>
          <cell r="D1450" t="str">
            <v>Hospice-ICF</v>
          </cell>
          <cell r="E1450" t="str">
            <v>HOSPICE IN ICF/IID CAMPUS/STATE LOC 1 CONTRACT SPECIFIC WITHOUT DRUGS</v>
          </cell>
          <cell r="F1450" t="str">
            <v>831AF0243</v>
          </cell>
        </row>
        <row r="1451">
          <cell r="A1451" t="str">
            <v>State Plan (Title XIX)</v>
          </cell>
          <cell r="C1451" t="str">
            <v>Hospice</v>
          </cell>
          <cell r="D1451" t="str">
            <v>Hospice-ICF</v>
          </cell>
          <cell r="E1451" t="str">
            <v>HOSPICE IN ICF/IID CAMPUS/STATE LOC 1 CONTRACT SPECIFIC WITHOUT DRUGS</v>
          </cell>
          <cell r="F1451" t="str">
            <v>831AF0243</v>
          </cell>
        </row>
        <row r="1452">
          <cell r="A1452" t="str">
            <v>State Plan (Title XIX)</v>
          </cell>
          <cell r="C1452" t="str">
            <v>Hospice</v>
          </cell>
          <cell r="D1452" t="str">
            <v>Hospice-ICF</v>
          </cell>
          <cell r="E1452" t="str">
            <v>HOSPICE IN ICF/IID CAMPUS/STATE LOC 8 CONTRACT SPECIFIC</v>
          </cell>
          <cell r="F1452" t="str">
            <v>831AF0235</v>
          </cell>
        </row>
        <row r="1453">
          <cell r="A1453" t="str">
            <v>State Plan (Title XIX)</v>
          </cell>
          <cell r="C1453" t="str">
            <v>Hospice</v>
          </cell>
          <cell r="D1453" t="str">
            <v>Hospice-ICF</v>
          </cell>
          <cell r="E1453" t="str">
            <v>HOSPICE IN ICF/IID CAMPUS/STATE LOC 8 CONTRACT SPECIFIC</v>
          </cell>
          <cell r="F1453" t="str">
            <v>831AF0235</v>
          </cell>
        </row>
        <row r="1454">
          <cell r="A1454" t="str">
            <v>State Plan (Title XIX)</v>
          </cell>
          <cell r="C1454" t="str">
            <v>Hospice</v>
          </cell>
          <cell r="D1454" t="str">
            <v>Hospice-ICF</v>
          </cell>
          <cell r="E1454" t="str">
            <v>HOSPICE IN ICF/IID NON-STATE COMMUNITY RESIDENTIAL LON 1</v>
          </cell>
          <cell r="F1454" t="str">
            <v>831AF0238</v>
          </cell>
        </row>
        <row r="1455">
          <cell r="A1455" t="str">
            <v>State Plan (Title XIX)</v>
          </cell>
          <cell r="C1455" t="str">
            <v>Hospice</v>
          </cell>
          <cell r="D1455" t="str">
            <v>Hospice-ICF</v>
          </cell>
          <cell r="E1455" t="str">
            <v>HOSPICE IN ICF/IID NON-STATE COMMUNITY RESIDENTIAL LON 1</v>
          </cell>
          <cell r="F1455" t="str">
            <v>831AF0238</v>
          </cell>
        </row>
        <row r="1456">
          <cell r="A1456" t="str">
            <v>State Plan (Title XIX)</v>
          </cell>
          <cell r="C1456" t="str">
            <v>Hospice</v>
          </cell>
          <cell r="D1456" t="str">
            <v>Hospice-ICF</v>
          </cell>
          <cell r="E1456" t="str">
            <v>HOSPICE IN ICF/IID NON-STATE COMMUNITY RESIDENTIAL LON 5</v>
          </cell>
          <cell r="F1456" t="str">
            <v>831AF0239</v>
          </cell>
        </row>
        <row r="1457">
          <cell r="A1457" t="str">
            <v>State Plan (Title XIX)</v>
          </cell>
          <cell r="C1457" t="str">
            <v>Hospice</v>
          </cell>
          <cell r="D1457" t="str">
            <v>Hospice-ICF</v>
          </cell>
          <cell r="E1457" t="str">
            <v>HOSPICE IN ICF/IID NON-STATE COMMUNITY RESIDENTIAL LON 5</v>
          </cell>
          <cell r="F1457" t="str">
            <v>831AF0239</v>
          </cell>
        </row>
        <row r="1458">
          <cell r="A1458" t="str">
            <v>State Plan (Title XIX)</v>
          </cell>
          <cell r="C1458" t="str">
            <v>Hospice</v>
          </cell>
          <cell r="D1458" t="str">
            <v>Hospice-ICF</v>
          </cell>
          <cell r="E1458" t="str">
            <v>HOSPICE IN ICF/IID NON-STATE COMMUNITY RESIDENTIAL LON 6</v>
          </cell>
          <cell r="F1458" t="str">
            <v>831AF0240</v>
          </cell>
        </row>
        <row r="1459">
          <cell r="A1459" t="str">
            <v>State Plan (Title XIX)</v>
          </cell>
          <cell r="C1459" t="str">
            <v>Hospice</v>
          </cell>
          <cell r="D1459" t="str">
            <v>Hospice-ICF</v>
          </cell>
          <cell r="E1459" t="str">
            <v>HOSPICE IN ICF/IID NON-STATE COMMUNITY RESIDENTIAL LON 6</v>
          </cell>
          <cell r="F1459" t="str">
            <v>831AF0240</v>
          </cell>
        </row>
        <row r="1460">
          <cell r="A1460" t="str">
            <v>State Plan (Title XIX)</v>
          </cell>
          <cell r="C1460" t="str">
            <v>Hospice</v>
          </cell>
          <cell r="D1460" t="str">
            <v>Hospice-ICF</v>
          </cell>
          <cell r="E1460" t="str">
            <v>HOSPICE IN ICF/IID NON-STATE COMMUNITY RESIDENTIAL LON 8</v>
          </cell>
          <cell r="F1460" t="str">
            <v>831AF0241</v>
          </cell>
        </row>
        <row r="1461">
          <cell r="A1461" t="str">
            <v>State Plan (Title XIX)</v>
          </cell>
          <cell r="C1461" t="str">
            <v>Hospice</v>
          </cell>
          <cell r="D1461" t="str">
            <v>Hospice-ICF</v>
          </cell>
          <cell r="E1461" t="str">
            <v>HOSPICE IN ICF/IID NON-STATE COMMUNITY RESIDENTIAL LON 8</v>
          </cell>
          <cell r="F1461" t="str">
            <v>831AF0241</v>
          </cell>
        </row>
        <row r="1462">
          <cell r="A1462" t="str">
            <v>State Plan (Title XIX)</v>
          </cell>
          <cell r="C1462" t="str">
            <v>Hospice</v>
          </cell>
          <cell r="D1462" t="str">
            <v>Hospice-ICF</v>
          </cell>
          <cell r="E1462" t="str">
            <v>HOSPICE IN ICF/IID NON-STATE COMMUNITY RESIDENTIAL LON 9</v>
          </cell>
          <cell r="F1462" t="str">
            <v>831AF0242</v>
          </cell>
        </row>
        <row r="1463">
          <cell r="A1463" t="str">
            <v>State Plan (Title XIX)</v>
          </cell>
          <cell r="C1463" t="str">
            <v>Hospice</v>
          </cell>
          <cell r="D1463" t="str">
            <v>Hospice-ICF</v>
          </cell>
          <cell r="E1463" t="str">
            <v>HOSPICE IN ICF/IID NON-STATE COMMUNITY RESIDENTIAL LON 9</v>
          </cell>
          <cell r="F1463" t="str">
            <v>831AF0242</v>
          </cell>
        </row>
        <row r="1464">
          <cell r="A1464" t="str">
            <v>State Plan (Title XIX)</v>
          </cell>
          <cell r="C1464" t="str">
            <v>Hospice</v>
          </cell>
          <cell r="D1464" t="str">
            <v>Hospice-ICF</v>
          </cell>
          <cell r="E1464" t="str">
            <v>HOSPICE IN ICF/IID STATE/COMMUNITY RESIDENTIAL LOC 1 CONTRACT SPECIFIC WITH DRUGS</v>
          </cell>
          <cell r="F1464" t="str">
            <v>831AF0237</v>
          </cell>
        </row>
        <row r="1465">
          <cell r="A1465" t="str">
            <v>State Plan (Title XIX)</v>
          </cell>
          <cell r="C1465" t="str">
            <v>Hospice</v>
          </cell>
          <cell r="D1465" t="str">
            <v>Hospice-ICF</v>
          </cell>
          <cell r="E1465" t="str">
            <v>HOSPICE IN ICF/IID STATE/COMMUNITY RESIDENTIAL LOC 1 CONTRACT SPECIFIC WITH DRUGS</v>
          </cell>
          <cell r="F1465" t="str">
            <v>831AF0237</v>
          </cell>
        </row>
        <row r="1466">
          <cell r="A1466" t="str">
            <v>State Plan (Title XIX)</v>
          </cell>
          <cell r="C1466" t="str">
            <v>Hospice</v>
          </cell>
          <cell r="D1466" t="str">
            <v>Hospice-ICF</v>
          </cell>
          <cell r="E1466" t="str">
            <v>HOSPICE IN ICF/IID STATE/COMMUNITY RESIDENTIAL LOC 8 CONTRACT SPECIFIC WITH DRUGS</v>
          </cell>
          <cell r="F1466" t="str">
            <v>831AF0236</v>
          </cell>
        </row>
        <row r="1467">
          <cell r="A1467" t="str">
            <v>State Plan (Title XIX)</v>
          </cell>
          <cell r="C1467" t="str">
            <v>Hospice</v>
          </cell>
          <cell r="D1467" t="str">
            <v>Hospice-ICF</v>
          </cell>
          <cell r="E1467" t="str">
            <v>HOSPICE IN ICF/IID STATE/COMMUNITY RESIDENTIAL LOC 8 CONTRACT SPECIFIC WITH DRUGS</v>
          </cell>
          <cell r="F1467" t="str">
            <v>831AF0236</v>
          </cell>
        </row>
        <row r="1468">
          <cell r="A1468" t="str">
            <v>State Plan (Title XIX)</v>
          </cell>
          <cell r="C1468" t="str">
            <v>Hospice</v>
          </cell>
          <cell r="D1468" t="str">
            <v>Hospice-ICF</v>
          </cell>
          <cell r="E1468" t="str">
            <v>ICF/MR CAMPUS/STATE LOC 1 CONTRACT SPECIFIC WITH DRUGS</v>
          </cell>
          <cell r="F1468" t="str">
            <v>831F0100</v>
          </cell>
        </row>
        <row r="1469">
          <cell r="A1469" t="str">
            <v>State Plan (Title XIX)</v>
          </cell>
          <cell r="C1469" t="str">
            <v>Hospice</v>
          </cell>
          <cell r="D1469" t="str">
            <v>Hospice-ICF</v>
          </cell>
          <cell r="E1469" t="str">
            <v>ICF/MR CAMPUS/STATE LOC 1 CONTRACT SPECIFIC WITH DRUGS</v>
          </cell>
          <cell r="F1469" t="str">
            <v>831F0100</v>
          </cell>
        </row>
        <row r="1470">
          <cell r="A1470" t="str">
            <v>State Plan (Title XIX)</v>
          </cell>
          <cell r="C1470" t="str">
            <v>Hospice</v>
          </cell>
          <cell r="D1470" t="str">
            <v>Hospice-ICF</v>
          </cell>
          <cell r="E1470" t="str">
            <v>ICF/MR CAMPUS/STATE LOC 1 CONTRACT SPECIFIC WITHOUT DRUGS</v>
          </cell>
          <cell r="F1470" t="str">
            <v>831F0225</v>
          </cell>
        </row>
        <row r="1471">
          <cell r="A1471" t="str">
            <v>State Plan (Title XIX)</v>
          </cell>
          <cell r="C1471" t="str">
            <v>Hospice</v>
          </cell>
          <cell r="D1471" t="str">
            <v>Hospice-ICF</v>
          </cell>
          <cell r="E1471" t="str">
            <v>ICF/MR CAMPUS/STATE LOC 1 CONTRACT SPECIFIC WITHOUT DRUGS</v>
          </cell>
          <cell r="F1471" t="str">
            <v>831F0225</v>
          </cell>
        </row>
        <row r="1472">
          <cell r="A1472" t="str">
            <v>State Plan (Title XIX)</v>
          </cell>
          <cell r="C1472" t="str">
            <v>Hospice</v>
          </cell>
          <cell r="D1472" t="str">
            <v>Hospice-ICF</v>
          </cell>
          <cell r="E1472" t="str">
            <v>ICF/MR CAMPUS/STATE LOC 8 CONTRACT SPECIFIC</v>
          </cell>
          <cell r="F1472" t="str">
            <v>831F0103</v>
          </cell>
        </row>
        <row r="1473">
          <cell r="A1473" t="str">
            <v>State Plan (Title XIX)</v>
          </cell>
          <cell r="C1473" t="str">
            <v>Hospice</v>
          </cell>
          <cell r="D1473" t="str">
            <v>Hospice-ICF</v>
          </cell>
          <cell r="E1473" t="str">
            <v>ICF/MR CAMPUS/STATE LOC 8 CONTRACT SPECIFIC</v>
          </cell>
          <cell r="F1473" t="str">
            <v>831F0103</v>
          </cell>
        </row>
        <row r="1474">
          <cell r="A1474" t="str">
            <v>State Plan (Title XIX)</v>
          </cell>
          <cell r="C1474" t="str">
            <v>Hospice</v>
          </cell>
          <cell r="D1474" t="str">
            <v>Hospice-ICF</v>
          </cell>
          <cell r="E1474" t="str">
            <v>ICF/MR NON-STATE COMMUNITY RESIDENTIAL LON 1</v>
          </cell>
          <cell r="F1474" t="str">
            <v>831F0205</v>
          </cell>
        </row>
        <row r="1475">
          <cell r="A1475" t="str">
            <v>State Plan (Title XIX)</v>
          </cell>
          <cell r="C1475" t="str">
            <v>Hospice</v>
          </cell>
          <cell r="D1475" t="str">
            <v>Hospice-ICF</v>
          </cell>
          <cell r="E1475" t="str">
            <v>ICF/MR NON-STATE COMMUNITY RESIDENTIAL LON 1</v>
          </cell>
          <cell r="F1475" t="str">
            <v>831F0205</v>
          </cell>
        </row>
        <row r="1476">
          <cell r="A1476" t="str">
            <v>State Plan (Title XIX)</v>
          </cell>
          <cell r="C1476" t="str">
            <v>Hospice</v>
          </cell>
          <cell r="D1476" t="str">
            <v>Hospice-ICF</v>
          </cell>
          <cell r="E1476" t="str">
            <v>ICF/MR NON-STATE COMMUNITY RESIDENTIAL LON 5</v>
          </cell>
          <cell r="F1476" t="str">
            <v>831F0206</v>
          </cell>
        </row>
        <row r="1477">
          <cell r="A1477" t="str">
            <v>State Plan (Title XIX)</v>
          </cell>
          <cell r="C1477" t="str">
            <v>Hospice</v>
          </cell>
          <cell r="D1477" t="str">
            <v>Hospice-ICF</v>
          </cell>
          <cell r="E1477" t="str">
            <v>ICF/MR NON-STATE COMMUNITY RESIDENTIAL LON 5</v>
          </cell>
          <cell r="F1477" t="str">
            <v>831F0206</v>
          </cell>
        </row>
        <row r="1478">
          <cell r="A1478" t="str">
            <v>State Plan (Title XIX)</v>
          </cell>
          <cell r="C1478" t="str">
            <v>Hospice</v>
          </cell>
          <cell r="D1478" t="str">
            <v>Hospice-ICF</v>
          </cell>
          <cell r="E1478" t="str">
            <v>ICF/MR NON-STATE COMMUNITY RESIDENTIAL LON 6</v>
          </cell>
          <cell r="F1478" t="str">
            <v>831F0207</v>
          </cell>
        </row>
        <row r="1479">
          <cell r="A1479" t="str">
            <v>State Plan (Title XIX)</v>
          </cell>
          <cell r="C1479" t="str">
            <v>Hospice</v>
          </cell>
          <cell r="D1479" t="str">
            <v>Hospice-ICF</v>
          </cell>
          <cell r="E1479" t="str">
            <v>ICF/MR NON-STATE COMMUNITY RESIDENTIAL LON 6</v>
          </cell>
          <cell r="F1479" t="str">
            <v>831F0207</v>
          </cell>
        </row>
        <row r="1480">
          <cell r="A1480" t="str">
            <v>State Plan (Title XIX)</v>
          </cell>
          <cell r="C1480" t="str">
            <v>Hospice</v>
          </cell>
          <cell r="D1480" t="str">
            <v>Hospice-ICF</v>
          </cell>
          <cell r="E1480" t="str">
            <v>ICF/MR NON-STATE COMMUNITY RESIDENTIAL LON 8</v>
          </cell>
          <cell r="F1480" t="str">
            <v>831F0208</v>
          </cell>
        </row>
        <row r="1481">
          <cell r="A1481" t="str">
            <v>State Plan (Title XIX)</v>
          </cell>
          <cell r="C1481" t="str">
            <v>Hospice</v>
          </cell>
          <cell r="D1481" t="str">
            <v>Hospice-ICF</v>
          </cell>
          <cell r="E1481" t="str">
            <v>ICF/MR NON-STATE COMMUNITY RESIDENTIAL LON 8</v>
          </cell>
          <cell r="F1481" t="str">
            <v>831F0208</v>
          </cell>
        </row>
        <row r="1482">
          <cell r="A1482" t="str">
            <v>State Plan (Title XIX)</v>
          </cell>
          <cell r="C1482" t="str">
            <v>Hospice</v>
          </cell>
          <cell r="D1482" t="str">
            <v>Hospice-ICF</v>
          </cell>
          <cell r="E1482" t="str">
            <v>ICF/MR NON-STATE COMMUNITY RESIDENTIAL LON 9</v>
          </cell>
          <cell r="F1482" t="str">
            <v>831F0209</v>
          </cell>
        </row>
        <row r="1483">
          <cell r="A1483" t="str">
            <v>State Plan (Title XIX)</v>
          </cell>
          <cell r="C1483" t="str">
            <v>Hospice</v>
          </cell>
          <cell r="D1483" t="str">
            <v>Hospice-ICF</v>
          </cell>
          <cell r="E1483" t="str">
            <v>ICF/MR NON-STATE COMMUNITY RESIDENTIAL LON 9</v>
          </cell>
          <cell r="F1483" t="str">
            <v>831F0209</v>
          </cell>
        </row>
        <row r="1484">
          <cell r="A1484" t="str">
            <v>State Plan (Title XIX)</v>
          </cell>
          <cell r="C1484" t="str">
            <v>Hospice</v>
          </cell>
          <cell r="D1484" t="str">
            <v>Hospice-ICF</v>
          </cell>
          <cell r="E1484" t="str">
            <v>ICF/MR STATE/COMMUNITY RESIDENTIAL LOC 1 CONTRACT SPECIFIC WITH DRUGS</v>
          </cell>
          <cell r="F1484" t="str">
            <v>831F0109</v>
          </cell>
        </row>
        <row r="1485">
          <cell r="A1485" t="str">
            <v>State Plan (Title XIX)</v>
          </cell>
          <cell r="C1485" t="str">
            <v>Hospice</v>
          </cell>
          <cell r="D1485" t="str">
            <v>Hospice-ICF</v>
          </cell>
          <cell r="E1485" t="str">
            <v>ICF/MR STATE/COMMUNITY RESIDENTIAL LOC 1 CONTRACT SPECIFIC WITH DRUGS</v>
          </cell>
          <cell r="F1485" t="str">
            <v>831F0109</v>
          </cell>
        </row>
        <row r="1486">
          <cell r="A1486" t="str">
            <v>State Plan (Title XIX)</v>
          </cell>
          <cell r="C1486" t="str">
            <v>Hospice</v>
          </cell>
          <cell r="D1486" t="str">
            <v>Hospice-ICF</v>
          </cell>
          <cell r="E1486" t="str">
            <v>ICF/MR STATE/COMMUNITY RESIDENTIAL LOC 8 CONTRACT SPECIFIC WITH DRUGS</v>
          </cell>
          <cell r="F1486" t="str">
            <v>831F0108</v>
          </cell>
        </row>
        <row r="1487">
          <cell r="A1487" t="str">
            <v>State Plan (Title XIX)</v>
          </cell>
          <cell r="C1487" t="str">
            <v>Hospice</v>
          </cell>
          <cell r="D1487" t="str">
            <v>Hospice-ICF</v>
          </cell>
          <cell r="E1487" t="str">
            <v>ICF/MR STATE/COMMUNITY RESIDENTIAL LOC 8 CONTRACT SPECIFIC WITH DRUGS</v>
          </cell>
          <cell r="F1487" t="str">
            <v>831F0108</v>
          </cell>
        </row>
        <row r="1488">
          <cell r="A1488"/>
          <cell r="C1488" t="str">
            <v>Hospice</v>
          </cell>
          <cell r="D1488" t="str">
            <v>Lab Test</v>
          </cell>
          <cell r="E1488" t="str">
            <v>PHYSICIAN DIRECT CARE-21 AND OLDER</v>
          </cell>
          <cell r="F1488" t="str">
            <v>T0467KX</v>
          </cell>
          <cell r="P1488"/>
        </row>
        <row r="1489">
          <cell r="A1489"/>
          <cell r="C1489" t="str">
            <v>Hospice</v>
          </cell>
          <cell r="D1489" t="str">
            <v>Lab Test</v>
          </cell>
          <cell r="E1489" t="str">
            <v>PHYSICIAN DIRECT CARE-21 AND OLDER</v>
          </cell>
          <cell r="F1489" t="str">
            <v>T0465KX</v>
          </cell>
          <cell r="P1489"/>
        </row>
        <row r="1490">
          <cell r="A1490"/>
          <cell r="C1490" t="str">
            <v>Hospice</v>
          </cell>
          <cell r="D1490" t="str">
            <v>Lab Test</v>
          </cell>
          <cell r="E1490" t="str">
            <v>PHYSICIAN DIRECT CARE-21 AND OLDER</v>
          </cell>
          <cell r="F1490" t="str">
            <v>T0463KX</v>
          </cell>
          <cell r="P1490"/>
        </row>
        <row r="1491">
          <cell r="A1491"/>
          <cell r="C1491" t="str">
            <v>Hospice</v>
          </cell>
          <cell r="D1491" t="str">
            <v>Lab Test</v>
          </cell>
          <cell r="E1491" t="str">
            <v>PHYSICIAN DIRECT CARE-21 AND OLDER</v>
          </cell>
          <cell r="F1491" t="str">
            <v>T0461KX</v>
          </cell>
          <cell r="P1491"/>
        </row>
        <row r="1492">
          <cell r="A1492"/>
          <cell r="C1492" t="str">
            <v>Hospice</v>
          </cell>
          <cell r="D1492" t="str">
            <v>Lab Test</v>
          </cell>
          <cell r="E1492" t="str">
            <v>PHYSICIAN DIRECT CARE-21 AND OLDER</v>
          </cell>
          <cell r="F1492" t="str">
            <v>T0459KX</v>
          </cell>
          <cell r="P1492"/>
        </row>
        <row r="1493">
          <cell r="A1493"/>
          <cell r="C1493" t="str">
            <v>Hospice</v>
          </cell>
          <cell r="D1493" t="str">
            <v>Lab Test</v>
          </cell>
          <cell r="E1493" t="str">
            <v>PHYSICIAN DIRECT CARE-21 AND OLDER</v>
          </cell>
          <cell r="F1493" t="str">
            <v>T0457KX</v>
          </cell>
          <cell r="P1493"/>
        </row>
        <row r="1494">
          <cell r="A1494"/>
          <cell r="C1494" t="str">
            <v>Hospice</v>
          </cell>
          <cell r="D1494" t="str">
            <v>Lab Test</v>
          </cell>
          <cell r="E1494" t="str">
            <v>PHYSICIAN DIRECT CARE-21 AND OLDER</v>
          </cell>
          <cell r="F1494" t="str">
            <v>T0455KX</v>
          </cell>
          <cell r="P1494"/>
        </row>
        <row r="1495">
          <cell r="A1495"/>
          <cell r="C1495" t="str">
            <v>Hospice</v>
          </cell>
          <cell r="D1495" t="str">
            <v>Lab Test</v>
          </cell>
          <cell r="E1495" t="str">
            <v>PHYSICIAN DIRECT CARE-21 AND OLDER</v>
          </cell>
          <cell r="F1495" t="str">
            <v>T0453KX</v>
          </cell>
          <cell r="P1495"/>
        </row>
        <row r="1496">
          <cell r="A1496"/>
          <cell r="C1496" t="str">
            <v>Hospice</v>
          </cell>
          <cell r="D1496" t="str">
            <v>Lab Test</v>
          </cell>
          <cell r="E1496" t="str">
            <v>PHYSICIAN DIRECT CARE-21 AND OLDER</v>
          </cell>
          <cell r="F1496" t="str">
            <v>T0451KX</v>
          </cell>
          <cell r="P1496"/>
        </row>
        <row r="1497">
          <cell r="A1497"/>
          <cell r="C1497" t="str">
            <v>Hospice</v>
          </cell>
          <cell r="D1497" t="str">
            <v>Lab Test</v>
          </cell>
          <cell r="E1497" t="str">
            <v>PHYSICIAN DIRECT CARE-21 AND OLDER</v>
          </cell>
          <cell r="F1497" t="str">
            <v>T0449KX</v>
          </cell>
          <cell r="P1497"/>
        </row>
        <row r="1498">
          <cell r="A1498"/>
          <cell r="C1498" t="str">
            <v>Hospice</v>
          </cell>
          <cell r="D1498" t="str">
            <v>Lab Test</v>
          </cell>
          <cell r="E1498" t="str">
            <v>PHYSICIAN DIRECT CARE-21 AND OLDER</v>
          </cell>
          <cell r="F1498" t="str">
            <v>T0447KX</v>
          </cell>
          <cell r="P1498"/>
        </row>
        <row r="1499">
          <cell r="A1499"/>
          <cell r="C1499" t="str">
            <v>Hospice</v>
          </cell>
          <cell r="D1499" t="str">
            <v>Lab Test</v>
          </cell>
          <cell r="E1499" t="str">
            <v>PHYSICIAN DIRECT CARE-21 AND OLDER</v>
          </cell>
          <cell r="F1499" t="str">
            <v>T0445KX</v>
          </cell>
          <cell r="P1499"/>
        </row>
        <row r="1500">
          <cell r="A1500"/>
          <cell r="C1500" t="str">
            <v>Hospice</v>
          </cell>
          <cell r="D1500" t="str">
            <v>Lab Test</v>
          </cell>
          <cell r="E1500" t="str">
            <v>PHYSICIAN DIRECT CARE-21 AND OLDER</v>
          </cell>
          <cell r="F1500" t="str">
            <v>T0443KX</v>
          </cell>
          <cell r="P1500"/>
        </row>
        <row r="1501">
          <cell r="A1501"/>
          <cell r="C1501" t="str">
            <v>Hospice</v>
          </cell>
          <cell r="D1501" t="str">
            <v>Lab Test</v>
          </cell>
          <cell r="E1501" t="str">
            <v>PHYSICIAN DIRECT CARE-21 AND OLDER</v>
          </cell>
          <cell r="F1501" t="str">
            <v>T0441KX</v>
          </cell>
          <cell r="P1501"/>
        </row>
        <row r="1502">
          <cell r="A1502"/>
          <cell r="C1502" t="str">
            <v>Hospice</v>
          </cell>
          <cell r="D1502" t="str">
            <v>Lab Test</v>
          </cell>
          <cell r="E1502" t="str">
            <v>PHYSICIAN DIRECT CARE-21 AND OLDER</v>
          </cell>
          <cell r="F1502" t="str">
            <v>T0439KX</v>
          </cell>
          <cell r="P1502"/>
        </row>
        <row r="1503">
          <cell r="A1503"/>
          <cell r="C1503" t="str">
            <v>Hospice</v>
          </cell>
          <cell r="D1503" t="str">
            <v>Lab Test</v>
          </cell>
          <cell r="E1503" t="str">
            <v>PHYSICIAN DIRECT CARE-21 AND OLDER</v>
          </cell>
          <cell r="F1503" t="str">
            <v>T0437KX</v>
          </cell>
          <cell r="P1503"/>
        </row>
        <row r="1504">
          <cell r="A1504"/>
          <cell r="C1504" t="str">
            <v>Hospice</v>
          </cell>
          <cell r="D1504" t="str">
            <v>Lab Test</v>
          </cell>
          <cell r="E1504" t="str">
            <v>PHYSICIAN DIRECT CARE-UNDER 21</v>
          </cell>
          <cell r="F1504" t="str">
            <v>T0466</v>
          </cell>
          <cell r="P1504"/>
        </row>
        <row r="1505">
          <cell r="A1505"/>
          <cell r="C1505" t="str">
            <v>Hospice</v>
          </cell>
          <cell r="D1505" t="str">
            <v>Lab Test</v>
          </cell>
          <cell r="E1505" t="str">
            <v>PHYSICIAN DIRECT CARE-UNDER 21</v>
          </cell>
          <cell r="F1505" t="str">
            <v>T0464</v>
          </cell>
          <cell r="P1505"/>
        </row>
        <row r="1506">
          <cell r="A1506"/>
          <cell r="C1506" t="str">
            <v>Hospice</v>
          </cell>
          <cell r="D1506" t="str">
            <v>Lab Test</v>
          </cell>
          <cell r="E1506" t="str">
            <v>PHYSICIAN DIRECT CARE-UNDER 21</v>
          </cell>
          <cell r="F1506" t="str">
            <v>T0462</v>
          </cell>
          <cell r="P1506"/>
        </row>
        <row r="1507">
          <cell r="A1507"/>
          <cell r="C1507" t="str">
            <v>Hospice</v>
          </cell>
          <cell r="D1507" t="str">
            <v>Lab Test</v>
          </cell>
          <cell r="E1507" t="str">
            <v>PHYSICIAN DIRECT CARE-UNDER 21</v>
          </cell>
          <cell r="F1507" t="str">
            <v>T0460</v>
          </cell>
          <cell r="P1507"/>
        </row>
        <row r="1508">
          <cell r="A1508"/>
          <cell r="C1508" t="str">
            <v>Hospice</v>
          </cell>
          <cell r="D1508" t="str">
            <v>Lab Test</v>
          </cell>
          <cell r="E1508" t="str">
            <v>PHYSICIAN DIRECT CARE-UNDER 21</v>
          </cell>
          <cell r="F1508" t="str">
            <v>T0458</v>
          </cell>
          <cell r="P1508"/>
        </row>
        <row r="1509">
          <cell r="A1509"/>
          <cell r="C1509" t="str">
            <v>Hospice</v>
          </cell>
          <cell r="D1509" t="str">
            <v>Lab Test</v>
          </cell>
          <cell r="E1509" t="str">
            <v>PHYSICIAN DIRECT CARE-UNDER 21</v>
          </cell>
          <cell r="F1509" t="str">
            <v>T0456</v>
          </cell>
          <cell r="P1509"/>
        </row>
        <row r="1510">
          <cell r="A1510"/>
          <cell r="C1510" t="str">
            <v>Hospice</v>
          </cell>
          <cell r="D1510" t="str">
            <v>Lab Test</v>
          </cell>
          <cell r="E1510" t="str">
            <v>PHYSICIAN DIRECT CARE-UNDER 21</v>
          </cell>
          <cell r="F1510" t="str">
            <v>T0454</v>
          </cell>
          <cell r="P1510"/>
        </row>
        <row r="1511">
          <cell r="A1511"/>
          <cell r="C1511" t="str">
            <v>Hospice</v>
          </cell>
          <cell r="D1511" t="str">
            <v>Lab Test</v>
          </cell>
          <cell r="E1511" t="str">
            <v>PHYSICIAN DIRECT CARE-UNDER 21</v>
          </cell>
          <cell r="F1511" t="str">
            <v>T0452</v>
          </cell>
          <cell r="P1511"/>
        </row>
        <row r="1512">
          <cell r="A1512"/>
          <cell r="C1512" t="str">
            <v>Hospice</v>
          </cell>
          <cell r="D1512" t="str">
            <v>Lab Test</v>
          </cell>
          <cell r="E1512" t="str">
            <v>PHYSICIAN DIRECT CARE-UNDER 21</v>
          </cell>
          <cell r="F1512" t="str">
            <v>T0450</v>
          </cell>
          <cell r="P1512"/>
        </row>
        <row r="1513">
          <cell r="A1513"/>
          <cell r="C1513" t="str">
            <v>Hospice</v>
          </cell>
          <cell r="D1513" t="str">
            <v>Lab Test</v>
          </cell>
          <cell r="E1513" t="str">
            <v>PHYSICIAN DIRECT CARE-UNDER 21</v>
          </cell>
          <cell r="F1513" t="str">
            <v>T0448</v>
          </cell>
          <cell r="P1513"/>
        </row>
        <row r="1514">
          <cell r="A1514"/>
          <cell r="C1514" t="str">
            <v>Hospice</v>
          </cell>
          <cell r="D1514" t="str">
            <v>Lab Test</v>
          </cell>
          <cell r="E1514" t="str">
            <v>PHYSICIAN DIRECT CARE-UNDER 21</v>
          </cell>
          <cell r="F1514" t="str">
            <v>T0446</v>
          </cell>
          <cell r="P1514"/>
        </row>
        <row r="1515">
          <cell r="A1515"/>
          <cell r="C1515" t="str">
            <v>Hospice</v>
          </cell>
          <cell r="D1515" t="str">
            <v>Lab Test</v>
          </cell>
          <cell r="E1515" t="str">
            <v>PHYSICIAN DIRECT CARE-UNDER 21</v>
          </cell>
          <cell r="F1515" t="str">
            <v>T0444</v>
          </cell>
          <cell r="P1515"/>
        </row>
        <row r="1516">
          <cell r="A1516"/>
          <cell r="C1516" t="str">
            <v>Hospice</v>
          </cell>
          <cell r="D1516" t="str">
            <v>Lab Test</v>
          </cell>
          <cell r="E1516" t="str">
            <v>PHYSICIAN DIRECT CARE-UNDER 21</v>
          </cell>
          <cell r="F1516" t="str">
            <v>T0442</v>
          </cell>
          <cell r="P1516"/>
        </row>
        <row r="1517">
          <cell r="A1517"/>
          <cell r="C1517" t="str">
            <v>Hospice</v>
          </cell>
          <cell r="D1517" t="str">
            <v>Lab Test</v>
          </cell>
          <cell r="E1517" t="str">
            <v>PHYSICIAN DIRECT CARE-UNDER 21</v>
          </cell>
          <cell r="F1517" t="str">
            <v>T0440</v>
          </cell>
          <cell r="P1517"/>
        </row>
        <row r="1518">
          <cell r="A1518"/>
          <cell r="C1518" t="str">
            <v>Hospice</v>
          </cell>
          <cell r="D1518" t="str">
            <v>Lab Test</v>
          </cell>
          <cell r="E1518" t="str">
            <v>PHYSICIAN DIRECT CARE-UNDER 21</v>
          </cell>
          <cell r="F1518" t="str">
            <v>T0438</v>
          </cell>
          <cell r="P1518"/>
        </row>
        <row r="1519">
          <cell r="A1519"/>
          <cell r="C1519" t="str">
            <v>Hospice</v>
          </cell>
          <cell r="D1519" t="str">
            <v>Lab Test</v>
          </cell>
          <cell r="E1519" t="str">
            <v>PHYSICIAN DIRECT CARE-UNDER 21</v>
          </cell>
          <cell r="F1519" t="str">
            <v>T0436</v>
          </cell>
          <cell r="P1519"/>
        </row>
        <row r="1520">
          <cell r="A1520"/>
          <cell r="C1520" t="str">
            <v>Hospice</v>
          </cell>
          <cell r="D1520" t="str">
            <v>MEDICAL SERVICES</v>
          </cell>
          <cell r="E1520" t="str">
            <v>PHYSICIAN DIRECT CARE-21 AND OLDER</v>
          </cell>
          <cell r="F1520" t="str">
            <v>T0433KX</v>
          </cell>
          <cell r="P1520"/>
        </row>
        <row r="1521">
          <cell r="A1521"/>
          <cell r="C1521" t="str">
            <v>Hospice</v>
          </cell>
          <cell r="D1521" t="str">
            <v>MEDICAL SERVICES</v>
          </cell>
          <cell r="E1521" t="str">
            <v>PHYSICIAN DIRECT CARE-21 AND OLDER</v>
          </cell>
          <cell r="F1521" t="str">
            <v>T0431KX</v>
          </cell>
          <cell r="P1521"/>
        </row>
        <row r="1522">
          <cell r="A1522"/>
          <cell r="C1522" t="str">
            <v>Hospice</v>
          </cell>
          <cell r="D1522" t="str">
            <v>MEDICAL SERVICES</v>
          </cell>
          <cell r="E1522" t="str">
            <v>PHYSICIAN DIRECT CARE-21 AND OLDER</v>
          </cell>
          <cell r="F1522" t="str">
            <v>T0429KX</v>
          </cell>
          <cell r="P1522"/>
        </row>
        <row r="1523">
          <cell r="A1523"/>
          <cell r="C1523" t="str">
            <v>Hospice</v>
          </cell>
          <cell r="D1523" t="str">
            <v>MEDICAL SERVICES</v>
          </cell>
          <cell r="E1523" t="str">
            <v>PHYSICIAN DIRECT CARE-21 AND OLDER</v>
          </cell>
          <cell r="F1523" t="str">
            <v>T0427KX</v>
          </cell>
          <cell r="P1523"/>
        </row>
        <row r="1524">
          <cell r="A1524"/>
          <cell r="C1524" t="str">
            <v>Hospice</v>
          </cell>
          <cell r="D1524" t="str">
            <v>MEDICAL SERVICES</v>
          </cell>
          <cell r="E1524" t="str">
            <v>PHYSICIAN DIRECT CARE-21 AND OLDER</v>
          </cell>
          <cell r="F1524" t="str">
            <v>T0425KX</v>
          </cell>
          <cell r="P1524"/>
        </row>
        <row r="1525">
          <cell r="A1525"/>
          <cell r="C1525" t="str">
            <v>Hospice</v>
          </cell>
          <cell r="D1525" t="str">
            <v>MEDICAL SERVICES</v>
          </cell>
          <cell r="E1525" t="str">
            <v>PHYSICIAN DIRECT CARE-21 AND OLDER</v>
          </cell>
          <cell r="F1525" t="str">
            <v>T0423KX</v>
          </cell>
          <cell r="P1525"/>
        </row>
        <row r="1526">
          <cell r="A1526"/>
          <cell r="C1526" t="str">
            <v>Hospice</v>
          </cell>
          <cell r="D1526" t="str">
            <v>MEDICAL SERVICES</v>
          </cell>
          <cell r="E1526" t="str">
            <v>PHYSICIAN DIRECT CARE-21 AND OLDER</v>
          </cell>
          <cell r="F1526" t="str">
            <v>T0421KX</v>
          </cell>
          <cell r="P1526"/>
        </row>
        <row r="1527">
          <cell r="A1527"/>
          <cell r="C1527" t="str">
            <v>Hospice</v>
          </cell>
          <cell r="D1527" t="str">
            <v>MEDICAL SERVICES</v>
          </cell>
          <cell r="E1527" t="str">
            <v>PHYSICIAN DIRECT CARE-21 AND OLDER</v>
          </cell>
          <cell r="F1527" t="str">
            <v>T0419KX</v>
          </cell>
          <cell r="P1527"/>
        </row>
        <row r="1528">
          <cell r="A1528"/>
          <cell r="C1528" t="str">
            <v>Hospice</v>
          </cell>
          <cell r="D1528" t="str">
            <v>MEDICAL SERVICES</v>
          </cell>
          <cell r="E1528" t="str">
            <v>PHYSICIAN DIRECT CARE-21 AND OLDER</v>
          </cell>
          <cell r="F1528" t="str">
            <v>T0417KX</v>
          </cell>
          <cell r="P1528"/>
        </row>
        <row r="1529">
          <cell r="A1529"/>
          <cell r="C1529" t="str">
            <v>Hospice</v>
          </cell>
          <cell r="D1529" t="str">
            <v>MEDICAL SERVICES</v>
          </cell>
          <cell r="E1529" t="str">
            <v>PHYSICIAN DIRECT CARE-21 AND OLDER</v>
          </cell>
          <cell r="F1529" t="str">
            <v>T0415KX</v>
          </cell>
          <cell r="P1529"/>
        </row>
        <row r="1530">
          <cell r="A1530"/>
          <cell r="C1530" t="str">
            <v>Hospice</v>
          </cell>
          <cell r="D1530" t="str">
            <v>MEDICAL SERVICES</v>
          </cell>
          <cell r="E1530" t="str">
            <v>PHYSICIAN DIRECT CARE-21 AND OLDER</v>
          </cell>
          <cell r="F1530" t="str">
            <v>T0413KX</v>
          </cell>
          <cell r="P1530"/>
        </row>
        <row r="1531">
          <cell r="A1531"/>
          <cell r="C1531" t="str">
            <v>Hospice</v>
          </cell>
          <cell r="D1531" t="str">
            <v>MEDICAL SERVICES</v>
          </cell>
          <cell r="E1531" t="str">
            <v>PHYSICIAN DIRECT CARE-21 AND OLDER</v>
          </cell>
          <cell r="F1531" t="str">
            <v>T0411KX</v>
          </cell>
          <cell r="P1531"/>
        </row>
        <row r="1532">
          <cell r="A1532"/>
          <cell r="C1532" t="str">
            <v>Hospice</v>
          </cell>
          <cell r="D1532" t="str">
            <v>MEDICAL SERVICES</v>
          </cell>
          <cell r="E1532" t="str">
            <v>PHYSICIAN DIRECT CARE-21 AND OLDER</v>
          </cell>
          <cell r="F1532" t="str">
            <v>T0399KX</v>
          </cell>
          <cell r="P1532"/>
        </row>
        <row r="1533">
          <cell r="A1533"/>
          <cell r="C1533" t="str">
            <v>Hospice</v>
          </cell>
          <cell r="D1533" t="str">
            <v>MEDICAL SERVICES</v>
          </cell>
          <cell r="E1533" t="str">
            <v>PHYSICIAN DIRECT CARE-21 AND OLDER</v>
          </cell>
          <cell r="F1533" t="str">
            <v>T0397KX</v>
          </cell>
          <cell r="P1533"/>
        </row>
        <row r="1534">
          <cell r="A1534"/>
          <cell r="C1534" t="str">
            <v>Hospice</v>
          </cell>
          <cell r="D1534" t="str">
            <v>MEDICAL SERVICES</v>
          </cell>
          <cell r="E1534" t="str">
            <v>PHYSICIAN DIRECT CARE-21 AND OLDER</v>
          </cell>
          <cell r="F1534" t="str">
            <v>T0395KX</v>
          </cell>
          <cell r="P1534"/>
        </row>
        <row r="1535">
          <cell r="A1535"/>
          <cell r="C1535" t="str">
            <v>Hospice</v>
          </cell>
          <cell r="D1535" t="str">
            <v>MEDICAL SERVICES</v>
          </cell>
          <cell r="E1535" t="str">
            <v>PHYSICIAN DIRECT CARE-21 AND OLDER</v>
          </cell>
          <cell r="F1535" t="str">
            <v>T0393KX</v>
          </cell>
          <cell r="P1535"/>
        </row>
        <row r="1536">
          <cell r="A1536"/>
          <cell r="C1536" t="str">
            <v>Hospice</v>
          </cell>
          <cell r="D1536" t="str">
            <v>MEDICAL SERVICES</v>
          </cell>
          <cell r="E1536" t="str">
            <v>PHYSICIAN DIRECT CARE-21 AND OLDER</v>
          </cell>
          <cell r="F1536" t="str">
            <v>T0391KX</v>
          </cell>
          <cell r="P1536"/>
        </row>
        <row r="1537">
          <cell r="A1537"/>
          <cell r="C1537" t="str">
            <v>Hospice</v>
          </cell>
          <cell r="D1537" t="str">
            <v>MEDICAL SERVICES</v>
          </cell>
          <cell r="E1537" t="str">
            <v>PHYSICIAN DIRECT CARE-21 AND OLDER</v>
          </cell>
          <cell r="F1537" t="str">
            <v>T0369KX</v>
          </cell>
          <cell r="P1537"/>
        </row>
        <row r="1538">
          <cell r="A1538"/>
          <cell r="C1538" t="str">
            <v>Hospice</v>
          </cell>
          <cell r="D1538" t="str">
            <v>MEDICAL SERVICES</v>
          </cell>
          <cell r="E1538" t="str">
            <v>PHYSICIAN DIRECT CARE-21 AND OLDER</v>
          </cell>
          <cell r="F1538" t="str">
            <v>T0367KX</v>
          </cell>
          <cell r="P1538"/>
        </row>
        <row r="1539">
          <cell r="A1539"/>
          <cell r="C1539" t="str">
            <v>Hospice</v>
          </cell>
          <cell r="D1539" t="str">
            <v>MEDICAL SERVICES</v>
          </cell>
          <cell r="E1539" t="str">
            <v>PHYSICIAN DIRECT CARE-21 AND OLDER</v>
          </cell>
          <cell r="F1539" t="str">
            <v>T0365KX</v>
          </cell>
          <cell r="P1539"/>
        </row>
        <row r="1540">
          <cell r="A1540"/>
          <cell r="C1540" t="str">
            <v>Hospice</v>
          </cell>
          <cell r="D1540" t="str">
            <v>MEDICAL SERVICES</v>
          </cell>
          <cell r="E1540" t="str">
            <v>PHYSICIAN DIRECT CARE-21 AND OLDER</v>
          </cell>
          <cell r="F1540" t="str">
            <v>T0363KX</v>
          </cell>
          <cell r="P1540"/>
        </row>
        <row r="1541">
          <cell r="A1541"/>
          <cell r="C1541" t="str">
            <v>Hospice</v>
          </cell>
          <cell r="D1541" t="str">
            <v>MEDICAL SERVICES</v>
          </cell>
          <cell r="E1541" t="str">
            <v>PHYSICIAN DIRECT CARE-21 AND OLDER</v>
          </cell>
          <cell r="F1541" t="str">
            <v>T0361KX</v>
          </cell>
          <cell r="P1541"/>
        </row>
        <row r="1542">
          <cell r="A1542"/>
          <cell r="C1542" t="str">
            <v>Hospice</v>
          </cell>
          <cell r="D1542" t="str">
            <v>MEDICAL SERVICES</v>
          </cell>
          <cell r="E1542" t="str">
            <v>PHYSICIAN DIRECT CARE-21 AND OLDER</v>
          </cell>
          <cell r="F1542" t="str">
            <v>T0359KX</v>
          </cell>
          <cell r="P1542"/>
        </row>
        <row r="1543">
          <cell r="A1543"/>
          <cell r="C1543" t="str">
            <v>Hospice</v>
          </cell>
          <cell r="D1543" t="str">
            <v>MEDICAL SERVICES</v>
          </cell>
          <cell r="E1543" t="str">
            <v>PHYSICIAN DIRECT CARE-21 AND OLDER</v>
          </cell>
          <cell r="F1543" t="str">
            <v>T0357KX</v>
          </cell>
          <cell r="P1543"/>
        </row>
        <row r="1544">
          <cell r="A1544"/>
          <cell r="C1544" t="str">
            <v>Hospice</v>
          </cell>
          <cell r="D1544" t="str">
            <v>MEDICAL SERVICES</v>
          </cell>
          <cell r="E1544" t="str">
            <v>PHYSICIAN DIRECT CARE-21 AND OLDER</v>
          </cell>
          <cell r="F1544" t="str">
            <v>T0355KX</v>
          </cell>
          <cell r="P1544"/>
        </row>
        <row r="1545">
          <cell r="A1545"/>
          <cell r="C1545" t="str">
            <v>Hospice</v>
          </cell>
          <cell r="D1545" t="str">
            <v>MEDICAL SERVICES</v>
          </cell>
          <cell r="E1545" t="str">
            <v>PHYSICIAN DIRECT CARE-21 AND OLDER</v>
          </cell>
          <cell r="F1545" t="str">
            <v>T0353KX</v>
          </cell>
          <cell r="P1545"/>
        </row>
        <row r="1546">
          <cell r="A1546"/>
          <cell r="C1546" t="str">
            <v>Hospice</v>
          </cell>
          <cell r="D1546" t="str">
            <v>MEDICAL SERVICES</v>
          </cell>
          <cell r="E1546" t="str">
            <v>PHYSICIAN DIRECT CARE-21 AND OLDER</v>
          </cell>
          <cell r="F1546" t="str">
            <v>T0335KX</v>
          </cell>
          <cell r="P1546"/>
        </row>
        <row r="1547">
          <cell r="A1547"/>
          <cell r="C1547" t="str">
            <v>Hospice</v>
          </cell>
          <cell r="D1547" t="str">
            <v>MEDICAL SERVICES</v>
          </cell>
          <cell r="E1547" t="str">
            <v>PHYSICIAN DIRECT CARE-21 AND OLDER</v>
          </cell>
          <cell r="F1547" t="str">
            <v>T0333KX</v>
          </cell>
          <cell r="P1547"/>
        </row>
        <row r="1548">
          <cell r="A1548"/>
          <cell r="C1548" t="str">
            <v>Hospice</v>
          </cell>
          <cell r="D1548" t="str">
            <v>MEDICAL SERVICES</v>
          </cell>
          <cell r="E1548" t="str">
            <v>PHYSICIAN DIRECT CARE-21 AND OLDER</v>
          </cell>
          <cell r="F1548" t="str">
            <v>T0329KX</v>
          </cell>
          <cell r="P1548"/>
        </row>
        <row r="1549">
          <cell r="A1549"/>
          <cell r="C1549" t="str">
            <v>Hospice</v>
          </cell>
          <cell r="D1549" t="str">
            <v>MEDICAL SERVICES</v>
          </cell>
          <cell r="E1549" t="str">
            <v>PHYSICIAN DIRECT CARE-21 AND OLDER</v>
          </cell>
          <cell r="F1549" t="str">
            <v>T0327KX</v>
          </cell>
          <cell r="P1549"/>
        </row>
        <row r="1550">
          <cell r="A1550"/>
          <cell r="C1550" t="str">
            <v>Hospice</v>
          </cell>
          <cell r="D1550" t="str">
            <v>MEDICAL SERVICES</v>
          </cell>
          <cell r="E1550" t="str">
            <v>PHYSICIAN DIRECT CARE-21 AND OLDER</v>
          </cell>
          <cell r="F1550" t="str">
            <v>T0325KX</v>
          </cell>
          <cell r="P1550"/>
        </row>
        <row r="1551">
          <cell r="A1551"/>
          <cell r="C1551" t="str">
            <v>Hospice</v>
          </cell>
          <cell r="D1551" t="str">
            <v>MEDICAL SERVICES</v>
          </cell>
          <cell r="E1551" t="str">
            <v>PHYSICIAN DIRECT CARE-21 AND OLDER</v>
          </cell>
          <cell r="F1551" t="str">
            <v>T0323KX</v>
          </cell>
          <cell r="P1551"/>
        </row>
        <row r="1552">
          <cell r="A1552"/>
          <cell r="C1552" t="str">
            <v>Hospice</v>
          </cell>
          <cell r="D1552" t="str">
            <v>MEDICAL SERVICES</v>
          </cell>
          <cell r="E1552" t="str">
            <v>PHYSICIAN DIRECT CARE-21 AND OLDER</v>
          </cell>
          <cell r="F1552" t="str">
            <v>T0321KX</v>
          </cell>
          <cell r="P1552"/>
        </row>
        <row r="1553">
          <cell r="A1553"/>
          <cell r="C1553" t="str">
            <v>Hospice</v>
          </cell>
          <cell r="D1553" t="str">
            <v>MEDICAL SERVICES</v>
          </cell>
          <cell r="E1553" t="str">
            <v>PHYSICIAN DIRECT CARE-21 AND OLDER</v>
          </cell>
          <cell r="F1553" t="str">
            <v>T0319KX</v>
          </cell>
          <cell r="P1553"/>
        </row>
        <row r="1554">
          <cell r="A1554"/>
          <cell r="C1554" t="str">
            <v>Hospice</v>
          </cell>
          <cell r="D1554" t="str">
            <v>MEDICAL SERVICES</v>
          </cell>
          <cell r="E1554" t="str">
            <v>PHYSICIAN DIRECT CARE-UNDER 21</v>
          </cell>
          <cell r="F1554" t="str">
            <v>T0432</v>
          </cell>
          <cell r="P1554"/>
        </row>
        <row r="1555">
          <cell r="A1555"/>
          <cell r="C1555" t="str">
            <v>Hospice</v>
          </cell>
          <cell r="D1555" t="str">
            <v>MEDICAL SERVICES</v>
          </cell>
          <cell r="E1555" t="str">
            <v>PHYSICIAN DIRECT CARE-UNDER 21</v>
          </cell>
          <cell r="F1555" t="str">
            <v>T0430</v>
          </cell>
          <cell r="P1555"/>
        </row>
        <row r="1556">
          <cell r="A1556"/>
          <cell r="C1556" t="str">
            <v>Hospice</v>
          </cell>
          <cell r="D1556" t="str">
            <v>MEDICAL SERVICES</v>
          </cell>
          <cell r="E1556" t="str">
            <v>PHYSICIAN DIRECT CARE-UNDER 21</v>
          </cell>
          <cell r="F1556" t="str">
            <v>T0428</v>
          </cell>
          <cell r="P1556"/>
        </row>
        <row r="1557">
          <cell r="A1557"/>
          <cell r="C1557" t="str">
            <v>Hospice</v>
          </cell>
          <cell r="D1557" t="str">
            <v>MEDICAL SERVICES</v>
          </cell>
          <cell r="E1557" t="str">
            <v>PHYSICIAN DIRECT CARE-UNDER 21</v>
          </cell>
          <cell r="F1557" t="str">
            <v>T0426</v>
          </cell>
          <cell r="P1557"/>
        </row>
        <row r="1558">
          <cell r="A1558"/>
          <cell r="C1558" t="str">
            <v>Hospice</v>
          </cell>
          <cell r="D1558" t="str">
            <v>MEDICAL SERVICES</v>
          </cell>
          <cell r="E1558" t="str">
            <v>PHYSICIAN DIRECT CARE-UNDER 21</v>
          </cell>
          <cell r="F1558" t="str">
            <v>T0424</v>
          </cell>
          <cell r="P1558"/>
        </row>
        <row r="1559">
          <cell r="A1559"/>
          <cell r="C1559" t="str">
            <v>Hospice</v>
          </cell>
          <cell r="D1559" t="str">
            <v>MEDICAL SERVICES</v>
          </cell>
          <cell r="E1559" t="str">
            <v>PHYSICIAN DIRECT CARE-UNDER 21</v>
          </cell>
          <cell r="F1559" t="str">
            <v>T0422</v>
          </cell>
          <cell r="P1559"/>
        </row>
        <row r="1560">
          <cell r="A1560"/>
          <cell r="C1560" t="str">
            <v>Hospice</v>
          </cell>
          <cell r="D1560" t="str">
            <v>MEDICAL SERVICES</v>
          </cell>
          <cell r="E1560" t="str">
            <v>PHYSICIAN DIRECT CARE-UNDER 21</v>
          </cell>
          <cell r="F1560" t="str">
            <v>T0420</v>
          </cell>
          <cell r="P1560"/>
        </row>
        <row r="1561">
          <cell r="A1561"/>
          <cell r="C1561" t="str">
            <v>Hospice</v>
          </cell>
          <cell r="D1561" t="str">
            <v>MEDICAL SERVICES</v>
          </cell>
          <cell r="E1561" t="str">
            <v>PHYSICIAN DIRECT CARE-UNDER 21</v>
          </cell>
          <cell r="F1561" t="str">
            <v>T0418</v>
          </cell>
          <cell r="P1561"/>
        </row>
        <row r="1562">
          <cell r="A1562"/>
          <cell r="C1562" t="str">
            <v>Hospice</v>
          </cell>
          <cell r="D1562" t="str">
            <v>MEDICAL SERVICES</v>
          </cell>
          <cell r="E1562" t="str">
            <v>PHYSICIAN DIRECT CARE-UNDER 21</v>
          </cell>
          <cell r="F1562" t="str">
            <v>T0416</v>
          </cell>
          <cell r="P1562"/>
        </row>
        <row r="1563">
          <cell r="A1563"/>
          <cell r="C1563" t="str">
            <v>Hospice</v>
          </cell>
          <cell r="D1563" t="str">
            <v>MEDICAL SERVICES</v>
          </cell>
          <cell r="E1563" t="str">
            <v>PHYSICIAN DIRECT CARE-UNDER 21</v>
          </cell>
          <cell r="F1563" t="str">
            <v>T0414</v>
          </cell>
          <cell r="P1563"/>
        </row>
        <row r="1564">
          <cell r="A1564"/>
          <cell r="C1564" t="str">
            <v>Hospice</v>
          </cell>
          <cell r="D1564" t="str">
            <v>MEDICAL SERVICES</v>
          </cell>
          <cell r="E1564" t="str">
            <v>PHYSICIAN DIRECT CARE-UNDER 21</v>
          </cell>
          <cell r="F1564" t="str">
            <v>T0412</v>
          </cell>
          <cell r="P1564"/>
        </row>
        <row r="1565">
          <cell r="A1565"/>
          <cell r="C1565" t="str">
            <v>Hospice</v>
          </cell>
          <cell r="D1565" t="str">
            <v>MEDICAL SERVICES</v>
          </cell>
          <cell r="E1565" t="str">
            <v>PHYSICIAN DIRECT CARE-UNDER 21</v>
          </cell>
          <cell r="F1565" t="str">
            <v>T0410</v>
          </cell>
          <cell r="P1565"/>
        </row>
        <row r="1566">
          <cell r="A1566"/>
          <cell r="C1566" t="str">
            <v>Hospice</v>
          </cell>
          <cell r="D1566" t="str">
            <v>MEDICAL SERVICES</v>
          </cell>
          <cell r="E1566" t="str">
            <v>PHYSICIAN DIRECT CARE-UNDER 21</v>
          </cell>
          <cell r="F1566" t="str">
            <v>T0398</v>
          </cell>
          <cell r="P1566"/>
        </row>
        <row r="1567">
          <cell r="A1567"/>
          <cell r="C1567" t="str">
            <v>Hospice</v>
          </cell>
          <cell r="D1567" t="str">
            <v>MEDICAL SERVICES</v>
          </cell>
          <cell r="E1567" t="str">
            <v>PHYSICIAN DIRECT CARE-UNDER 21</v>
          </cell>
          <cell r="F1567" t="str">
            <v>T0396</v>
          </cell>
          <cell r="P1567"/>
        </row>
        <row r="1568">
          <cell r="A1568"/>
          <cell r="C1568" t="str">
            <v>Hospice</v>
          </cell>
          <cell r="D1568" t="str">
            <v>MEDICAL SERVICES</v>
          </cell>
          <cell r="E1568" t="str">
            <v>PHYSICIAN DIRECT CARE-UNDER 21</v>
          </cell>
          <cell r="F1568" t="str">
            <v>T0394</v>
          </cell>
          <cell r="P1568"/>
        </row>
        <row r="1569">
          <cell r="A1569"/>
          <cell r="C1569" t="str">
            <v>Hospice</v>
          </cell>
          <cell r="D1569" t="str">
            <v>MEDICAL SERVICES</v>
          </cell>
          <cell r="E1569" t="str">
            <v>PHYSICIAN DIRECT CARE-UNDER 21</v>
          </cell>
          <cell r="F1569" t="str">
            <v>T0392</v>
          </cell>
          <cell r="P1569"/>
        </row>
        <row r="1570">
          <cell r="A1570"/>
          <cell r="C1570" t="str">
            <v>Hospice</v>
          </cell>
          <cell r="D1570" t="str">
            <v>MEDICAL SERVICES</v>
          </cell>
          <cell r="E1570" t="str">
            <v>PHYSICIAN DIRECT CARE-UNDER 21</v>
          </cell>
          <cell r="F1570" t="str">
            <v>T0390</v>
          </cell>
          <cell r="P1570"/>
        </row>
        <row r="1571">
          <cell r="A1571"/>
          <cell r="C1571" t="str">
            <v>Hospice</v>
          </cell>
          <cell r="D1571" t="str">
            <v>MEDICAL SERVICES</v>
          </cell>
          <cell r="E1571" t="str">
            <v>PHYSICIAN DIRECT CARE-UNDER 21</v>
          </cell>
          <cell r="F1571" t="str">
            <v>T0368</v>
          </cell>
          <cell r="P1571"/>
        </row>
        <row r="1572">
          <cell r="A1572"/>
          <cell r="C1572" t="str">
            <v>Hospice</v>
          </cell>
          <cell r="D1572" t="str">
            <v>MEDICAL SERVICES</v>
          </cell>
          <cell r="E1572" t="str">
            <v>PHYSICIAN DIRECT CARE-UNDER 21</v>
          </cell>
          <cell r="F1572" t="str">
            <v>T0366</v>
          </cell>
          <cell r="P1572"/>
        </row>
        <row r="1573">
          <cell r="A1573"/>
          <cell r="C1573" t="str">
            <v>Hospice</v>
          </cell>
          <cell r="D1573" t="str">
            <v>MEDICAL SERVICES</v>
          </cell>
          <cell r="E1573" t="str">
            <v>PHYSICIAN DIRECT CARE-UNDER 21</v>
          </cell>
          <cell r="F1573" t="str">
            <v>T0364</v>
          </cell>
          <cell r="P1573"/>
        </row>
        <row r="1574">
          <cell r="A1574"/>
          <cell r="C1574" t="str">
            <v>Hospice</v>
          </cell>
          <cell r="D1574" t="str">
            <v>MEDICAL SERVICES</v>
          </cell>
          <cell r="E1574" t="str">
            <v>PHYSICIAN DIRECT CARE-UNDER 21</v>
          </cell>
          <cell r="F1574" t="str">
            <v>T0362</v>
          </cell>
          <cell r="P1574"/>
        </row>
        <row r="1575">
          <cell r="A1575"/>
          <cell r="C1575" t="str">
            <v>Hospice</v>
          </cell>
          <cell r="D1575" t="str">
            <v>MEDICAL SERVICES</v>
          </cell>
          <cell r="E1575" t="str">
            <v>PHYSICIAN DIRECT CARE-UNDER 21</v>
          </cell>
          <cell r="F1575" t="str">
            <v>T0360</v>
          </cell>
          <cell r="P1575"/>
        </row>
        <row r="1576">
          <cell r="A1576"/>
          <cell r="C1576" t="str">
            <v>Hospice</v>
          </cell>
          <cell r="D1576" t="str">
            <v>MEDICAL SERVICES</v>
          </cell>
          <cell r="E1576" t="str">
            <v>PHYSICIAN DIRECT CARE-UNDER 21</v>
          </cell>
          <cell r="F1576" t="str">
            <v>T0358</v>
          </cell>
          <cell r="P1576"/>
        </row>
        <row r="1577">
          <cell r="A1577"/>
          <cell r="C1577" t="str">
            <v>Hospice</v>
          </cell>
          <cell r="D1577" t="str">
            <v>MEDICAL SERVICES</v>
          </cell>
          <cell r="E1577" t="str">
            <v>PHYSICIAN DIRECT CARE-UNDER 21</v>
          </cell>
          <cell r="F1577" t="str">
            <v>T0356</v>
          </cell>
          <cell r="P1577"/>
        </row>
        <row r="1578">
          <cell r="A1578"/>
          <cell r="C1578" t="str">
            <v>Hospice</v>
          </cell>
          <cell r="D1578" t="str">
            <v>MEDICAL SERVICES</v>
          </cell>
          <cell r="E1578" t="str">
            <v>PHYSICIAN DIRECT CARE-UNDER 21</v>
          </cell>
          <cell r="F1578" t="str">
            <v>T0354</v>
          </cell>
          <cell r="P1578"/>
        </row>
        <row r="1579">
          <cell r="A1579"/>
          <cell r="C1579" t="str">
            <v>Hospice</v>
          </cell>
          <cell r="D1579" t="str">
            <v>MEDICAL SERVICES</v>
          </cell>
          <cell r="E1579" t="str">
            <v>PHYSICIAN DIRECT CARE-UNDER 21</v>
          </cell>
          <cell r="F1579" t="str">
            <v>T0352</v>
          </cell>
          <cell r="P1579"/>
        </row>
        <row r="1580">
          <cell r="A1580"/>
          <cell r="C1580" t="str">
            <v>Hospice</v>
          </cell>
          <cell r="D1580" t="str">
            <v>MEDICAL SERVICES</v>
          </cell>
          <cell r="E1580" t="str">
            <v>PHYSICIAN DIRECT CARE-UNDER 21</v>
          </cell>
          <cell r="F1580" t="str">
            <v>T0334</v>
          </cell>
          <cell r="P1580"/>
        </row>
        <row r="1581">
          <cell r="A1581"/>
          <cell r="C1581" t="str">
            <v>Hospice</v>
          </cell>
          <cell r="D1581" t="str">
            <v>MEDICAL SERVICES</v>
          </cell>
          <cell r="E1581" t="str">
            <v>PHYSICIAN DIRECT CARE-UNDER 21</v>
          </cell>
          <cell r="F1581" t="str">
            <v>T0332</v>
          </cell>
          <cell r="P1581"/>
        </row>
        <row r="1582">
          <cell r="A1582"/>
          <cell r="C1582" t="str">
            <v>Hospice</v>
          </cell>
          <cell r="D1582" t="str">
            <v>MEDICAL SERVICES</v>
          </cell>
          <cell r="E1582" t="str">
            <v>PHYSICIAN DIRECT CARE-UNDER 21</v>
          </cell>
          <cell r="F1582" t="str">
            <v>T0328</v>
          </cell>
          <cell r="P1582"/>
        </row>
        <row r="1583">
          <cell r="A1583"/>
          <cell r="C1583" t="str">
            <v>Hospice</v>
          </cell>
          <cell r="D1583" t="str">
            <v>MEDICAL SERVICES</v>
          </cell>
          <cell r="E1583" t="str">
            <v>PHYSICIAN DIRECT CARE-UNDER 21</v>
          </cell>
          <cell r="F1583" t="str">
            <v>T0326</v>
          </cell>
          <cell r="P1583"/>
        </row>
        <row r="1584">
          <cell r="A1584"/>
          <cell r="C1584" t="str">
            <v>Hospice</v>
          </cell>
          <cell r="D1584" t="str">
            <v>MEDICAL SERVICES</v>
          </cell>
          <cell r="E1584" t="str">
            <v>PHYSICIAN DIRECT CARE-UNDER 21</v>
          </cell>
          <cell r="F1584" t="str">
            <v>T0324</v>
          </cell>
          <cell r="P1584"/>
        </row>
        <row r="1585">
          <cell r="A1585"/>
          <cell r="C1585" t="str">
            <v>Hospice</v>
          </cell>
          <cell r="D1585" t="str">
            <v>MEDICAL SERVICES</v>
          </cell>
          <cell r="E1585" t="str">
            <v>PHYSICIAN DIRECT CARE-UNDER 21</v>
          </cell>
          <cell r="F1585" t="str">
            <v>T0322</v>
          </cell>
          <cell r="P1585"/>
        </row>
        <row r="1586">
          <cell r="A1586"/>
          <cell r="C1586" t="str">
            <v>Hospice</v>
          </cell>
          <cell r="D1586" t="str">
            <v>MEDICAL SERVICES</v>
          </cell>
          <cell r="E1586" t="str">
            <v>PHYSICIAN DIRECT CARE-UNDER 21</v>
          </cell>
          <cell r="F1586" t="str">
            <v>T0320</v>
          </cell>
          <cell r="P1586"/>
        </row>
        <row r="1587">
          <cell r="A1587"/>
          <cell r="C1587" t="str">
            <v>Hospice</v>
          </cell>
          <cell r="D1587" t="str">
            <v>MEDICAL SERVICES</v>
          </cell>
          <cell r="E1587" t="str">
            <v>PHYSICIAN DIRECT CARE-UNDER 21</v>
          </cell>
          <cell r="F1587" t="str">
            <v>T0318</v>
          </cell>
          <cell r="P1587"/>
        </row>
        <row r="1588">
          <cell r="A1588" t="str">
            <v>State Plan (Title XIX)</v>
          </cell>
          <cell r="C1588" t="str">
            <v>Hospice</v>
          </cell>
          <cell r="D1588" t="str">
            <v xml:space="preserve">Medicare Co-Insurance </v>
          </cell>
          <cell r="E1588" t="str">
            <v xml:space="preserve">Medicare Pharmacy Coinsurance </v>
          </cell>
          <cell r="F1588" t="str">
            <v>832T0400</v>
          </cell>
        </row>
        <row r="1589">
          <cell r="A1589" t="str">
            <v>State Plan (Title XIX)</v>
          </cell>
          <cell r="C1589" t="str">
            <v>Hospice</v>
          </cell>
          <cell r="D1589" t="str">
            <v xml:space="preserve">Medicare Co-Insurance </v>
          </cell>
          <cell r="E1589" t="str">
            <v xml:space="preserve">Medicare Respite Coinsurance </v>
          </cell>
          <cell r="F1589" t="str">
            <v>833T0401</v>
          </cell>
        </row>
        <row r="1590">
          <cell r="A1590" t="str">
            <v>State Plan (Title XIX)</v>
          </cell>
          <cell r="C1590" t="str">
            <v>Hospice</v>
          </cell>
          <cell r="D1590" t="str">
            <v>NF Daily Care</v>
          </cell>
          <cell r="E1590" t="str">
            <v>NURSING FACILITY ROOM &amp; BOARD BA1</v>
          </cell>
          <cell r="F1590" t="str">
            <v>831RG024</v>
          </cell>
        </row>
        <row r="1591">
          <cell r="A1591" t="str">
            <v>State Plan (Title XIX)</v>
          </cell>
          <cell r="C1591" t="str">
            <v>Hospice</v>
          </cell>
          <cell r="D1591" t="str">
            <v>NF Daily Care</v>
          </cell>
          <cell r="E1591" t="str">
            <v>NURSING FACILITY ROOM &amp; BOARD BA1</v>
          </cell>
          <cell r="F1591" t="str">
            <v>831RG024</v>
          </cell>
        </row>
        <row r="1592">
          <cell r="A1592" t="str">
            <v>State Plan (Title XIX)</v>
          </cell>
          <cell r="C1592" t="str">
            <v>Hospice</v>
          </cell>
          <cell r="D1592" t="str">
            <v>NF Daily Care</v>
          </cell>
          <cell r="E1592" t="str">
            <v>NURSING FACILITY ROOM &amp; BOARD BA2</v>
          </cell>
          <cell r="F1592" t="str">
            <v>831RG023</v>
          </cell>
        </row>
        <row r="1593">
          <cell r="A1593" t="str">
            <v>State Plan (Title XIX)</v>
          </cell>
          <cell r="C1593" t="str">
            <v>Hospice</v>
          </cell>
          <cell r="D1593" t="str">
            <v>NF Daily Care</v>
          </cell>
          <cell r="E1593" t="str">
            <v>NURSING FACILITY ROOM &amp; BOARD BA2</v>
          </cell>
          <cell r="F1593" t="str">
            <v>831RG023</v>
          </cell>
        </row>
        <row r="1594">
          <cell r="A1594" t="str">
            <v>State Plan (Title XIX)</v>
          </cell>
          <cell r="C1594" t="str">
            <v>Hospice</v>
          </cell>
          <cell r="D1594" t="str">
            <v>NF Daily Care</v>
          </cell>
          <cell r="E1594" t="str">
            <v>NURSING FACILITY ROOM &amp; BOARD BB1</v>
          </cell>
          <cell r="F1594" t="str">
            <v>831RG022</v>
          </cell>
        </row>
        <row r="1595">
          <cell r="A1595" t="str">
            <v>State Plan (Title XIX)</v>
          </cell>
          <cell r="C1595" t="str">
            <v>Hospice</v>
          </cell>
          <cell r="D1595" t="str">
            <v>NF Daily Care</v>
          </cell>
          <cell r="E1595" t="str">
            <v>NURSING FACILITY ROOM &amp; BOARD BB1</v>
          </cell>
          <cell r="F1595" t="str">
            <v>831RG022</v>
          </cell>
        </row>
        <row r="1596">
          <cell r="A1596" t="str">
            <v>State Plan (Title XIX)</v>
          </cell>
          <cell r="C1596" t="str">
            <v>Hospice</v>
          </cell>
          <cell r="D1596" t="str">
            <v>NF Daily Care</v>
          </cell>
          <cell r="E1596" t="str">
            <v>NURSING FACILITY ROOM &amp; BOARD BB2</v>
          </cell>
          <cell r="F1596" t="str">
            <v>831RG021</v>
          </cell>
        </row>
        <row r="1597">
          <cell r="A1597" t="str">
            <v>State Plan (Title XIX)</v>
          </cell>
          <cell r="C1597" t="str">
            <v>Hospice</v>
          </cell>
          <cell r="D1597" t="str">
            <v>NF Daily Care</v>
          </cell>
          <cell r="E1597" t="str">
            <v>NURSING FACILITY ROOM &amp; BOARD BB2</v>
          </cell>
          <cell r="F1597" t="str">
            <v>831RG021</v>
          </cell>
        </row>
        <row r="1598">
          <cell r="A1598" t="str">
            <v>State Plan (Title XIX)</v>
          </cell>
          <cell r="C1598" t="str">
            <v>Hospice</v>
          </cell>
          <cell r="D1598" t="str">
            <v>NF Daily Care</v>
          </cell>
          <cell r="E1598" t="str">
            <v>NURSING FACILITY ROOM &amp; BOARD BC1</v>
          </cell>
          <cell r="F1598" t="str">
            <v>831RG035</v>
          </cell>
        </row>
        <row r="1599">
          <cell r="A1599" t="str">
            <v>State Plan (Title XIX)</v>
          </cell>
          <cell r="C1599" t="str">
            <v>Hospice</v>
          </cell>
          <cell r="D1599" t="str">
            <v>NF Daily Care</v>
          </cell>
          <cell r="E1599" t="str">
            <v>NURSING FACILITY ROOM &amp; BOARD BC1</v>
          </cell>
          <cell r="F1599" t="str">
            <v>831RG035</v>
          </cell>
        </row>
        <row r="1600">
          <cell r="A1600" t="str">
            <v>State Plan (Title XIX)</v>
          </cell>
          <cell r="C1600" t="str">
            <v>Hospice</v>
          </cell>
          <cell r="D1600" t="str">
            <v>NF Daily Care</v>
          </cell>
          <cell r="E1600" t="str">
            <v>NURSING FACILITY ROOM &amp; BOARD CA1</v>
          </cell>
          <cell r="F1600" t="str">
            <v>831RG016</v>
          </cell>
        </row>
        <row r="1601">
          <cell r="A1601" t="str">
            <v>State Plan (Title XIX)</v>
          </cell>
          <cell r="C1601" t="str">
            <v>Hospice</v>
          </cell>
          <cell r="D1601" t="str">
            <v>NF Daily Care</v>
          </cell>
          <cell r="E1601" t="str">
            <v>NURSING FACILITY ROOM &amp; BOARD CA1</v>
          </cell>
          <cell r="F1601" t="str">
            <v>831RG016</v>
          </cell>
        </row>
        <row r="1602">
          <cell r="A1602" t="str">
            <v>State Plan (Title XIX)</v>
          </cell>
          <cell r="C1602" t="str">
            <v>Hospice</v>
          </cell>
          <cell r="D1602" t="str">
            <v>NF Daily Care</v>
          </cell>
          <cell r="E1602" t="str">
            <v>NURSING FACILITY ROOM &amp; BOARD CA2</v>
          </cell>
          <cell r="F1602" t="str">
            <v>831RG015</v>
          </cell>
        </row>
        <row r="1603">
          <cell r="A1603" t="str">
            <v>State Plan (Title XIX)</v>
          </cell>
          <cell r="C1603" t="str">
            <v>Hospice</v>
          </cell>
          <cell r="D1603" t="str">
            <v>NF Daily Care</v>
          </cell>
          <cell r="E1603" t="str">
            <v>NURSING FACILITY ROOM &amp; BOARD CA2</v>
          </cell>
          <cell r="F1603" t="str">
            <v>831RG015</v>
          </cell>
        </row>
        <row r="1604">
          <cell r="A1604" t="str">
            <v>State Plan (Title XIX)</v>
          </cell>
          <cell r="C1604" t="str">
            <v>Hospice</v>
          </cell>
          <cell r="D1604" t="str">
            <v>NF Daily Care</v>
          </cell>
          <cell r="E1604" t="str">
            <v>NURSING FACILITY ROOM &amp; BOARD CB1</v>
          </cell>
          <cell r="F1604" t="str">
            <v>831RG014</v>
          </cell>
        </row>
        <row r="1605">
          <cell r="A1605" t="str">
            <v>State Plan (Title XIX)</v>
          </cell>
          <cell r="C1605" t="str">
            <v>Hospice</v>
          </cell>
          <cell r="D1605" t="str">
            <v>NF Daily Care</v>
          </cell>
          <cell r="E1605" t="str">
            <v>NURSING FACILITY ROOM &amp; BOARD CB1</v>
          </cell>
          <cell r="F1605" t="str">
            <v>831RG014</v>
          </cell>
        </row>
        <row r="1606">
          <cell r="A1606" t="str">
            <v>State Plan (Title XIX)</v>
          </cell>
          <cell r="C1606" t="str">
            <v>Hospice</v>
          </cell>
          <cell r="D1606" t="str">
            <v>NF Daily Care</v>
          </cell>
          <cell r="E1606" t="str">
            <v>NURSING FACILITY ROOM &amp; BOARD CB2</v>
          </cell>
          <cell r="F1606" t="str">
            <v>831RG013</v>
          </cell>
        </row>
        <row r="1607">
          <cell r="A1607" t="str">
            <v>State Plan (Title XIX)</v>
          </cell>
          <cell r="C1607" t="str">
            <v>Hospice</v>
          </cell>
          <cell r="D1607" t="str">
            <v>NF Daily Care</v>
          </cell>
          <cell r="E1607" t="str">
            <v>NURSING FACILITY ROOM &amp; BOARD CB2</v>
          </cell>
          <cell r="F1607" t="str">
            <v>831RG013</v>
          </cell>
        </row>
        <row r="1608">
          <cell r="A1608" t="str">
            <v>State Plan (Title XIX)</v>
          </cell>
          <cell r="C1608" t="str">
            <v>Hospice</v>
          </cell>
          <cell r="D1608" t="str">
            <v>NF Daily Care</v>
          </cell>
          <cell r="E1608" t="str">
            <v>NURSING FACILITY ROOM &amp; BOARD CC1</v>
          </cell>
          <cell r="F1608" t="str">
            <v>831RG012</v>
          </cell>
        </row>
        <row r="1609">
          <cell r="A1609" t="str">
            <v>State Plan (Title XIX)</v>
          </cell>
          <cell r="C1609" t="str">
            <v>Hospice</v>
          </cell>
          <cell r="D1609" t="str">
            <v>NF Daily Care</v>
          </cell>
          <cell r="E1609" t="str">
            <v>NURSING FACILITY ROOM &amp; BOARD CC1</v>
          </cell>
          <cell r="F1609" t="str">
            <v>831RG012</v>
          </cell>
        </row>
        <row r="1610">
          <cell r="A1610" t="str">
            <v>State Plan (Title XIX)</v>
          </cell>
          <cell r="C1610" t="str">
            <v>Hospice</v>
          </cell>
          <cell r="D1610" t="str">
            <v>NF Daily Care</v>
          </cell>
          <cell r="E1610" t="str">
            <v>NURSING FACILITY ROOM &amp; BOARD CC2</v>
          </cell>
          <cell r="F1610" t="str">
            <v>831RG011</v>
          </cell>
        </row>
        <row r="1611">
          <cell r="A1611" t="str">
            <v>State Plan (Title XIX)</v>
          </cell>
          <cell r="C1611" t="str">
            <v>Hospice</v>
          </cell>
          <cell r="D1611" t="str">
            <v>NF Daily Care</v>
          </cell>
          <cell r="E1611" t="str">
            <v>NURSING FACILITY ROOM &amp; BOARD CC2</v>
          </cell>
          <cell r="F1611" t="str">
            <v>831RG011</v>
          </cell>
        </row>
        <row r="1612">
          <cell r="A1612" t="str">
            <v>State Plan (Title XIX)</v>
          </cell>
          <cell r="C1612" t="str">
            <v>Hospice</v>
          </cell>
          <cell r="D1612" t="str">
            <v>NF Daily Care</v>
          </cell>
          <cell r="E1612" t="str">
            <v>NURSING FACILITY ROOM &amp; BOARD IA1</v>
          </cell>
          <cell r="F1612" t="str">
            <v>831RG020</v>
          </cell>
        </row>
        <row r="1613">
          <cell r="A1613" t="str">
            <v>State Plan (Title XIX)</v>
          </cell>
          <cell r="C1613" t="str">
            <v>Hospice</v>
          </cell>
          <cell r="D1613" t="str">
            <v>NF Daily Care</v>
          </cell>
          <cell r="E1613" t="str">
            <v>NURSING FACILITY ROOM &amp; BOARD IA1</v>
          </cell>
          <cell r="F1613" t="str">
            <v>831RG020</v>
          </cell>
        </row>
        <row r="1614">
          <cell r="A1614" t="str">
            <v>State Plan (Title XIX)</v>
          </cell>
          <cell r="C1614" t="str">
            <v>Hospice</v>
          </cell>
          <cell r="D1614" t="str">
            <v>NF Daily Care</v>
          </cell>
          <cell r="E1614" t="str">
            <v>NURSING FACILITY ROOM &amp; BOARD IA2</v>
          </cell>
          <cell r="F1614" t="str">
            <v>831RG019</v>
          </cell>
        </row>
        <row r="1615">
          <cell r="A1615" t="str">
            <v>State Plan (Title XIX)</v>
          </cell>
          <cell r="C1615" t="str">
            <v>Hospice</v>
          </cell>
          <cell r="D1615" t="str">
            <v>NF Daily Care</v>
          </cell>
          <cell r="E1615" t="str">
            <v>NURSING FACILITY ROOM &amp; BOARD IA2</v>
          </cell>
          <cell r="F1615" t="str">
            <v>831RG019</v>
          </cell>
        </row>
        <row r="1616">
          <cell r="A1616" t="str">
            <v>State Plan (Title XIX)</v>
          </cell>
          <cell r="C1616" t="str">
            <v>Hospice</v>
          </cell>
          <cell r="D1616" t="str">
            <v>NF Daily Care</v>
          </cell>
          <cell r="E1616" t="str">
            <v>NURSING FACILITY ROOM &amp; BOARD IB1</v>
          </cell>
          <cell r="F1616" t="str">
            <v>831RG018</v>
          </cell>
        </row>
        <row r="1617">
          <cell r="A1617" t="str">
            <v>State Plan (Title XIX)</v>
          </cell>
          <cell r="C1617" t="str">
            <v>Hospice</v>
          </cell>
          <cell r="D1617" t="str">
            <v>NF Daily Care</v>
          </cell>
          <cell r="E1617" t="str">
            <v>NURSING FACILITY ROOM &amp; BOARD IB1</v>
          </cell>
          <cell r="F1617" t="str">
            <v>831RG018</v>
          </cell>
        </row>
        <row r="1618">
          <cell r="A1618" t="str">
            <v>State Plan (Title XIX)</v>
          </cell>
          <cell r="C1618" t="str">
            <v>Hospice</v>
          </cell>
          <cell r="D1618" t="str">
            <v>NF Daily Care</v>
          </cell>
          <cell r="E1618" t="str">
            <v>NURSING FACILITY ROOM &amp; BOARD IB2</v>
          </cell>
          <cell r="F1618" t="str">
            <v>831RG017</v>
          </cell>
        </row>
        <row r="1619">
          <cell r="A1619" t="str">
            <v>State Plan (Title XIX)</v>
          </cell>
          <cell r="C1619" t="str">
            <v>Hospice</v>
          </cell>
          <cell r="D1619" t="str">
            <v>NF Daily Care</v>
          </cell>
          <cell r="E1619" t="str">
            <v>NURSING FACILITY ROOM &amp; BOARD IB2</v>
          </cell>
          <cell r="F1619" t="str">
            <v>831RG017</v>
          </cell>
        </row>
        <row r="1620">
          <cell r="A1620" t="str">
            <v>State Plan (Title XIX)</v>
          </cell>
          <cell r="C1620" t="str">
            <v>Hospice</v>
          </cell>
          <cell r="D1620" t="str">
            <v>NF Daily Care</v>
          </cell>
          <cell r="E1620" t="str">
            <v>NURSING FACILITY ROOM &amp; BOARD PA1</v>
          </cell>
          <cell r="F1620" t="str">
            <v>831RG034</v>
          </cell>
        </row>
        <row r="1621">
          <cell r="A1621" t="str">
            <v>State Plan (Title XIX)</v>
          </cell>
          <cell r="C1621" t="str">
            <v>Hospice</v>
          </cell>
          <cell r="D1621" t="str">
            <v>NF Daily Care</v>
          </cell>
          <cell r="E1621" t="str">
            <v>NURSING FACILITY ROOM &amp; BOARD PA1</v>
          </cell>
          <cell r="F1621" t="str">
            <v>831RG034</v>
          </cell>
        </row>
        <row r="1622">
          <cell r="A1622" t="str">
            <v>State Plan (Title XIX)</v>
          </cell>
          <cell r="C1622" t="str">
            <v>Hospice</v>
          </cell>
          <cell r="D1622" t="str">
            <v>NF Daily Care</v>
          </cell>
          <cell r="E1622" t="str">
            <v>NURSING FACILITY ROOM &amp; BOARD PA2</v>
          </cell>
          <cell r="F1622" t="str">
            <v>831RG033</v>
          </cell>
        </row>
        <row r="1623">
          <cell r="A1623" t="str">
            <v>State Plan (Title XIX)</v>
          </cell>
          <cell r="C1623" t="str">
            <v>Hospice</v>
          </cell>
          <cell r="D1623" t="str">
            <v>NF Daily Care</v>
          </cell>
          <cell r="E1623" t="str">
            <v>NURSING FACILITY ROOM &amp; BOARD PA2</v>
          </cell>
          <cell r="F1623" t="str">
            <v>831RG033</v>
          </cell>
        </row>
        <row r="1624">
          <cell r="A1624" t="str">
            <v>State Plan (Title XIX)</v>
          </cell>
          <cell r="C1624" t="str">
            <v>Hospice</v>
          </cell>
          <cell r="D1624" t="str">
            <v>NF Daily Care</v>
          </cell>
          <cell r="E1624" t="str">
            <v>NURSING FACILITY ROOM &amp; BOARD PB1</v>
          </cell>
          <cell r="F1624" t="str">
            <v>831RG032</v>
          </cell>
        </row>
        <row r="1625">
          <cell r="A1625" t="str">
            <v>State Plan (Title XIX)</v>
          </cell>
          <cell r="C1625" t="str">
            <v>Hospice</v>
          </cell>
          <cell r="D1625" t="str">
            <v>NF Daily Care</v>
          </cell>
          <cell r="E1625" t="str">
            <v>NURSING FACILITY ROOM &amp; BOARD PB1</v>
          </cell>
          <cell r="F1625" t="str">
            <v>831RG032</v>
          </cell>
        </row>
        <row r="1626">
          <cell r="A1626" t="str">
            <v>State Plan (Title XIX)</v>
          </cell>
          <cell r="C1626" t="str">
            <v>Hospice</v>
          </cell>
          <cell r="D1626" t="str">
            <v>NF Daily Care</v>
          </cell>
          <cell r="E1626" t="str">
            <v>NURSING FACILITY ROOM &amp; BOARD PB2</v>
          </cell>
          <cell r="F1626" t="str">
            <v>831RG031</v>
          </cell>
        </row>
        <row r="1627">
          <cell r="A1627" t="str">
            <v>State Plan (Title XIX)</v>
          </cell>
          <cell r="C1627" t="str">
            <v>Hospice</v>
          </cell>
          <cell r="D1627" t="str">
            <v>NF Daily Care</v>
          </cell>
          <cell r="E1627" t="str">
            <v>NURSING FACILITY ROOM &amp; BOARD PB2</v>
          </cell>
          <cell r="F1627" t="str">
            <v>831RG031</v>
          </cell>
        </row>
        <row r="1628">
          <cell r="A1628" t="str">
            <v>State Plan (Title XIX)</v>
          </cell>
          <cell r="C1628" t="str">
            <v>Hospice</v>
          </cell>
          <cell r="D1628" t="str">
            <v>NF Daily Care</v>
          </cell>
          <cell r="E1628" t="str">
            <v>NURSING FACILITY ROOM &amp; BOARD PC1</v>
          </cell>
          <cell r="F1628" t="str">
            <v>831RG030</v>
          </cell>
        </row>
        <row r="1629">
          <cell r="A1629" t="str">
            <v>State Plan (Title XIX)</v>
          </cell>
          <cell r="C1629" t="str">
            <v>Hospice</v>
          </cell>
          <cell r="D1629" t="str">
            <v>NF Daily Care</v>
          </cell>
          <cell r="E1629" t="str">
            <v>NURSING FACILITY ROOM &amp; BOARD PC1</v>
          </cell>
          <cell r="F1629" t="str">
            <v>831RG030</v>
          </cell>
        </row>
        <row r="1630">
          <cell r="A1630" t="str">
            <v>State Plan (Title XIX)</v>
          </cell>
          <cell r="C1630" t="str">
            <v>Hospice</v>
          </cell>
          <cell r="D1630" t="str">
            <v>NF Daily Care</v>
          </cell>
          <cell r="E1630" t="str">
            <v>NURSING FACILITY ROOM &amp; BOARD PC2</v>
          </cell>
          <cell r="F1630" t="str">
            <v>831RG029</v>
          </cell>
        </row>
        <row r="1631">
          <cell r="A1631" t="str">
            <v>State Plan (Title XIX)</v>
          </cell>
          <cell r="C1631" t="str">
            <v>Hospice</v>
          </cell>
          <cell r="D1631" t="str">
            <v>NF Daily Care</v>
          </cell>
          <cell r="E1631" t="str">
            <v>NURSING FACILITY ROOM &amp; BOARD PC2</v>
          </cell>
          <cell r="F1631" t="str">
            <v>831RG029</v>
          </cell>
        </row>
        <row r="1632">
          <cell r="A1632" t="str">
            <v>State Plan (Title XIX)</v>
          </cell>
          <cell r="C1632" t="str">
            <v>Hospice</v>
          </cell>
          <cell r="D1632" t="str">
            <v>NF Daily Care</v>
          </cell>
          <cell r="E1632" t="str">
            <v>NURSING FACILITY ROOM &amp; BOARD PCE</v>
          </cell>
          <cell r="F1632" t="str">
            <v>831RG036</v>
          </cell>
        </row>
        <row r="1633">
          <cell r="A1633" t="str">
            <v>State Plan (Title XIX)</v>
          </cell>
          <cell r="C1633" t="str">
            <v>Hospice</v>
          </cell>
          <cell r="D1633" t="str">
            <v>NF Daily Care</v>
          </cell>
          <cell r="E1633" t="str">
            <v>NURSING FACILITY ROOM &amp; BOARD PCE</v>
          </cell>
          <cell r="F1633" t="str">
            <v>831RG036</v>
          </cell>
        </row>
        <row r="1634">
          <cell r="A1634" t="str">
            <v>State Plan (Title XIX)</v>
          </cell>
          <cell r="C1634" t="str">
            <v>Hospice</v>
          </cell>
          <cell r="D1634" t="str">
            <v>NF Daily Care</v>
          </cell>
          <cell r="E1634" t="str">
            <v>NURSING FACILITY ROOM &amp; BOARD PD1</v>
          </cell>
          <cell r="F1634" t="str">
            <v>831RG028</v>
          </cell>
        </row>
        <row r="1635">
          <cell r="A1635" t="str">
            <v>State Plan (Title XIX)</v>
          </cell>
          <cell r="C1635" t="str">
            <v>Hospice</v>
          </cell>
          <cell r="D1635" t="str">
            <v>NF Daily Care</v>
          </cell>
          <cell r="E1635" t="str">
            <v>NURSING FACILITY ROOM &amp; BOARD PD1</v>
          </cell>
          <cell r="F1635" t="str">
            <v>831RG028</v>
          </cell>
        </row>
        <row r="1636">
          <cell r="A1636" t="str">
            <v>State Plan (Title XIX)</v>
          </cell>
          <cell r="C1636" t="str">
            <v>Hospice</v>
          </cell>
          <cell r="D1636" t="str">
            <v>NF Daily Care</v>
          </cell>
          <cell r="E1636" t="str">
            <v>NURSING FACILITY ROOM &amp; BOARD PD2</v>
          </cell>
          <cell r="F1636" t="str">
            <v>831RG027</v>
          </cell>
        </row>
        <row r="1637">
          <cell r="A1637" t="str">
            <v>State Plan (Title XIX)</v>
          </cell>
          <cell r="C1637" t="str">
            <v>Hospice</v>
          </cell>
          <cell r="D1637" t="str">
            <v>NF Daily Care</v>
          </cell>
          <cell r="E1637" t="str">
            <v>NURSING FACILITY ROOM &amp; BOARD PD2</v>
          </cell>
          <cell r="F1637" t="str">
            <v>831RG027</v>
          </cell>
        </row>
        <row r="1638">
          <cell r="A1638" t="str">
            <v>State Plan (Title XIX)</v>
          </cell>
          <cell r="C1638" t="str">
            <v>Hospice</v>
          </cell>
          <cell r="D1638" t="str">
            <v>NF Daily Care</v>
          </cell>
          <cell r="E1638" t="str">
            <v>NURSING FACILITY ROOM &amp; BOARD PE1</v>
          </cell>
          <cell r="F1638" t="str">
            <v>831RG026</v>
          </cell>
        </row>
        <row r="1639">
          <cell r="A1639" t="str">
            <v>State Plan (Title XIX)</v>
          </cell>
          <cell r="C1639" t="str">
            <v>Hospice</v>
          </cell>
          <cell r="D1639" t="str">
            <v>NF Daily Care</v>
          </cell>
          <cell r="E1639" t="str">
            <v>NURSING FACILITY ROOM &amp; BOARD PE1</v>
          </cell>
          <cell r="F1639" t="str">
            <v>831RG026</v>
          </cell>
        </row>
        <row r="1640">
          <cell r="A1640" t="str">
            <v>State Plan (Title XIX)</v>
          </cell>
          <cell r="C1640" t="str">
            <v>Hospice</v>
          </cell>
          <cell r="D1640" t="str">
            <v>NF Daily Care</v>
          </cell>
          <cell r="E1640" t="str">
            <v>NURSING FACILITY ROOM &amp; BOARD PE2</v>
          </cell>
          <cell r="F1640" t="str">
            <v>831RG025</v>
          </cell>
        </row>
        <row r="1641">
          <cell r="A1641" t="str">
            <v>State Plan (Title XIX)</v>
          </cell>
          <cell r="C1641" t="str">
            <v>Hospice</v>
          </cell>
          <cell r="D1641" t="str">
            <v>NF Daily Care</v>
          </cell>
          <cell r="E1641" t="str">
            <v>NURSING FACILITY ROOM &amp; BOARD PE2</v>
          </cell>
          <cell r="F1641" t="str">
            <v>831RG025</v>
          </cell>
        </row>
        <row r="1642">
          <cell r="A1642" t="str">
            <v>State Plan (Title XIX)</v>
          </cell>
          <cell r="C1642" t="str">
            <v>Hospice</v>
          </cell>
          <cell r="D1642" t="str">
            <v>NF Daily Care</v>
          </cell>
          <cell r="E1642" t="str">
            <v>NURSING FACILITY ROOM &amp; BOARD RAA</v>
          </cell>
          <cell r="F1642" t="str">
            <v>831RG004</v>
          </cell>
        </row>
        <row r="1643">
          <cell r="A1643" t="str">
            <v>State Plan (Title XIX)</v>
          </cell>
          <cell r="C1643" t="str">
            <v>Hospice</v>
          </cell>
          <cell r="D1643" t="str">
            <v>NF Daily Care</v>
          </cell>
          <cell r="E1643" t="str">
            <v>NURSING FACILITY ROOM &amp; BOARD RAA</v>
          </cell>
          <cell r="F1643" t="str">
            <v>831RG004</v>
          </cell>
        </row>
        <row r="1644">
          <cell r="A1644" t="str">
            <v>State Plan (Title XIX)</v>
          </cell>
          <cell r="C1644" t="str">
            <v>Hospice</v>
          </cell>
          <cell r="D1644" t="str">
            <v>NF Daily Care</v>
          </cell>
          <cell r="E1644" t="str">
            <v>NURSING FACILITY ROOM &amp; BOARD RAB</v>
          </cell>
          <cell r="F1644" t="str">
            <v>831RG003</v>
          </cell>
        </row>
        <row r="1645">
          <cell r="A1645" t="str">
            <v>State Plan (Title XIX)</v>
          </cell>
          <cell r="C1645" t="str">
            <v>Hospice</v>
          </cell>
          <cell r="D1645" t="str">
            <v>NF Daily Care</v>
          </cell>
          <cell r="E1645" t="str">
            <v>NURSING FACILITY ROOM &amp; BOARD RAB</v>
          </cell>
          <cell r="F1645" t="str">
            <v>831RG003</v>
          </cell>
        </row>
        <row r="1646">
          <cell r="A1646" t="str">
            <v>State Plan (Title XIX)</v>
          </cell>
          <cell r="C1646" t="str">
            <v>Hospice</v>
          </cell>
          <cell r="D1646" t="str">
            <v>NF Daily Care</v>
          </cell>
          <cell r="E1646" t="str">
            <v>NURSING FACILITY ROOM &amp; BOARD RAC</v>
          </cell>
          <cell r="F1646" t="str">
            <v>831RG002</v>
          </cell>
        </row>
        <row r="1647">
          <cell r="A1647" t="str">
            <v>State Plan (Title XIX)</v>
          </cell>
          <cell r="C1647" t="str">
            <v>Hospice</v>
          </cell>
          <cell r="D1647" t="str">
            <v>NF Daily Care</v>
          </cell>
          <cell r="E1647" t="str">
            <v>NURSING FACILITY ROOM &amp; BOARD RAC</v>
          </cell>
          <cell r="F1647" t="str">
            <v>831RG002</v>
          </cell>
        </row>
        <row r="1648">
          <cell r="A1648" t="str">
            <v>State Plan (Title XIX)</v>
          </cell>
          <cell r="C1648" t="str">
            <v>Hospice</v>
          </cell>
          <cell r="D1648" t="str">
            <v>NF Daily Care</v>
          </cell>
          <cell r="E1648" t="str">
            <v>NURSING FACILITY ROOM &amp; BOARD RAD</v>
          </cell>
          <cell r="F1648" t="str">
            <v>831RG001</v>
          </cell>
        </row>
        <row r="1649">
          <cell r="A1649" t="str">
            <v>State Plan (Title XIX)</v>
          </cell>
          <cell r="C1649" t="str">
            <v>Hospice</v>
          </cell>
          <cell r="D1649" t="str">
            <v>NF Daily Care</v>
          </cell>
          <cell r="E1649" t="str">
            <v>NURSING FACILITY ROOM &amp; BOARD RAD</v>
          </cell>
          <cell r="F1649" t="str">
            <v>831RG001</v>
          </cell>
        </row>
        <row r="1650">
          <cell r="A1650" t="str">
            <v>State Plan (Title XIX)</v>
          </cell>
          <cell r="C1650" t="str">
            <v>Hospice</v>
          </cell>
          <cell r="D1650" t="str">
            <v>NF Daily Care</v>
          </cell>
          <cell r="E1650" t="str">
            <v>NURSING FACILITY ROOM &amp; BOARD SE1</v>
          </cell>
          <cell r="F1650" t="str">
            <v>831RG007</v>
          </cell>
        </row>
        <row r="1651">
          <cell r="A1651" t="str">
            <v>State Plan (Title XIX)</v>
          </cell>
          <cell r="C1651" t="str">
            <v>Hospice</v>
          </cell>
          <cell r="D1651" t="str">
            <v>NF Daily Care</v>
          </cell>
          <cell r="E1651" t="str">
            <v>NURSING FACILITY ROOM &amp; BOARD SE1</v>
          </cell>
          <cell r="F1651" t="str">
            <v>831RG007</v>
          </cell>
        </row>
        <row r="1652">
          <cell r="A1652" t="str">
            <v>State Plan (Title XIX)</v>
          </cell>
          <cell r="C1652" t="str">
            <v>Hospice</v>
          </cell>
          <cell r="D1652" t="str">
            <v>NF Daily Care</v>
          </cell>
          <cell r="E1652" t="str">
            <v>NURSING FACILITY ROOM &amp; BOARD SE2</v>
          </cell>
          <cell r="F1652" t="str">
            <v>831RG006</v>
          </cell>
        </row>
        <row r="1653">
          <cell r="A1653" t="str">
            <v>State Plan (Title XIX)</v>
          </cell>
          <cell r="C1653" t="str">
            <v>Hospice</v>
          </cell>
          <cell r="D1653" t="str">
            <v>NF Daily Care</v>
          </cell>
          <cell r="E1653" t="str">
            <v>NURSING FACILITY ROOM &amp; BOARD SE2</v>
          </cell>
          <cell r="F1653" t="str">
            <v>831RG006</v>
          </cell>
        </row>
        <row r="1654">
          <cell r="A1654" t="str">
            <v>State Plan (Title XIX)</v>
          </cell>
          <cell r="C1654" t="str">
            <v>Hospice</v>
          </cell>
          <cell r="D1654" t="str">
            <v>NF Daily Care</v>
          </cell>
          <cell r="E1654" t="str">
            <v>NURSING FACILITY ROOM &amp; BOARD SE3</v>
          </cell>
          <cell r="F1654" t="str">
            <v>831RG005</v>
          </cell>
        </row>
        <row r="1655">
          <cell r="A1655" t="str">
            <v>State Plan (Title XIX)</v>
          </cell>
          <cell r="C1655" t="str">
            <v>Hospice</v>
          </cell>
          <cell r="D1655" t="str">
            <v>NF Daily Care</v>
          </cell>
          <cell r="E1655" t="str">
            <v>NURSING FACILITY ROOM &amp; BOARD SE3</v>
          </cell>
          <cell r="F1655" t="str">
            <v>831RG005</v>
          </cell>
        </row>
        <row r="1656">
          <cell r="A1656" t="str">
            <v>State Plan (Title XIX)</v>
          </cell>
          <cell r="C1656" t="str">
            <v>Hospice</v>
          </cell>
          <cell r="D1656" t="str">
            <v>NF Daily Care</v>
          </cell>
          <cell r="E1656" t="str">
            <v>NURSING FACILITY ROOM &amp; BOARD SSA</v>
          </cell>
          <cell r="F1656" t="str">
            <v>831RG010</v>
          </cell>
        </row>
        <row r="1657">
          <cell r="A1657" t="str">
            <v>State Plan (Title XIX)</v>
          </cell>
          <cell r="C1657" t="str">
            <v>Hospice</v>
          </cell>
          <cell r="D1657" t="str">
            <v>NF Daily Care</v>
          </cell>
          <cell r="E1657" t="str">
            <v>NURSING FACILITY ROOM &amp; BOARD SSA</v>
          </cell>
          <cell r="F1657" t="str">
            <v>831RG010</v>
          </cell>
        </row>
        <row r="1658">
          <cell r="A1658" t="str">
            <v>State Plan (Title XIX)</v>
          </cell>
          <cell r="C1658" t="str">
            <v>Hospice</v>
          </cell>
          <cell r="D1658" t="str">
            <v>NF Daily Care</v>
          </cell>
          <cell r="E1658" t="str">
            <v>NURSING FACILITY ROOM &amp; BOARD SSB</v>
          </cell>
          <cell r="F1658" t="str">
            <v>831RG009</v>
          </cell>
        </row>
        <row r="1659">
          <cell r="A1659" t="str">
            <v>State Plan (Title XIX)</v>
          </cell>
          <cell r="C1659" t="str">
            <v>Hospice</v>
          </cell>
          <cell r="D1659" t="str">
            <v>NF Daily Care</v>
          </cell>
          <cell r="E1659" t="str">
            <v>NURSING FACILITY ROOM &amp; BOARD SSB</v>
          </cell>
          <cell r="F1659" t="str">
            <v>831RG009</v>
          </cell>
        </row>
        <row r="1660">
          <cell r="A1660" t="str">
            <v>State Plan (Title XIX)</v>
          </cell>
          <cell r="C1660" t="str">
            <v>Hospice</v>
          </cell>
          <cell r="D1660" t="str">
            <v>NF Daily Care</v>
          </cell>
          <cell r="E1660" t="str">
            <v>NURSING FACILITY ROOM &amp; BOARD SSC</v>
          </cell>
          <cell r="F1660" t="str">
            <v>831RG008</v>
          </cell>
        </row>
        <row r="1661">
          <cell r="A1661" t="str">
            <v>State Plan (Title XIX)</v>
          </cell>
          <cell r="C1661" t="str">
            <v>Hospice</v>
          </cell>
          <cell r="D1661" t="str">
            <v>NF Daily Care</v>
          </cell>
          <cell r="E1661" t="str">
            <v>NURSING FACILITY ROOM &amp; BOARD SSC</v>
          </cell>
          <cell r="F1661" t="str">
            <v>831RG008</v>
          </cell>
        </row>
        <row r="1662">
          <cell r="A1662" t="str">
            <v>State Plan (Title XIX)</v>
          </cell>
          <cell r="C1662" t="str">
            <v>Hospice</v>
          </cell>
          <cell r="D1662" t="str">
            <v>NF Daily Care</v>
          </cell>
          <cell r="E1662" t="str">
            <v>VA DAILY CARE - RAA</v>
          </cell>
          <cell r="F1662" t="str">
            <v>831V0104</v>
          </cell>
        </row>
        <row r="1663">
          <cell r="A1663" t="str">
            <v>State Plan (Title XIX)</v>
          </cell>
          <cell r="C1663" t="str">
            <v>Hospice</v>
          </cell>
          <cell r="D1663" t="str">
            <v>NF Daily Care</v>
          </cell>
          <cell r="E1663" t="str">
            <v>VA DAILY CARE - RAA</v>
          </cell>
          <cell r="F1663" t="str">
            <v>831V0104</v>
          </cell>
        </row>
        <row r="1664">
          <cell r="A1664" t="str">
            <v>State Plan (Title XIX)</v>
          </cell>
          <cell r="C1664" t="str">
            <v>Hospice</v>
          </cell>
          <cell r="D1664" t="str">
            <v>NF Daily Care</v>
          </cell>
          <cell r="E1664" t="str">
            <v>VA DAILY CARE - RAB</v>
          </cell>
          <cell r="F1664" t="str">
            <v>831V0103</v>
          </cell>
        </row>
        <row r="1665">
          <cell r="A1665" t="str">
            <v>State Plan (Title XIX)</v>
          </cell>
          <cell r="C1665" t="str">
            <v>Hospice</v>
          </cell>
          <cell r="D1665" t="str">
            <v>NF Daily Care</v>
          </cell>
          <cell r="E1665" t="str">
            <v>VA DAILY CARE - RAB</v>
          </cell>
          <cell r="F1665" t="str">
            <v>831V0103</v>
          </cell>
        </row>
        <row r="1666">
          <cell r="A1666" t="str">
            <v>State Plan (Title XIX)</v>
          </cell>
          <cell r="C1666" t="str">
            <v>Hospice</v>
          </cell>
          <cell r="D1666" t="str">
            <v>NF Daily Care</v>
          </cell>
          <cell r="E1666" t="str">
            <v>VA DAILY CARE - RAC</v>
          </cell>
          <cell r="F1666" t="str">
            <v>831V0102</v>
          </cell>
        </row>
        <row r="1667">
          <cell r="A1667" t="str">
            <v>State Plan (Title XIX)</v>
          </cell>
          <cell r="C1667" t="str">
            <v>Hospice</v>
          </cell>
          <cell r="D1667" t="str">
            <v>NF Daily Care</v>
          </cell>
          <cell r="E1667" t="str">
            <v>VA DAILY CARE - RAC</v>
          </cell>
          <cell r="F1667" t="str">
            <v>831V0102</v>
          </cell>
        </row>
        <row r="1668">
          <cell r="A1668" t="str">
            <v>State Plan (Title XIX)</v>
          </cell>
          <cell r="C1668" t="str">
            <v>Hospice</v>
          </cell>
          <cell r="D1668" t="str">
            <v>NF Daily Care</v>
          </cell>
          <cell r="E1668" t="str">
            <v>VA DAILY CARE - RAD</v>
          </cell>
          <cell r="F1668" t="str">
            <v>831V0101</v>
          </cell>
        </row>
        <row r="1669">
          <cell r="A1669" t="str">
            <v>State Plan (Title XIX)</v>
          </cell>
          <cell r="C1669" t="str">
            <v>Hospice</v>
          </cell>
          <cell r="D1669" t="str">
            <v>NF Daily Care</v>
          </cell>
          <cell r="E1669" t="str">
            <v>VA DAILY CARE - RAD</v>
          </cell>
          <cell r="F1669" t="str">
            <v>831V0101</v>
          </cell>
        </row>
        <row r="1670">
          <cell r="A1670" t="str">
            <v>State Plan (Title XIX)</v>
          </cell>
          <cell r="C1670" t="str">
            <v>Hospice</v>
          </cell>
          <cell r="D1670" t="str">
            <v>NF Daily Care</v>
          </cell>
          <cell r="E1670" t="str">
            <v>VA DAILY CARE - SE1</v>
          </cell>
          <cell r="F1670" t="str">
            <v>831V0107</v>
          </cell>
        </row>
        <row r="1671">
          <cell r="A1671" t="str">
            <v>State Plan (Title XIX)</v>
          </cell>
          <cell r="C1671" t="str">
            <v>Hospice</v>
          </cell>
          <cell r="D1671" t="str">
            <v>NF Daily Care</v>
          </cell>
          <cell r="E1671" t="str">
            <v>VA DAILY CARE - SE1</v>
          </cell>
          <cell r="F1671" t="str">
            <v>831V0107</v>
          </cell>
        </row>
        <row r="1672">
          <cell r="A1672" t="str">
            <v>State Plan (Title XIX)</v>
          </cell>
          <cell r="C1672" t="str">
            <v>Hospice</v>
          </cell>
          <cell r="D1672" t="str">
            <v>NF Daily Care</v>
          </cell>
          <cell r="E1672" t="str">
            <v>VA DAILY CARE - SE2</v>
          </cell>
          <cell r="F1672" t="str">
            <v>831V0106</v>
          </cell>
        </row>
        <row r="1673">
          <cell r="A1673" t="str">
            <v>State Plan (Title XIX)</v>
          </cell>
          <cell r="C1673" t="str">
            <v>Hospice</v>
          </cell>
          <cell r="D1673" t="str">
            <v>NF Daily Care</v>
          </cell>
          <cell r="E1673" t="str">
            <v>VA DAILY CARE - SE2</v>
          </cell>
          <cell r="F1673" t="str">
            <v>831V0106</v>
          </cell>
        </row>
        <row r="1674">
          <cell r="A1674" t="str">
            <v>State Plan (Title XIX)</v>
          </cell>
          <cell r="C1674" t="str">
            <v>Hospice</v>
          </cell>
          <cell r="D1674" t="str">
            <v>NF Daily Care</v>
          </cell>
          <cell r="E1674" t="str">
            <v>VA DAILY CARE - SE3</v>
          </cell>
          <cell r="F1674" t="str">
            <v>831V0105</v>
          </cell>
        </row>
        <row r="1675">
          <cell r="A1675" t="str">
            <v>State Plan (Title XIX)</v>
          </cell>
          <cell r="C1675" t="str">
            <v>Hospice</v>
          </cell>
          <cell r="D1675" t="str">
            <v>NF Daily Care</v>
          </cell>
          <cell r="E1675" t="str">
            <v>VA DAILY CARE - SE3</v>
          </cell>
          <cell r="F1675" t="str">
            <v>831V0105</v>
          </cell>
        </row>
        <row r="1676">
          <cell r="A1676" t="str">
            <v>State Plan (Title XIX)</v>
          </cell>
          <cell r="C1676" t="str">
            <v>Hospice</v>
          </cell>
          <cell r="D1676" t="str">
            <v>NF Daily Care</v>
          </cell>
          <cell r="E1676" t="str">
            <v>VA DAILY CARE - SSB</v>
          </cell>
          <cell r="F1676" t="str">
            <v>831V0109</v>
          </cell>
        </row>
        <row r="1677">
          <cell r="A1677" t="str">
            <v>State Plan (Title XIX)</v>
          </cell>
          <cell r="C1677" t="str">
            <v>Hospice</v>
          </cell>
          <cell r="D1677" t="str">
            <v>NF Daily Care</v>
          </cell>
          <cell r="E1677" t="str">
            <v>VA DAILY CARE - SSC</v>
          </cell>
          <cell r="F1677" t="str">
            <v>831V0108</v>
          </cell>
        </row>
        <row r="1678">
          <cell r="A1678" t="str">
            <v>State Plan (Title XIX)</v>
          </cell>
          <cell r="C1678" t="str">
            <v>Hospice</v>
          </cell>
          <cell r="D1678" t="str">
            <v>NF Daily Care</v>
          </cell>
          <cell r="E1678" t="str">
            <v>VA DAILY CARE - SSC</v>
          </cell>
          <cell r="F1678" t="str">
            <v>831V0108</v>
          </cell>
        </row>
        <row r="1679">
          <cell r="A1679" t="str">
            <v>State Plan (Title XIX)</v>
          </cell>
          <cell r="C1679" t="str">
            <v>Hospice</v>
          </cell>
          <cell r="D1679" t="str">
            <v>NF Daily Care</v>
          </cell>
          <cell r="E1679" t="str">
            <v>VA DAILY CARE BA1</v>
          </cell>
          <cell r="F1679" t="str">
            <v>831V0124</v>
          </cell>
        </row>
        <row r="1680">
          <cell r="A1680" t="str">
            <v>State Plan (Title XIX)</v>
          </cell>
          <cell r="C1680" t="str">
            <v>Hospice</v>
          </cell>
          <cell r="D1680" t="str">
            <v>NF Daily Care</v>
          </cell>
          <cell r="E1680" t="str">
            <v>VA DAILY CARE BA1</v>
          </cell>
          <cell r="F1680" t="str">
            <v>831V0124</v>
          </cell>
        </row>
        <row r="1681">
          <cell r="A1681" t="str">
            <v>State Plan (Title XIX)</v>
          </cell>
          <cell r="C1681" t="str">
            <v>Hospice</v>
          </cell>
          <cell r="D1681" t="str">
            <v>NF Daily Care</v>
          </cell>
          <cell r="E1681" t="str">
            <v>VA DAILY CARE BA2</v>
          </cell>
          <cell r="F1681" t="str">
            <v>831V0123</v>
          </cell>
        </row>
        <row r="1682">
          <cell r="A1682" t="str">
            <v>State Plan (Title XIX)</v>
          </cell>
          <cell r="C1682" t="str">
            <v>Hospice</v>
          </cell>
          <cell r="D1682" t="str">
            <v>NF Daily Care</v>
          </cell>
          <cell r="E1682" t="str">
            <v>VA DAILY CARE BA2</v>
          </cell>
          <cell r="F1682" t="str">
            <v>831V0123</v>
          </cell>
        </row>
        <row r="1683">
          <cell r="A1683" t="str">
            <v>State Plan (Title XIX)</v>
          </cell>
          <cell r="C1683" t="str">
            <v>Hospice</v>
          </cell>
          <cell r="D1683" t="str">
            <v>NF Daily Care</v>
          </cell>
          <cell r="E1683" t="str">
            <v>VA DAILY CARE BB1</v>
          </cell>
          <cell r="F1683" t="str">
            <v>831V0122</v>
          </cell>
        </row>
        <row r="1684">
          <cell r="A1684" t="str">
            <v>State Plan (Title XIX)</v>
          </cell>
          <cell r="C1684" t="str">
            <v>Hospice</v>
          </cell>
          <cell r="D1684" t="str">
            <v>NF Daily Care</v>
          </cell>
          <cell r="E1684" t="str">
            <v>VA DAILY CARE BB1</v>
          </cell>
          <cell r="F1684" t="str">
            <v>831V0122</v>
          </cell>
        </row>
        <row r="1685">
          <cell r="A1685" t="str">
            <v>State Plan (Title XIX)</v>
          </cell>
          <cell r="C1685" t="str">
            <v>Hospice</v>
          </cell>
          <cell r="D1685" t="str">
            <v>NF Daily Care</v>
          </cell>
          <cell r="E1685" t="str">
            <v>VA DAILY CARE BB2</v>
          </cell>
          <cell r="F1685" t="str">
            <v>831V0121</v>
          </cell>
        </row>
        <row r="1686">
          <cell r="A1686" t="str">
            <v>State Plan (Title XIX)</v>
          </cell>
          <cell r="C1686" t="str">
            <v>Hospice</v>
          </cell>
          <cell r="D1686" t="str">
            <v>NF Daily Care</v>
          </cell>
          <cell r="E1686" t="str">
            <v>VA DAILY CARE BB2</v>
          </cell>
          <cell r="F1686" t="str">
            <v>831V0121</v>
          </cell>
        </row>
        <row r="1687">
          <cell r="A1687" t="str">
            <v>State Plan (Title XIX)</v>
          </cell>
          <cell r="C1687" t="str">
            <v>Hospice</v>
          </cell>
          <cell r="D1687" t="str">
            <v>NF Daily Care</v>
          </cell>
          <cell r="E1687" t="str">
            <v>VA DAILY CARE BC1</v>
          </cell>
          <cell r="F1687" t="str">
            <v>831V0135</v>
          </cell>
        </row>
        <row r="1688">
          <cell r="A1688" t="str">
            <v>State Plan (Title XIX)</v>
          </cell>
          <cell r="C1688" t="str">
            <v>Hospice</v>
          </cell>
          <cell r="D1688" t="str">
            <v>NF Daily Care</v>
          </cell>
          <cell r="E1688" t="str">
            <v>VA DAILY CARE BC1</v>
          </cell>
          <cell r="F1688" t="str">
            <v>831V0135</v>
          </cell>
        </row>
        <row r="1689">
          <cell r="A1689" t="str">
            <v>State Plan (Title XIX)</v>
          </cell>
          <cell r="C1689" t="str">
            <v>Hospice</v>
          </cell>
          <cell r="D1689" t="str">
            <v>NF Daily Care</v>
          </cell>
          <cell r="E1689" t="str">
            <v>VA DAILY CARE CA1</v>
          </cell>
          <cell r="F1689" t="str">
            <v>831V0116</v>
          </cell>
        </row>
        <row r="1690">
          <cell r="A1690" t="str">
            <v>State Plan (Title XIX)</v>
          </cell>
          <cell r="C1690" t="str">
            <v>Hospice</v>
          </cell>
          <cell r="D1690" t="str">
            <v>NF Daily Care</v>
          </cell>
          <cell r="E1690" t="str">
            <v>VA DAILY CARE CA1</v>
          </cell>
          <cell r="F1690" t="str">
            <v>831V0116</v>
          </cell>
        </row>
        <row r="1691">
          <cell r="A1691" t="str">
            <v>State Plan (Title XIX)</v>
          </cell>
          <cell r="C1691" t="str">
            <v>Hospice</v>
          </cell>
          <cell r="D1691" t="str">
            <v>NF Daily Care</v>
          </cell>
          <cell r="E1691" t="str">
            <v>VA DAILY CARE CA2</v>
          </cell>
          <cell r="F1691" t="str">
            <v>831V0115</v>
          </cell>
          <cell r="P1691"/>
        </row>
        <row r="1692">
          <cell r="A1692" t="str">
            <v>State Plan (Title XIX)</v>
          </cell>
          <cell r="C1692" t="str">
            <v>Hospice</v>
          </cell>
          <cell r="D1692" t="str">
            <v>NF Daily Care</v>
          </cell>
          <cell r="E1692" t="str">
            <v>VA DAILY CARE CA2</v>
          </cell>
          <cell r="F1692" t="str">
            <v>831V0115</v>
          </cell>
          <cell r="P1692"/>
        </row>
        <row r="1693">
          <cell r="A1693" t="str">
            <v>State Plan (Title XIX)</v>
          </cell>
          <cell r="C1693" t="str">
            <v>Hospice</v>
          </cell>
          <cell r="D1693" t="str">
            <v>NF Daily Care</v>
          </cell>
          <cell r="E1693" t="str">
            <v>VA DAILY CARE CB1</v>
          </cell>
          <cell r="F1693" t="str">
            <v>831V0114</v>
          </cell>
          <cell r="P1693"/>
        </row>
        <row r="1694">
          <cell r="A1694" t="str">
            <v>State Plan (Title XIX)</v>
          </cell>
          <cell r="C1694" t="str">
            <v>Hospice</v>
          </cell>
          <cell r="D1694" t="str">
            <v>NF Daily Care</v>
          </cell>
          <cell r="E1694" t="str">
            <v>VA DAILY CARE CB1</v>
          </cell>
          <cell r="F1694" t="str">
            <v>831V0114</v>
          </cell>
          <cell r="P1694"/>
        </row>
        <row r="1695">
          <cell r="A1695" t="str">
            <v>State Plan (Title XIX)</v>
          </cell>
          <cell r="C1695" t="str">
            <v>Hospice</v>
          </cell>
          <cell r="D1695" t="str">
            <v>NF Daily Care</v>
          </cell>
          <cell r="E1695" t="str">
            <v>VA DAILY CARE CB2</v>
          </cell>
          <cell r="F1695" t="str">
            <v>831V0113</v>
          </cell>
          <cell r="P1695"/>
        </row>
        <row r="1696">
          <cell r="A1696" t="str">
            <v>State Plan (Title XIX)</v>
          </cell>
          <cell r="C1696" t="str">
            <v>Hospice</v>
          </cell>
          <cell r="D1696" t="str">
            <v>NF Daily Care</v>
          </cell>
          <cell r="E1696" t="str">
            <v>VA DAILY CARE CB2</v>
          </cell>
          <cell r="F1696" t="str">
            <v>831V0113</v>
          </cell>
          <cell r="P1696"/>
        </row>
        <row r="1697">
          <cell r="A1697" t="str">
            <v>State Plan (Title XIX)</v>
          </cell>
          <cell r="C1697" t="str">
            <v>Hospice</v>
          </cell>
          <cell r="D1697" t="str">
            <v>NF Daily Care</v>
          </cell>
          <cell r="E1697" t="str">
            <v>VA DAILY CARE CC1</v>
          </cell>
          <cell r="F1697" t="str">
            <v>831V0112</v>
          </cell>
          <cell r="P1697"/>
        </row>
        <row r="1698">
          <cell r="A1698" t="str">
            <v>State Plan (Title XIX)</v>
          </cell>
          <cell r="C1698" t="str">
            <v>Hospice</v>
          </cell>
          <cell r="D1698" t="str">
            <v>NF Daily Care</v>
          </cell>
          <cell r="E1698" t="str">
            <v>VA DAILY CARE CC1</v>
          </cell>
          <cell r="F1698" t="str">
            <v>831V0112</v>
          </cell>
          <cell r="P1698"/>
        </row>
        <row r="1699">
          <cell r="A1699" t="str">
            <v>State Plan (Title XIX)</v>
          </cell>
          <cell r="C1699" t="str">
            <v>Hospice</v>
          </cell>
          <cell r="D1699" t="str">
            <v>NF Daily Care</v>
          </cell>
          <cell r="E1699" t="str">
            <v>VA DAILY CARE CC2</v>
          </cell>
          <cell r="F1699" t="str">
            <v>831V0111</v>
          </cell>
          <cell r="P1699"/>
        </row>
        <row r="1700">
          <cell r="A1700" t="str">
            <v>State Plan (Title XIX)</v>
          </cell>
          <cell r="C1700" t="str">
            <v>Hospice</v>
          </cell>
          <cell r="D1700" t="str">
            <v>NF Daily Care</v>
          </cell>
          <cell r="E1700" t="str">
            <v>VA DAILY CARE CC2</v>
          </cell>
          <cell r="F1700" t="str">
            <v>831V0111</v>
          </cell>
          <cell r="P1700"/>
        </row>
        <row r="1701">
          <cell r="A1701" t="str">
            <v>State Plan (Title XIX)</v>
          </cell>
          <cell r="C1701" t="str">
            <v>Hospice</v>
          </cell>
          <cell r="D1701" t="str">
            <v>NF Daily Care</v>
          </cell>
          <cell r="E1701" t="str">
            <v>VA DAILY CARE IA1</v>
          </cell>
          <cell r="F1701" t="str">
            <v>831V0120</v>
          </cell>
          <cell r="P1701"/>
        </row>
        <row r="1702">
          <cell r="A1702" t="str">
            <v>State Plan (Title XIX)</v>
          </cell>
          <cell r="C1702" t="str">
            <v>Hospice</v>
          </cell>
          <cell r="D1702" t="str">
            <v>NF Daily Care</v>
          </cell>
          <cell r="E1702" t="str">
            <v>VA DAILY CARE IA1</v>
          </cell>
          <cell r="F1702" t="str">
            <v>831V0120</v>
          </cell>
          <cell r="P1702"/>
        </row>
        <row r="1703">
          <cell r="A1703" t="str">
            <v>State Plan (Title XIX)</v>
          </cell>
          <cell r="C1703" t="str">
            <v>Hospice</v>
          </cell>
          <cell r="D1703" t="str">
            <v>NF Daily Care</v>
          </cell>
          <cell r="E1703" t="str">
            <v>VA DAILY CARE IA2</v>
          </cell>
          <cell r="F1703" t="str">
            <v>831V0119</v>
          </cell>
          <cell r="P1703"/>
        </row>
        <row r="1704">
          <cell r="A1704" t="str">
            <v>State Plan (Title XIX)</v>
          </cell>
          <cell r="C1704" t="str">
            <v>Hospice</v>
          </cell>
          <cell r="D1704" t="str">
            <v>NF Daily Care</v>
          </cell>
          <cell r="E1704" t="str">
            <v>VA DAILY CARE IA2</v>
          </cell>
          <cell r="F1704" t="str">
            <v>831V0119</v>
          </cell>
          <cell r="P1704"/>
        </row>
        <row r="1705">
          <cell r="A1705" t="str">
            <v>State Plan (Title XIX)</v>
          </cell>
          <cell r="C1705" t="str">
            <v>Hospice</v>
          </cell>
          <cell r="D1705" t="str">
            <v>NF Daily Care</v>
          </cell>
          <cell r="E1705" t="str">
            <v>VA DAILY CARE IB1</v>
          </cell>
          <cell r="F1705" t="str">
            <v>831V0118</v>
          </cell>
          <cell r="P1705"/>
        </row>
        <row r="1706">
          <cell r="A1706" t="str">
            <v>State Plan (Title XIX)</v>
          </cell>
          <cell r="C1706" t="str">
            <v>Hospice</v>
          </cell>
          <cell r="D1706" t="str">
            <v>NF Daily Care</v>
          </cell>
          <cell r="E1706" t="str">
            <v>VA DAILY CARE IB1</v>
          </cell>
          <cell r="F1706" t="str">
            <v>831V0118</v>
          </cell>
          <cell r="P1706"/>
        </row>
        <row r="1707">
          <cell r="A1707" t="str">
            <v>State Plan (Title XIX)</v>
          </cell>
          <cell r="C1707" t="str">
            <v>Hospice</v>
          </cell>
          <cell r="D1707" t="str">
            <v>NF Daily Care</v>
          </cell>
          <cell r="E1707" t="str">
            <v>VA DAILY CARE IB2</v>
          </cell>
          <cell r="F1707" t="str">
            <v>831V0117</v>
          </cell>
          <cell r="P1707"/>
        </row>
        <row r="1708">
          <cell r="A1708" t="str">
            <v>State Plan (Title XIX)</v>
          </cell>
          <cell r="C1708" t="str">
            <v>Hospice</v>
          </cell>
          <cell r="D1708" t="str">
            <v>NF Daily Care</v>
          </cell>
          <cell r="E1708" t="str">
            <v>VA DAILY CARE IB2</v>
          </cell>
          <cell r="F1708" t="str">
            <v>831V0117</v>
          </cell>
          <cell r="P1708"/>
        </row>
        <row r="1709">
          <cell r="A1709" t="str">
            <v>State Plan (Title XIX)</v>
          </cell>
          <cell r="C1709" t="str">
            <v>Hospice</v>
          </cell>
          <cell r="D1709" t="str">
            <v>NF Daily Care</v>
          </cell>
          <cell r="E1709" t="str">
            <v>VA DAILY CARE PA1</v>
          </cell>
          <cell r="F1709" t="str">
            <v>831V0134</v>
          </cell>
          <cell r="P1709"/>
        </row>
        <row r="1710">
          <cell r="A1710" t="str">
            <v>State Plan (Title XIX)</v>
          </cell>
          <cell r="C1710" t="str">
            <v>Hospice</v>
          </cell>
          <cell r="D1710" t="str">
            <v>NF Daily Care</v>
          </cell>
          <cell r="E1710" t="str">
            <v>VA DAILY CARE PA1</v>
          </cell>
          <cell r="F1710" t="str">
            <v>831V0134</v>
          </cell>
          <cell r="P1710"/>
        </row>
        <row r="1711">
          <cell r="A1711" t="str">
            <v>State Plan (Title XIX)</v>
          </cell>
          <cell r="C1711" t="str">
            <v>Hospice</v>
          </cell>
          <cell r="D1711" t="str">
            <v>NF Daily Care</v>
          </cell>
          <cell r="E1711" t="str">
            <v>VA DAILY CARE PA2</v>
          </cell>
          <cell r="F1711" t="str">
            <v>831V0133</v>
          </cell>
          <cell r="P1711"/>
        </row>
        <row r="1712">
          <cell r="A1712" t="str">
            <v>State Plan (Title XIX)</v>
          </cell>
          <cell r="C1712" t="str">
            <v>Hospice</v>
          </cell>
          <cell r="D1712" t="str">
            <v>NF Daily Care</v>
          </cell>
          <cell r="E1712" t="str">
            <v>VA DAILY CARE PA2</v>
          </cell>
          <cell r="F1712" t="str">
            <v>831V0133</v>
          </cell>
          <cell r="P1712"/>
        </row>
        <row r="1713">
          <cell r="A1713" t="str">
            <v>State Plan (Title XIX)</v>
          </cell>
          <cell r="C1713" t="str">
            <v>Hospice</v>
          </cell>
          <cell r="D1713" t="str">
            <v>NF Daily Care</v>
          </cell>
          <cell r="E1713" t="str">
            <v>VA DAILY CARE PB1</v>
          </cell>
          <cell r="F1713" t="str">
            <v>831V0132</v>
          </cell>
          <cell r="P1713"/>
        </row>
        <row r="1714">
          <cell r="A1714" t="str">
            <v>State Plan (Title XIX)</v>
          </cell>
          <cell r="C1714" t="str">
            <v>Hospice</v>
          </cell>
          <cell r="D1714" t="str">
            <v>NF Daily Care</v>
          </cell>
          <cell r="E1714" t="str">
            <v>VA DAILY CARE PB1</v>
          </cell>
          <cell r="F1714" t="str">
            <v>831V0132</v>
          </cell>
          <cell r="P1714"/>
        </row>
        <row r="1715">
          <cell r="A1715" t="str">
            <v>State Plan (Title XIX)</v>
          </cell>
          <cell r="C1715" t="str">
            <v>Hospice</v>
          </cell>
          <cell r="D1715" t="str">
            <v>NF Daily Care</v>
          </cell>
          <cell r="E1715" t="str">
            <v>VA DAILY CARE PB2</v>
          </cell>
          <cell r="F1715" t="str">
            <v>831V0131</v>
          </cell>
          <cell r="P1715"/>
        </row>
        <row r="1716">
          <cell r="A1716" t="str">
            <v>State Plan (Title XIX)</v>
          </cell>
          <cell r="C1716" t="str">
            <v>Hospice</v>
          </cell>
          <cell r="D1716" t="str">
            <v>NF Daily Care</v>
          </cell>
          <cell r="E1716" t="str">
            <v>VA DAILY CARE PB2</v>
          </cell>
          <cell r="F1716" t="str">
            <v>831V0131</v>
          </cell>
          <cell r="P1716"/>
        </row>
        <row r="1717">
          <cell r="A1717" t="str">
            <v>State Plan (Title XIX)</v>
          </cell>
          <cell r="C1717" t="str">
            <v>Hospice</v>
          </cell>
          <cell r="D1717" t="str">
            <v>NF Daily Care</v>
          </cell>
          <cell r="E1717" t="str">
            <v>VA DAILY CARE PC1</v>
          </cell>
          <cell r="F1717" t="str">
            <v>831V0130</v>
          </cell>
          <cell r="P1717"/>
        </row>
        <row r="1718">
          <cell r="A1718" t="str">
            <v>State Plan (Title XIX)</v>
          </cell>
          <cell r="C1718" t="str">
            <v>Hospice</v>
          </cell>
          <cell r="D1718" t="str">
            <v>NF Daily Care</v>
          </cell>
          <cell r="E1718" t="str">
            <v>VA DAILY CARE PC1</v>
          </cell>
          <cell r="F1718" t="str">
            <v>831V0130</v>
          </cell>
          <cell r="P1718"/>
        </row>
        <row r="1719">
          <cell r="A1719" t="str">
            <v>State Plan (Title XIX)</v>
          </cell>
          <cell r="C1719" t="str">
            <v>Hospice</v>
          </cell>
          <cell r="D1719" t="str">
            <v>NF Daily Care</v>
          </cell>
          <cell r="E1719" t="str">
            <v>VA DAILY CARE PC2</v>
          </cell>
          <cell r="F1719" t="str">
            <v>831V0129</v>
          </cell>
          <cell r="P1719"/>
        </row>
        <row r="1720">
          <cell r="A1720" t="str">
            <v>State Plan (Title XIX)</v>
          </cell>
          <cell r="C1720" t="str">
            <v>Hospice</v>
          </cell>
          <cell r="D1720" t="str">
            <v>NF Daily Care</v>
          </cell>
          <cell r="E1720" t="str">
            <v>VA DAILY CARE PC2</v>
          </cell>
          <cell r="F1720" t="str">
            <v>831V0129</v>
          </cell>
          <cell r="P1720"/>
        </row>
        <row r="1721">
          <cell r="A1721" t="str">
            <v>State Plan (Title XIX)</v>
          </cell>
          <cell r="C1721" t="str">
            <v>Hospice</v>
          </cell>
          <cell r="D1721" t="str">
            <v>NF Daily Care</v>
          </cell>
          <cell r="E1721" t="str">
            <v>VA DAILY CARE PCE</v>
          </cell>
          <cell r="F1721" t="str">
            <v>831V0136</v>
          </cell>
          <cell r="P1721"/>
        </row>
        <row r="1722">
          <cell r="A1722" t="str">
            <v>State Plan (Title XIX)</v>
          </cell>
          <cell r="C1722" t="str">
            <v>Hospice</v>
          </cell>
          <cell r="D1722" t="str">
            <v>NF Daily Care</v>
          </cell>
          <cell r="E1722" t="str">
            <v>VA DAILY CARE PCE</v>
          </cell>
          <cell r="F1722" t="str">
            <v>831V0136</v>
          </cell>
          <cell r="P1722"/>
        </row>
        <row r="1723">
          <cell r="A1723" t="str">
            <v>State Plan (Title XIX)</v>
          </cell>
          <cell r="C1723" t="str">
            <v>Hospice</v>
          </cell>
          <cell r="D1723" t="str">
            <v>NF Daily Care</v>
          </cell>
          <cell r="E1723" t="str">
            <v>VA DAILY CARE PD1</v>
          </cell>
          <cell r="F1723" t="str">
            <v>831V0128</v>
          </cell>
          <cell r="P1723"/>
        </row>
        <row r="1724">
          <cell r="A1724" t="str">
            <v>State Plan (Title XIX)</v>
          </cell>
          <cell r="C1724" t="str">
            <v>Hospice</v>
          </cell>
          <cell r="D1724" t="str">
            <v>NF Daily Care</v>
          </cell>
          <cell r="E1724" t="str">
            <v>VA DAILY CARE PD1</v>
          </cell>
          <cell r="F1724" t="str">
            <v>831V0128</v>
          </cell>
          <cell r="P1724"/>
        </row>
        <row r="1725">
          <cell r="A1725" t="str">
            <v>State Plan (Title XIX)</v>
          </cell>
          <cell r="C1725" t="str">
            <v>Hospice</v>
          </cell>
          <cell r="D1725" t="str">
            <v>NF Daily Care</v>
          </cell>
          <cell r="E1725" t="str">
            <v>VA DAILY CARE PD2</v>
          </cell>
          <cell r="F1725" t="str">
            <v>831V0127</v>
          </cell>
          <cell r="P1725"/>
        </row>
        <row r="1726">
          <cell r="A1726" t="str">
            <v>State Plan (Title XIX)</v>
          </cell>
          <cell r="C1726" t="str">
            <v>Hospice</v>
          </cell>
          <cell r="D1726" t="str">
            <v>NF Daily Care</v>
          </cell>
          <cell r="E1726" t="str">
            <v>VA DAILY CARE PD2</v>
          </cell>
          <cell r="F1726" t="str">
            <v>831V0127</v>
          </cell>
          <cell r="P1726"/>
        </row>
        <row r="1727">
          <cell r="A1727" t="str">
            <v>State Plan (Title XIX)</v>
          </cell>
          <cell r="C1727" t="str">
            <v>Hospice</v>
          </cell>
          <cell r="D1727" t="str">
            <v>NF Daily Care</v>
          </cell>
          <cell r="E1727" t="str">
            <v>VA DAILY CARE PE1</v>
          </cell>
          <cell r="F1727" t="str">
            <v>831V0126</v>
          </cell>
          <cell r="P1727"/>
        </row>
        <row r="1728">
          <cell r="A1728" t="str">
            <v>State Plan (Title XIX)</v>
          </cell>
          <cell r="C1728" t="str">
            <v>Hospice</v>
          </cell>
          <cell r="D1728" t="str">
            <v>NF Daily Care</v>
          </cell>
          <cell r="E1728" t="str">
            <v>VA DAILY CARE PE1</v>
          </cell>
          <cell r="F1728" t="str">
            <v>831V0126</v>
          </cell>
          <cell r="P1728"/>
        </row>
        <row r="1729">
          <cell r="A1729" t="str">
            <v>State Plan (Title XIX)</v>
          </cell>
          <cell r="C1729" t="str">
            <v>Hospice</v>
          </cell>
          <cell r="D1729" t="str">
            <v>NF Daily Care</v>
          </cell>
          <cell r="E1729" t="str">
            <v>VA DAILY CARE PE2</v>
          </cell>
          <cell r="F1729" t="str">
            <v>831V0125</v>
          </cell>
          <cell r="P1729"/>
        </row>
        <row r="1730">
          <cell r="A1730" t="str">
            <v>State Plan (Title XIX)</v>
          </cell>
          <cell r="C1730" t="str">
            <v>Hospice</v>
          </cell>
          <cell r="D1730" t="str">
            <v>NF Daily Care</v>
          </cell>
          <cell r="E1730" t="str">
            <v>VA DAILY CARE PE2</v>
          </cell>
          <cell r="F1730" t="str">
            <v>831V0125</v>
          </cell>
          <cell r="P1730"/>
        </row>
        <row r="1731">
          <cell r="A1731" t="str">
            <v>State Plan (Title XIX)</v>
          </cell>
          <cell r="C1731" t="str">
            <v>Hospice</v>
          </cell>
          <cell r="D1731" t="str">
            <v>NF Daily Care</v>
          </cell>
          <cell r="E1731" t="str">
            <v>VA DAILY CARE SSA</v>
          </cell>
          <cell r="F1731" t="str">
            <v>831V0110</v>
          </cell>
          <cell r="P1731"/>
        </row>
        <row r="1732">
          <cell r="A1732" t="str">
            <v>State Plan (Title XIX)</v>
          </cell>
          <cell r="C1732" t="str">
            <v>Hospice</v>
          </cell>
          <cell r="D1732" t="str">
            <v>NF Daily Care</v>
          </cell>
          <cell r="E1732" t="str">
            <v>VA DAILY CARE SSA</v>
          </cell>
          <cell r="F1732" t="str">
            <v>831V0110</v>
          </cell>
          <cell r="P1732"/>
        </row>
        <row r="1733">
          <cell r="A1733" t="str">
            <v>State Plan (Title XIX)</v>
          </cell>
          <cell r="C1733" t="str">
            <v>Hospice</v>
          </cell>
          <cell r="D1733" t="str">
            <v>NF Daily Care</v>
          </cell>
          <cell r="E1733" t="str">
            <v>VA DAILY CARE SSB</v>
          </cell>
          <cell r="F1733" t="str">
            <v>831V0109</v>
          </cell>
        </row>
        <row r="1734">
          <cell r="C1734" t="str">
            <v>Hospice</v>
          </cell>
          <cell r="D1734" t="str">
            <v>RADIOLOGY</v>
          </cell>
          <cell r="E1734" t="str">
            <v>PHYSICIAN DIRECT CARE-21 AND OLDER</v>
          </cell>
          <cell r="F1734" t="str">
            <v>T0477KX</v>
          </cell>
        </row>
        <row r="1735">
          <cell r="C1735" t="str">
            <v>Hospice</v>
          </cell>
          <cell r="D1735" t="str">
            <v>RADIOLOGY</v>
          </cell>
          <cell r="E1735" t="str">
            <v>PHYSICIAN DIRECT CARE-SPECIAL-21 AND OLDER</v>
          </cell>
          <cell r="F1735" t="str">
            <v>T0475KX</v>
          </cell>
        </row>
        <row r="1736">
          <cell r="C1736" t="str">
            <v>Hospice</v>
          </cell>
          <cell r="D1736" t="str">
            <v>RADIOLOGY</v>
          </cell>
          <cell r="E1736" t="str">
            <v>PHYSICIAN DIRECT CARE-SPECIAL-21 AND OLDER</v>
          </cell>
          <cell r="F1736" t="str">
            <v>T0469KX</v>
          </cell>
        </row>
        <row r="1737">
          <cell r="C1737" t="str">
            <v>Hospice</v>
          </cell>
          <cell r="D1737" t="str">
            <v>RADIOLOGY</v>
          </cell>
          <cell r="E1737" t="str">
            <v>PHYSICIAN DIRECT CARE-SPECIAL-UNDER 21</v>
          </cell>
          <cell r="F1737" t="str">
            <v>T0474</v>
          </cell>
        </row>
        <row r="1738">
          <cell r="C1738" t="str">
            <v>Hospice</v>
          </cell>
          <cell r="D1738" t="str">
            <v>RADIOLOGY</v>
          </cell>
          <cell r="E1738" t="str">
            <v>PHYSICIAN DIRECT CARE-SPECIAL-UNDER 21</v>
          </cell>
          <cell r="F1738" t="str">
            <v>T0468</v>
          </cell>
        </row>
        <row r="1739">
          <cell r="C1739" t="str">
            <v>Hospice</v>
          </cell>
          <cell r="D1739" t="str">
            <v>RADIOLOGY</v>
          </cell>
          <cell r="E1739" t="str">
            <v>PHYSICIAN DIRECT CARE-UNDER 21</v>
          </cell>
          <cell r="F1739" t="str">
            <v>T0476</v>
          </cell>
        </row>
        <row r="1740">
          <cell r="C1740" t="str">
            <v>Hospice</v>
          </cell>
          <cell r="D1740" t="str">
            <v>SURGERY</v>
          </cell>
          <cell r="E1740" t="str">
            <v>PHYSICIAN DIRECT CARE-21 AND OLDER</v>
          </cell>
          <cell r="F1740" t="str">
            <v>T0481KX</v>
          </cell>
        </row>
        <row r="1741">
          <cell r="C1741" t="str">
            <v>Hospice</v>
          </cell>
          <cell r="D1741" t="str">
            <v>SURGERY</v>
          </cell>
          <cell r="E1741" t="str">
            <v>PHYSICIAN DIRECT CARE-UNDER 21</v>
          </cell>
          <cell r="F1741" t="str">
            <v>T0480</v>
          </cell>
        </row>
        <row r="1742">
          <cell r="A1742" t="str">
            <v>State Plan (Title XIX)</v>
          </cell>
          <cell r="C1742" t="str">
            <v>ICF</v>
          </cell>
          <cell r="D1742" t="str">
            <v xml:space="preserve">Adaptive Aids/DME </v>
          </cell>
          <cell r="E1742" t="str">
            <v xml:space="preserve"> DME (LON 9) REFURBISHED WHEELCHAIR</v>
          </cell>
          <cell r="F1742" t="str">
            <v>615G0511</v>
          </cell>
          <cell r="P1742"/>
        </row>
        <row r="1743">
          <cell r="A1743" t="str">
            <v>State Plan (Title XIX)</v>
          </cell>
          <cell r="C1743" t="str">
            <v>ICF</v>
          </cell>
          <cell r="D1743" t="str">
            <v xml:space="preserve">Adaptive Aids/DME </v>
          </cell>
          <cell r="E1743" t="str">
            <v xml:space="preserve"> DME ADAPTIVE AIDS LON 5 GAIT TRAINERS</v>
          </cell>
          <cell r="F1743" t="str">
            <v>615G0508</v>
          </cell>
          <cell r="P1743"/>
        </row>
        <row r="1744">
          <cell r="A1744" t="str">
            <v>State Plan (Title XIX)</v>
          </cell>
          <cell r="C1744" t="str">
            <v>ICF</v>
          </cell>
          <cell r="D1744" t="str">
            <v xml:space="preserve">Adaptive Aids/DME </v>
          </cell>
          <cell r="E1744" t="str">
            <v xml:space="preserve"> DME/ADAPTIVE AIDS (LON 6) GAIT TRAINERS</v>
          </cell>
          <cell r="F1744" t="str">
            <v>615G0509</v>
          </cell>
          <cell r="P1744"/>
        </row>
        <row r="1745">
          <cell r="A1745" t="str">
            <v>State Plan (Title XIX)</v>
          </cell>
          <cell r="C1745" t="str">
            <v>ICF</v>
          </cell>
          <cell r="D1745" t="str">
            <v xml:space="preserve">Adaptive Aids/DME </v>
          </cell>
          <cell r="E1745" t="str">
            <v xml:space="preserve"> DME/ADAPTIVE AIDS LON 1 GAIT TRAINERS</v>
          </cell>
          <cell r="F1745" t="str">
            <v>615G0512</v>
          </cell>
          <cell r="P1745"/>
        </row>
        <row r="1746">
          <cell r="A1746" t="str">
            <v>State Plan (Title XIX)</v>
          </cell>
          <cell r="C1746" t="str">
            <v>ICF</v>
          </cell>
          <cell r="D1746" t="str">
            <v xml:space="preserve">Adaptive Aids/DME </v>
          </cell>
          <cell r="E1746" t="str">
            <v xml:space="preserve"> DME/ADAPTIVE AIDS LON 8 GAIT TRAINERS</v>
          </cell>
          <cell r="F1746" t="str">
            <v>615G0510</v>
          </cell>
          <cell r="P1746"/>
        </row>
        <row r="1747">
          <cell r="A1747" t="str">
            <v>State Plan (Title XIX)</v>
          </cell>
          <cell r="C1747" t="str">
            <v>ICF</v>
          </cell>
          <cell r="D1747" t="str">
            <v xml:space="preserve">Adaptive Aids/DME </v>
          </cell>
          <cell r="E1747" t="str">
            <v xml:space="preserve"> DME/ADAPTIVE AIDS LON 9 GAIT TRAINERS</v>
          </cell>
          <cell r="F1747" t="str">
            <v>615G0511</v>
          </cell>
          <cell r="P1747"/>
        </row>
        <row r="1748">
          <cell r="A1748" t="str">
            <v>State Plan (Title XIX)</v>
          </cell>
          <cell r="C1748" t="str">
            <v>ICF</v>
          </cell>
          <cell r="D1748" t="str">
            <v xml:space="preserve">Adaptive Aids/DME </v>
          </cell>
          <cell r="E1748" t="str">
            <v>DME (LON 1) ADAPTIVE STROLLER</v>
          </cell>
          <cell r="F1748" t="str">
            <v>615G0512</v>
          </cell>
          <cell r="P1748"/>
        </row>
        <row r="1749">
          <cell r="A1749" t="str">
            <v>State Plan (Title XIX)</v>
          </cell>
          <cell r="C1749" t="str">
            <v>ICF</v>
          </cell>
          <cell r="D1749" t="str">
            <v xml:space="preserve">Adaptive Aids/DME </v>
          </cell>
          <cell r="E1749" t="str">
            <v>DME (LON 1) STANDARD WHEELCHAIR</v>
          </cell>
          <cell r="F1749" t="str">
            <v>615G0512</v>
          </cell>
          <cell r="P1749"/>
        </row>
        <row r="1750">
          <cell r="A1750" t="str">
            <v>State Plan (Title XIX)</v>
          </cell>
          <cell r="C1750" t="str">
            <v>ICF</v>
          </cell>
          <cell r="D1750" t="str">
            <v xml:space="preserve">Adaptive Aids/DME </v>
          </cell>
          <cell r="E1750" t="str">
            <v>DME (LON 1) STANDARD WHEELCHAIR</v>
          </cell>
          <cell r="F1750" t="str">
            <v>615G0512</v>
          </cell>
          <cell r="P1750"/>
        </row>
        <row r="1751">
          <cell r="A1751" t="str">
            <v>State Plan (Title XIX)</v>
          </cell>
          <cell r="C1751" t="str">
            <v>ICF</v>
          </cell>
          <cell r="D1751" t="str">
            <v xml:space="preserve">Adaptive Aids/DME </v>
          </cell>
          <cell r="E1751" t="str">
            <v>DME (LON 5) STANDARD WHEELCHAIR</v>
          </cell>
          <cell r="F1751" t="str">
            <v>615G0508</v>
          </cell>
          <cell r="P1751"/>
        </row>
        <row r="1752">
          <cell r="A1752" t="str">
            <v>State Plan (Title XIX)</v>
          </cell>
          <cell r="C1752" t="str">
            <v>ICF</v>
          </cell>
          <cell r="D1752" t="str">
            <v xml:space="preserve">Adaptive Aids/DME </v>
          </cell>
          <cell r="E1752" t="str">
            <v>DME (LON 6) ADAPTIVE STROLLER</v>
          </cell>
          <cell r="F1752" t="str">
            <v>615G0509</v>
          </cell>
          <cell r="P1752"/>
        </row>
        <row r="1753">
          <cell r="A1753" t="str">
            <v>State Plan (Title XIX)</v>
          </cell>
          <cell r="C1753" t="str">
            <v>ICF</v>
          </cell>
          <cell r="D1753" t="str">
            <v xml:space="preserve">Adaptive Aids/DME </v>
          </cell>
          <cell r="E1753" t="str">
            <v>DME (LON 6) REFURBISHED WHEELCHAIR</v>
          </cell>
          <cell r="F1753" t="str">
            <v>615G0509</v>
          </cell>
          <cell r="P1753"/>
        </row>
        <row r="1754">
          <cell r="A1754" t="str">
            <v>State Plan (Title XIX)</v>
          </cell>
          <cell r="C1754" t="str">
            <v>ICF</v>
          </cell>
          <cell r="D1754" t="str">
            <v xml:space="preserve">Adaptive Aids/DME </v>
          </cell>
          <cell r="E1754" t="str">
            <v>DME (LON 6) STANDARD WHEELCHAIR</v>
          </cell>
          <cell r="F1754" t="str">
            <v>615G0509</v>
          </cell>
          <cell r="P1754"/>
        </row>
        <row r="1755">
          <cell r="A1755" t="str">
            <v>State Plan (Title XIX)</v>
          </cell>
          <cell r="C1755" t="str">
            <v>ICF</v>
          </cell>
          <cell r="D1755" t="str">
            <v xml:space="preserve">Adaptive Aids/DME </v>
          </cell>
          <cell r="E1755" t="str">
            <v>DME (LON 8) ADAPTIVE STROLLER</v>
          </cell>
          <cell r="F1755" t="str">
            <v>615G0510</v>
          </cell>
          <cell r="P1755"/>
        </row>
        <row r="1756">
          <cell r="A1756" t="str">
            <v>State Plan (Title XIX)</v>
          </cell>
          <cell r="C1756" t="str">
            <v>ICF</v>
          </cell>
          <cell r="D1756" t="str">
            <v xml:space="preserve">Adaptive Aids/DME </v>
          </cell>
          <cell r="E1756" t="str">
            <v>DME (LON 8) REFURBISHED WHEELCHAIR</v>
          </cell>
          <cell r="F1756" t="str">
            <v>615G0510</v>
          </cell>
          <cell r="P1756"/>
        </row>
        <row r="1757">
          <cell r="A1757" t="str">
            <v>State Plan (Title XIX)</v>
          </cell>
          <cell r="C1757" t="str">
            <v>ICF</v>
          </cell>
          <cell r="D1757" t="str">
            <v xml:space="preserve">Adaptive Aids/DME </v>
          </cell>
          <cell r="E1757" t="str">
            <v>DME (LON 9) ADAPTIVE STROLLER</v>
          </cell>
          <cell r="F1757" t="str">
            <v>615G0511</v>
          </cell>
          <cell r="P1757"/>
        </row>
        <row r="1758">
          <cell r="A1758" t="str">
            <v>State Plan (Title XIX)</v>
          </cell>
          <cell r="C1758" t="str">
            <v>ICF</v>
          </cell>
          <cell r="D1758" t="str">
            <v xml:space="preserve">Adaptive Aids/DME </v>
          </cell>
          <cell r="E1758" t="str">
            <v>DME (LON 9) STANDARD WHEELCHAIR</v>
          </cell>
          <cell r="F1758" t="str">
            <v>615G0511</v>
          </cell>
          <cell r="P1758"/>
        </row>
        <row r="1759">
          <cell r="A1759" t="str">
            <v>State Plan (Title XIX)</v>
          </cell>
          <cell r="C1759" t="str">
            <v>ICF</v>
          </cell>
          <cell r="D1759" t="str">
            <v xml:space="preserve">Adaptive Aids/DME </v>
          </cell>
          <cell r="E1759" t="str">
            <v>DME ADAPTIVE AIDS LON 5 PROSTHETIC/ORTHOTIC</v>
          </cell>
          <cell r="F1759" t="str">
            <v>615G0508</v>
          </cell>
          <cell r="P1759"/>
        </row>
        <row r="1760">
          <cell r="A1760" t="str">
            <v>State Plan (Title XIX)</v>
          </cell>
          <cell r="C1760" t="str">
            <v>ICF</v>
          </cell>
          <cell r="D1760" t="str">
            <v xml:space="preserve">Adaptive Aids/DME </v>
          </cell>
          <cell r="E1760" t="str">
            <v>DME ADAPTIVE AIDS LON 6 COMMUNICATION OTHER</v>
          </cell>
          <cell r="F1760" t="str">
            <v>615G0509</v>
          </cell>
          <cell r="P1760"/>
        </row>
        <row r="1761">
          <cell r="A1761" t="str">
            <v>State Plan (Title XIX)</v>
          </cell>
          <cell r="C1761" t="str">
            <v>ICF</v>
          </cell>
          <cell r="D1761" t="str">
            <v xml:space="preserve">Adaptive Aids/DME </v>
          </cell>
          <cell r="E1761" t="str">
            <v>DME ADAPTIVE AIDS LON 6 -PROSTHETIC/ORTHOTIC</v>
          </cell>
          <cell r="F1761" t="str">
            <v>615G0509</v>
          </cell>
          <cell r="P1761"/>
        </row>
        <row r="1762">
          <cell r="A1762" t="str">
            <v>State Plan (Title XIX)</v>
          </cell>
          <cell r="C1762" t="str">
            <v>ICF</v>
          </cell>
          <cell r="D1762" t="str">
            <v xml:space="preserve">Adaptive Aids/DME </v>
          </cell>
          <cell r="E1762" t="str">
            <v>DME STANDARD WHEELCHAIR</v>
          </cell>
          <cell r="F1762" t="str">
            <v>615G0510</v>
          </cell>
          <cell r="P1762"/>
        </row>
        <row r="1763">
          <cell r="A1763" t="str">
            <v>State Plan (Title XIX)</v>
          </cell>
          <cell r="C1763" t="str">
            <v>ICF</v>
          </cell>
          <cell r="D1763" t="str">
            <v xml:space="preserve">Adaptive Aids/DME </v>
          </cell>
          <cell r="E1763" t="str">
            <v>DME/ ADAPTIVE AIDS (LON 5) REFURBISHED WHEELCHAIR</v>
          </cell>
          <cell r="F1763" t="str">
            <v>615G0508</v>
          </cell>
          <cell r="P1763"/>
        </row>
        <row r="1764">
          <cell r="A1764" t="str">
            <v>State Plan (Title XIX)</v>
          </cell>
          <cell r="C1764" t="str">
            <v>ICF</v>
          </cell>
          <cell r="D1764" t="str">
            <v xml:space="preserve">Adaptive Aids/DME </v>
          </cell>
          <cell r="E1764" t="str">
            <v>DME/ADAPTIVE AIDS (LON 1) COMMUNICATION DEVICE</v>
          </cell>
          <cell r="F1764" t="str">
            <v>615G0512</v>
          </cell>
          <cell r="P1764"/>
        </row>
        <row r="1765">
          <cell r="A1765" t="str">
            <v>State Plan (Title XIX)</v>
          </cell>
          <cell r="C1765" t="str">
            <v>ICF</v>
          </cell>
          <cell r="D1765" t="str">
            <v xml:space="preserve">Adaptive Aids/DME </v>
          </cell>
          <cell r="E1765" t="str">
            <v>DME/ADAPTIVE AIDS (LON 1) STANDING BOARD</v>
          </cell>
          <cell r="F1765" t="str">
            <v>615G0512</v>
          </cell>
          <cell r="P1765"/>
        </row>
        <row r="1766">
          <cell r="A1766" t="str">
            <v>State Plan (Title XIX)</v>
          </cell>
          <cell r="C1766" t="str">
            <v>ICF</v>
          </cell>
          <cell r="D1766" t="str">
            <v xml:space="preserve">Adaptive Aids/DME </v>
          </cell>
          <cell r="E1766" t="str">
            <v>DME/ADAPTIVE AIDS (LON 1) TRAVEL CHAIR</v>
          </cell>
          <cell r="F1766" t="str">
            <v>615G0512</v>
          </cell>
          <cell r="P1766"/>
        </row>
        <row r="1767">
          <cell r="A1767" t="str">
            <v>State Plan (Title XIX)</v>
          </cell>
          <cell r="C1767" t="str">
            <v>ICF</v>
          </cell>
          <cell r="D1767" t="str">
            <v xml:space="preserve">Adaptive Aids/DME </v>
          </cell>
          <cell r="E1767" t="str">
            <v>DME/ADAPTIVE AIDS (LON 5) ADAPTIVE STROLLER</v>
          </cell>
          <cell r="F1767" t="str">
            <v>615G0508</v>
          </cell>
          <cell r="P1767"/>
        </row>
        <row r="1768">
          <cell r="A1768" t="str">
            <v>State Plan (Title XIX)</v>
          </cell>
          <cell r="C1768" t="str">
            <v>ICF</v>
          </cell>
          <cell r="D1768" t="str">
            <v xml:space="preserve">Adaptive Aids/DME </v>
          </cell>
          <cell r="E1768" t="str">
            <v>DME/ADAPTIVE AIDS (LON 5) COMMUNICATION DEVICE</v>
          </cell>
          <cell r="F1768" t="str">
            <v>615G0508</v>
          </cell>
          <cell r="P1768"/>
        </row>
        <row r="1769">
          <cell r="A1769" t="str">
            <v>State Plan (Title XIX)</v>
          </cell>
          <cell r="C1769" t="str">
            <v>ICF</v>
          </cell>
          <cell r="D1769" t="str">
            <v xml:space="preserve">Adaptive Aids/DME </v>
          </cell>
          <cell r="E1769" t="str">
            <v>DME/ADAPTIVE AIDS (LON 5) COMMUNICATION OTHER</v>
          </cell>
          <cell r="F1769" t="str">
            <v>615G0508</v>
          </cell>
          <cell r="P1769"/>
        </row>
        <row r="1770">
          <cell r="A1770" t="str">
            <v>State Plan (Title XIX)</v>
          </cell>
          <cell r="C1770" t="str">
            <v>ICF</v>
          </cell>
          <cell r="D1770" t="str">
            <v xml:space="preserve">Adaptive Aids/DME </v>
          </cell>
          <cell r="E1770" t="str">
            <v>DME/ADAPTIVE AIDS (LON 5) STANDING BOARD</v>
          </cell>
          <cell r="F1770" t="str">
            <v>615G0508</v>
          </cell>
          <cell r="P1770"/>
        </row>
        <row r="1771">
          <cell r="A1771" t="str">
            <v>State Plan (Title XIX)</v>
          </cell>
          <cell r="C1771" t="str">
            <v>ICF</v>
          </cell>
          <cell r="D1771" t="str">
            <v xml:space="preserve">Adaptive Aids/DME </v>
          </cell>
          <cell r="E1771" t="str">
            <v>DME/ADAPTIVE AIDS (LON 5) TRAVEL CHAIR</v>
          </cell>
          <cell r="F1771" t="str">
            <v>615G0508</v>
          </cell>
          <cell r="P1771"/>
        </row>
        <row r="1772">
          <cell r="A1772" t="str">
            <v>State Plan (Title XIX)</v>
          </cell>
          <cell r="C1772" t="str">
            <v>ICF</v>
          </cell>
          <cell r="D1772" t="str">
            <v xml:space="preserve">Adaptive Aids/DME </v>
          </cell>
          <cell r="E1772" t="str">
            <v>DME/ADAPTIVE AIDS (LON 6) COMMUNICATION DEVICE</v>
          </cell>
          <cell r="F1772" t="str">
            <v>615G0509</v>
          </cell>
          <cell r="P1772"/>
        </row>
        <row r="1773">
          <cell r="A1773" t="str">
            <v>State Plan (Title XIX)</v>
          </cell>
          <cell r="C1773" t="str">
            <v>ICF</v>
          </cell>
          <cell r="D1773" t="str">
            <v xml:space="preserve">Adaptive Aids/DME </v>
          </cell>
          <cell r="E1773" t="str">
            <v>DME/ADAPTIVE AIDS (LON 6) STANDING BOARD</v>
          </cell>
          <cell r="F1773" t="str">
            <v>615G0509</v>
          </cell>
          <cell r="P1773"/>
        </row>
        <row r="1774">
          <cell r="A1774" t="str">
            <v>State Plan (Title XIX)</v>
          </cell>
          <cell r="C1774" t="str">
            <v>ICF</v>
          </cell>
          <cell r="D1774" t="str">
            <v xml:space="preserve">Adaptive Aids/DME </v>
          </cell>
          <cell r="E1774" t="str">
            <v>DME/ADAPTIVE AIDS (LON 6) TRAVEL CHAIR</v>
          </cell>
          <cell r="F1774" t="str">
            <v>615G0509</v>
          </cell>
          <cell r="P1774"/>
        </row>
        <row r="1775">
          <cell r="A1775" t="str">
            <v>State Plan (Title XIX)</v>
          </cell>
          <cell r="C1775" t="str">
            <v>ICF</v>
          </cell>
          <cell r="D1775" t="str">
            <v xml:space="preserve">Adaptive Aids/DME </v>
          </cell>
          <cell r="E1775" t="str">
            <v>DME/ADAPTIVE AIDS (LON 8) COMMUNICATION DEVICE</v>
          </cell>
          <cell r="F1775" t="str">
            <v>615G0510</v>
          </cell>
          <cell r="P1775"/>
        </row>
        <row r="1776">
          <cell r="A1776" t="str">
            <v>State Plan (Title XIX)</v>
          </cell>
          <cell r="C1776" t="str">
            <v>ICF</v>
          </cell>
          <cell r="D1776" t="str">
            <v xml:space="preserve">Adaptive Aids/DME </v>
          </cell>
          <cell r="E1776" t="str">
            <v>DME/ADAPTIVE AIDS (LON 8) STANDING BOARD</v>
          </cell>
          <cell r="F1776" t="str">
            <v>615G0510</v>
          </cell>
          <cell r="P1776"/>
        </row>
        <row r="1777">
          <cell r="A1777" t="str">
            <v>State Plan (Title XIX)</v>
          </cell>
          <cell r="C1777" t="str">
            <v>ICF</v>
          </cell>
          <cell r="D1777" t="str">
            <v xml:space="preserve">Adaptive Aids/DME </v>
          </cell>
          <cell r="E1777" t="str">
            <v>DME/ADAPTIVE AIDS (LON 8) TRAVEL CHAIR</v>
          </cell>
          <cell r="F1777" t="str">
            <v>615G0510</v>
          </cell>
          <cell r="P1777"/>
        </row>
        <row r="1778">
          <cell r="A1778" t="str">
            <v>State Plan (Title XIX)</v>
          </cell>
          <cell r="C1778" t="str">
            <v>ICF</v>
          </cell>
          <cell r="D1778" t="str">
            <v xml:space="preserve">Adaptive Aids/DME </v>
          </cell>
          <cell r="E1778" t="str">
            <v>DME/ADAPTIVE AIDS (LON 9) COMMUNICATION DEVICE</v>
          </cell>
          <cell r="F1778" t="str">
            <v>615G0511</v>
          </cell>
          <cell r="P1778"/>
        </row>
        <row r="1779">
          <cell r="A1779" t="str">
            <v>State Plan (Title XIX)</v>
          </cell>
          <cell r="C1779" t="str">
            <v>ICF</v>
          </cell>
          <cell r="D1779" t="str">
            <v xml:space="preserve">Adaptive Aids/DME </v>
          </cell>
          <cell r="E1779" t="str">
            <v>DME/ADAPTIVE AIDS (LON 9) STANDING BOARD</v>
          </cell>
          <cell r="F1779" t="str">
            <v>615G0511</v>
          </cell>
          <cell r="P1779"/>
        </row>
        <row r="1780">
          <cell r="A1780" t="str">
            <v>State Plan (Title XIX)</v>
          </cell>
          <cell r="C1780" t="str">
            <v>ICF</v>
          </cell>
          <cell r="D1780" t="str">
            <v xml:space="preserve">Adaptive Aids/DME </v>
          </cell>
          <cell r="E1780" t="str">
            <v>DME/ADAPTIVE AIDS (LON 9) TRAVEL CHAIR</v>
          </cell>
          <cell r="F1780" t="str">
            <v>615G0511</v>
          </cell>
          <cell r="P1780"/>
        </row>
        <row r="1781">
          <cell r="A1781" t="str">
            <v>State Plan (Title XIX)</v>
          </cell>
          <cell r="C1781" t="str">
            <v>ICF</v>
          </cell>
          <cell r="D1781" t="str">
            <v xml:space="preserve">Adaptive Aids/DME </v>
          </cell>
          <cell r="E1781" t="str">
            <v>DME/ADAPTIVE AIDS -LON 1 AIR MATTRESS</v>
          </cell>
          <cell r="F1781" t="str">
            <v>615G0512</v>
          </cell>
          <cell r="P1781"/>
        </row>
        <row r="1782">
          <cell r="A1782" t="str">
            <v>State Plan (Title XIX)</v>
          </cell>
          <cell r="C1782" t="str">
            <v>ICF</v>
          </cell>
          <cell r="D1782" t="str">
            <v xml:space="preserve">Adaptive Aids/DME </v>
          </cell>
          <cell r="E1782" t="str">
            <v>DME/ADAPTIVE AIDS LON 1 COMMUNICATION OTHER</v>
          </cell>
          <cell r="F1782" t="str">
            <v>615G0512</v>
          </cell>
          <cell r="P1782"/>
        </row>
        <row r="1783">
          <cell r="A1783" t="str">
            <v>State Plan (Title XIX)</v>
          </cell>
          <cell r="C1783" t="str">
            <v>ICF</v>
          </cell>
          <cell r="D1783" t="str">
            <v xml:space="preserve">Adaptive Aids/DME </v>
          </cell>
          <cell r="E1783" t="str">
            <v>DME/ADAPTIVE AIDS -LON 1 HOSPITAL WATERBED</v>
          </cell>
          <cell r="F1783" t="str">
            <v>615G0512</v>
          </cell>
          <cell r="P1783"/>
        </row>
        <row r="1784">
          <cell r="A1784" t="str">
            <v>State Plan (Title XIX)</v>
          </cell>
          <cell r="C1784" t="str">
            <v>ICF</v>
          </cell>
          <cell r="D1784" t="str">
            <v xml:space="preserve">Adaptive Aids/DME </v>
          </cell>
          <cell r="E1784" t="str">
            <v>DME/ADAPTIVE AIDS LON 1 -PROSTHETIC/ORTHOTIC</v>
          </cell>
          <cell r="F1784" t="str">
            <v>615G0512</v>
          </cell>
          <cell r="P1784"/>
        </row>
        <row r="1785">
          <cell r="A1785" t="str">
            <v>State Plan (Title XIX)</v>
          </cell>
          <cell r="C1785" t="str">
            <v>ICF</v>
          </cell>
          <cell r="D1785" t="str">
            <v xml:space="preserve">Adaptive Aids/DME </v>
          </cell>
          <cell r="E1785" t="str">
            <v>DME/ADAPTIVE AIDS -LON 5 AIR MATTRESS</v>
          </cell>
          <cell r="F1785" t="str">
            <v>615G0508</v>
          </cell>
          <cell r="P1785"/>
        </row>
        <row r="1786">
          <cell r="A1786" t="str">
            <v>State Plan (Title XIX)</v>
          </cell>
          <cell r="C1786" t="str">
            <v>ICF</v>
          </cell>
          <cell r="D1786" t="str">
            <v xml:space="preserve">Adaptive Aids/DME </v>
          </cell>
          <cell r="E1786" t="str">
            <v>DME/ADAPTIVE AIDS -LON 5 HOSPITAL WATERBED</v>
          </cell>
          <cell r="F1786" t="str">
            <v>615G0508</v>
          </cell>
          <cell r="P1786"/>
        </row>
        <row r="1787">
          <cell r="A1787" t="str">
            <v>State Plan (Title XIX)</v>
          </cell>
          <cell r="C1787" t="str">
            <v>ICF</v>
          </cell>
          <cell r="D1787" t="str">
            <v xml:space="preserve">Adaptive Aids/DME </v>
          </cell>
          <cell r="E1787" t="str">
            <v>DME/ADAPTIVE AIDS -LON 6 AIR MATTRESS</v>
          </cell>
          <cell r="F1787" t="str">
            <v>615G0509</v>
          </cell>
          <cell r="P1787"/>
        </row>
        <row r="1788">
          <cell r="A1788" t="str">
            <v>State Plan (Title XIX)</v>
          </cell>
          <cell r="C1788" t="str">
            <v>ICF</v>
          </cell>
          <cell r="D1788" t="str">
            <v xml:space="preserve">Adaptive Aids/DME </v>
          </cell>
          <cell r="E1788" t="str">
            <v>DME/ADAPTIVE AIDS -LON 6 HOSPITALBED</v>
          </cell>
          <cell r="F1788" t="str">
            <v>615G0509</v>
          </cell>
          <cell r="P1788"/>
        </row>
        <row r="1789">
          <cell r="A1789" t="str">
            <v>State Plan (Title XIX)</v>
          </cell>
          <cell r="C1789" t="str">
            <v>ICF</v>
          </cell>
          <cell r="D1789" t="str">
            <v xml:space="preserve">Adaptive Aids/DME </v>
          </cell>
          <cell r="E1789" t="str">
            <v>DME/ADAPTIVE AIDS -LON 8 AIR MATTRESS</v>
          </cell>
          <cell r="F1789" t="str">
            <v>615G0510</v>
          </cell>
          <cell r="P1789"/>
        </row>
        <row r="1790">
          <cell r="A1790" t="str">
            <v>State Plan (Title XIX)</v>
          </cell>
          <cell r="C1790" t="str">
            <v>ICF</v>
          </cell>
          <cell r="D1790" t="str">
            <v xml:space="preserve">Adaptive Aids/DME </v>
          </cell>
          <cell r="E1790" t="str">
            <v>DME/ADAPTIVE AIDS LON 8 COMMUNICATION OTHER</v>
          </cell>
          <cell r="F1790" t="str">
            <v>615G0510</v>
          </cell>
          <cell r="P1790"/>
        </row>
        <row r="1791">
          <cell r="A1791" t="str">
            <v>State Plan (Title XIX)</v>
          </cell>
          <cell r="C1791" t="str">
            <v>ICF</v>
          </cell>
          <cell r="D1791" t="str">
            <v xml:space="preserve">Adaptive Aids/DME </v>
          </cell>
          <cell r="E1791" t="str">
            <v>DME/ADAPTIVE AIDS -LON 8 HOSPITAL WATERBED</v>
          </cell>
          <cell r="F1791" t="str">
            <v>615G0510</v>
          </cell>
          <cell r="P1791"/>
        </row>
        <row r="1792">
          <cell r="A1792" t="str">
            <v>State Plan (Title XIX)</v>
          </cell>
          <cell r="C1792" t="str">
            <v>ICF</v>
          </cell>
          <cell r="D1792" t="str">
            <v xml:space="preserve">Adaptive Aids/DME </v>
          </cell>
          <cell r="E1792" t="str">
            <v>DME/ADAPTIVE AIDS LON 8 -PROSTHETIC/ORTHOTIC</v>
          </cell>
          <cell r="F1792" t="str">
            <v>615G0510</v>
          </cell>
          <cell r="P1792"/>
        </row>
        <row r="1793">
          <cell r="A1793" t="str">
            <v>State Plan (Title XIX)</v>
          </cell>
          <cell r="C1793" t="str">
            <v>ICF</v>
          </cell>
          <cell r="D1793" t="str">
            <v xml:space="preserve">Adaptive Aids/DME </v>
          </cell>
          <cell r="E1793" t="str">
            <v>DME/ADAPTIVE AIDS -LON 9 AIR MATTRESS</v>
          </cell>
          <cell r="F1793" t="str">
            <v>615G0511</v>
          </cell>
          <cell r="P1793"/>
        </row>
        <row r="1794">
          <cell r="A1794" t="str">
            <v>State Plan (Title XIX)</v>
          </cell>
          <cell r="C1794" t="str">
            <v>ICF</v>
          </cell>
          <cell r="D1794" t="str">
            <v xml:space="preserve">Adaptive Aids/DME </v>
          </cell>
          <cell r="E1794" t="str">
            <v>DME/ADAPTIVE AIDS LON 9 COMMUNICATION OTHER</v>
          </cell>
          <cell r="F1794" t="str">
            <v>615G0511</v>
          </cell>
          <cell r="P1794"/>
        </row>
        <row r="1795">
          <cell r="A1795" t="str">
            <v>State Plan (Title XIX)</v>
          </cell>
          <cell r="C1795" t="str">
            <v>ICF</v>
          </cell>
          <cell r="D1795" t="str">
            <v xml:space="preserve">Adaptive Aids/DME </v>
          </cell>
          <cell r="E1795" t="str">
            <v>DME/ADAPTIVE AIDS -LON 9 HOSPITAL WATERBED</v>
          </cell>
          <cell r="F1795" t="str">
            <v>615G0511</v>
          </cell>
          <cell r="P1795"/>
        </row>
        <row r="1796">
          <cell r="A1796" t="str">
            <v>State Plan (Title XIX)</v>
          </cell>
          <cell r="C1796" t="str">
            <v>ICF</v>
          </cell>
          <cell r="D1796" t="str">
            <v xml:space="preserve">Adaptive Aids/DME </v>
          </cell>
          <cell r="E1796" t="str">
            <v>DME/ADAPTIVE AIDS LON 9 -PROSTHETIC/ORTHOTIC</v>
          </cell>
          <cell r="F1796" t="str">
            <v>615G0511</v>
          </cell>
          <cell r="P1796"/>
        </row>
        <row r="1797">
          <cell r="A1797" t="str">
            <v>State Plan (Title XIX)</v>
          </cell>
          <cell r="C1797" t="str">
            <v>ICF</v>
          </cell>
          <cell r="D1797" t="str">
            <v>ICF</v>
          </cell>
          <cell r="E1797" t="str">
            <v>ICF/IID NON-STATE COMM RES ADD-ON 1</v>
          </cell>
          <cell r="F1797" t="str">
            <v>61BF0231</v>
          </cell>
          <cell r="P1797"/>
        </row>
        <row r="1798">
          <cell r="A1798" t="str">
            <v>State Plan (Title XIX)</v>
          </cell>
          <cell r="C1798" t="str">
            <v>ICF</v>
          </cell>
          <cell r="D1798" t="str">
            <v>ICF</v>
          </cell>
          <cell r="E1798" t="str">
            <v>ICF/IID NON-STATE COMM RES ADD-ON 2</v>
          </cell>
          <cell r="F1798" t="str">
            <v>61CF0232</v>
          </cell>
          <cell r="P1798"/>
        </row>
        <row r="1799">
          <cell r="A1799" t="str">
            <v>State Plan (Title XIX)</v>
          </cell>
          <cell r="C1799" t="str">
            <v>ICF</v>
          </cell>
          <cell r="D1799" t="str">
            <v>ICF</v>
          </cell>
          <cell r="E1799" t="str">
            <v>ICF/IID NON-STATE COMM RES ADD-ON 3</v>
          </cell>
          <cell r="F1799" t="str">
            <v>61DF0233</v>
          </cell>
          <cell r="P1799"/>
        </row>
        <row r="1800">
          <cell r="A1800" t="str">
            <v>State Plan (Title XIX)</v>
          </cell>
          <cell r="C1800" t="str">
            <v>ICF</v>
          </cell>
          <cell r="D1800" t="str">
            <v>ICF</v>
          </cell>
          <cell r="E1800" t="str">
            <v>ICF/IID NON-STATE COMMUNITY RESIDENTIAL LON 1 - Large</v>
          </cell>
          <cell r="F1800" t="str">
            <v>61F0205-L</v>
          </cell>
          <cell r="P1800"/>
        </row>
        <row r="1801">
          <cell r="A1801" t="str">
            <v>State Plan (Title XIX)</v>
          </cell>
          <cell r="C1801" t="str">
            <v>ICF</v>
          </cell>
          <cell r="D1801" t="str">
            <v>ICF</v>
          </cell>
          <cell r="E1801" t="str">
            <v>ICF/IID NON-STATE COMMUNITY RESIDENTIAL LON 1 - Medium</v>
          </cell>
          <cell r="F1801" t="str">
            <v>61F0205-M</v>
          </cell>
          <cell r="P1801"/>
        </row>
        <row r="1802">
          <cell r="A1802" t="str">
            <v>State Plan (Title XIX)</v>
          </cell>
          <cell r="C1802" t="str">
            <v>ICF</v>
          </cell>
          <cell r="D1802" t="str">
            <v>ICF</v>
          </cell>
          <cell r="E1802" t="str">
            <v>ICF/IID NON-STATE COMMUNITY RESIDENTIAL LON 1 - Small</v>
          </cell>
          <cell r="F1802" t="str">
            <v>61F0205-S</v>
          </cell>
          <cell r="P1802"/>
        </row>
        <row r="1803">
          <cell r="A1803" t="str">
            <v>State Plan (Title XIX)</v>
          </cell>
          <cell r="C1803" t="str">
            <v>ICF</v>
          </cell>
          <cell r="D1803" t="str">
            <v>ICF</v>
          </cell>
          <cell r="E1803" t="str">
            <v>ICF/IID NON-STATE COMMUNITY RESIDENTIAL LON 4</v>
          </cell>
          <cell r="F1803" t="str">
            <v>61F0230</v>
          </cell>
          <cell r="P1803"/>
        </row>
        <row r="1804">
          <cell r="A1804" t="str">
            <v>State Plan (Title XIX)</v>
          </cell>
          <cell r="C1804" t="str">
            <v>ICF</v>
          </cell>
          <cell r="D1804" t="str">
            <v>ICF</v>
          </cell>
          <cell r="E1804" t="str">
            <v>ICF/IID NON-STATE COMMUNITY RESIDENTIAL LON 5 - Large</v>
          </cell>
          <cell r="F1804" t="str">
            <v>61F0206-L</v>
          </cell>
          <cell r="P1804"/>
        </row>
        <row r="1805">
          <cell r="A1805" t="str">
            <v>State Plan (Title XIX)</v>
          </cell>
          <cell r="C1805" t="str">
            <v>ICF</v>
          </cell>
          <cell r="D1805" t="str">
            <v>ICF</v>
          </cell>
          <cell r="E1805" t="str">
            <v>ICF/IID NON-STATE COMMUNITY RESIDENTIAL LON 5 - Medium</v>
          </cell>
          <cell r="F1805" t="str">
            <v>61F0206-M</v>
          </cell>
          <cell r="P1805"/>
        </row>
        <row r="1806">
          <cell r="A1806" t="str">
            <v>State Plan (Title XIX)</v>
          </cell>
          <cell r="C1806" t="str">
            <v>ICF</v>
          </cell>
          <cell r="D1806" t="str">
            <v>ICF</v>
          </cell>
          <cell r="E1806" t="str">
            <v>ICF/IID NON-STATE COMMUNITY RESIDENTIAL LON 5 - Small</v>
          </cell>
          <cell r="F1806" t="str">
            <v>61F0206-S</v>
          </cell>
          <cell r="P1806"/>
        </row>
        <row r="1807">
          <cell r="A1807" t="str">
            <v>State Plan (Title XIX)</v>
          </cell>
          <cell r="C1807" t="str">
            <v>ICF</v>
          </cell>
          <cell r="D1807" t="str">
            <v>ICF</v>
          </cell>
          <cell r="E1807" t="str">
            <v>ICF/IID NON-STATE COMMUNITY RESIDENTIAL LON 6 - Large</v>
          </cell>
          <cell r="F1807" t="str">
            <v>61F0207-L</v>
          </cell>
          <cell r="P1807"/>
        </row>
        <row r="1808">
          <cell r="A1808" t="str">
            <v>State Plan (Title XIX)</v>
          </cell>
          <cell r="C1808" t="str">
            <v>ICF</v>
          </cell>
          <cell r="D1808" t="str">
            <v>ICF</v>
          </cell>
          <cell r="E1808" t="str">
            <v>ICF/IID NON-STATE COMMUNITY RESIDENTIAL LON 6 - Medium</v>
          </cell>
          <cell r="F1808" t="str">
            <v>61F0207-M</v>
          </cell>
          <cell r="P1808"/>
        </row>
        <row r="1809">
          <cell r="A1809" t="str">
            <v>State Plan (Title XIX)</v>
          </cell>
          <cell r="C1809" t="str">
            <v>ICF</v>
          </cell>
          <cell r="D1809" t="str">
            <v>ICF</v>
          </cell>
          <cell r="E1809" t="str">
            <v>ICF/IID NON-STATE COMMUNITY RESIDENTIAL LON 6 - Small</v>
          </cell>
          <cell r="F1809" t="str">
            <v>61F0207-S</v>
          </cell>
          <cell r="P1809"/>
        </row>
        <row r="1810">
          <cell r="A1810" t="str">
            <v>State Plan (Title XIX)</v>
          </cell>
          <cell r="C1810" t="str">
            <v>ICF</v>
          </cell>
          <cell r="D1810" t="str">
            <v>ICF</v>
          </cell>
          <cell r="E1810" t="str">
            <v>ICF/IID NON-STATE COMMUNITY RESIDENTIAL LON 8 - Large</v>
          </cell>
          <cell r="F1810" t="str">
            <v>61F0208-L</v>
          </cell>
          <cell r="P1810"/>
        </row>
        <row r="1811">
          <cell r="A1811" t="str">
            <v>State Plan (Title XIX)</v>
          </cell>
          <cell r="C1811" t="str">
            <v>ICF</v>
          </cell>
          <cell r="D1811" t="str">
            <v>ICF</v>
          </cell>
          <cell r="E1811" t="str">
            <v>ICF/IID NON-STATE COMMUNITY RESIDENTIAL LON 8 - Medium</v>
          </cell>
          <cell r="F1811" t="str">
            <v>61F0208-M</v>
          </cell>
          <cell r="P1811"/>
        </row>
        <row r="1812">
          <cell r="A1812" t="str">
            <v>State Plan (Title XIX)</v>
          </cell>
          <cell r="C1812" t="str">
            <v>ICF</v>
          </cell>
          <cell r="D1812" t="str">
            <v>ICF</v>
          </cell>
          <cell r="E1812" t="str">
            <v>ICF/IID NON-STATE COMMUNITY RESIDENTIAL LON 8 - Small</v>
          </cell>
          <cell r="F1812" t="str">
            <v>61F0208-S</v>
          </cell>
          <cell r="P1812"/>
        </row>
        <row r="1813">
          <cell r="A1813" t="str">
            <v>State Plan (Title XIX)</v>
          </cell>
          <cell r="C1813" t="str">
            <v>ICF</v>
          </cell>
          <cell r="D1813" t="str">
            <v>ICF</v>
          </cell>
          <cell r="E1813" t="str">
            <v>ICF/IID NON-STATE COMMUNITY RESIDENTIAL LON 9 - Large</v>
          </cell>
          <cell r="F1813" t="str">
            <v>61F0209-L</v>
          </cell>
          <cell r="P1813"/>
        </row>
        <row r="1814">
          <cell r="A1814" t="str">
            <v>State Plan (Title XIX)</v>
          </cell>
          <cell r="C1814" t="str">
            <v>ICF</v>
          </cell>
          <cell r="D1814" t="str">
            <v>ICF</v>
          </cell>
          <cell r="E1814" t="str">
            <v>ICF/IID NON-STATE COMMUNITY RESIDENTIAL LON 9 - Medium</v>
          </cell>
          <cell r="F1814" t="str">
            <v>61F0209-M</v>
          </cell>
          <cell r="P1814"/>
        </row>
        <row r="1815">
          <cell r="A1815" t="str">
            <v>State Plan (Title XIX)</v>
          </cell>
          <cell r="C1815" t="str">
            <v>ICF</v>
          </cell>
          <cell r="D1815" t="str">
            <v>ICF</v>
          </cell>
          <cell r="E1815" t="str">
            <v>ICF/IID NON-STATE COMMUNITY RESIDENTIAL LON 9 - Small</v>
          </cell>
          <cell r="F1815" t="str">
            <v>61F0209-S</v>
          </cell>
          <cell r="P1815"/>
        </row>
        <row r="1816">
          <cell r="A1816" t="str">
            <v>State Plan (Title XIX)</v>
          </cell>
          <cell r="C1816" t="str">
            <v>ICF</v>
          </cell>
          <cell r="D1816" t="str">
            <v>TAS</v>
          </cell>
          <cell r="E1816" t="str">
            <v>TRANSITIONAL ADD-ON/NON-STATE OPERATED LON 1</v>
          </cell>
          <cell r="F1816" t="str">
            <v>61TF0220</v>
          </cell>
        </row>
        <row r="1817">
          <cell r="A1817" t="str">
            <v>State Plan (Title XIX)</v>
          </cell>
          <cell r="C1817" t="str">
            <v>ICF</v>
          </cell>
          <cell r="D1817" t="str">
            <v>TAS</v>
          </cell>
          <cell r="E1817" t="str">
            <v>TRANSITIONAL ADD-ON/NON-STATE OPERATED LON 5</v>
          </cell>
          <cell r="F1817" t="str">
            <v>61TF0221</v>
          </cell>
        </row>
        <row r="1818">
          <cell r="A1818" t="str">
            <v>State Plan (Title XIX)</v>
          </cell>
          <cell r="C1818" t="str">
            <v>ICF</v>
          </cell>
          <cell r="D1818" t="str">
            <v>TAS</v>
          </cell>
          <cell r="E1818" t="str">
            <v>TRANSITIONAL ADD-ON/NON-STATE OPERATED LON 6</v>
          </cell>
          <cell r="F1818" t="str">
            <v>61TF0222</v>
          </cell>
        </row>
        <row r="1819">
          <cell r="A1819" t="str">
            <v>State Plan (Title XIX)</v>
          </cell>
          <cell r="C1819" t="str">
            <v>ICF</v>
          </cell>
          <cell r="D1819" t="str">
            <v>TAS</v>
          </cell>
          <cell r="E1819" t="str">
            <v>TRANSITIONAL ADD-ON/NON-STATE OPERATED LON 8</v>
          </cell>
          <cell r="F1819" t="str">
            <v>61TF0223</v>
          </cell>
        </row>
        <row r="1820">
          <cell r="A1820" t="str">
            <v>State Plan (Title XIX)</v>
          </cell>
          <cell r="C1820" t="str">
            <v>ICF</v>
          </cell>
          <cell r="D1820" t="str">
            <v>TAS</v>
          </cell>
          <cell r="E1820" t="str">
            <v>TRANSITIONAL ADD-ON/NON-STATE OPERATED LON 9</v>
          </cell>
          <cell r="F1820" t="str">
            <v>61TF0224</v>
          </cell>
        </row>
        <row r="1821">
          <cell r="A1821" t="str">
            <v>Unknown; IHFS no longer exists</v>
          </cell>
          <cell r="C1821" t="str">
            <v>IHFS</v>
          </cell>
          <cell r="D1821" t="str">
            <v>IHFS</v>
          </cell>
          <cell r="E1821" t="str">
            <v>IHFS CAPITAL EXPENDITURES</v>
          </cell>
          <cell r="F1821" t="str">
            <v>726C0400</v>
          </cell>
        </row>
        <row r="1822">
          <cell r="A1822" t="str">
            <v>Unknown; IHFS no longer exists</v>
          </cell>
          <cell r="C1822" t="str">
            <v>IHFS</v>
          </cell>
          <cell r="D1822" t="str">
            <v>IHFS</v>
          </cell>
          <cell r="E1822" t="str">
            <v>IHFS SPENDDOWN</v>
          </cell>
          <cell r="F1822" t="str">
            <v>726BC0403</v>
          </cell>
        </row>
        <row r="1823">
          <cell r="A1823" t="str">
            <v>Unknown; IHFS no longer exists</v>
          </cell>
          <cell r="C1823" t="str">
            <v>IHFS</v>
          </cell>
          <cell r="D1823" t="str">
            <v>IHFS</v>
          </cell>
          <cell r="E1823" t="str">
            <v>IHFSP SERVICE SUBSIDY</v>
          </cell>
          <cell r="F1823" t="str">
            <v>726AC0401</v>
          </cell>
        </row>
        <row r="1824">
          <cell r="A1824" t="str">
            <v>Unknown; IHFS no longer exists</v>
          </cell>
          <cell r="C1824" t="str">
            <v>IHFS</v>
          </cell>
          <cell r="D1824" t="str">
            <v>IHFS</v>
          </cell>
          <cell r="E1824" t="str">
            <v>IHFS-REPAYMENT</v>
          </cell>
          <cell r="F1824" t="str">
            <v>726CC0404</v>
          </cell>
        </row>
        <row r="1825">
          <cell r="A1825" t="str">
            <v>Unknown; need to contact program (see: Health and Safety Code 533A.035(b))</v>
          </cell>
          <cell r="C1825" t="str">
            <v>LIDDA</v>
          </cell>
          <cell r="D1825" t="str">
            <v>Assessment or Evaluation</v>
          </cell>
          <cell r="E1825" t="str">
            <v>ELAUATION FOR IDD</v>
          </cell>
          <cell r="F1825" t="str">
            <v>1480M0326</v>
          </cell>
        </row>
        <row r="1826">
          <cell r="A1826" t="str">
            <v>Unknown; need to contact program (see: Health and Safety Code 533A.035(b))</v>
          </cell>
          <cell r="C1826" t="str">
            <v>LIDDA</v>
          </cell>
          <cell r="D1826" t="str">
            <v>Assessment or Evaluation</v>
          </cell>
          <cell r="E1826" t="str">
            <v>EVALUATION FOR MI</v>
          </cell>
          <cell r="F1826" t="str">
            <v>1481M0327</v>
          </cell>
        </row>
        <row r="1827">
          <cell r="A1827" t="str">
            <v>Unknown; need to contact program (see: Health and Safety Code 533A.035(b))</v>
          </cell>
          <cell r="C1827" t="str">
            <v>LIDDA</v>
          </cell>
          <cell r="D1827" t="str">
            <v>Case Management</v>
          </cell>
          <cell r="E1827" t="str">
            <v>TCM COMPREHENSIVE</v>
          </cell>
          <cell r="F1827" t="str">
            <v>1412AM0324</v>
          </cell>
        </row>
        <row r="1828">
          <cell r="A1828" t="str">
            <v>Unknown; need to contact program (see: Health and Safety Code 533A.035(b))</v>
          </cell>
          <cell r="C1828" t="str">
            <v>LIDDA</v>
          </cell>
          <cell r="D1828" t="str">
            <v>Case Management</v>
          </cell>
          <cell r="E1828" t="str">
            <v>TCM FOLLOW-UP</v>
          </cell>
          <cell r="F1828" t="str">
            <v>1412CM0325</v>
          </cell>
        </row>
        <row r="1829">
          <cell r="A1829" t="str">
            <v>State Plan (Title XIX)</v>
          </cell>
          <cell r="C1829" t="str">
            <v xml:space="preserve">Nursing Facility </v>
          </cell>
          <cell r="D1829" t="str">
            <v xml:space="preserve">Adaptive Aids/DME </v>
          </cell>
          <cell r="E1829" t="str">
            <v>CPWC ADJUSTMENTS</v>
          </cell>
          <cell r="F1829" t="str">
            <v>115CG0959</v>
          </cell>
        </row>
        <row r="1830">
          <cell r="A1830" t="str">
            <v>State Plan (Title XIX)</v>
          </cell>
          <cell r="C1830" t="str">
            <v xml:space="preserve">Nursing Facility </v>
          </cell>
          <cell r="D1830" t="str">
            <v xml:space="preserve">Adaptive Aids/DME </v>
          </cell>
          <cell r="E1830" t="str">
            <v>CPWC MODIFICATION</v>
          </cell>
          <cell r="F1830" t="str">
            <v>115BG0958</v>
          </cell>
        </row>
        <row r="1831">
          <cell r="A1831" t="str">
            <v>State Plan (Title XIX)</v>
          </cell>
          <cell r="C1831" t="str">
            <v xml:space="preserve">Nursing Facility </v>
          </cell>
          <cell r="D1831" t="str">
            <v xml:space="preserve">Adaptive Aids/DME </v>
          </cell>
          <cell r="E1831" t="str">
            <v xml:space="preserve">CUSTOMIZED POWER WHEELCHAIR </v>
          </cell>
          <cell r="F1831" t="str">
            <v>115AG0955</v>
          </cell>
        </row>
        <row r="1832">
          <cell r="A1832" t="str">
            <v>State Plan (Title XIX)</v>
          </cell>
          <cell r="C1832" t="str">
            <v xml:space="preserve">Nursing Facility </v>
          </cell>
          <cell r="D1832" t="str">
            <v xml:space="preserve">Adaptive Aids/DME </v>
          </cell>
          <cell r="E1832" t="str">
            <v xml:space="preserve">DME MISCELLANEOUS (HOSPITAL BEDS VENTILATOR) </v>
          </cell>
          <cell r="F1832" t="str">
            <v>115G0500</v>
          </cell>
        </row>
        <row r="1833">
          <cell r="A1833" t="str">
            <v>State Plan (Title XIX)</v>
          </cell>
          <cell r="C1833" t="str">
            <v xml:space="preserve">Nursing Facility </v>
          </cell>
          <cell r="D1833" t="str">
            <v xml:space="preserve">Adaptive Aids/DME </v>
          </cell>
          <cell r="E1833" t="str">
            <v xml:space="preserve">DME MISCELLANEOUS (HOSPITAL BEDS VENTILATOR) </v>
          </cell>
          <cell r="F1833" t="str">
            <v>115G0500</v>
          </cell>
        </row>
        <row r="1834">
          <cell r="A1834" t="str">
            <v>State Plan (Title XIX)</v>
          </cell>
          <cell r="C1834" t="str">
            <v xml:space="preserve">Nursing Facility </v>
          </cell>
          <cell r="D1834" t="str">
            <v xml:space="preserve">Adaptive Aids/DME </v>
          </cell>
          <cell r="E1834" t="str">
            <v xml:space="preserve">DME MISCELLANEOUS (HOSPITAL BEDS VENTILATOR) </v>
          </cell>
          <cell r="F1834" t="str">
            <v>115G0500</v>
          </cell>
        </row>
        <row r="1835">
          <cell r="A1835" t="str">
            <v>State Plan (Title XIX)</v>
          </cell>
          <cell r="C1835" t="str">
            <v xml:space="preserve">Nursing Facility </v>
          </cell>
          <cell r="D1835" t="str">
            <v xml:space="preserve">Adaptive Aids/DME </v>
          </cell>
          <cell r="E1835" t="str">
            <v xml:space="preserve">DME/ADAPTIVE AIDS – ASSESSMENT BY OT (PASRR) </v>
          </cell>
          <cell r="F1835" t="str">
            <v>115PAG0532</v>
          </cell>
        </row>
        <row r="1836">
          <cell r="A1836" t="str">
            <v>State Plan (Title XIX)</v>
          </cell>
          <cell r="C1836" t="str">
            <v xml:space="preserve">Nursing Facility </v>
          </cell>
          <cell r="D1836" t="str">
            <v xml:space="preserve">Adaptive Aids/DME </v>
          </cell>
          <cell r="E1836" t="str">
            <v xml:space="preserve">DME/ADAPTIVE AIDS – ASSESSMENT BY OT CONTRACTED (PASRR) </v>
          </cell>
          <cell r="F1836" t="str">
            <v>115PAG0533</v>
          </cell>
        </row>
        <row r="1837">
          <cell r="A1837" t="str">
            <v>State Plan (Title XIX)</v>
          </cell>
          <cell r="C1837" t="str">
            <v xml:space="preserve">Nursing Facility </v>
          </cell>
          <cell r="D1837" t="str">
            <v xml:space="preserve">Adaptive Aids/DME </v>
          </cell>
          <cell r="E1837" t="str">
            <v xml:space="preserve">DME/ADAPTIVE AIDS – ASSESSMENT BY PT (PASRR) </v>
          </cell>
          <cell r="F1837" t="str">
            <v>115PBG0534</v>
          </cell>
        </row>
        <row r="1838">
          <cell r="A1838" t="str">
            <v>State Plan (Title XIX)</v>
          </cell>
          <cell r="C1838" t="str">
            <v xml:space="preserve">Nursing Facility </v>
          </cell>
          <cell r="D1838" t="str">
            <v xml:space="preserve">Adaptive Aids/DME </v>
          </cell>
          <cell r="E1838" t="str">
            <v xml:space="preserve">DME/ADAPTIVE AIDS – ASSESSMENT BY PT CONTRACTED (PASRR) </v>
          </cell>
          <cell r="F1838" t="str">
            <v>115PBG0535</v>
          </cell>
        </row>
        <row r="1839">
          <cell r="A1839" t="str">
            <v>State Plan (Title XIX)</v>
          </cell>
          <cell r="C1839" t="str">
            <v xml:space="preserve">Nursing Facility </v>
          </cell>
          <cell r="D1839" t="str">
            <v xml:space="preserve">Adaptive Aids/DME </v>
          </cell>
          <cell r="E1839" t="str">
            <v xml:space="preserve">DME/ADAPTIVE AIDS – GAIT TRAINER (PASRR) </v>
          </cell>
          <cell r="F1839" t="str">
            <v>115PCG0536</v>
          </cell>
        </row>
        <row r="1840">
          <cell r="A1840" t="str">
            <v>State Plan (Title XIX)</v>
          </cell>
          <cell r="C1840" t="str">
            <v xml:space="preserve">Nursing Facility </v>
          </cell>
          <cell r="D1840" t="str">
            <v xml:space="preserve">Adaptive Aids/DME </v>
          </cell>
          <cell r="E1840" t="str">
            <v xml:space="preserve">DME/ADAPTIVE AIDS – LOW AIR PRESSURE MATTRESS (PASRR) </v>
          </cell>
          <cell r="F1840" t="str">
            <v>115PDG0537</v>
          </cell>
        </row>
        <row r="1841">
          <cell r="A1841" t="str">
            <v>State Plan (Title XIX)</v>
          </cell>
          <cell r="C1841" t="str">
            <v xml:space="preserve">Nursing Facility </v>
          </cell>
          <cell r="D1841" t="str">
            <v xml:space="preserve">Adaptive Aids/DME </v>
          </cell>
          <cell r="E1841" t="str">
            <v xml:space="preserve">DME/ADAPTIVE AIDS – ORTHOTIC DEVICE (PASRR) </v>
          </cell>
          <cell r="F1841" t="str">
            <v>115PEG0538</v>
          </cell>
        </row>
        <row r="1842">
          <cell r="A1842" t="str">
            <v>State Plan (Title XIX)</v>
          </cell>
          <cell r="C1842" t="str">
            <v xml:space="preserve">Nursing Facility </v>
          </cell>
          <cell r="D1842" t="str">
            <v xml:space="preserve">Adaptive Aids/DME </v>
          </cell>
          <cell r="E1842" t="str">
            <v xml:space="preserve">DME/ADAPTIVE AIDS – POSITIONING DEVICE/WEDGE (PASRR) </v>
          </cell>
          <cell r="F1842" t="str">
            <v>115PFG0539</v>
          </cell>
        </row>
        <row r="1843">
          <cell r="A1843" t="str">
            <v>State Plan (Title XIX)</v>
          </cell>
          <cell r="C1843" t="str">
            <v xml:space="preserve">Nursing Facility </v>
          </cell>
          <cell r="D1843" t="str">
            <v xml:space="preserve">Adaptive Aids/DME </v>
          </cell>
          <cell r="E1843" t="str">
            <v xml:space="preserve">DME/ADAPTIVE AIDS – PROSTHETIC DEVICE (PASRR) </v>
          </cell>
          <cell r="F1843" t="str">
            <v>115PGG0540</v>
          </cell>
        </row>
        <row r="1844">
          <cell r="A1844" t="str">
            <v>State Plan (Title XIX)</v>
          </cell>
          <cell r="C1844" t="str">
            <v xml:space="preserve">Nursing Facility </v>
          </cell>
          <cell r="D1844" t="str">
            <v xml:space="preserve">Adaptive Aids/DME </v>
          </cell>
          <cell r="E1844" t="str">
            <v xml:space="preserve">DME/ADAPTIVE AIDS – STANDING FRAME/TABLE SYSTEM, MOBILE DYNAMIC STANDER (PASRR) </v>
          </cell>
          <cell r="F1844" t="str">
            <v>115PHG0541</v>
          </cell>
        </row>
        <row r="1845">
          <cell r="A1845" t="str">
            <v>State Plan (Title XIX)</v>
          </cell>
          <cell r="C1845" t="str">
            <v xml:space="preserve">Nursing Facility </v>
          </cell>
          <cell r="D1845" t="str">
            <v xml:space="preserve">Adaptive Aids/DME </v>
          </cell>
          <cell r="E1845" t="str">
            <v xml:space="preserve">DME/ADAPTIVE AIDS – STANDING FRAME/TABLE SYSTEM, MULTI-POSITION (PASRR) </v>
          </cell>
          <cell r="F1845" t="str">
            <v>115PHG0542</v>
          </cell>
        </row>
        <row r="1846">
          <cell r="A1846" t="str">
            <v>State Plan (Title XIX)</v>
          </cell>
          <cell r="C1846" t="str">
            <v xml:space="preserve">Nursing Facility </v>
          </cell>
          <cell r="D1846" t="str">
            <v xml:space="preserve">Adaptive Aids/DME </v>
          </cell>
          <cell r="E1846" t="str">
            <v xml:space="preserve">DME/ADAPTIVE AIDS – STANDING FRAME/TABLE SYSTEM, ONE POSITION (PASRR) </v>
          </cell>
          <cell r="F1846" t="str">
            <v>115PHG0543</v>
          </cell>
        </row>
        <row r="1847">
          <cell r="A1847" t="str">
            <v>State Plan (Title XIX)</v>
          </cell>
          <cell r="C1847" t="str">
            <v xml:space="preserve">Nursing Facility </v>
          </cell>
          <cell r="D1847" t="str">
            <v xml:space="preserve">Adaptive Aids/DME </v>
          </cell>
          <cell r="E1847" t="str">
            <v xml:space="preserve">DME/ADAPTIVE AIDS – TRAVEL CHAIR/RESTRAINT (PASRR) </v>
          </cell>
          <cell r="F1847" t="str">
            <v>115PIG0544</v>
          </cell>
        </row>
        <row r="1848">
          <cell r="A1848" t="str">
            <v>State Plan (Title XIX)</v>
          </cell>
          <cell r="C1848" t="str">
            <v xml:space="preserve">Nursing Facility </v>
          </cell>
          <cell r="D1848" t="str">
            <v xml:space="preserve">Adaptive Aids/DME </v>
          </cell>
          <cell r="E1848" t="str">
            <v>DME/ADAPTIVE AIDS COMMUNICATION DEVICE</v>
          </cell>
          <cell r="F1848" t="str">
            <v>115G0500</v>
          </cell>
        </row>
        <row r="1849">
          <cell r="A1849" t="str">
            <v>State Plan (Title XIX)</v>
          </cell>
          <cell r="C1849" t="str">
            <v xml:space="preserve">Nursing Facility </v>
          </cell>
          <cell r="D1849" t="str">
            <v xml:space="preserve">Adaptive Aids/DME </v>
          </cell>
          <cell r="E1849" t="str">
            <v>DME/ADAPTIVE AIDS COMMUNICATION OTHER</v>
          </cell>
          <cell r="F1849" t="str">
            <v>115G0500</v>
          </cell>
        </row>
        <row r="1850">
          <cell r="A1850" t="str">
            <v>State Plan (Title XIX)</v>
          </cell>
          <cell r="C1850" t="str">
            <v xml:space="preserve">Nursing Facility </v>
          </cell>
          <cell r="D1850" t="str">
            <v xml:space="preserve">Adaptive Aids/DME </v>
          </cell>
          <cell r="E1850" t="str">
            <v xml:space="preserve">DME/ADAPTIVE AIDS- LOW AIR PRESSURE MATTRESS (PASRR) </v>
          </cell>
          <cell r="F1850" t="str">
            <v>115PG0512</v>
          </cell>
        </row>
        <row r="1851">
          <cell r="A1851" t="str">
            <v>State Plan (Title XIX)</v>
          </cell>
          <cell r="C1851" t="str">
            <v xml:space="preserve">Nursing Facility </v>
          </cell>
          <cell r="D1851" t="str">
            <v xml:space="preserve">Adaptive Aids/DME </v>
          </cell>
          <cell r="E1851" t="str">
            <v xml:space="preserve">DME/ADAPTIVE AIDS- LOW AIR PRESSURE MATTRESS (PASRR) </v>
          </cell>
          <cell r="F1851" t="str">
            <v>115PG0512</v>
          </cell>
        </row>
        <row r="1852">
          <cell r="A1852" t="str">
            <v>State Plan (Title XIX)</v>
          </cell>
          <cell r="C1852" t="str">
            <v xml:space="preserve">Nursing Facility </v>
          </cell>
          <cell r="D1852" t="str">
            <v xml:space="preserve">Adaptive Aids/DME </v>
          </cell>
          <cell r="E1852" t="str">
            <v xml:space="preserve">DME/ADAPTIVE AIDS- LOW AIR PRESSURE MATTRESS (PASRR) </v>
          </cell>
          <cell r="F1852" t="str">
            <v>115PG0512</v>
          </cell>
        </row>
        <row r="1853">
          <cell r="A1853" t="str">
            <v>State Plan (Title XIX)</v>
          </cell>
          <cell r="C1853" t="str">
            <v xml:space="preserve">Nursing Facility </v>
          </cell>
          <cell r="D1853" t="str">
            <v xml:space="preserve">Adaptive Aids/DME </v>
          </cell>
          <cell r="E1853" t="str">
            <v xml:space="preserve">DME/ADAPTIVE AIDS- LOW AIR PRESSURE MATTRESS (PASRR) </v>
          </cell>
          <cell r="F1853" t="str">
            <v>115PG0512</v>
          </cell>
        </row>
        <row r="1854">
          <cell r="A1854" t="str">
            <v>State Plan (Title XIX)</v>
          </cell>
          <cell r="C1854" t="str">
            <v xml:space="preserve">Nursing Facility </v>
          </cell>
          <cell r="D1854" t="str">
            <v xml:space="preserve">Adaptive Aids/DME </v>
          </cell>
          <cell r="E1854" t="str">
            <v xml:space="preserve">DME/ADAPTIVE AIDS- LOW AIR PRESSURE MATTRESS (PASRR) </v>
          </cell>
          <cell r="F1854" t="str">
            <v>115PG0512</v>
          </cell>
        </row>
        <row r="1855">
          <cell r="A1855" t="str">
            <v>State Plan (Title XIX)</v>
          </cell>
          <cell r="C1855" t="str">
            <v xml:space="preserve">Nursing Facility </v>
          </cell>
          <cell r="D1855" t="str">
            <v xml:space="preserve">Adaptive Aids/DME </v>
          </cell>
          <cell r="E1855" t="str">
            <v xml:space="preserve">DME/ADAPTIVE AIDS- LOW AIR PRESSURE MATTRESS (PASRR) </v>
          </cell>
          <cell r="F1855" t="str">
            <v>115PG0512</v>
          </cell>
        </row>
        <row r="1856">
          <cell r="A1856" t="str">
            <v>State Plan (Title XIX)</v>
          </cell>
          <cell r="C1856" t="str">
            <v xml:space="preserve">Nursing Facility </v>
          </cell>
          <cell r="D1856" t="str">
            <v xml:space="preserve">Adaptive Aids/DME </v>
          </cell>
          <cell r="E1856" t="str">
            <v xml:space="preserve">DME/ADAPTIVE AIDS- LOW AIR PRESSURE MATTRESS (PASRR) </v>
          </cell>
          <cell r="F1856" t="str">
            <v>115PG0512</v>
          </cell>
        </row>
        <row r="1857">
          <cell r="A1857" t="str">
            <v>State Plan (Title XIX)</v>
          </cell>
          <cell r="C1857" t="str">
            <v xml:space="preserve">Nursing Facility </v>
          </cell>
          <cell r="D1857" t="str">
            <v xml:space="preserve">Adaptive Aids/DME </v>
          </cell>
          <cell r="E1857" t="str">
            <v xml:space="preserve">DME/ADAPTIVE AIDS- LOW AIR PRESSURE MATTRESS (PASRR) </v>
          </cell>
          <cell r="F1857" t="str">
            <v>115PG0512</v>
          </cell>
        </row>
        <row r="1858">
          <cell r="A1858" t="str">
            <v>State Plan (Title XIX)</v>
          </cell>
          <cell r="C1858" t="str">
            <v xml:space="preserve">Nursing Facility </v>
          </cell>
          <cell r="D1858" t="str">
            <v xml:space="preserve">Adaptive Aids/DME </v>
          </cell>
          <cell r="E1858" t="str">
            <v xml:space="preserve">DME/ADAPTIVE AIDS- LOW AIR PRESSURE MATTRESS (PASRR) </v>
          </cell>
          <cell r="F1858" t="str">
            <v>115PG0512</v>
          </cell>
        </row>
        <row r="1859">
          <cell r="A1859" t="str">
            <v>State Plan (Title XIX)</v>
          </cell>
          <cell r="C1859" t="str">
            <v xml:space="preserve">Nursing Facility </v>
          </cell>
          <cell r="D1859" t="str">
            <v xml:space="preserve">Adaptive Aids/DME </v>
          </cell>
          <cell r="E1859" t="str">
            <v xml:space="preserve">DME/ADAPTIVE AIDS OTHER (IN HOME/NON-VEHICLE LIFT) </v>
          </cell>
          <cell r="F1859" t="str">
            <v>115G0500</v>
          </cell>
        </row>
        <row r="1860">
          <cell r="A1860" t="str">
            <v>State Plan (Title XIX)</v>
          </cell>
          <cell r="C1860" t="str">
            <v xml:space="preserve">Nursing Facility </v>
          </cell>
          <cell r="D1860" t="str">
            <v>Dental</v>
          </cell>
          <cell r="E1860" t="str">
            <v>EMERGENCY DENTAL CUT AND EVACUATE ABSCESS INTRAORAL</v>
          </cell>
          <cell r="F1860" t="str">
            <v>15N0600</v>
          </cell>
        </row>
        <row r="1861">
          <cell r="A1861" t="str">
            <v>State Plan (Title XIX)</v>
          </cell>
          <cell r="C1861" t="str">
            <v xml:space="preserve">Nursing Facility </v>
          </cell>
          <cell r="D1861" t="str">
            <v>Dental</v>
          </cell>
          <cell r="E1861" t="str">
            <v>EMERGENCY DENTAL CUT AND EVACUATE OF ABSCESS EXTRAORAL</v>
          </cell>
          <cell r="F1861" t="str">
            <v>15N0600</v>
          </cell>
        </row>
        <row r="1862">
          <cell r="A1862" t="str">
            <v>State Plan (Title XIX)</v>
          </cell>
          <cell r="C1862" t="str">
            <v xml:space="preserve">Nursing Facility </v>
          </cell>
          <cell r="D1862" t="str">
            <v>Dental</v>
          </cell>
          <cell r="E1862" t="str">
            <v>EMERGENCY DENTAL GENERAL NUMBING AND EACH SUBSEQUENT 15 MINUTES</v>
          </cell>
          <cell r="F1862" t="str">
            <v>15N0600</v>
          </cell>
        </row>
        <row r="1863">
          <cell r="A1863" t="str">
            <v>State Plan (Title XIX)</v>
          </cell>
          <cell r="C1863" t="str">
            <v xml:space="preserve">Nursing Facility </v>
          </cell>
          <cell r="D1863" t="str">
            <v>Dental</v>
          </cell>
          <cell r="E1863" t="str">
            <v>EMERGENCY DENTAL GENERAL NUMBING FIRST HALF HOUR</v>
          </cell>
          <cell r="F1863" t="str">
            <v>15N0600</v>
          </cell>
        </row>
        <row r="1864">
          <cell r="A1864" t="str">
            <v>State Plan (Title XIX)</v>
          </cell>
          <cell r="C1864" t="str">
            <v xml:space="preserve">Nursing Facility </v>
          </cell>
          <cell r="D1864" t="str">
            <v>Dental</v>
          </cell>
          <cell r="E1864" t="str">
            <v>EMERGENCY DENTAL INITIAL X-RAY</v>
          </cell>
          <cell r="F1864" t="str">
            <v>15N0600</v>
          </cell>
        </row>
        <row r="1865">
          <cell r="A1865" t="str">
            <v>State Plan (Title XIX)</v>
          </cell>
          <cell r="C1865" t="str">
            <v xml:space="preserve">Nursing Facility </v>
          </cell>
          <cell r="D1865" t="str">
            <v>Dental</v>
          </cell>
          <cell r="E1865" t="str">
            <v>EMERGENCY DENTAL LOCAL NUMBING</v>
          </cell>
          <cell r="F1865" t="str">
            <v>15N0600</v>
          </cell>
        </row>
        <row r="1866">
          <cell r="A1866" t="str">
            <v>State Plan (Title XIX)</v>
          </cell>
          <cell r="C1866" t="str">
            <v xml:space="preserve">Nursing Facility </v>
          </cell>
          <cell r="D1866" t="str">
            <v>Dental</v>
          </cell>
          <cell r="E1866" t="str">
            <v>EMERGENCY DENTAL ORAL</v>
          </cell>
          <cell r="F1866" t="str">
            <v>15N0600</v>
          </cell>
        </row>
        <row r="1867">
          <cell r="A1867" t="str">
            <v>State Plan (Title XIX)</v>
          </cell>
          <cell r="C1867" t="str">
            <v xml:space="preserve">Nursing Facility </v>
          </cell>
          <cell r="D1867" t="str">
            <v>Dental</v>
          </cell>
          <cell r="E1867" t="str">
            <v>EMERGENCY DENTAL PALLIATIVE</v>
          </cell>
          <cell r="F1867" t="str">
            <v>15N0600</v>
          </cell>
        </row>
        <row r="1868">
          <cell r="A1868" t="str">
            <v>State Plan (Title XIX)</v>
          </cell>
          <cell r="C1868" t="str">
            <v xml:space="preserve">Nursing Facility </v>
          </cell>
          <cell r="D1868" t="str">
            <v>Dental</v>
          </cell>
          <cell r="E1868" t="str">
            <v>EMERGENCY DENTAL PULL IMPACTED TOOTH</v>
          </cell>
          <cell r="F1868" t="str">
            <v>15N0600</v>
          </cell>
        </row>
        <row r="1869">
          <cell r="A1869" t="str">
            <v>State Plan (Title XIX)</v>
          </cell>
          <cell r="C1869" t="str">
            <v xml:space="preserve">Nursing Facility </v>
          </cell>
          <cell r="D1869" t="str">
            <v>Dental</v>
          </cell>
          <cell r="E1869" t="str">
            <v>EMERGENCY DENTAL PULL OF IMPACTED SLIGHTLY TOOTH BONY</v>
          </cell>
          <cell r="F1869" t="str">
            <v>15N0600</v>
          </cell>
        </row>
        <row r="1870">
          <cell r="A1870" t="str">
            <v>State Plan (Title XIX)</v>
          </cell>
          <cell r="C1870" t="str">
            <v xml:space="preserve">Nursing Facility </v>
          </cell>
          <cell r="D1870" t="str">
            <v>Dental</v>
          </cell>
          <cell r="E1870" t="str">
            <v>EMERGENCY DENTAL PULL OF IMPACTED TOOTH BONY</v>
          </cell>
          <cell r="F1870" t="str">
            <v>15N0600</v>
          </cell>
        </row>
        <row r="1871">
          <cell r="A1871" t="str">
            <v>State Plan (Title XIX)</v>
          </cell>
          <cell r="C1871" t="str">
            <v xml:space="preserve">Nursing Facility </v>
          </cell>
          <cell r="D1871" t="str">
            <v>Dental</v>
          </cell>
          <cell r="E1871" t="str">
            <v>EMERGENCY DENTAL PULL OF TOOTH DAMAGED</v>
          </cell>
          <cell r="F1871" t="str">
            <v>15N0600</v>
          </cell>
        </row>
        <row r="1872">
          <cell r="A1872" t="str">
            <v>State Plan (Title XIX)</v>
          </cell>
          <cell r="C1872" t="str">
            <v xml:space="preserve">Nursing Facility </v>
          </cell>
          <cell r="D1872" t="str">
            <v>Dental</v>
          </cell>
          <cell r="E1872" t="str">
            <v>EMERGENCY DENTAL PULL REMAINING TOOTH ROOTS</v>
          </cell>
          <cell r="F1872" t="str">
            <v>15N0600</v>
          </cell>
        </row>
        <row r="1873">
          <cell r="A1873" t="str">
            <v>State Plan (Title XIX)</v>
          </cell>
          <cell r="C1873" t="str">
            <v xml:space="preserve">Nursing Facility </v>
          </cell>
          <cell r="D1873" t="str">
            <v>Dental</v>
          </cell>
          <cell r="E1873" t="str">
            <v>EMERGENCY DENTAL REMOVAL OF IMPACTED TOOTH PULL BONY COMPLICATIONS</v>
          </cell>
          <cell r="F1873" t="str">
            <v>15N0600</v>
          </cell>
        </row>
        <row r="1874">
          <cell r="A1874" t="str">
            <v>State Plan (Title XIX)</v>
          </cell>
          <cell r="C1874" t="str">
            <v xml:space="preserve">Nursing Facility </v>
          </cell>
          <cell r="D1874" t="str">
            <v>Dental</v>
          </cell>
          <cell r="E1874" t="str">
            <v>EMERGENCY DENTAL SUBSEQUENCE X-RAYS</v>
          </cell>
          <cell r="F1874" t="str">
            <v>15N0600</v>
          </cell>
        </row>
        <row r="1875">
          <cell r="A1875" t="str">
            <v>State Plan (Title XIX)</v>
          </cell>
          <cell r="C1875" t="str">
            <v xml:space="preserve">Nursing Facility </v>
          </cell>
          <cell r="D1875" t="str">
            <v>Dental</v>
          </cell>
          <cell r="E1875" t="str">
            <v>EXTRACTION ERUPTED TOOTH/EXR</v>
          </cell>
          <cell r="F1875" t="str">
            <v>15N0600</v>
          </cell>
        </row>
        <row r="1876">
          <cell r="C1876" t="str">
            <v xml:space="preserve">Nursing Facility </v>
          </cell>
          <cell r="D1876" t="str">
            <v xml:space="preserve">Medicare Co-Insurance </v>
          </cell>
          <cell r="E1876" t="str">
            <v>MEDICARE SKILLED</v>
          </cell>
          <cell r="F1876" t="str">
            <v>13N0400</v>
          </cell>
        </row>
        <row r="1877">
          <cell r="C1877" t="str">
            <v xml:space="preserve">Nursing Facility </v>
          </cell>
          <cell r="D1877" t="str">
            <v xml:space="preserve">Medicare Co-Insurance </v>
          </cell>
          <cell r="E1877" t="str">
            <v>MEDICARE SKILLED</v>
          </cell>
          <cell r="F1877" t="str">
            <v>13N0400</v>
          </cell>
        </row>
        <row r="1878">
          <cell r="C1878" t="str">
            <v xml:space="preserve">Nursing Facility </v>
          </cell>
          <cell r="D1878" t="str">
            <v xml:space="preserve">Medicare Co-Insurance </v>
          </cell>
          <cell r="E1878" t="str">
            <v>VA MEDICARE SKILLED</v>
          </cell>
          <cell r="F1878" t="str">
            <v>13V0400</v>
          </cell>
        </row>
        <row r="1879">
          <cell r="A1879" t="str">
            <v>State Plan (Title XIX)</v>
          </cell>
          <cell r="C1879" t="str">
            <v xml:space="preserve">Nursing Facility </v>
          </cell>
          <cell r="D1879" t="str">
            <v>NF Daily Care</v>
          </cell>
          <cell r="E1879" t="str">
            <v>NF BA1</v>
          </cell>
          <cell r="F1879" t="str">
            <v>11RG024</v>
          </cell>
        </row>
        <row r="1880">
          <cell r="A1880" t="str">
            <v>State Plan (Title XIX)</v>
          </cell>
          <cell r="C1880" t="str">
            <v xml:space="preserve">Nursing Facility </v>
          </cell>
          <cell r="D1880" t="str">
            <v>NF Daily Care</v>
          </cell>
          <cell r="E1880" t="str">
            <v>NF BA2</v>
          </cell>
          <cell r="F1880" t="str">
            <v>11RG023</v>
          </cell>
        </row>
        <row r="1881">
          <cell r="A1881" t="str">
            <v>State Plan (Title XIX)</v>
          </cell>
          <cell r="C1881" t="str">
            <v xml:space="preserve">Nursing Facility </v>
          </cell>
          <cell r="D1881" t="str">
            <v>NF Daily Care</v>
          </cell>
          <cell r="E1881" t="str">
            <v>NF BB1</v>
          </cell>
          <cell r="F1881" t="str">
            <v>11RG022</v>
          </cell>
        </row>
        <row r="1882">
          <cell r="A1882" t="str">
            <v>State Plan (Title XIX)</v>
          </cell>
          <cell r="C1882" t="str">
            <v xml:space="preserve">Nursing Facility </v>
          </cell>
          <cell r="D1882" t="str">
            <v>NF Daily Care</v>
          </cell>
          <cell r="E1882" t="str">
            <v>NF BB2</v>
          </cell>
          <cell r="F1882" t="str">
            <v>11RG021</v>
          </cell>
        </row>
        <row r="1883">
          <cell r="A1883" t="str">
            <v>State Plan (Title XIX)</v>
          </cell>
          <cell r="C1883" t="str">
            <v xml:space="preserve">Nursing Facility </v>
          </cell>
          <cell r="D1883" t="str">
            <v>NF Daily Care</v>
          </cell>
          <cell r="E1883" t="str">
            <v>NF BC1</v>
          </cell>
          <cell r="F1883" t="str">
            <v>11RG035</v>
          </cell>
        </row>
        <row r="1884">
          <cell r="A1884" t="str">
            <v>State Plan (Title XIX)</v>
          </cell>
          <cell r="C1884" t="str">
            <v xml:space="preserve">Nursing Facility </v>
          </cell>
          <cell r="D1884" t="str">
            <v>NF Daily Care</v>
          </cell>
          <cell r="E1884" t="str">
            <v>NF CA1</v>
          </cell>
          <cell r="F1884" t="str">
            <v>11RG016</v>
          </cell>
        </row>
        <row r="1885">
          <cell r="A1885" t="str">
            <v>State Plan (Title XIX)</v>
          </cell>
          <cell r="C1885" t="str">
            <v xml:space="preserve">Nursing Facility </v>
          </cell>
          <cell r="D1885" t="str">
            <v>NF Daily Care</v>
          </cell>
          <cell r="E1885" t="str">
            <v>NF CA2</v>
          </cell>
          <cell r="F1885" t="str">
            <v>11RG015</v>
          </cell>
        </row>
        <row r="1886">
          <cell r="A1886" t="str">
            <v>State Plan (Title XIX)</v>
          </cell>
          <cell r="C1886" t="str">
            <v xml:space="preserve">Nursing Facility </v>
          </cell>
          <cell r="D1886" t="str">
            <v>NF Daily Care</v>
          </cell>
          <cell r="E1886" t="str">
            <v>NF CB1</v>
          </cell>
          <cell r="F1886" t="str">
            <v>11RG014</v>
          </cell>
        </row>
        <row r="1887">
          <cell r="A1887" t="str">
            <v>State Plan (Title XIX)</v>
          </cell>
          <cell r="C1887" t="str">
            <v xml:space="preserve">Nursing Facility </v>
          </cell>
          <cell r="D1887" t="str">
            <v>NF Daily Care</v>
          </cell>
          <cell r="E1887" t="str">
            <v>NF CB2</v>
          </cell>
          <cell r="F1887" t="str">
            <v>11RG013</v>
          </cell>
        </row>
        <row r="1888">
          <cell r="A1888" t="str">
            <v>State Plan (Title XIX)</v>
          </cell>
          <cell r="C1888" t="str">
            <v xml:space="preserve">Nursing Facility </v>
          </cell>
          <cell r="D1888" t="str">
            <v>NF Daily Care</v>
          </cell>
          <cell r="E1888" t="str">
            <v>NF CC1</v>
          </cell>
          <cell r="F1888" t="str">
            <v>11RG012</v>
          </cell>
        </row>
        <row r="1889">
          <cell r="A1889" t="str">
            <v>State Plan (Title XIX)</v>
          </cell>
          <cell r="C1889" t="str">
            <v xml:space="preserve">Nursing Facility </v>
          </cell>
          <cell r="D1889" t="str">
            <v>NF Daily Care</v>
          </cell>
          <cell r="E1889" t="str">
            <v>NF CC2</v>
          </cell>
          <cell r="F1889" t="str">
            <v>11RG011</v>
          </cell>
        </row>
        <row r="1890">
          <cell r="A1890" t="str">
            <v>State Plan (Title XIX)</v>
          </cell>
          <cell r="C1890" t="str">
            <v xml:space="preserve">Nursing Facility </v>
          </cell>
          <cell r="D1890" t="str">
            <v>NF Daily Care</v>
          </cell>
          <cell r="E1890" t="str">
            <v>NF IA1</v>
          </cell>
          <cell r="F1890" t="str">
            <v>11RG020</v>
          </cell>
        </row>
        <row r="1891">
          <cell r="A1891" t="str">
            <v>State Plan (Title XIX)</v>
          </cell>
          <cell r="C1891" t="str">
            <v xml:space="preserve">Nursing Facility </v>
          </cell>
          <cell r="D1891" t="str">
            <v>NF Daily Care</v>
          </cell>
          <cell r="E1891" t="str">
            <v>NF IA2</v>
          </cell>
          <cell r="F1891" t="str">
            <v>11RG019</v>
          </cell>
        </row>
        <row r="1892">
          <cell r="A1892" t="str">
            <v>State Plan (Title XIX)</v>
          </cell>
          <cell r="C1892" t="str">
            <v xml:space="preserve">Nursing Facility </v>
          </cell>
          <cell r="D1892" t="str">
            <v>NF Daily Care</v>
          </cell>
          <cell r="E1892" t="str">
            <v>NF IB1</v>
          </cell>
          <cell r="F1892" t="str">
            <v>11RG018</v>
          </cell>
        </row>
        <row r="1893">
          <cell r="A1893" t="str">
            <v>State Plan (Title XIX)</v>
          </cell>
          <cell r="C1893" t="str">
            <v xml:space="preserve">Nursing Facility </v>
          </cell>
          <cell r="D1893" t="str">
            <v>NF Daily Care</v>
          </cell>
          <cell r="E1893" t="str">
            <v>NF IB2</v>
          </cell>
          <cell r="F1893" t="str">
            <v>11RG017</v>
          </cell>
        </row>
        <row r="1894">
          <cell r="A1894" t="str">
            <v>State Plan (Title XIX)</v>
          </cell>
          <cell r="C1894" t="str">
            <v xml:space="preserve">Nursing Facility </v>
          </cell>
          <cell r="D1894" t="str">
            <v>NF Daily Care</v>
          </cell>
          <cell r="E1894" t="str">
            <v>NF PA1</v>
          </cell>
          <cell r="F1894" t="str">
            <v>11RG034</v>
          </cell>
        </row>
        <row r="1895">
          <cell r="A1895" t="str">
            <v>State Plan (Title XIX)</v>
          </cell>
          <cell r="C1895" t="str">
            <v xml:space="preserve">Nursing Facility </v>
          </cell>
          <cell r="D1895" t="str">
            <v>NF Daily Care</v>
          </cell>
          <cell r="E1895" t="str">
            <v>NF PA2</v>
          </cell>
          <cell r="F1895" t="str">
            <v>11RG033</v>
          </cell>
        </row>
        <row r="1896">
          <cell r="A1896" t="str">
            <v>State Plan (Title XIX)</v>
          </cell>
          <cell r="C1896" t="str">
            <v xml:space="preserve">Nursing Facility </v>
          </cell>
          <cell r="D1896" t="str">
            <v>NF Daily Care</v>
          </cell>
          <cell r="E1896" t="str">
            <v>NF PB1</v>
          </cell>
          <cell r="F1896" t="str">
            <v>11RG032</v>
          </cell>
        </row>
        <row r="1897">
          <cell r="A1897" t="str">
            <v>State Plan (Title XIX)</v>
          </cell>
          <cell r="C1897" t="str">
            <v xml:space="preserve">Nursing Facility </v>
          </cell>
          <cell r="D1897" t="str">
            <v>NF Daily Care</v>
          </cell>
          <cell r="E1897" t="str">
            <v>NF PB2</v>
          </cell>
          <cell r="F1897" t="str">
            <v>11RG031</v>
          </cell>
        </row>
        <row r="1898">
          <cell r="A1898" t="str">
            <v>State Plan (Title XIX)</v>
          </cell>
          <cell r="C1898" t="str">
            <v xml:space="preserve">Nursing Facility </v>
          </cell>
          <cell r="D1898" t="str">
            <v>NF Daily Care</v>
          </cell>
          <cell r="E1898" t="str">
            <v>NF PC1</v>
          </cell>
          <cell r="F1898" t="str">
            <v>11RG030</v>
          </cell>
        </row>
        <row r="1899">
          <cell r="A1899" t="str">
            <v>State Plan (Title XIX)</v>
          </cell>
          <cell r="C1899" t="str">
            <v xml:space="preserve">Nursing Facility </v>
          </cell>
          <cell r="D1899" t="str">
            <v>NF Daily Care</v>
          </cell>
          <cell r="E1899" t="str">
            <v>NF PC2</v>
          </cell>
          <cell r="F1899" t="str">
            <v>11RG029</v>
          </cell>
        </row>
        <row r="1900">
          <cell r="A1900" t="str">
            <v>State Plan (Title XIX)</v>
          </cell>
          <cell r="C1900" t="str">
            <v xml:space="preserve">Nursing Facility </v>
          </cell>
          <cell r="D1900" t="str">
            <v>NF Daily Care</v>
          </cell>
          <cell r="E1900" t="str">
            <v>NF PCE</v>
          </cell>
          <cell r="F1900" t="str">
            <v>11RG036</v>
          </cell>
        </row>
        <row r="1901">
          <cell r="A1901" t="str">
            <v>State Plan (Title XIX)</v>
          </cell>
          <cell r="C1901" t="str">
            <v xml:space="preserve">Nursing Facility </v>
          </cell>
          <cell r="D1901" t="str">
            <v>NF Daily Care</v>
          </cell>
          <cell r="E1901" t="str">
            <v>NF PD1</v>
          </cell>
          <cell r="F1901" t="str">
            <v>11RG028</v>
          </cell>
        </row>
        <row r="1902">
          <cell r="A1902" t="str">
            <v>State Plan (Title XIX)</v>
          </cell>
          <cell r="C1902" t="str">
            <v xml:space="preserve">Nursing Facility </v>
          </cell>
          <cell r="D1902" t="str">
            <v>NF Daily Care</v>
          </cell>
          <cell r="E1902" t="str">
            <v>NF PD2</v>
          </cell>
          <cell r="F1902" t="str">
            <v>11RG027</v>
          </cell>
        </row>
        <row r="1903">
          <cell r="A1903" t="str">
            <v>State Plan (Title XIX)</v>
          </cell>
          <cell r="C1903" t="str">
            <v xml:space="preserve">Nursing Facility </v>
          </cell>
          <cell r="D1903" t="str">
            <v>NF Daily Care</v>
          </cell>
          <cell r="E1903" t="str">
            <v>NF PE1</v>
          </cell>
          <cell r="F1903" t="str">
            <v>11RG026</v>
          </cell>
        </row>
        <row r="1904">
          <cell r="A1904" t="str">
            <v>State Plan (Title XIX)</v>
          </cell>
          <cell r="C1904" t="str">
            <v xml:space="preserve">Nursing Facility </v>
          </cell>
          <cell r="D1904" t="str">
            <v>NF Daily Care</v>
          </cell>
          <cell r="E1904" t="str">
            <v>NF PE2</v>
          </cell>
          <cell r="F1904" t="str">
            <v>11RG025</v>
          </cell>
        </row>
        <row r="1905">
          <cell r="A1905" t="str">
            <v>State Plan (Title XIX)</v>
          </cell>
          <cell r="C1905" t="str">
            <v xml:space="preserve">Nursing Facility </v>
          </cell>
          <cell r="D1905" t="str">
            <v>NF Daily Care</v>
          </cell>
          <cell r="E1905" t="str">
            <v>NF RAA</v>
          </cell>
          <cell r="F1905" t="str">
            <v>11RG004</v>
          </cell>
        </row>
        <row r="1906">
          <cell r="A1906" t="str">
            <v>State Plan (Title XIX)</v>
          </cell>
          <cell r="C1906" t="str">
            <v xml:space="preserve">Nursing Facility </v>
          </cell>
          <cell r="D1906" t="str">
            <v>NF Daily Care</v>
          </cell>
          <cell r="E1906" t="str">
            <v>NF RAB</v>
          </cell>
          <cell r="F1906" t="str">
            <v>11RG003</v>
          </cell>
        </row>
        <row r="1907">
          <cell r="A1907" t="str">
            <v>State Plan (Title XIX)</v>
          </cell>
          <cell r="C1907" t="str">
            <v xml:space="preserve">Nursing Facility </v>
          </cell>
          <cell r="D1907" t="str">
            <v>NF Daily Care</v>
          </cell>
          <cell r="E1907" t="str">
            <v>NF RAC</v>
          </cell>
          <cell r="F1907" t="str">
            <v>11RG002</v>
          </cell>
        </row>
        <row r="1908">
          <cell r="A1908" t="str">
            <v>State Plan (Title XIX)</v>
          </cell>
          <cell r="C1908" t="str">
            <v xml:space="preserve">Nursing Facility </v>
          </cell>
          <cell r="D1908" t="str">
            <v>NF Daily Care</v>
          </cell>
          <cell r="E1908" t="str">
            <v>NF RAD</v>
          </cell>
          <cell r="F1908" t="str">
            <v>11RG001</v>
          </cell>
        </row>
        <row r="1909">
          <cell r="A1909" t="str">
            <v>State Plan (Title XIX)</v>
          </cell>
          <cell r="C1909" t="str">
            <v xml:space="preserve">Nursing Facility </v>
          </cell>
          <cell r="D1909" t="str">
            <v>NF Daily Care</v>
          </cell>
          <cell r="E1909" t="str">
            <v>NF SE1</v>
          </cell>
          <cell r="F1909" t="str">
            <v>11RG007</v>
          </cell>
        </row>
        <row r="1910">
          <cell r="A1910" t="str">
            <v>State Plan (Title XIX)</v>
          </cell>
          <cell r="C1910" t="str">
            <v xml:space="preserve">Nursing Facility </v>
          </cell>
          <cell r="D1910" t="str">
            <v>NF Daily Care</v>
          </cell>
          <cell r="E1910" t="str">
            <v>NF SE2</v>
          </cell>
          <cell r="F1910" t="str">
            <v>11RG006</v>
          </cell>
        </row>
        <row r="1911">
          <cell r="A1911" t="str">
            <v>State Plan (Title XIX)</v>
          </cell>
          <cell r="C1911" t="str">
            <v xml:space="preserve">Nursing Facility </v>
          </cell>
          <cell r="D1911" t="str">
            <v>NF Daily Care</v>
          </cell>
          <cell r="E1911" t="str">
            <v>NF SE3</v>
          </cell>
          <cell r="F1911" t="str">
            <v>11RG005</v>
          </cell>
        </row>
        <row r="1912">
          <cell r="A1912" t="str">
            <v>State Plan (Title XIX)</v>
          </cell>
          <cell r="C1912" t="str">
            <v xml:space="preserve">Nursing Facility </v>
          </cell>
          <cell r="D1912" t="str">
            <v>NF Daily Care</v>
          </cell>
          <cell r="E1912" t="str">
            <v>NF SSA</v>
          </cell>
          <cell r="F1912" t="str">
            <v>11RG010</v>
          </cell>
        </row>
        <row r="1913">
          <cell r="A1913" t="str">
            <v>State Plan (Title XIX)</v>
          </cell>
          <cell r="C1913" t="str">
            <v xml:space="preserve">Nursing Facility </v>
          </cell>
          <cell r="D1913" t="str">
            <v>NF Daily Care</v>
          </cell>
          <cell r="E1913" t="str">
            <v>NF SSB</v>
          </cell>
          <cell r="F1913" t="str">
            <v>11RG009</v>
          </cell>
        </row>
        <row r="1914">
          <cell r="A1914" t="str">
            <v>State Plan (Title XIX)</v>
          </cell>
          <cell r="C1914" t="str">
            <v xml:space="preserve">Nursing Facility </v>
          </cell>
          <cell r="D1914" t="str">
            <v>NF Daily Care</v>
          </cell>
          <cell r="E1914" t="str">
            <v>NF SSC</v>
          </cell>
          <cell r="F1914" t="str">
            <v>11RG008</v>
          </cell>
        </row>
        <row r="1915">
          <cell r="A1915" t="str">
            <v>State Plan (Title XIX)</v>
          </cell>
          <cell r="C1915" t="str">
            <v xml:space="preserve">Nursing Facility </v>
          </cell>
          <cell r="D1915" t="str">
            <v>NF Daily Care</v>
          </cell>
          <cell r="E1915" t="str">
            <v>VA DAILY CARE BA1</v>
          </cell>
          <cell r="F1915" t="str">
            <v>11V0124</v>
          </cell>
        </row>
        <row r="1916">
          <cell r="A1916" t="str">
            <v>State Plan (Title XIX)</v>
          </cell>
          <cell r="C1916" t="str">
            <v xml:space="preserve">Nursing Facility </v>
          </cell>
          <cell r="D1916" t="str">
            <v>NF Daily Care</v>
          </cell>
          <cell r="E1916" t="str">
            <v>VA DAILY CARE BA2</v>
          </cell>
          <cell r="F1916" t="str">
            <v>11V0123</v>
          </cell>
        </row>
        <row r="1917">
          <cell r="A1917" t="str">
            <v>State Plan (Title XIX)</v>
          </cell>
          <cell r="C1917" t="str">
            <v xml:space="preserve">Nursing Facility </v>
          </cell>
          <cell r="D1917" t="str">
            <v>NF Daily Care</v>
          </cell>
          <cell r="E1917" t="str">
            <v>VA DAILY CARE BB1</v>
          </cell>
          <cell r="F1917" t="str">
            <v>11V0122</v>
          </cell>
        </row>
        <row r="1918">
          <cell r="A1918" t="str">
            <v>State Plan (Title XIX)</v>
          </cell>
          <cell r="C1918" t="str">
            <v xml:space="preserve">Nursing Facility </v>
          </cell>
          <cell r="D1918" t="str">
            <v>NF Daily Care</v>
          </cell>
          <cell r="E1918" t="str">
            <v>VA DAILY CARE BB2</v>
          </cell>
          <cell r="F1918" t="str">
            <v>11V0121</v>
          </cell>
        </row>
        <row r="1919">
          <cell r="A1919" t="str">
            <v>State Plan (Title XIX)</v>
          </cell>
          <cell r="C1919" t="str">
            <v xml:space="preserve">Nursing Facility </v>
          </cell>
          <cell r="D1919" t="str">
            <v>NF Daily Care</v>
          </cell>
          <cell r="E1919" t="str">
            <v>VA DAILY CARE BC1</v>
          </cell>
          <cell r="F1919" t="str">
            <v>11V0135</v>
          </cell>
        </row>
        <row r="1920">
          <cell r="A1920" t="str">
            <v>State Plan (Title XIX)</v>
          </cell>
          <cell r="C1920" t="str">
            <v xml:space="preserve">Nursing Facility </v>
          </cell>
          <cell r="D1920" t="str">
            <v>NF Daily Care</v>
          </cell>
          <cell r="E1920" t="str">
            <v>VA DAILY CARE CA1</v>
          </cell>
          <cell r="F1920" t="str">
            <v>11V0116</v>
          </cell>
        </row>
        <row r="1921">
          <cell r="A1921" t="str">
            <v>State Plan (Title XIX)</v>
          </cell>
          <cell r="C1921" t="str">
            <v xml:space="preserve">Nursing Facility </v>
          </cell>
          <cell r="D1921" t="str">
            <v>NF Daily Care</v>
          </cell>
          <cell r="E1921" t="str">
            <v>VA DAILY CARE CA2</v>
          </cell>
          <cell r="F1921" t="str">
            <v>11V0115</v>
          </cell>
        </row>
        <row r="1922">
          <cell r="A1922" t="str">
            <v>State Plan (Title XIX)</v>
          </cell>
          <cell r="C1922" t="str">
            <v xml:space="preserve">Nursing Facility </v>
          </cell>
          <cell r="D1922" t="str">
            <v>NF Daily Care</v>
          </cell>
          <cell r="E1922" t="str">
            <v>VA DAILY CARE CB1</v>
          </cell>
          <cell r="F1922" t="str">
            <v>11V0114</v>
          </cell>
        </row>
        <row r="1923">
          <cell r="A1923" t="str">
            <v>State Plan (Title XIX)</v>
          </cell>
          <cell r="C1923" t="str">
            <v xml:space="preserve">Nursing Facility </v>
          </cell>
          <cell r="D1923" t="str">
            <v>NF Daily Care</v>
          </cell>
          <cell r="E1923" t="str">
            <v>VA DAILY CARE CB2</v>
          </cell>
          <cell r="F1923" t="str">
            <v>11V0113</v>
          </cell>
        </row>
        <row r="1924">
          <cell r="A1924" t="str">
            <v>State Plan (Title XIX)</v>
          </cell>
          <cell r="C1924" t="str">
            <v xml:space="preserve">Nursing Facility </v>
          </cell>
          <cell r="D1924" t="str">
            <v>NF Daily Care</v>
          </cell>
          <cell r="E1924" t="str">
            <v>VA DAILY CARE CC1</v>
          </cell>
          <cell r="F1924" t="str">
            <v>11V0112</v>
          </cell>
        </row>
        <row r="1925">
          <cell r="A1925" t="str">
            <v>State Plan (Title XIX)</v>
          </cell>
          <cell r="C1925" t="str">
            <v xml:space="preserve">Nursing Facility </v>
          </cell>
          <cell r="D1925" t="str">
            <v>NF Daily Care</v>
          </cell>
          <cell r="E1925" t="str">
            <v>VA DAILY CARE CC2</v>
          </cell>
          <cell r="F1925" t="str">
            <v>11V0111</v>
          </cell>
        </row>
        <row r="1926">
          <cell r="A1926" t="str">
            <v>State Plan (Title XIX)</v>
          </cell>
          <cell r="C1926" t="str">
            <v xml:space="preserve">Nursing Facility </v>
          </cell>
          <cell r="D1926" t="str">
            <v>NF Daily Care</v>
          </cell>
          <cell r="E1926" t="str">
            <v>VA DAILY CARE IA1</v>
          </cell>
          <cell r="F1926" t="str">
            <v>11V0120</v>
          </cell>
        </row>
        <row r="1927">
          <cell r="A1927" t="str">
            <v>State Plan (Title XIX)</v>
          </cell>
          <cell r="C1927" t="str">
            <v xml:space="preserve">Nursing Facility </v>
          </cell>
          <cell r="D1927" t="str">
            <v>NF Daily Care</v>
          </cell>
          <cell r="E1927" t="str">
            <v>VA DAILY CARE IA2</v>
          </cell>
          <cell r="F1927" t="str">
            <v>11V0119</v>
          </cell>
        </row>
        <row r="1928">
          <cell r="A1928" t="str">
            <v>State Plan (Title XIX)</v>
          </cell>
          <cell r="C1928" t="str">
            <v xml:space="preserve">Nursing Facility </v>
          </cell>
          <cell r="D1928" t="str">
            <v>NF Daily Care</v>
          </cell>
          <cell r="E1928" t="str">
            <v>VA DAILY CARE IB1</v>
          </cell>
          <cell r="F1928" t="str">
            <v>11V0118</v>
          </cell>
        </row>
        <row r="1929">
          <cell r="A1929" t="str">
            <v>State Plan (Title XIX)</v>
          </cell>
          <cell r="C1929" t="str">
            <v xml:space="preserve">Nursing Facility </v>
          </cell>
          <cell r="D1929" t="str">
            <v>NF Daily Care</v>
          </cell>
          <cell r="E1929" t="str">
            <v>VA DAILY CARE IB2</v>
          </cell>
          <cell r="F1929" t="str">
            <v>11V0117</v>
          </cell>
        </row>
        <row r="1930">
          <cell r="A1930" t="str">
            <v>State Plan (Title XIX)</v>
          </cell>
          <cell r="C1930" t="str">
            <v xml:space="preserve">Nursing Facility </v>
          </cell>
          <cell r="D1930" t="str">
            <v>NF Daily Care</v>
          </cell>
          <cell r="E1930" t="str">
            <v>VA DAILY CARE PA1</v>
          </cell>
          <cell r="F1930" t="str">
            <v>11V0134</v>
          </cell>
        </row>
        <row r="1931">
          <cell r="A1931" t="str">
            <v>State Plan (Title XIX)</v>
          </cell>
          <cell r="C1931" t="str">
            <v xml:space="preserve">Nursing Facility </v>
          </cell>
          <cell r="D1931" t="str">
            <v>NF Daily Care</v>
          </cell>
          <cell r="E1931" t="str">
            <v>VA DAILY CARE PA2</v>
          </cell>
          <cell r="F1931" t="str">
            <v>11V0133</v>
          </cell>
        </row>
        <row r="1932">
          <cell r="A1932" t="str">
            <v>State Plan (Title XIX)</v>
          </cell>
          <cell r="C1932" t="str">
            <v xml:space="preserve">Nursing Facility </v>
          </cell>
          <cell r="D1932" t="str">
            <v>NF Daily Care</v>
          </cell>
          <cell r="E1932" t="str">
            <v>VA DAILY CARE PB1</v>
          </cell>
          <cell r="F1932" t="str">
            <v>11V0132</v>
          </cell>
        </row>
        <row r="1933">
          <cell r="A1933" t="str">
            <v>State Plan (Title XIX)</v>
          </cell>
          <cell r="C1933" t="str">
            <v xml:space="preserve">Nursing Facility </v>
          </cell>
          <cell r="D1933" t="str">
            <v>NF Daily Care</v>
          </cell>
          <cell r="E1933" t="str">
            <v>VA DAILY CARE PB2</v>
          </cell>
          <cell r="F1933" t="str">
            <v>11V0131</v>
          </cell>
        </row>
        <row r="1934">
          <cell r="A1934" t="str">
            <v>State Plan (Title XIX)</v>
          </cell>
          <cell r="C1934" t="str">
            <v xml:space="preserve">Nursing Facility </v>
          </cell>
          <cell r="D1934" t="str">
            <v>NF Daily Care</v>
          </cell>
          <cell r="E1934" t="str">
            <v>VA DAILY CARE PC1</v>
          </cell>
          <cell r="F1934" t="str">
            <v>11V0130</v>
          </cell>
        </row>
        <row r="1935">
          <cell r="A1935" t="str">
            <v>State Plan (Title XIX)</v>
          </cell>
          <cell r="C1935" t="str">
            <v xml:space="preserve">Nursing Facility </v>
          </cell>
          <cell r="D1935" t="str">
            <v>NF Daily Care</v>
          </cell>
          <cell r="E1935" t="str">
            <v>VA DAILY CARE PC2</v>
          </cell>
          <cell r="F1935" t="str">
            <v>11V0129</v>
          </cell>
        </row>
        <row r="1936">
          <cell r="A1936" t="str">
            <v>State Plan (Title XIX)</v>
          </cell>
          <cell r="C1936" t="str">
            <v xml:space="preserve">Nursing Facility </v>
          </cell>
          <cell r="D1936" t="str">
            <v>NF Daily Care</v>
          </cell>
          <cell r="E1936" t="str">
            <v>VA DAILY CARE PCE</v>
          </cell>
          <cell r="F1936" t="str">
            <v>11V0136</v>
          </cell>
        </row>
        <row r="1937">
          <cell r="A1937" t="str">
            <v>State Plan (Title XIX)</v>
          </cell>
          <cell r="C1937" t="str">
            <v xml:space="preserve">Nursing Facility </v>
          </cell>
          <cell r="D1937" t="str">
            <v>NF Daily Care</v>
          </cell>
          <cell r="E1937" t="str">
            <v>VA DAILY CARE PD1</v>
          </cell>
          <cell r="F1937" t="str">
            <v>11V0128</v>
          </cell>
        </row>
        <row r="1938">
          <cell r="A1938" t="str">
            <v>State Plan (Title XIX)</v>
          </cell>
          <cell r="C1938" t="str">
            <v xml:space="preserve">Nursing Facility </v>
          </cell>
          <cell r="D1938" t="str">
            <v>NF Daily Care</v>
          </cell>
          <cell r="E1938" t="str">
            <v>VA DAILY CARE PD2</v>
          </cell>
          <cell r="F1938" t="str">
            <v>11V0127</v>
          </cell>
        </row>
        <row r="1939">
          <cell r="A1939" t="str">
            <v>State Plan (Title XIX)</v>
          </cell>
          <cell r="C1939" t="str">
            <v xml:space="preserve">Nursing Facility </v>
          </cell>
          <cell r="D1939" t="str">
            <v>NF Daily Care</v>
          </cell>
          <cell r="E1939" t="str">
            <v>VA DAILY CARE PE1</v>
          </cell>
          <cell r="F1939" t="str">
            <v>11V0126</v>
          </cell>
        </row>
        <row r="1940">
          <cell r="A1940" t="str">
            <v>State Plan (Title XIX)</v>
          </cell>
          <cell r="C1940" t="str">
            <v xml:space="preserve">Nursing Facility </v>
          </cell>
          <cell r="D1940" t="str">
            <v>NF Daily Care</v>
          </cell>
          <cell r="E1940" t="str">
            <v>VA DAILY CARE PE2</v>
          </cell>
          <cell r="F1940" t="str">
            <v>11V0125</v>
          </cell>
        </row>
        <row r="1941">
          <cell r="A1941" t="str">
            <v>State Plan (Title XIX)</v>
          </cell>
          <cell r="C1941" t="str">
            <v xml:space="preserve">Nursing Facility </v>
          </cell>
          <cell r="D1941" t="str">
            <v>NF Daily Care</v>
          </cell>
          <cell r="E1941" t="str">
            <v>VA DAILY CARE RAA</v>
          </cell>
          <cell r="F1941" t="str">
            <v>11V0104</v>
          </cell>
        </row>
        <row r="1942">
          <cell r="A1942" t="str">
            <v>State Plan (Title XIX)</v>
          </cell>
          <cell r="C1942" t="str">
            <v xml:space="preserve">Nursing Facility </v>
          </cell>
          <cell r="D1942" t="str">
            <v>NF Daily Care</v>
          </cell>
          <cell r="E1942" t="str">
            <v>VA DAILY CARE RAB</v>
          </cell>
          <cell r="F1942" t="str">
            <v>11V0103</v>
          </cell>
        </row>
        <row r="1943">
          <cell r="A1943" t="str">
            <v>State Plan (Title XIX)</v>
          </cell>
          <cell r="C1943" t="str">
            <v xml:space="preserve">Nursing Facility </v>
          </cell>
          <cell r="D1943" t="str">
            <v>NF Daily Care</v>
          </cell>
          <cell r="E1943" t="str">
            <v>VA DAILY CARE RAC</v>
          </cell>
          <cell r="F1943" t="str">
            <v>11V0102</v>
          </cell>
        </row>
        <row r="1944">
          <cell r="A1944" t="str">
            <v>State Plan (Title XIX)</v>
          </cell>
          <cell r="C1944" t="str">
            <v xml:space="preserve">Nursing Facility </v>
          </cell>
          <cell r="D1944" t="str">
            <v>NF Daily Care</v>
          </cell>
          <cell r="E1944" t="str">
            <v>VA DAILY CARE RAD</v>
          </cell>
          <cell r="F1944" t="str">
            <v>11V0101</v>
          </cell>
        </row>
        <row r="1945">
          <cell r="A1945" t="str">
            <v>State Plan (Title XIX)</v>
          </cell>
          <cell r="C1945" t="str">
            <v xml:space="preserve">Nursing Facility </v>
          </cell>
          <cell r="D1945" t="str">
            <v>NF Daily Care</v>
          </cell>
          <cell r="E1945" t="str">
            <v>VA DAILY CARE SE1</v>
          </cell>
          <cell r="F1945" t="str">
            <v>11V0107</v>
          </cell>
        </row>
        <row r="1946">
          <cell r="A1946" t="str">
            <v>State Plan (Title XIX)</v>
          </cell>
          <cell r="C1946" t="str">
            <v xml:space="preserve">Nursing Facility </v>
          </cell>
          <cell r="D1946" t="str">
            <v>NF Daily Care</v>
          </cell>
          <cell r="E1946" t="str">
            <v>VA DAILY CARE SE2</v>
          </cell>
          <cell r="F1946" t="str">
            <v>11V0106</v>
          </cell>
        </row>
        <row r="1947">
          <cell r="A1947" t="str">
            <v>State Plan (Title XIX)</v>
          </cell>
          <cell r="C1947" t="str">
            <v xml:space="preserve">Nursing Facility </v>
          </cell>
          <cell r="D1947" t="str">
            <v>NF Daily Care</v>
          </cell>
          <cell r="E1947" t="str">
            <v>VA DAILY CARE SE3</v>
          </cell>
          <cell r="F1947" t="str">
            <v>11V0105</v>
          </cell>
        </row>
        <row r="1948">
          <cell r="A1948" t="str">
            <v>State Plan (Title XIX)</v>
          </cell>
          <cell r="C1948" t="str">
            <v xml:space="preserve">Nursing Facility </v>
          </cell>
          <cell r="D1948" t="str">
            <v>NF Daily Care</v>
          </cell>
          <cell r="E1948" t="str">
            <v>VA DAILY CARE SSA</v>
          </cell>
          <cell r="F1948" t="str">
            <v>11V0110</v>
          </cell>
        </row>
        <row r="1949">
          <cell r="A1949" t="str">
            <v>State Plan (Title XIX)</v>
          </cell>
          <cell r="C1949" t="str">
            <v xml:space="preserve">Nursing Facility </v>
          </cell>
          <cell r="D1949" t="str">
            <v>NF Daily Care</v>
          </cell>
          <cell r="E1949" t="str">
            <v>VA DAILY CARE SSB</v>
          </cell>
          <cell r="F1949" t="str">
            <v>11V0109</v>
          </cell>
        </row>
        <row r="1950">
          <cell r="A1950" t="str">
            <v>State Plan (Title XIX)</v>
          </cell>
          <cell r="C1950" t="str">
            <v xml:space="preserve">Nursing Facility </v>
          </cell>
          <cell r="D1950" t="str">
            <v>NF Daily Care</v>
          </cell>
          <cell r="E1950" t="str">
            <v>VA DAILY CARE SSC</v>
          </cell>
          <cell r="F1950" t="str">
            <v>11V0108</v>
          </cell>
        </row>
        <row r="1951">
          <cell r="A1951" t="str">
            <v>State Plan (Title XIX)</v>
          </cell>
          <cell r="C1951" t="str">
            <v xml:space="preserve">Nursing Facility </v>
          </cell>
          <cell r="D1951" t="str">
            <v>NF PASRR</v>
          </cell>
          <cell r="E1951" t="str">
            <v xml:space="preserve">CUSTOM MANUAL WHEELCHAIR (PASRR) </v>
          </cell>
          <cell r="F1951" t="str">
            <v>115DG0970</v>
          </cell>
        </row>
        <row r="1952">
          <cell r="A1952" t="str">
            <v>State Plan (Title XIX)</v>
          </cell>
          <cell r="C1952" t="str">
            <v xml:space="preserve">Nursing Facility </v>
          </cell>
          <cell r="D1952" t="str">
            <v>NF Specialized Therapies</v>
          </cell>
          <cell r="E1952" t="str">
            <v>ACD ASSESSMENT BY ST CONTRACTED</v>
          </cell>
          <cell r="F1952" t="str">
            <v>19DG0483</v>
          </cell>
        </row>
        <row r="1953">
          <cell r="A1953" t="str">
            <v>State Plan (Title XIX)</v>
          </cell>
          <cell r="C1953" t="str">
            <v xml:space="preserve">Nursing Facility </v>
          </cell>
          <cell r="D1953" t="str">
            <v>NF Specialized Therapies</v>
          </cell>
          <cell r="E1953" t="str">
            <v>ACD ASSESSMENT BY ST STANDARD</v>
          </cell>
          <cell r="F1953" t="str">
            <v>19DG0976</v>
          </cell>
        </row>
        <row r="1954">
          <cell r="A1954" t="str">
            <v>State Plan (Title XIX)</v>
          </cell>
          <cell r="C1954" t="str">
            <v xml:space="preserve">Nursing Facility </v>
          </cell>
          <cell r="D1954" t="str">
            <v>NF Specialized Therapies</v>
          </cell>
          <cell r="E1954" t="str">
            <v>CMWC ASSESSMENT BY OT CONTRACTED</v>
          </cell>
          <cell r="F1954" t="str">
            <v>17CG0481</v>
          </cell>
        </row>
        <row r="1955">
          <cell r="A1955" t="str">
            <v>State Plan (Title XIX)</v>
          </cell>
          <cell r="C1955" t="str">
            <v xml:space="preserve">Nursing Facility </v>
          </cell>
          <cell r="D1955" t="str">
            <v>NF Specialized Therapies</v>
          </cell>
          <cell r="E1955" t="str">
            <v>CMWC ASSESSMENT BY OT STANDARD</v>
          </cell>
          <cell r="F1955" t="str">
            <v>17CG0973</v>
          </cell>
        </row>
        <row r="1956">
          <cell r="A1956" t="str">
            <v>State Plan (Title XIX)</v>
          </cell>
          <cell r="C1956" t="str">
            <v xml:space="preserve">Nursing Facility </v>
          </cell>
          <cell r="D1956" t="str">
            <v>NF Specialized Therapies</v>
          </cell>
          <cell r="E1956" t="str">
            <v>CMWC ASSESSMENT BY PT CONTRACTED</v>
          </cell>
          <cell r="F1956" t="str">
            <v>18CG0482</v>
          </cell>
        </row>
        <row r="1957">
          <cell r="A1957" t="str">
            <v>State Plan (Title XIX)</v>
          </cell>
          <cell r="C1957" t="str">
            <v xml:space="preserve">Nursing Facility </v>
          </cell>
          <cell r="D1957" t="str">
            <v>NF Specialized Therapies</v>
          </cell>
          <cell r="E1957" t="str">
            <v>CMWC ASSESSMENT BY PT STANDARD</v>
          </cell>
          <cell r="F1957" t="str">
            <v>18CG0974</v>
          </cell>
        </row>
        <row r="1958">
          <cell r="A1958" t="str">
            <v>State Plan (Title XIX)</v>
          </cell>
          <cell r="C1958" t="str">
            <v xml:space="preserve">Nursing Facility </v>
          </cell>
          <cell r="D1958" t="str">
            <v>NF Specialized Therapies</v>
          </cell>
          <cell r="E1958" t="str">
            <v>CPWC ASSESSMENT BY OT SERVICE CONTRACTED</v>
          </cell>
          <cell r="F1958" t="str">
            <v>17BG0479</v>
          </cell>
        </row>
        <row r="1959">
          <cell r="A1959" t="str">
            <v>State Plan (Title XIX)</v>
          </cell>
          <cell r="C1959" t="str">
            <v xml:space="preserve">Nursing Facility </v>
          </cell>
          <cell r="D1959" t="str">
            <v>NF Specialized Therapies</v>
          </cell>
          <cell r="E1959" t="str">
            <v>CPWC ASSESSMENT BY OT SERVICE CONTRACTED</v>
          </cell>
          <cell r="F1959" t="str">
            <v>17BG0479</v>
          </cell>
        </row>
        <row r="1960">
          <cell r="A1960" t="str">
            <v>State Plan (Title XIX)</v>
          </cell>
          <cell r="C1960" t="str">
            <v xml:space="preserve">Nursing Facility </v>
          </cell>
          <cell r="D1960" t="str">
            <v>NF Specialized Therapies</v>
          </cell>
          <cell r="E1960" t="str">
            <v>CPWC ASSESSMENTS BY OT</v>
          </cell>
          <cell r="F1960" t="str">
            <v>17BG0956</v>
          </cell>
        </row>
        <row r="1961">
          <cell r="A1961" t="str">
            <v>State Plan (Title XIX)</v>
          </cell>
          <cell r="C1961" t="str">
            <v xml:space="preserve">Nursing Facility </v>
          </cell>
          <cell r="D1961" t="str">
            <v>NF Specialized Therapies</v>
          </cell>
          <cell r="E1961" t="str">
            <v>CPWC ASSESSMENTS BY PT</v>
          </cell>
          <cell r="F1961" t="str">
            <v>18BG0957</v>
          </cell>
        </row>
        <row r="1962">
          <cell r="A1962" t="str">
            <v>State Plan (Title XIX)</v>
          </cell>
          <cell r="C1962" t="str">
            <v xml:space="preserve">Nursing Facility </v>
          </cell>
          <cell r="D1962" t="str">
            <v>NF Specialized Therapies</v>
          </cell>
          <cell r="E1962" t="str">
            <v>CPWC ASSESSMENTS BY PT SERVICE CONTRACTED</v>
          </cell>
          <cell r="F1962" t="str">
            <v>18BG0480</v>
          </cell>
        </row>
        <row r="1963">
          <cell r="A1963" t="str">
            <v>State Plan (Title XIX)</v>
          </cell>
          <cell r="C1963" t="str">
            <v xml:space="preserve">Nursing Facility </v>
          </cell>
          <cell r="D1963" t="str">
            <v>NF Specialized Therapies</v>
          </cell>
          <cell r="E1963" t="str">
            <v>CPWC ASSESSMENTS BY PT SERVICE CONTRACTED</v>
          </cell>
          <cell r="F1963" t="str">
            <v>18BG0480</v>
          </cell>
        </row>
        <row r="1964">
          <cell r="A1964" t="str">
            <v>State Plan (Title XIX)</v>
          </cell>
          <cell r="C1964" t="str">
            <v xml:space="preserve">Nursing Facility </v>
          </cell>
          <cell r="D1964" t="str">
            <v>NF Specialized Therapies</v>
          </cell>
          <cell r="E1964" t="str">
            <v>OT - NF ASSESSMENT-SPECIALIZED SERV</v>
          </cell>
          <cell r="F1964" t="str">
            <v>17AG0462</v>
          </cell>
        </row>
        <row r="1965">
          <cell r="A1965" t="str">
            <v>State Plan (Title XIX)</v>
          </cell>
          <cell r="C1965" t="str">
            <v xml:space="preserve">Nursing Facility </v>
          </cell>
          <cell r="D1965" t="str">
            <v>NF Specialized Therapies</v>
          </cell>
          <cell r="E1965" t="str">
            <v>OT ASSESSMENT-REHABILITATIVE SERV</v>
          </cell>
          <cell r="F1965" t="str">
            <v>17G0453</v>
          </cell>
        </row>
        <row r="1966">
          <cell r="A1966" t="str">
            <v>State Plan (Title XIX)</v>
          </cell>
          <cell r="C1966" t="str">
            <v xml:space="preserve">Nursing Facility </v>
          </cell>
          <cell r="D1966" t="str">
            <v>NF Specialized Therapies</v>
          </cell>
          <cell r="E1966" t="str">
            <v>OT ASSESSMENT-REHABILITATIVE SERV</v>
          </cell>
          <cell r="F1966" t="str">
            <v>17G0453</v>
          </cell>
        </row>
        <row r="1967">
          <cell r="A1967" t="str">
            <v>State Plan (Title XIX)</v>
          </cell>
          <cell r="C1967" t="str">
            <v xml:space="preserve">Nursing Facility </v>
          </cell>
          <cell r="D1967" t="str">
            <v>NF Specialized Therapies</v>
          </cell>
          <cell r="E1967" t="str">
            <v>OT EVAL HIGH COMPLEX</v>
          </cell>
          <cell r="F1967" t="str">
            <v>17G0453</v>
          </cell>
        </row>
        <row r="1968">
          <cell r="A1968" t="str">
            <v>State Plan (Title XIX)</v>
          </cell>
          <cell r="C1968" t="str">
            <v xml:space="preserve">Nursing Facility </v>
          </cell>
          <cell r="D1968" t="str">
            <v>NF Specialized Therapies</v>
          </cell>
          <cell r="E1968" t="str">
            <v>OT EVAL HIGH COMPLEX CONTRACTED</v>
          </cell>
          <cell r="F1968" t="str">
            <v>17G0468</v>
          </cell>
        </row>
        <row r="1969">
          <cell r="A1969" t="str">
            <v>State Plan (Title XIX)</v>
          </cell>
          <cell r="C1969" t="str">
            <v xml:space="preserve">Nursing Facility </v>
          </cell>
          <cell r="D1969" t="str">
            <v>NF Specialized Therapies</v>
          </cell>
          <cell r="E1969" t="str">
            <v>OT EVAL HIGH COMPLEX CONTRACTED</v>
          </cell>
          <cell r="F1969" t="str">
            <v>17G0468</v>
          </cell>
        </row>
        <row r="1970">
          <cell r="A1970" t="str">
            <v>State Plan (Title XIX)</v>
          </cell>
          <cell r="C1970" t="str">
            <v xml:space="preserve">Nursing Facility </v>
          </cell>
          <cell r="D1970" t="str">
            <v>NF Specialized Therapies</v>
          </cell>
          <cell r="E1970" t="str">
            <v>OT EVAL LOW COMPLEX</v>
          </cell>
          <cell r="F1970" t="str">
            <v>17G0453</v>
          </cell>
        </row>
        <row r="1971">
          <cell r="A1971" t="str">
            <v>State Plan (Title XIX)</v>
          </cell>
          <cell r="C1971" t="str">
            <v xml:space="preserve">Nursing Facility </v>
          </cell>
          <cell r="D1971" t="str">
            <v>NF Specialized Therapies</v>
          </cell>
          <cell r="E1971" t="str">
            <v>OT EVAL LOW COMPLEX CONTRACTED</v>
          </cell>
          <cell r="F1971" t="str">
            <v>17G0468</v>
          </cell>
        </row>
        <row r="1972">
          <cell r="A1972" t="str">
            <v>State Plan (Title XIX)</v>
          </cell>
          <cell r="C1972" t="str">
            <v xml:space="preserve">Nursing Facility </v>
          </cell>
          <cell r="D1972" t="str">
            <v>NF Specialized Therapies</v>
          </cell>
          <cell r="E1972" t="str">
            <v>OT EVAL MOD COMPLEX</v>
          </cell>
          <cell r="F1972" t="str">
            <v>17G0453</v>
          </cell>
        </row>
        <row r="1973">
          <cell r="A1973" t="str">
            <v>State Plan (Title XIX)</v>
          </cell>
          <cell r="C1973" t="str">
            <v xml:space="preserve">Nursing Facility </v>
          </cell>
          <cell r="D1973" t="str">
            <v>NF Specialized Therapies</v>
          </cell>
          <cell r="E1973" t="str">
            <v>OT EVAL MOD COMPLEX CONTRACTED</v>
          </cell>
          <cell r="F1973" t="str">
            <v>17G0468</v>
          </cell>
        </row>
        <row r="1974">
          <cell r="A1974" t="str">
            <v>State Plan (Title XIX)</v>
          </cell>
          <cell r="C1974" t="str">
            <v xml:space="preserve">Nursing Facility </v>
          </cell>
          <cell r="D1974" t="str">
            <v>NF Specialized Therapies</v>
          </cell>
          <cell r="E1974" t="str">
            <v>OT NF SPECIALIZED SERVICES</v>
          </cell>
          <cell r="F1974" t="str">
            <v>17AG0461</v>
          </cell>
        </row>
        <row r="1975">
          <cell r="A1975" t="str">
            <v>State Plan (Title XIX)</v>
          </cell>
          <cell r="C1975" t="str">
            <v xml:space="preserve">Nursing Facility </v>
          </cell>
          <cell r="D1975" t="str">
            <v>NF Specialized Therapies</v>
          </cell>
          <cell r="E1975" t="str">
            <v>OT-ASSESSMENT-REHABILITATIVE SERVICE CONTRACTED</v>
          </cell>
          <cell r="F1975" t="str">
            <v>17G0468</v>
          </cell>
        </row>
        <row r="1976">
          <cell r="A1976" t="str">
            <v>State Plan (Title XIX)</v>
          </cell>
          <cell r="C1976" t="str">
            <v xml:space="preserve">Nursing Facility </v>
          </cell>
          <cell r="D1976" t="str">
            <v>NF Specialized Therapies</v>
          </cell>
          <cell r="E1976" t="str">
            <v>OT-NF ASSESSMENT, SPECIALIZED SERVICE, LOW COMPLEX</v>
          </cell>
          <cell r="F1976" t="str">
            <v>17AG0462</v>
          </cell>
        </row>
        <row r="1977">
          <cell r="A1977" t="str">
            <v>State Plan (Title XIX)</v>
          </cell>
          <cell r="C1977" t="str">
            <v xml:space="preserve">Nursing Facility </v>
          </cell>
          <cell r="D1977" t="str">
            <v>NF Specialized Therapies</v>
          </cell>
          <cell r="E1977" t="str">
            <v>OT-NF ASSESSMENT, SPECIALIZED SERVICES, HIGH COMPLEX</v>
          </cell>
          <cell r="F1977" t="str">
            <v>17AEG0526</v>
          </cell>
        </row>
        <row r="1978">
          <cell r="A1978" t="str">
            <v>State Plan (Title XIX)</v>
          </cell>
          <cell r="C1978" t="str">
            <v xml:space="preserve">Nursing Facility </v>
          </cell>
          <cell r="D1978" t="str">
            <v>NF Specialized Therapies</v>
          </cell>
          <cell r="E1978" t="str">
            <v>OT-NF ASSESSMENT-SPECIALIZED SERVICES CONTRACTED, HIGH COMPLEX</v>
          </cell>
          <cell r="F1978" t="str">
            <v>17AEG0527</v>
          </cell>
        </row>
        <row r="1979">
          <cell r="A1979" t="str">
            <v>State Plan (Title XIX)</v>
          </cell>
          <cell r="C1979" t="str">
            <v xml:space="preserve">Nursing Facility </v>
          </cell>
          <cell r="D1979" t="str">
            <v>NF Specialized Therapies</v>
          </cell>
          <cell r="E1979" t="str">
            <v>OT-NF ASSESSMENT-SPECIALIZED SERVICES CONTRACTED, HIGH COMPLEX</v>
          </cell>
          <cell r="F1979" t="str">
            <v>17AEG0527</v>
          </cell>
        </row>
        <row r="1980">
          <cell r="A1980" t="str">
            <v>State Plan (Title XIX)</v>
          </cell>
          <cell r="C1980" t="str">
            <v xml:space="preserve">Nursing Facility </v>
          </cell>
          <cell r="D1980" t="str">
            <v>NF Specialized Therapies</v>
          </cell>
          <cell r="E1980" t="str">
            <v>OT-NF ASSESSMENT-SPECIALIZED SERVICES CONTRACTED, LOW COMPLEX</v>
          </cell>
          <cell r="F1980" t="str">
            <v>17AEG0527</v>
          </cell>
        </row>
        <row r="1981">
          <cell r="A1981" t="str">
            <v>State Plan (Title XIX)</v>
          </cell>
          <cell r="C1981" t="str">
            <v xml:space="preserve">Nursing Facility </v>
          </cell>
          <cell r="D1981" t="str">
            <v>NF Specialized Therapies</v>
          </cell>
          <cell r="E1981" t="str">
            <v>OT-NF ASSESSMENT-SPECIALIZED SERVICES, CONTRACTED, MOD COMPLEX</v>
          </cell>
          <cell r="F1981" t="str">
            <v>17AEG0527</v>
          </cell>
        </row>
        <row r="1982">
          <cell r="A1982" t="str">
            <v>State Plan (Title XIX)</v>
          </cell>
          <cell r="C1982" t="str">
            <v xml:space="preserve">Nursing Facility </v>
          </cell>
          <cell r="D1982" t="str">
            <v>NF Specialized Therapies</v>
          </cell>
          <cell r="E1982" t="str">
            <v>OT-NF ASSESSMENT-SPECIALIZED SERVICES, HIGH COMPLEX</v>
          </cell>
          <cell r="F1982" t="str">
            <v>17AG0462</v>
          </cell>
        </row>
        <row r="1983">
          <cell r="A1983" t="str">
            <v>State Plan (Title XIX)</v>
          </cell>
          <cell r="C1983" t="str">
            <v xml:space="preserve">Nursing Facility </v>
          </cell>
          <cell r="D1983" t="str">
            <v>NF Specialized Therapies</v>
          </cell>
          <cell r="E1983" t="str">
            <v>OT-NF ASSESSMENT-SPECIALIZED SERVICES, LOW COMPLEX</v>
          </cell>
          <cell r="F1983" t="str">
            <v>17AEG0526</v>
          </cell>
        </row>
        <row r="1984">
          <cell r="A1984" t="str">
            <v>State Plan (Title XIX)</v>
          </cell>
          <cell r="C1984" t="str">
            <v xml:space="preserve">Nursing Facility </v>
          </cell>
          <cell r="D1984" t="str">
            <v>NF Specialized Therapies</v>
          </cell>
          <cell r="E1984" t="str">
            <v>OT-NF ASSESSMENT-SPECIALIZED SERVICES, MOD COMPLEX</v>
          </cell>
          <cell r="F1984" t="str">
            <v>17AG0462</v>
          </cell>
        </row>
        <row r="1985">
          <cell r="A1985" t="str">
            <v>State Plan (Title XIX)</v>
          </cell>
          <cell r="C1985" t="str">
            <v xml:space="preserve">Nursing Facility </v>
          </cell>
          <cell r="D1985" t="str">
            <v>NF Specialized Therapies</v>
          </cell>
          <cell r="E1985" t="str">
            <v>OT-NF ASSESSMENT-SPECIALIZED SERVICES, MOD COMPLEX</v>
          </cell>
          <cell r="F1985" t="str">
            <v>17AEG0526</v>
          </cell>
        </row>
        <row r="1986">
          <cell r="A1986" t="str">
            <v>State Plan (Title XIX)</v>
          </cell>
          <cell r="C1986" t="str">
            <v xml:space="preserve">Nursing Facility </v>
          </cell>
          <cell r="D1986" t="str">
            <v>NF Specialized Therapies</v>
          </cell>
          <cell r="E1986" t="str">
            <v>OT-NF ASSESSMENT-SPECIALIZED SERVICES, MOD COMPLEX</v>
          </cell>
          <cell r="F1986" t="str">
            <v>17AEG0526</v>
          </cell>
        </row>
        <row r="1987">
          <cell r="A1987" t="str">
            <v>State Plan (Title XIX)</v>
          </cell>
          <cell r="C1987" t="str">
            <v xml:space="preserve">Nursing Facility </v>
          </cell>
          <cell r="D1987" t="str">
            <v>NF Specialized Therapies</v>
          </cell>
          <cell r="E1987" t="str">
            <v>OT-REHABILITATIVE SERV</v>
          </cell>
          <cell r="F1987" t="str">
            <v>17G0452</v>
          </cell>
        </row>
        <row r="1988">
          <cell r="A1988" t="str">
            <v>State Plan (Title XIX)</v>
          </cell>
          <cell r="C1988" t="str">
            <v xml:space="preserve">Nursing Facility </v>
          </cell>
          <cell r="D1988" t="str">
            <v>NF Specialized Therapies</v>
          </cell>
          <cell r="E1988" t="str">
            <v>OT-REHABILITATIVE SERV</v>
          </cell>
          <cell r="F1988" t="str">
            <v>17G0452</v>
          </cell>
        </row>
        <row r="1989">
          <cell r="A1989" t="str">
            <v>State Plan (Title XIX)</v>
          </cell>
          <cell r="C1989" t="str">
            <v xml:space="preserve">Nursing Facility </v>
          </cell>
          <cell r="D1989" t="str">
            <v>NF Specialized Therapies</v>
          </cell>
          <cell r="E1989" t="str">
            <v>OT-REHABILITATIVE SERVICE CONTRACTED</v>
          </cell>
          <cell r="F1989" t="str">
            <v>17G0467</v>
          </cell>
        </row>
        <row r="1990">
          <cell r="A1990" t="str">
            <v>State Plan (Title XIX)</v>
          </cell>
          <cell r="C1990" t="str">
            <v xml:space="preserve">Nursing Facility </v>
          </cell>
          <cell r="D1990" t="str">
            <v>NF Specialized Therapies</v>
          </cell>
          <cell r="E1990" t="str">
            <v>OT-REHABILITATIVE SERVICE CONTRACTED</v>
          </cell>
          <cell r="F1990" t="str">
            <v>17G0467</v>
          </cell>
        </row>
        <row r="1991">
          <cell r="A1991" t="str">
            <v>State Plan (Title XIX)</v>
          </cell>
          <cell r="C1991" t="str">
            <v xml:space="preserve">Nursing Facility </v>
          </cell>
          <cell r="D1991" t="str">
            <v>NF Specialized Therapies</v>
          </cell>
          <cell r="E1991" t="str">
            <v>OT-SPECIALIZED ASSESSMENT-REHAB SERVICE CONTRACTED</v>
          </cell>
          <cell r="F1991" t="str">
            <v>17AG0474</v>
          </cell>
        </row>
        <row r="1992">
          <cell r="A1992" t="str">
            <v>State Plan (Title XIX)</v>
          </cell>
          <cell r="C1992" t="str">
            <v xml:space="preserve">Nursing Facility </v>
          </cell>
          <cell r="D1992" t="str">
            <v>NF Specialized Therapies</v>
          </cell>
          <cell r="E1992" t="str">
            <v>OT-SPECIALIZED ASSESSMENT-REHAB SERVICE CONTRACTED, HIGH COMPLEX</v>
          </cell>
          <cell r="F1992" t="str">
            <v>17AG0474</v>
          </cell>
        </row>
        <row r="1993">
          <cell r="A1993" t="str">
            <v>State Plan (Title XIX)</v>
          </cell>
          <cell r="C1993" t="str">
            <v xml:space="preserve">Nursing Facility </v>
          </cell>
          <cell r="D1993" t="str">
            <v>NF Specialized Therapies</v>
          </cell>
          <cell r="E1993" t="str">
            <v>OT-SPECIALIZED ASSESSMENT-REHAB SERVICE CONTRACTED, LOW COMPLEX</v>
          </cell>
          <cell r="F1993" t="str">
            <v>17AG0474</v>
          </cell>
        </row>
        <row r="1994">
          <cell r="A1994" t="str">
            <v>State Plan (Title XIX)</v>
          </cell>
          <cell r="C1994" t="str">
            <v xml:space="preserve">Nursing Facility </v>
          </cell>
          <cell r="D1994" t="str">
            <v>NF Specialized Therapies</v>
          </cell>
          <cell r="E1994" t="str">
            <v>OT-SPECIALIZED ASSESSMENT-REHAB SERVICE CONTRACTED, MOD COMPLEX</v>
          </cell>
          <cell r="F1994" t="str">
            <v>17AG0474</v>
          </cell>
        </row>
        <row r="1995">
          <cell r="A1995" t="str">
            <v>State Plan (Title XIX)</v>
          </cell>
          <cell r="C1995" t="str">
            <v xml:space="preserve">Nursing Facility </v>
          </cell>
          <cell r="D1995" t="str">
            <v>NF Specialized Therapies</v>
          </cell>
          <cell r="E1995" t="str">
            <v>OT-SPECIALIZED REHABILITATIVE SERVICE CONTRACTED</v>
          </cell>
          <cell r="F1995" t="str">
            <v>17AG0473</v>
          </cell>
        </row>
        <row r="1996">
          <cell r="A1996" t="str">
            <v>State Plan (Title XIX)</v>
          </cell>
          <cell r="C1996" t="str">
            <v xml:space="preserve">Nursing Facility </v>
          </cell>
          <cell r="D1996" t="str">
            <v>NF Specialized Therapies</v>
          </cell>
          <cell r="E1996" t="str">
            <v>PT - NF ASSESSMENT-SPECIALIZED SERV</v>
          </cell>
          <cell r="F1996" t="str">
            <v>18AG0464</v>
          </cell>
        </row>
        <row r="1997">
          <cell r="A1997" t="str">
            <v>State Plan (Title XIX)</v>
          </cell>
          <cell r="C1997" t="str">
            <v xml:space="preserve">Nursing Facility </v>
          </cell>
          <cell r="D1997" t="str">
            <v>NF Specialized Therapies</v>
          </cell>
          <cell r="E1997" t="str">
            <v>PT ASSESSMENT-REHABILITATIVE SERV</v>
          </cell>
          <cell r="F1997" t="str">
            <v>18G0455</v>
          </cell>
        </row>
        <row r="1998">
          <cell r="A1998" t="str">
            <v>State Plan (Title XIX)</v>
          </cell>
          <cell r="C1998" t="str">
            <v xml:space="preserve">Nursing Facility </v>
          </cell>
          <cell r="D1998" t="str">
            <v>NF Specialized Therapies</v>
          </cell>
          <cell r="E1998" t="str">
            <v>PT EVAL HIGH COMPLEX</v>
          </cell>
          <cell r="F1998" t="str">
            <v>18G0455</v>
          </cell>
        </row>
        <row r="1999">
          <cell r="A1999" t="str">
            <v>State Plan (Title XIX)</v>
          </cell>
          <cell r="C1999" t="str">
            <v xml:space="preserve">Nursing Facility </v>
          </cell>
          <cell r="D1999" t="str">
            <v>NF Specialized Therapies</v>
          </cell>
          <cell r="E1999" t="str">
            <v>PT EVAL HIGH COMPLEX</v>
          </cell>
          <cell r="F1999" t="str">
            <v>18G0455</v>
          </cell>
        </row>
        <row r="2000">
          <cell r="A2000" t="str">
            <v>State Plan (Title XIX)</v>
          </cell>
          <cell r="C2000" t="str">
            <v xml:space="preserve">Nursing Facility </v>
          </cell>
          <cell r="D2000" t="str">
            <v>NF Specialized Therapies</v>
          </cell>
          <cell r="E2000" t="str">
            <v>PT EVAL HIGH COMPLEX CONTRACTED</v>
          </cell>
          <cell r="F2000" t="str">
            <v>18G0470</v>
          </cell>
        </row>
        <row r="2001">
          <cell r="A2001" t="str">
            <v>State Plan (Title XIX)</v>
          </cell>
          <cell r="C2001" t="str">
            <v xml:space="preserve">Nursing Facility </v>
          </cell>
          <cell r="D2001" t="str">
            <v>NF Specialized Therapies</v>
          </cell>
          <cell r="E2001" t="str">
            <v>PT EVAL HIGH COMPLEX CONTRACTED</v>
          </cell>
          <cell r="F2001" t="str">
            <v>18G0470</v>
          </cell>
        </row>
        <row r="2002">
          <cell r="A2002" t="str">
            <v>State Plan (Title XIX)</v>
          </cell>
          <cell r="C2002" t="str">
            <v xml:space="preserve">Nursing Facility </v>
          </cell>
          <cell r="D2002" t="str">
            <v>NF Specialized Therapies</v>
          </cell>
          <cell r="E2002" t="str">
            <v>PT EVAL LOW COMPLEX</v>
          </cell>
          <cell r="F2002" t="str">
            <v>18G0455</v>
          </cell>
        </row>
        <row r="2003">
          <cell r="A2003" t="str">
            <v>State Plan (Title XIX)</v>
          </cell>
          <cell r="C2003" t="str">
            <v xml:space="preserve">Nursing Facility </v>
          </cell>
          <cell r="D2003" t="str">
            <v>NF Specialized Therapies</v>
          </cell>
          <cell r="E2003" t="str">
            <v>PT EVAL LOW COMPLEX CONTRACTED</v>
          </cell>
          <cell r="F2003" t="str">
            <v>18G0470</v>
          </cell>
        </row>
        <row r="2004">
          <cell r="A2004" t="str">
            <v>State Plan (Title XIX)</v>
          </cell>
          <cell r="C2004" t="str">
            <v xml:space="preserve">Nursing Facility </v>
          </cell>
          <cell r="D2004" t="str">
            <v>NF Specialized Therapies</v>
          </cell>
          <cell r="E2004" t="str">
            <v>PT EVAL MOD COMPLEX</v>
          </cell>
          <cell r="F2004" t="str">
            <v>18G0455</v>
          </cell>
        </row>
        <row r="2005">
          <cell r="A2005" t="str">
            <v>State Plan (Title XIX)</v>
          </cell>
          <cell r="C2005" t="str">
            <v xml:space="preserve">Nursing Facility </v>
          </cell>
          <cell r="D2005" t="str">
            <v>NF Specialized Therapies</v>
          </cell>
          <cell r="E2005" t="str">
            <v>PT EVAL MOD COMPLEX CONTRACTED</v>
          </cell>
          <cell r="F2005" t="str">
            <v>18G0470</v>
          </cell>
        </row>
        <row r="2006">
          <cell r="A2006" t="str">
            <v>State Plan (Title XIX)</v>
          </cell>
          <cell r="C2006" t="str">
            <v xml:space="preserve">Nursing Facility </v>
          </cell>
          <cell r="D2006" t="str">
            <v>NF Specialized Therapies</v>
          </cell>
          <cell r="E2006" t="str">
            <v>PT NF SPECIALIZED SERVICES</v>
          </cell>
          <cell r="F2006" t="str">
            <v>18AG0463</v>
          </cell>
        </row>
        <row r="2007">
          <cell r="A2007" t="str">
            <v>State Plan (Title XIX)</v>
          </cell>
          <cell r="C2007" t="str">
            <v xml:space="preserve">Nursing Facility </v>
          </cell>
          <cell r="D2007" t="str">
            <v>NF Specialized Therapies</v>
          </cell>
          <cell r="E2007" t="str">
            <v>PT- SPECIALIZED ASSESSMENT-REHAB SERVICE CONTRACTED</v>
          </cell>
          <cell r="F2007" t="str">
            <v>18AG0476</v>
          </cell>
        </row>
        <row r="2008">
          <cell r="A2008" t="str">
            <v>State Plan (Title XIX)</v>
          </cell>
          <cell r="C2008" t="str">
            <v xml:space="preserve">Nursing Facility </v>
          </cell>
          <cell r="D2008" t="str">
            <v>NF Specialized Therapies</v>
          </cell>
          <cell r="E2008" t="str">
            <v>PT- SPECIALIZED REHABILITATIVE SERVICE CONTRACTED</v>
          </cell>
          <cell r="F2008" t="str">
            <v>18AG0475</v>
          </cell>
        </row>
        <row r="2009">
          <cell r="A2009" t="str">
            <v>State Plan (Title XIX)</v>
          </cell>
          <cell r="C2009" t="str">
            <v xml:space="preserve">Nursing Facility </v>
          </cell>
          <cell r="D2009" t="str">
            <v>NF Specialized Therapies</v>
          </cell>
          <cell r="E2009" t="str">
            <v>PT-ASSESSMENT-REHABILITATIVE SERVICE CONTRACTED</v>
          </cell>
          <cell r="F2009" t="str">
            <v>18G0470</v>
          </cell>
        </row>
        <row r="2010">
          <cell r="A2010" t="str">
            <v>State Plan (Title XIX)</v>
          </cell>
          <cell r="C2010" t="str">
            <v xml:space="preserve">Nursing Facility </v>
          </cell>
          <cell r="D2010" t="str">
            <v>NF Specialized Therapies</v>
          </cell>
          <cell r="E2010" t="str">
            <v>PT-NF ASSESSMENT-SPECIALIZED SERVICES CONTRACTED, MOD COMPLEX</v>
          </cell>
          <cell r="F2010" t="str">
            <v>18AEG0529</v>
          </cell>
        </row>
        <row r="2011">
          <cell r="A2011" t="str">
            <v>State Plan (Title XIX)</v>
          </cell>
          <cell r="C2011" t="str">
            <v xml:space="preserve">Nursing Facility </v>
          </cell>
          <cell r="D2011" t="str">
            <v>NF Specialized Therapies</v>
          </cell>
          <cell r="E2011" t="str">
            <v>PT-NF ASSESSMENT-SPECIALIZED SERVICES, CONTRACTED, HIGH COMPLEX</v>
          </cell>
          <cell r="F2011" t="str">
            <v>18AEG0529</v>
          </cell>
        </row>
        <row r="2012">
          <cell r="A2012" t="str">
            <v>State Plan (Title XIX)</v>
          </cell>
          <cell r="C2012" t="str">
            <v xml:space="preserve">Nursing Facility </v>
          </cell>
          <cell r="D2012" t="str">
            <v>NF Specialized Therapies</v>
          </cell>
          <cell r="E2012" t="str">
            <v>PT-NF ASSESSMENT-SPECIALIZED SERVICES, CONTRACTED, LOW COMPLEX</v>
          </cell>
          <cell r="F2012" t="str">
            <v>18AEG0529</v>
          </cell>
        </row>
        <row r="2013">
          <cell r="A2013" t="str">
            <v>State Plan (Title XIX)</v>
          </cell>
          <cell r="C2013" t="str">
            <v xml:space="preserve">Nursing Facility </v>
          </cell>
          <cell r="D2013" t="str">
            <v>NF Specialized Therapies</v>
          </cell>
          <cell r="E2013" t="str">
            <v>PT-NF ASSESSMENT-SPECIALIZED SERVICES, CONTRACTED, LOW COMPLEX</v>
          </cell>
          <cell r="F2013" t="str">
            <v>18AEG0529</v>
          </cell>
        </row>
        <row r="2014">
          <cell r="A2014" t="str">
            <v>State Plan (Title XIX)</v>
          </cell>
          <cell r="C2014" t="str">
            <v xml:space="preserve">Nursing Facility </v>
          </cell>
          <cell r="D2014" t="str">
            <v>NF Specialized Therapies</v>
          </cell>
          <cell r="E2014" t="str">
            <v>PT-NF ASSESSMENT-SPECIALIZED SERVICES, HIGH COMPLEX</v>
          </cell>
          <cell r="F2014" t="str">
            <v>18AG0464</v>
          </cell>
        </row>
        <row r="2015">
          <cell r="A2015" t="str">
            <v>State Plan (Title XIX)</v>
          </cell>
          <cell r="C2015" t="str">
            <v xml:space="preserve">Nursing Facility </v>
          </cell>
          <cell r="D2015" t="str">
            <v>NF Specialized Therapies</v>
          </cell>
          <cell r="E2015" t="str">
            <v>PT-NF ASSESSMENT-SPECIALIZED SERVICES, HIGH COMPLEX</v>
          </cell>
          <cell r="F2015" t="str">
            <v>18AEG0528</v>
          </cell>
        </row>
        <row r="2016">
          <cell r="A2016" t="str">
            <v>State Plan (Title XIX)</v>
          </cell>
          <cell r="C2016" t="str">
            <v xml:space="preserve">Nursing Facility </v>
          </cell>
          <cell r="D2016" t="str">
            <v>NF Specialized Therapies</v>
          </cell>
          <cell r="E2016" t="str">
            <v>PT-NF ASSESSMENT-SPECIALIZED SERVICES, HIGH COMPLEX</v>
          </cell>
          <cell r="F2016" t="str">
            <v>18AEG0528</v>
          </cell>
        </row>
        <row r="2017">
          <cell r="A2017" t="str">
            <v>State Plan (Title XIX)</v>
          </cell>
          <cell r="C2017" t="str">
            <v xml:space="preserve">Nursing Facility </v>
          </cell>
          <cell r="D2017" t="str">
            <v>NF Specialized Therapies</v>
          </cell>
          <cell r="E2017" t="str">
            <v>PT-NF ASSESSMENT-SPECIALIZED SERVICES, LOW COMPLEX</v>
          </cell>
          <cell r="F2017" t="str">
            <v>18AG0464</v>
          </cell>
        </row>
        <row r="2018">
          <cell r="A2018" t="str">
            <v>State Plan (Title XIX)</v>
          </cell>
          <cell r="C2018" t="str">
            <v xml:space="preserve">Nursing Facility </v>
          </cell>
          <cell r="D2018" t="str">
            <v>NF Specialized Therapies</v>
          </cell>
          <cell r="E2018" t="str">
            <v>PT-NF ASSESSMENT-SPECIALIZED SERVICES, LOW COMPLEX</v>
          </cell>
          <cell r="F2018" t="str">
            <v>18AEG0528</v>
          </cell>
        </row>
        <row r="2019">
          <cell r="A2019" t="str">
            <v>State Plan (Title XIX)</v>
          </cell>
          <cell r="C2019" t="str">
            <v xml:space="preserve">Nursing Facility </v>
          </cell>
          <cell r="D2019" t="str">
            <v>NF Specialized Therapies</v>
          </cell>
          <cell r="E2019" t="str">
            <v>PT-NF ASSESSMENT-SPECIALIZED SERVICES, MOD COMPLEX</v>
          </cell>
          <cell r="F2019" t="str">
            <v>18AG0464</v>
          </cell>
        </row>
        <row r="2020">
          <cell r="A2020" t="str">
            <v>State Plan (Title XIX)</v>
          </cell>
          <cell r="C2020" t="str">
            <v xml:space="preserve">Nursing Facility </v>
          </cell>
          <cell r="D2020" t="str">
            <v>NF Specialized Therapies</v>
          </cell>
          <cell r="E2020" t="str">
            <v>PT-NF ASSESSMENT-SPECIALIZED SERVICES, MOD COMPLEX</v>
          </cell>
          <cell r="F2020" t="str">
            <v>18AEG0528</v>
          </cell>
        </row>
        <row r="2021">
          <cell r="A2021" t="str">
            <v>State Plan (Title XIX)</v>
          </cell>
          <cell r="C2021" t="str">
            <v xml:space="preserve">Nursing Facility </v>
          </cell>
          <cell r="D2021" t="str">
            <v>NF Specialized Therapies</v>
          </cell>
          <cell r="E2021" t="str">
            <v>PT-REHABILITATIVE SERV</v>
          </cell>
          <cell r="F2021" t="str">
            <v>18G0454</v>
          </cell>
        </row>
        <row r="2022">
          <cell r="A2022" t="str">
            <v>State Plan (Title XIX)</v>
          </cell>
          <cell r="C2022" t="str">
            <v xml:space="preserve">Nursing Facility </v>
          </cell>
          <cell r="D2022" t="str">
            <v>NF Specialized Therapies</v>
          </cell>
          <cell r="E2022" t="str">
            <v>PT-REHABILITATIVE SERV</v>
          </cell>
          <cell r="F2022" t="str">
            <v>18G0454</v>
          </cell>
        </row>
        <row r="2023">
          <cell r="A2023" t="str">
            <v>State Plan (Title XIX)</v>
          </cell>
          <cell r="C2023" t="str">
            <v xml:space="preserve">Nursing Facility </v>
          </cell>
          <cell r="D2023" t="str">
            <v>NF Specialized Therapies</v>
          </cell>
          <cell r="E2023" t="str">
            <v>PT-REHABILITATIVE SERVICE CONTRACTED</v>
          </cell>
          <cell r="F2023" t="str">
            <v>18G0469</v>
          </cell>
        </row>
        <row r="2024">
          <cell r="A2024" t="str">
            <v>State Plan (Title XIX)</v>
          </cell>
          <cell r="C2024" t="str">
            <v xml:space="preserve">Nursing Facility </v>
          </cell>
          <cell r="D2024" t="str">
            <v>NF Specialized Therapies</v>
          </cell>
          <cell r="E2024" t="str">
            <v>PT-REHABILITATIVE SERVICE CONTRACTED</v>
          </cell>
          <cell r="F2024" t="str">
            <v>18G0469</v>
          </cell>
        </row>
        <row r="2025">
          <cell r="A2025" t="str">
            <v>State Plan (Title XIX)</v>
          </cell>
          <cell r="C2025" t="str">
            <v xml:space="preserve">Nursing Facility </v>
          </cell>
          <cell r="D2025" t="str">
            <v>NF Specialized Therapies</v>
          </cell>
          <cell r="E2025" t="str">
            <v>PT-SPECIALIZED ASSESSMENT-REHAB SERVICE CONTRACTED, HIGH COMPLEX</v>
          </cell>
          <cell r="F2025" t="str">
            <v>18AG0476</v>
          </cell>
        </row>
        <row r="2026">
          <cell r="A2026" t="str">
            <v>State Plan (Title XIX)</v>
          </cell>
          <cell r="C2026" t="str">
            <v xml:space="preserve">Nursing Facility </v>
          </cell>
          <cell r="D2026" t="str">
            <v>NF Specialized Therapies</v>
          </cell>
          <cell r="E2026" t="str">
            <v>PT-SPECIALIZED ASSESSMENT-REHAB SERVICE CONTRACTED, LOW COMPLEX</v>
          </cell>
          <cell r="F2026" t="str">
            <v>18AG0476</v>
          </cell>
        </row>
        <row r="2027">
          <cell r="A2027" t="str">
            <v>State Plan (Title XIX)</v>
          </cell>
          <cell r="C2027" t="str">
            <v xml:space="preserve">Nursing Facility </v>
          </cell>
          <cell r="D2027" t="str">
            <v>NF Specialized Therapies</v>
          </cell>
          <cell r="E2027" t="str">
            <v>PT-SPECIALIZED ASSESSMENT-REHAB SERVICE CONTRACTED, MOD COMPLEX</v>
          </cell>
          <cell r="F2027" t="str">
            <v>18AG0476</v>
          </cell>
        </row>
        <row r="2028">
          <cell r="A2028" t="str">
            <v>State Plan (Title XIX)</v>
          </cell>
          <cell r="C2028" t="str">
            <v xml:space="preserve">Nursing Facility </v>
          </cell>
          <cell r="D2028" t="str">
            <v>NF Specialized Therapies</v>
          </cell>
          <cell r="E2028" t="str">
            <v>SNF PART A FULL MEDICARE</v>
          </cell>
          <cell r="F2028" t="str">
            <v>13AN0401</v>
          </cell>
        </row>
        <row r="2029">
          <cell r="A2029" t="str">
            <v>State Plan (Title XIX)</v>
          </cell>
          <cell r="C2029" t="str">
            <v xml:space="preserve">Nursing Facility </v>
          </cell>
          <cell r="D2029" t="str">
            <v>NF Specialized Therapies</v>
          </cell>
          <cell r="E2029" t="str">
            <v>ST - NF ASSESSMENT-SPECIALIZED SERV</v>
          </cell>
          <cell r="F2029" t="str">
            <v>19AG0466</v>
          </cell>
        </row>
        <row r="2030">
          <cell r="A2030" t="str">
            <v>State Plan (Title XIX)</v>
          </cell>
          <cell r="C2030" t="str">
            <v xml:space="preserve">Nursing Facility </v>
          </cell>
          <cell r="D2030" t="str">
            <v>NF Specialized Therapies</v>
          </cell>
          <cell r="E2030" t="str">
            <v>ST - NF ASSESSMENT-SPECIALIZED SERV</v>
          </cell>
          <cell r="F2030" t="str">
            <v>19AG0466</v>
          </cell>
        </row>
        <row r="2031">
          <cell r="A2031" t="str">
            <v>State Plan (Title XIX)</v>
          </cell>
          <cell r="C2031" t="str">
            <v xml:space="preserve">Nursing Facility </v>
          </cell>
          <cell r="D2031" t="str">
            <v>NF Specialized Therapies</v>
          </cell>
          <cell r="E2031" t="str">
            <v>ST - NF ASSESSMENT-SPECIALIZED SERV</v>
          </cell>
          <cell r="F2031" t="str">
            <v>19AG0466</v>
          </cell>
        </row>
        <row r="2032">
          <cell r="A2032" t="str">
            <v>State Plan (Title XIX)</v>
          </cell>
          <cell r="C2032" t="str">
            <v xml:space="preserve">Nursing Facility </v>
          </cell>
          <cell r="D2032" t="str">
            <v>NF Specialized Therapies</v>
          </cell>
          <cell r="E2032" t="str">
            <v>ST - NF ASSESSMENT-SPECIALIZED SERV</v>
          </cell>
          <cell r="F2032" t="str">
            <v>19AG0466</v>
          </cell>
        </row>
        <row r="2033">
          <cell r="A2033" t="str">
            <v>State Plan (Title XIX)</v>
          </cell>
          <cell r="C2033" t="str">
            <v xml:space="preserve">Nursing Facility </v>
          </cell>
          <cell r="D2033" t="str">
            <v>NF Specialized Therapies</v>
          </cell>
          <cell r="E2033" t="str">
            <v>ST - NF ASSESSMENT-SPECIALIZED SERV</v>
          </cell>
          <cell r="F2033" t="str">
            <v>19AG0466</v>
          </cell>
        </row>
        <row r="2034">
          <cell r="A2034" t="str">
            <v>State Plan (Title XIX)</v>
          </cell>
          <cell r="C2034" t="str">
            <v xml:space="preserve">Nursing Facility </v>
          </cell>
          <cell r="D2034" t="str">
            <v>NF Specialized Therapies</v>
          </cell>
          <cell r="E2034" t="str">
            <v>ST ASSESSMENT-REHABILITATIVE SERV</v>
          </cell>
          <cell r="F2034" t="str">
            <v>19G0457</v>
          </cell>
        </row>
        <row r="2035">
          <cell r="A2035" t="str">
            <v>State Plan (Title XIX)</v>
          </cell>
          <cell r="C2035" t="str">
            <v xml:space="preserve">Nursing Facility </v>
          </cell>
          <cell r="D2035" t="str">
            <v>NF Specialized Therapies</v>
          </cell>
          <cell r="E2035" t="str">
            <v>ST ASSESSMENT-REHABILITATIVE SERV</v>
          </cell>
          <cell r="F2035" t="str">
            <v>19G0457</v>
          </cell>
        </row>
        <row r="2036">
          <cell r="A2036" t="str">
            <v>State Plan (Title XIX)</v>
          </cell>
          <cell r="C2036" t="str">
            <v xml:space="preserve">Nursing Facility </v>
          </cell>
          <cell r="D2036" t="str">
            <v>NF Specialized Therapies</v>
          </cell>
          <cell r="E2036" t="str">
            <v>ST ASSESSMENT-REHABILITATIVE SERV</v>
          </cell>
          <cell r="F2036" t="str">
            <v>19G0457</v>
          </cell>
        </row>
        <row r="2037">
          <cell r="A2037" t="str">
            <v>State Plan (Title XIX)</v>
          </cell>
          <cell r="C2037" t="str">
            <v xml:space="preserve">Nursing Facility </v>
          </cell>
          <cell r="D2037" t="str">
            <v>NF Specialized Therapies</v>
          </cell>
          <cell r="E2037" t="str">
            <v>ST ASSESSMENT-REHABILITATIVE SERV</v>
          </cell>
          <cell r="F2037" t="str">
            <v>19G0457</v>
          </cell>
        </row>
        <row r="2038">
          <cell r="A2038" t="str">
            <v>State Plan (Title XIX)</v>
          </cell>
          <cell r="C2038" t="str">
            <v xml:space="preserve">Nursing Facility </v>
          </cell>
          <cell r="D2038" t="str">
            <v>NF Specialized Therapies</v>
          </cell>
          <cell r="E2038" t="str">
            <v>ST ASSESSMENT-REHABILITATIVE SERV</v>
          </cell>
          <cell r="F2038" t="str">
            <v>19G0457</v>
          </cell>
        </row>
        <row r="2039">
          <cell r="A2039" t="str">
            <v>State Plan (Title XIX)</v>
          </cell>
          <cell r="C2039" t="str">
            <v xml:space="preserve">Nursing Facility </v>
          </cell>
          <cell r="D2039" t="str">
            <v>NF Specialized Therapies</v>
          </cell>
          <cell r="E2039" t="str">
            <v>ST ASSESSMENT-REHABILITATIVE SERV</v>
          </cell>
          <cell r="F2039" t="str">
            <v>19G0457</v>
          </cell>
        </row>
        <row r="2040">
          <cell r="A2040" t="str">
            <v>State Plan (Title XIX)</v>
          </cell>
          <cell r="C2040" t="str">
            <v xml:space="preserve">Nursing Facility </v>
          </cell>
          <cell r="D2040" t="str">
            <v>NF Specialized Therapies</v>
          </cell>
          <cell r="E2040" t="str">
            <v>ST ASSESSMENT-REHABILITATIVE SERV</v>
          </cell>
          <cell r="F2040" t="str">
            <v>19G0457</v>
          </cell>
        </row>
        <row r="2041">
          <cell r="A2041" t="str">
            <v>State Plan (Title XIX)</v>
          </cell>
          <cell r="C2041" t="str">
            <v xml:space="preserve">Nursing Facility </v>
          </cell>
          <cell r="D2041" t="str">
            <v>NF Specialized Therapies</v>
          </cell>
          <cell r="E2041" t="str">
            <v>ST ASSESSMENT-REHABILITATIVE SERV</v>
          </cell>
          <cell r="F2041" t="str">
            <v>19G0457</v>
          </cell>
        </row>
        <row r="2042">
          <cell r="A2042" t="str">
            <v>State Plan (Title XIX)</v>
          </cell>
          <cell r="C2042" t="str">
            <v xml:space="preserve">Nursing Facility </v>
          </cell>
          <cell r="D2042" t="str">
            <v>NF Specialized Therapies</v>
          </cell>
          <cell r="E2042" t="str">
            <v>ST ASSESSMENT-REHABILITATIVE SERV</v>
          </cell>
          <cell r="F2042" t="str">
            <v>19G0457</v>
          </cell>
        </row>
        <row r="2043">
          <cell r="A2043" t="str">
            <v>State Plan (Title XIX)</v>
          </cell>
          <cell r="C2043" t="str">
            <v xml:space="preserve">Nursing Facility </v>
          </cell>
          <cell r="D2043" t="str">
            <v>NF Specialized Therapies</v>
          </cell>
          <cell r="E2043" t="str">
            <v>ST ASSESSMENT-REHABILITATIVE SERV</v>
          </cell>
          <cell r="F2043" t="str">
            <v>19G0457</v>
          </cell>
        </row>
        <row r="2044">
          <cell r="A2044" t="str">
            <v>State Plan (Title XIX)</v>
          </cell>
          <cell r="C2044" t="str">
            <v xml:space="preserve">Nursing Facility </v>
          </cell>
          <cell r="D2044" t="str">
            <v>NF Specialized Therapies</v>
          </cell>
          <cell r="E2044" t="str">
            <v>ST NF SPECIALIZED SERVICES TREATMENT</v>
          </cell>
          <cell r="F2044" t="str">
            <v>19AG0465</v>
          </cell>
        </row>
        <row r="2045">
          <cell r="A2045" t="str">
            <v>State Plan (Title XIX)</v>
          </cell>
          <cell r="C2045" t="str">
            <v xml:space="preserve">Nursing Facility </v>
          </cell>
          <cell r="D2045" t="str">
            <v>NF Specialized Therapies</v>
          </cell>
          <cell r="E2045" t="str">
            <v>ST- SPECIALIZED REHABILITATIVE SERVICE CONTRACTED</v>
          </cell>
          <cell r="F2045" t="str">
            <v>19AG0478</v>
          </cell>
        </row>
        <row r="2046">
          <cell r="A2046" t="str">
            <v>State Plan (Title XIX)</v>
          </cell>
          <cell r="C2046" t="str">
            <v xml:space="preserve">Nursing Facility </v>
          </cell>
          <cell r="D2046" t="str">
            <v>NF Specialized Therapies</v>
          </cell>
          <cell r="E2046" t="str">
            <v>ST- SPECIALIZED REHABILITATIVE SERVICE CONTRACTED</v>
          </cell>
          <cell r="F2046" t="str">
            <v>19AG0478</v>
          </cell>
        </row>
        <row r="2047">
          <cell r="A2047" t="str">
            <v>State Plan (Title XIX)</v>
          </cell>
          <cell r="C2047" t="str">
            <v xml:space="preserve">Nursing Facility </v>
          </cell>
          <cell r="D2047" t="str">
            <v>NF Specialized Therapies</v>
          </cell>
          <cell r="E2047" t="str">
            <v>ST- SPECIALIZED REHABILITATIVE SERVICE CONTRACTED</v>
          </cell>
          <cell r="F2047" t="str">
            <v>19AG0478</v>
          </cell>
        </row>
        <row r="2048">
          <cell r="A2048" t="str">
            <v>State Plan (Title XIX)</v>
          </cell>
          <cell r="C2048" t="str">
            <v xml:space="preserve">Nursing Facility </v>
          </cell>
          <cell r="D2048" t="str">
            <v>NF Specialized Therapies</v>
          </cell>
          <cell r="E2048" t="str">
            <v>ST- SPECIALIZED REHABILITATIVE SERVICE CONTRACTED</v>
          </cell>
          <cell r="F2048" t="str">
            <v>19AG0478</v>
          </cell>
        </row>
        <row r="2049">
          <cell r="A2049" t="str">
            <v>State Plan (Title XIX)</v>
          </cell>
          <cell r="C2049" t="str">
            <v xml:space="preserve">Nursing Facility </v>
          </cell>
          <cell r="D2049" t="str">
            <v>NF Specialized Therapies</v>
          </cell>
          <cell r="E2049" t="str">
            <v>ST- SPECIALIZED REHABILITATIVE SERVICE CONTRACTED</v>
          </cell>
          <cell r="F2049" t="str">
            <v>19AG0477</v>
          </cell>
        </row>
        <row r="2050">
          <cell r="A2050" t="str">
            <v>State Plan (Title XIX)</v>
          </cell>
          <cell r="C2050" t="str">
            <v xml:space="preserve">Nursing Facility </v>
          </cell>
          <cell r="D2050" t="str">
            <v>NF Specialized Therapies</v>
          </cell>
          <cell r="E2050" t="str">
            <v>ST- SPECIALIZED REHABILITATIVE SERVICE CONTRACTED</v>
          </cell>
          <cell r="F2050" t="str">
            <v>19AG0478</v>
          </cell>
        </row>
        <row r="2051">
          <cell r="A2051" t="str">
            <v>State Plan (Title XIX)</v>
          </cell>
          <cell r="C2051" t="str">
            <v xml:space="preserve">Nursing Facility </v>
          </cell>
          <cell r="D2051" t="str">
            <v>NF Specialized Therapies</v>
          </cell>
          <cell r="E2051" t="str">
            <v>ST-ASSESSMENT-REHABILITATIVE SERVICE CONTRACTED</v>
          </cell>
          <cell r="F2051" t="str">
            <v>19G0472</v>
          </cell>
        </row>
        <row r="2052">
          <cell r="A2052" t="str">
            <v>State Plan (Title XIX)</v>
          </cell>
          <cell r="C2052" t="str">
            <v xml:space="preserve">Nursing Facility </v>
          </cell>
          <cell r="D2052" t="str">
            <v>NF Specialized Therapies</v>
          </cell>
          <cell r="E2052" t="str">
            <v>ST-ASSESSMENT-REHABILITATIVE SERVICE CONTRACTED</v>
          </cell>
          <cell r="F2052" t="str">
            <v>19G0472</v>
          </cell>
        </row>
        <row r="2053">
          <cell r="A2053" t="str">
            <v>State Plan (Title XIX)</v>
          </cell>
          <cell r="C2053" t="str">
            <v xml:space="preserve">Nursing Facility </v>
          </cell>
          <cell r="D2053" t="str">
            <v>NF Specialized Therapies</v>
          </cell>
          <cell r="E2053" t="str">
            <v>ST-ASSESSMENT-REHABILITATIVE SERVICE CONTRACTED</v>
          </cell>
          <cell r="F2053" t="str">
            <v>19G0472</v>
          </cell>
        </row>
        <row r="2054">
          <cell r="A2054" t="str">
            <v>State Plan (Title XIX)</v>
          </cell>
          <cell r="C2054" t="str">
            <v xml:space="preserve">Nursing Facility </v>
          </cell>
          <cell r="D2054" t="str">
            <v>NF Specialized Therapies</v>
          </cell>
          <cell r="E2054" t="str">
            <v>ST-ASSESSMENT-REHABILITATIVE SERVICE CONTRACTED</v>
          </cell>
          <cell r="F2054" t="str">
            <v>19G0472</v>
          </cell>
        </row>
        <row r="2055">
          <cell r="A2055" t="str">
            <v>State Plan (Title XIX)</v>
          </cell>
          <cell r="C2055" t="str">
            <v xml:space="preserve">Nursing Facility </v>
          </cell>
          <cell r="D2055" t="str">
            <v>NF Specialized Therapies</v>
          </cell>
          <cell r="E2055" t="str">
            <v>ST-ASSESSMENT-REHABILITATIVE SERVICE CONTRACTED</v>
          </cell>
          <cell r="F2055" t="str">
            <v>19G0472</v>
          </cell>
        </row>
        <row r="2056">
          <cell r="A2056" t="str">
            <v>State Plan (Title XIX)</v>
          </cell>
          <cell r="C2056" t="str">
            <v xml:space="preserve">Nursing Facility </v>
          </cell>
          <cell r="D2056" t="str">
            <v>NF Specialized Therapies</v>
          </cell>
          <cell r="E2056" t="str">
            <v>ST-ASSESSMENT-REHABILITATIVE SERVICE CONTRACTED</v>
          </cell>
          <cell r="F2056" t="str">
            <v>19G0472</v>
          </cell>
        </row>
        <row r="2057">
          <cell r="A2057" t="str">
            <v>State Plan (Title XIX)</v>
          </cell>
          <cell r="C2057" t="str">
            <v xml:space="preserve">Nursing Facility </v>
          </cell>
          <cell r="D2057" t="str">
            <v>NF Specialized Therapies</v>
          </cell>
          <cell r="E2057" t="str">
            <v>ST-ASSESSMENT-REHABILITATIVE SERVICE CONTRACTED</v>
          </cell>
          <cell r="F2057" t="str">
            <v>19G0472</v>
          </cell>
        </row>
        <row r="2058">
          <cell r="A2058" t="str">
            <v>State Plan (Title XIX)</v>
          </cell>
          <cell r="C2058" t="str">
            <v xml:space="preserve">Nursing Facility </v>
          </cell>
          <cell r="D2058" t="str">
            <v>NF Specialized Therapies</v>
          </cell>
          <cell r="E2058" t="str">
            <v>ST-ASSESSMENT-REHABILITATIVE SERVICE CONTRACTED</v>
          </cell>
          <cell r="F2058" t="str">
            <v>19G0472</v>
          </cell>
        </row>
        <row r="2059">
          <cell r="A2059" t="str">
            <v>State Plan (Title XIX)</v>
          </cell>
          <cell r="C2059" t="str">
            <v xml:space="preserve">Nursing Facility </v>
          </cell>
          <cell r="D2059" t="str">
            <v>NF Specialized Therapies</v>
          </cell>
          <cell r="E2059" t="str">
            <v>ST-ASSESSMENT-REHABILITATIVE SERVICE CONTRACTED</v>
          </cell>
          <cell r="F2059" t="str">
            <v>19G0472</v>
          </cell>
        </row>
        <row r="2060">
          <cell r="A2060" t="str">
            <v>State Plan (Title XIX)</v>
          </cell>
          <cell r="C2060" t="str">
            <v xml:space="preserve">Nursing Facility </v>
          </cell>
          <cell r="D2060" t="str">
            <v>NF Specialized Therapies</v>
          </cell>
          <cell r="E2060" t="str">
            <v>ST-ASSESSMENT-REHABILITATIVE SERVICE CONTRACTED</v>
          </cell>
          <cell r="F2060" t="str">
            <v>19G0472</v>
          </cell>
        </row>
        <row r="2061">
          <cell r="A2061" t="str">
            <v>State Plan (Title XIX)</v>
          </cell>
          <cell r="C2061" t="str">
            <v xml:space="preserve">Nursing Facility </v>
          </cell>
          <cell r="D2061" t="str">
            <v>NF Specialized Therapies</v>
          </cell>
          <cell r="E2061" t="str">
            <v>ST-ASSESSMENT-REHABILITATIVE SERVICE CONTRACTED</v>
          </cell>
          <cell r="F2061" t="str">
            <v>19G0472</v>
          </cell>
        </row>
        <row r="2062">
          <cell r="A2062" t="str">
            <v>State Plan (Title XIX)</v>
          </cell>
          <cell r="C2062" t="str">
            <v xml:space="preserve">Nursing Facility </v>
          </cell>
          <cell r="D2062" t="str">
            <v>NF Specialized Therapies</v>
          </cell>
          <cell r="E2062" t="str">
            <v>ST-ASSESSMENT-REHABILITATIVE SERVICE CONTRACTED</v>
          </cell>
          <cell r="F2062" t="str">
            <v>19G0472</v>
          </cell>
        </row>
        <row r="2063">
          <cell r="A2063" t="str">
            <v>State Plan (Title XIX)</v>
          </cell>
          <cell r="C2063" t="str">
            <v xml:space="preserve">Nursing Facility </v>
          </cell>
          <cell r="D2063" t="str">
            <v>NF Specialized Therapies</v>
          </cell>
          <cell r="E2063" t="str">
            <v>ST-ASSESSMENT-REHABILITATIVE SERVICE CONTRACTED</v>
          </cell>
          <cell r="F2063" t="str">
            <v>19G0472</v>
          </cell>
        </row>
        <row r="2064">
          <cell r="A2064" t="str">
            <v>State Plan (Title XIX)</v>
          </cell>
          <cell r="C2064" t="str">
            <v xml:space="preserve">Nursing Facility </v>
          </cell>
          <cell r="D2064" t="str">
            <v>NF Specialized Therapies</v>
          </cell>
          <cell r="E2064" t="str">
            <v>ST-NF ASSESSMENT SPECIALIZED SERVICES</v>
          </cell>
          <cell r="F2064" t="str">
            <v>19AEG0530</v>
          </cell>
        </row>
        <row r="2065">
          <cell r="A2065" t="str">
            <v>State Plan (Title XIX)</v>
          </cell>
          <cell r="C2065" t="str">
            <v xml:space="preserve">Nursing Facility </v>
          </cell>
          <cell r="D2065" t="str">
            <v>NF Specialized Therapies</v>
          </cell>
          <cell r="E2065" t="str">
            <v>ST-NF ASSESSMENT SPECIALIZED SERVICES, CONTRACTED</v>
          </cell>
          <cell r="F2065" t="str">
            <v>19AEG0531</v>
          </cell>
        </row>
        <row r="2066">
          <cell r="A2066" t="str">
            <v>State Plan (Title XIX)</v>
          </cell>
          <cell r="C2066" t="str">
            <v xml:space="preserve">Nursing Facility </v>
          </cell>
          <cell r="D2066" t="str">
            <v>NF Specialized Therapies</v>
          </cell>
          <cell r="E2066" t="str">
            <v>ST-REHABILITATIVE SERV</v>
          </cell>
          <cell r="F2066" t="str">
            <v>19G0456</v>
          </cell>
        </row>
        <row r="2067">
          <cell r="A2067" t="str">
            <v>State Plan (Title XIX)</v>
          </cell>
          <cell r="C2067" t="str">
            <v xml:space="preserve">Nursing Facility </v>
          </cell>
          <cell r="D2067" t="str">
            <v>NF Specialized Therapies</v>
          </cell>
          <cell r="E2067" t="str">
            <v>ST-REHABILITATIVE SERV</v>
          </cell>
          <cell r="F2067" t="str">
            <v>19G0456</v>
          </cell>
        </row>
        <row r="2068">
          <cell r="A2068" t="str">
            <v>State Plan (Title XIX)</v>
          </cell>
          <cell r="C2068" t="str">
            <v xml:space="preserve">Nursing Facility </v>
          </cell>
          <cell r="D2068" t="str">
            <v>NF Specialized Therapies</v>
          </cell>
          <cell r="E2068" t="str">
            <v>ST-REHABILITATIVE SERVICE CONTRACTED</v>
          </cell>
          <cell r="F2068" t="str">
            <v>19G0471</v>
          </cell>
        </row>
        <row r="2069">
          <cell r="A2069" t="str">
            <v>State Plan (Title XIX)</v>
          </cell>
          <cell r="C2069" t="str">
            <v xml:space="preserve">Nursing Facility </v>
          </cell>
          <cell r="D2069" t="str">
            <v>NF Specialized Therapies</v>
          </cell>
          <cell r="E2069" t="str">
            <v>ST-REHABILITATIVE SERVICE CONTRACTED</v>
          </cell>
          <cell r="F2069" t="str">
            <v>19G0471</v>
          </cell>
        </row>
        <row r="2070">
          <cell r="C2070" t="str">
            <v xml:space="preserve">Nursing Facility </v>
          </cell>
          <cell r="D2070" t="str">
            <v>NF Vent/Trach</v>
          </cell>
          <cell r="E2070" t="str">
            <v>CHILD TRACHEOSTOMY CARE</v>
          </cell>
          <cell r="F2070" t="str">
            <v>124N0502</v>
          </cell>
        </row>
        <row r="2071">
          <cell r="C2071" t="str">
            <v xml:space="preserve">Nursing Facility </v>
          </cell>
          <cell r="D2071" t="str">
            <v>NF Vent/Trach</v>
          </cell>
          <cell r="E2071" t="str">
            <v>VENTILATOR FULL</v>
          </cell>
          <cell r="F2071" t="str">
            <v>14N0500</v>
          </cell>
        </row>
        <row r="2072">
          <cell r="C2072" t="str">
            <v xml:space="preserve">Nursing Facility </v>
          </cell>
          <cell r="D2072" t="str">
            <v>NF Vent/Trach</v>
          </cell>
          <cell r="E2072" t="str">
            <v>VENTILATOR PARTIAL</v>
          </cell>
          <cell r="F2072" t="str">
            <v>14N0501</v>
          </cell>
        </row>
        <row r="2073">
          <cell r="C2073" t="str">
            <v xml:space="preserve">Nursing Facility </v>
          </cell>
          <cell r="D2073" t="str">
            <v>NF Vent/Trach</v>
          </cell>
          <cell r="E2073" t="str">
            <v>VENTILATOR PARTIAL</v>
          </cell>
          <cell r="F2073" t="str">
            <v>14N0501</v>
          </cell>
        </row>
        <row r="2074">
          <cell r="C2074" t="str">
            <v xml:space="preserve">Nursing Facility </v>
          </cell>
          <cell r="D2074" t="str">
            <v>NF Vent/Trach</v>
          </cell>
          <cell r="E2074" t="str">
            <v>VENTILATOR PARTIAL</v>
          </cell>
          <cell r="F2074" t="str">
            <v>14N0501</v>
          </cell>
        </row>
        <row r="2075">
          <cell r="C2075" t="str">
            <v xml:space="preserve">Nursing Facility </v>
          </cell>
          <cell r="D2075" t="str">
            <v>NF Vent/Trach</v>
          </cell>
          <cell r="E2075" t="str">
            <v>VENTILATOR PARTIAL</v>
          </cell>
          <cell r="F2075" t="str">
            <v>14N0501</v>
          </cell>
        </row>
        <row r="2076">
          <cell r="C2076" t="str">
            <v xml:space="preserve">Nursing Facility </v>
          </cell>
          <cell r="D2076" t="str">
            <v>NF Vent/Trach</v>
          </cell>
          <cell r="E2076" t="str">
            <v>VENTILATOR-FULL</v>
          </cell>
          <cell r="F2076" t="str">
            <v>14N0500</v>
          </cell>
        </row>
        <row r="2077">
          <cell r="C2077" t="str">
            <v xml:space="preserve">Nursing Facility </v>
          </cell>
          <cell r="D2077" t="str">
            <v>NF Vent/Trach</v>
          </cell>
          <cell r="E2077" t="str">
            <v>VENTILATOR-FULL</v>
          </cell>
          <cell r="F2077" t="str">
            <v>14N0500</v>
          </cell>
        </row>
        <row r="2078">
          <cell r="C2078" t="str">
            <v xml:space="preserve">Nursing Facility </v>
          </cell>
          <cell r="D2078" t="str">
            <v>NF Vent/Trach</v>
          </cell>
          <cell r="E2078" t="str">
            <v>VENTILATOR-FULL</v>
          </cell>
          <cell r="F2078" t="str">
            <v>14N0500</v>
          </cell>
        </row>
        <row r="2079">
          <cell r="A2079" t="str">
            <v>State Plan (Title XIX)</v>
          </cell>
          <cell r="C2079" t="str">
            <v xml:space="preserve">Nursing Facility </v>
          </cell>
          <cell r="D2079" t="str">
            <v>Nursing Aide Training</v>
          </cell>
          <cell r="E2079" t="str">
            <v>Nursing Aide Training INCOMPLETE TRAINING COURSE</v>
          </cell>
          <cell r="F2079" t="str">
            <v>16N0708</v>
          </cell>
        </row>
        <row r="2080">
          <cell r="A2080" t="str">
            <v>State Plan (Title XIX)</v>
          </cell>
          <cell r="C2080" t="str">
            <v xml:space="preserve">Nursing Facility </v>
          </cell>
          <cell r="D2080" t="str">
            <v>Nursing Aide Training</v>
          </cell>
          <cell r="E2080" t="str">
            <v>Nursing Aide Training ORAL TEST FAILED</v>
          </cell>
          <cell r="F2080" t="str">
            <v>16N0706</v>
          </cell>
        </row>
        <row r="2081">
          <cell r="A2081" t="str">
            <v>State Plan (Title XIX)</v>
          </cell>
          <cell r="C2081" t="str">
            <v xml:space="preserve">Nursing Facility </v>
          </cell>
          <cell r="D2081" t="str">
            <v>Nursing Aide Training</v>
          </cell>
          <cell r="E2081" t="str">
            <v>Nursing Aide Training ORAL TEST PASSED</v>
          </cell>
          <cell r="F2081" t="str">
            <v>16N0705</v>
          </cell>
        </row>
        <row r="2082">
          <cell r="A2082" t="str">
            <v>State Plan (Title XIX)</v>
          </cell>
          <cell r="C2082" t="str">
            <v xml:space="preserve">Nursing Facility </v>
          </cell>
          <cell r="D2082" t="str">
            <v>Nursing Aide Training</v>
          </cell>
          <cell r="E2082" t="str">
            <v>Nursing Aide Training SKILLS TEST FAILED</v>
          </cell>
          <cell r="F2082" t="str">
            <v>16N0702</v>
          </cell>
        </row>
        <row r="2083">
          <cell r="A2083" t="str">
            <v>State Plan (Title XIX)</v>
          </cell>
          <cell r="C2083" t="str">
            <v xml:space="preserve">Nursing Facility </v>
          </cell>
          <cell r="D2083" t="str">
            <v>Nursing Aide Training</v>
          </cell>
          <cell r="E2083" t="str">
            <v>Nursing Aide Training SKILLS TEST PASSED</v>
          </cell>
          <cell r="F2083" t="str">
            <v>16N0701</v>
          </cell>
        </row>
        <row r="2084">
          <cell r="A2084" t="str">
            <v>State Plan (Title XIX)</v>
          </cell>
          <cell r="C2084" t="str">
            <v xml:space="preserve">Nursing Facility </v>
          </cell>
          <cell r="D2084" t="str">
            <v>Nursing Aide Training</v>
          </cell>
          <cell r="E2084" t="str">
            <v>Nursing Aide Training TRAINING COURSE</v>
          </cell>
          <cell r="F2084" t="str">
            <v>16N0700</v>
          </cell>
        </row>
        <row r="2085">
          <cell r="A2085" t="str">
            <v>State Plan (Title XIX)</v>
          </cell>
          <cell r="C2085" t="str">
            <v xml:space="preserve">Nursing Facility </v>
          </cell>
          <cell r="D2085" t="str">
            <v>Nursing Aide Training</v>
          </cell>
          <cell r="E2085" t="str">
            <v>Nursing Aide Training TRAINING MATERIALS</v>
          </cell>
          <cell r="F2085" t="str">
            <v>16N0707</v>
          </cell>
        </row>
        <row r="2086">
          <cell r="A2086" t="str">
            <v>State Plan (Title XIX)</v>
          </cell>
          <cell r="C2086" t="str">
            <v xml:space="preserve">Nursing Facility </v>
          </cell>
          <cell r="D2086" t="str">
            <v>Nursing Aide Training</v>
          </cell>
          <cell r="E2086" t="str">
            <v>Nursing Aide Training WRITTEN TEST FAILED</v>
          </cell>
          <cell r="F2086" t="str">
            <v>16N0704</v>
          </cell>
        </row>
        <row r="2087">
          <cell r="A2087" t="str">
            <v>State Plan (Title XIX)</v>
          </cell>
          <cell r="C2087" t="str">
            <v xml:space="preserve">Nursing Facility </v>
          </cell>
          <cell r="D2087" t="str">
            <v>Nursing Aide Training</v>
          </cell>
          <cell r="E2087" t="str">
            <v>Nursing Aide Training WRITTEN TEST PASSED</v>
          </cell>
          <cell r="F2087" t="str">
            <v>16N0703</v>
          </cell>
        </row>
        <row r="2088">
          <cell r="A2088" t="str">
            <v>State Plan (Title XIX)</v>
          </cell>
          <cell r="C2088" t="str">
            <v>PACE</v>
          </cell>
          <cell r="D2088" t="str">
            <v>PACE</v>
          </cell>
          <cell r="E2088" t="str">
            <v>PACE DUAL ELIGIBLE</v>
          </cell>
          <cell r="F2088" t="str">
            <v>1139G2000</v>
          </cell>
        </row>
        <row r="2089">
          <cell r="A2089" t="str">
            <v>State Plan (Title XIX)</v>
          </cell>
          <cell r="C2089" t="str">
            <v>PACE</v>
          </cell>
          <cell r="D2089" t="str">
            <v>PACE</v>
          </cell>
          <cell r="E2089" t="str">
            <v>PACE MEDICAID ONLY</v>
          </cell>
          <cell r="F2089" t="str">
            <v>1139AG2001</v>
          </cell>
        </row>
        <row r="2090">
          <cell r="A2090" t="str">
            <v>State Plan (Title XIX)</v>
          </cell>
          <cell r="C2090" t="str">
            <v>PACE</v>
          </cell>
          <cell r="D2090" t="str">
            <v>PACE</v>
          </cell>
          <cell r="E2090" t="str">
            <v>PACE QMB</v>
          </cell>
          <cell r="F2090" t="str">
            <v>1139BG2002</v>
          </cell>
        </row>
        <row r="2091">
          <cell r="D2091" t="str">
            <v>PAS/HAB</v>
          </cell>
          <cell r="E2091" t="str">
            <v xml:space="preserve">CFC (AO) </v>
          </cell>
          <cell r="F2091" t="str">
            <v>T1019UD</v>
          </cell>
          <cell r="P2091" t="str">
            <v>CFC</v>
          </cell>
        </row>
        <row r="2092">
          <cell r="D2092" t="str">
            <v>PAS/HAB</v>
          </cell>
          <cell r="E2092" t="str">
            <v>CFC ATTENDANT CARE AND HABILITATION - (CDS)</v>
          </cell>
          <cell r="F2092" t="str">
            <v>T1019U3</v>
          </cell>
        </row>
        <row r="2093">
          <cell r="A2093" t="str">
            <v>State Plan (Title XIX)</v>
          </cell>
          <cell r="C2093" t="str">
            <v>PCS</v>
          </cell>
          <cell r="D2093" t="str">
            <v>FMS</v>
          </cell>
          <cell r="E2093" t="str">
            <v>PCS FMS</v>
          </cell>
          <cell r="F2093" t="str">
            <v>T1019U5</v>
          </cell>
        </row>
        <row r="2094">
          <cell r="A2094" t="str">
            <v>State Plan (Title XIX)</v>
          </cell>
          <cell r="C2094" t="str">
            <v>PCS</v>
          </cell>
          <cell r="D2094" t="str">
            <v>FMS</v>
          </cell>
          <cell r="E2094" t="str">
            <v>PCS FMS</v>
          </cell>
          <cell r="F2094" t="str">
            <v>T1019U8</v>
          </cell>
        </row>
        <row r="2095">
          <cell r="A2095" t="str">
            <v>State Plan (Title XIX)</v>
          </cell>
          <cell r="C2095" t="str">
            <v>PCS</v>
          </cell>
          <cell r="D2095" t="str">
            <v>PCS FFS</v>
          </cell>
          <cell r="E2095" t="str">
            <v xml:space="preserve">CFC PCS BEHAVIORAL HEALTH CONDITION (AO) </v>
          </cell>
          <cell r="F2095" t="str">
            <v>T1019U9</v>
          </cell>
          <cell r="P2095" t="str">
            <v>CFC</v>
          </cell>
        </row>
        <row r="2096">
          <cell r="A2096" t="str">
            <v>State Plan (Title XIX)</v>
          </cell>
          <cell r="C2096" t="str">
            <v>PCS</v>
          </cell>
          <cell r="D2096" t="str">
            <v>PCS FFS</v>
          </cell>
          <cell r="E2096" t="str">
            <v xml:space="preserve">PCS (AO) </v>
          </cell>
          <cell r="F2096" t="str">
            <v>T1019U6</v>
          </cell>
        </row>
        <row r="2097">
          <cell r="A2097" t="str">
            <v>State Plan (Title XIX)</v>
          </cell>
          <cell r="C2097" t="str">
            <v>PCS</v>
          </cell>
          <cell r="D2097" t="str">
            <v>PCS FFS</v>
          </cell>
          <cell r="E2097" t="str">
            <v xml:space="preserve">PCS (CDS) </v>
          </cell>
          <cell r="F2097" t="str">
            <v>T1019U7</v>
          </cell>
        </row>
        <row r="2098">
          <cell r="A2098" t="str">
            <v>State Plan (Title XIX)</v>
          </cell>
          <cell r="C2098" t="str">
            <v>PCS</v>
          </cell>
          <cell r="D2098" t="str">
            <v>PCS FFS</v>
          </cell>
          <cell r="E2098" t="str">
            <v xml:space="preserve">PCS BEHAVIORAL HEALTH CONDITION (AO) </v>
          </cell>
          <cell r="F2098" t="str">
            <v>T1019UA</v>
          </cell>
        </row>
        <row r="2099">
          <cell r="A2099" t="str">
            <v>State Plan (Title XIX)</v>
          </cell>
          <cell r="C2099" t="str">
            <v>PCS</v>
          </cell>
          <cell r="D2099" t="str">
            <v>PCS FFS</v>
          </cell>
          <cell r="E2099" t="str">
            <v xml:space="preserve">PCS BEHAVIORAL HEALTH CONDITION (CDS) </v>
          </cell>
          <cell r="F2099" t="str">
            <v>T1019UB</v>
          </cell>
        </row>
        <row r="2100">
          <cell r="A2100" t="str">
            <v>State Plan (Title XIX)</v>
          </cell>
          <cell r="C2100" t="str">
            <v>PHC</v>
          </cell>
          <cell r="D2100" t="str">
            <v>CAS/FC/PHC PAS</v>
          </cell>
          <cell r="E2100" t="str">
            <v xml:space="preserve">(CDS) PERSONAL ASSISTANCE SERVICES (PAS) IND LVL 2 (PRIORITY) </v>
          </cell>
          <cell r="F2100" t="str">
            <v>717VG0717</v>
          </cell>
        </row>
        <row r="2101">
          <cell r="A2101" t="str">
            <v>State Plan (Title XIX)</v>
          </cell>
          <cell r="C2101" t="str">
            <v>PHC</v>
          </cell>
          <cell r="D2101" t="str">
            <v>CAS/FC/PHC PAS</v>
          </cell>
          <cell r="E2101" t="str">
            <v xml:space="preserve">(CDS)-PERSONAL ASSISTANCE SERVICES (PAS) IND LVL 1 (NON-PRIORITY) </v>
          </cell>
          <cell r="F2101" t="str">
            <v>717VG0718</v>
          </cell>
        </row>
        <row r="2102">
          <cell r="A2102" t="str">
            <v>State Plan (Title XIX)</v>
          </cell>
          <cell r="C2102" t="str">
            <v>PHC</v>
          </cell>
          <cell r="D2102" t="str">
            <v>CAS/FC/PHC PAS</v>
          </cell>
          <cell r="E2102" t="str">
            <v>PAS (SRO) NON-PRIORITY</v>
          </cell>
          <cell r="F2102" t="str">
            <v>717SG0752</v>
          </cell>
        </row>
        <row r="2103">
          <cell r="A2103" t="str">
            <v>State Plan (Title XIX)</v>
          </cell>
          <cell r="C2103" t="str">
            <v>PHC</v>
          </cell>
          <cell r="D2103" t="str">
            <v>CAS/FC/PHC PAS</v>
          </cell>
          <cell r="E2103" t="str">
            <v>PAS (SRO) PRIORITY</v>
          </cell>
          <cell r="F2103" t="str">
            <v>717SG0751</v>
          </cell>
        </row>
        <row r="2104">
          <cell r="A2104" t="str">
            <v>State Plan (Title XIX)</v>
          </cell>
          <cell r="C2104" t="str">
            <v>PHC</v>
          </cell>
          <cell r="D2104" t="str">
            <v>CAS/FC/PHC PAS</v>
          </cell>
          <cell r="E2104" t="str">
            <v>PERSONAL ASSISTANCE SERVICES LEVEL 1 NON-PRIORITY (AO)</v>
          </cell>
          <cell r="F2104" t="str">
            <v>717G0702</v>
          </cell>
        </row>
        <row r="2105">
          <cell r="A2105" t="str">
            <v>State Plan (Title XIX)</v>
          </cell>
          <cell r="C2105" t="str">
            <v>PHC</v>
          </cell>
          <cell r="D2105" t="str">
            <v>CAS/FC/PHC PAS</v>
          </cell>
          <cell r="E2105" t="str">
            <v>PERSONAL ASSISTANCE SERVICES LEVEL 2 PRIORITY (AO)</v>
          </cell>
          <cell r="F2105" t="str">
            <v>717G0701</v>
          </cell>
        </row>
        <row r="2106">
          <cell r="A2106" t="str">
            <v>State Plan (Title XIX)</v>
          </cell>
          <cell r="C2106" t="str">
            <v>PHC</v>
          </cell>
          <cell r="D2106" t="str">
            <v>Support Consultation</v>
          </cell>
          <cell r="E2106" t="str">
            <v>SUPPORT CONSULTATION (CDS)</v>
          </cell>
          <cell r="F2106" t="str">
            <v>757VG0757</v>
          </cell>
        </row>
        <row r="2107">
          <cell r="A2107" t="str">
            <v>State Plan (Title XIX)</v>
          </cell>
          <cell r="C2107" t="str">
            <v>PHC</v>
          </cell>
          <cell r="D2107" t="str">
            <v>Taxes/Benefits</v>
          </cell>
          <cell r="E2107" t="str">
            <v>CDS-PERSONAL ASSISTANCE SERVICES (PAS) IND LVL 1 (NON-PRIORITY) (CDS) ES/BENEFITS</v>
          </cell>
          <cell r="F2107" t="str">
            <v>717VG6002</v>
          </cell>
        </row>
        <row r="2108">
          <cell r="A2108" t="str">
            <v>State Plan (Title XIX)</v>
          </cell>
          <cell r="C2108" t="str">
            <v>PHC</v>
          </cell>
          <cell r="D2108" t="str">
            <v>Taxes/Benefits</v>
          </cell>
          <cell r="E2108" t="str">
            <v>CDS-PERSONAL ASSISTANCE SERVICES (PAS) IND LVL 1 (NON-PRIORITY) (CDS) TAXES</v>
          </cell>
          <cell r="F2108" t="str">
            <v>717VG6001</v>
          </cell>
        </row>
        <row r="2109">
          <cell r="A2109" t="str">
            <v>Title XX</v>
          </cell>
          <cell r="C2109" t="str">
            <v>RC</v>
          </cell>
          <cell r="D2109" t="str">
            <v>RC</v>
          </cell>
          <cell r="E2109" t="str">
            <v>RESIDENTIAL CARE APARTMENT TITLE XX</v>
          </cell>
          <cell r="F2109" t="str">
            <v>719KG0945</v>
          </cell>
        </row>
        <row r="2110">
          <cell r="A2110" t="str">
            <v>Title XX</v>
          </cell>
          <cell r="C2110" t="str">
            <v>RC</v>
          </cell>
          <cell r="D2110" t="str">
            <v>RC</v>
          </cell>
          <cell r="E2110" t="str">
            <v>RESIDENTIAL CARE BED HOLD APARTMENT TITLE XX</v>
          </cell>
          <cell r="F2110" t="str">
            <v>719JG0944</v>
          </cell>
        </row>
        <row r="2111">
          <cell r="A2111" t="str">
            <v>Title XX</v>
          </cell>
          <cell r="C2111" t="str">
            <v>RC</v>
          </cell>
          <cell r="D2111" t="str">
            <v>RC</v>
          </cell>
          <cell r="E2111" t="str">
            <v>RESIDENTIAL CARE BED HOLD NON-APARTMENT TITLE XX</v>
          </cell>
          <cell r="F2111" t="str">
            <v>719IG0943</v>
          </cell>
        </row>
        <row r="2112">
          <cell r="A2112" t="str">
            <v>Title XX</v>
          </cell>
          <cell r="C2112" t="str">
            <v>RC</v>
          </cell>
          <cell r="D2112" t="str">
            <v>RC</v>
          </cell>
          <cell r="E2112" t="str">
            <v>RESIDENTIAL CARE EMERGENCY CARE</v>
          </cell>
          <cell r="F2112" t="str">
            <v>719MG0947</v>
          </cell>
        </row>
        <row r="2113">
          <cell r="A2113" t="str">
            <v>Title XX</v>
          </cell>
          <cell r="C2113" t="str">
            <v>RC</v>
          </cell>
          <cell r="D2113" t="str">
            <v>RC</v>
          </cell>
          <cell r="E2113" t="str">
            <v>RESIDENTIAL CARE NON-APARTMENT TITLE XX</v>
          </cell>
          <cell r="F2113" t="str">
            <v>719LG0946</v>
          </cell>
        </row>
        <row r="2114">
          <cell r="A2114" t="str">
            <v>Title XX</v>
          </cell>
          <cell r="C2114" t="str">
            <v>RC</v>
          </cell>
          <cell r="D2114" t="str">
            <v>RC</v>
          </cell>
          <cell r="E2114" t="str">
            <v>RESIDENTIAL CARE ROOM &amp; BOARD APARTMENT</v>
          </cell>
          <cell r="F2114" t="str">
            <v>719OG0949</v>
          </cell>
        </row>
        <row r="2115">
          <cell r="A2115" t="str">
            <v>Title XX</v>
          </cell>
          <cell r="C2115" t="str">
            <v>RC</v>
          </cell>
          <cell r="D2115" t="str">
            <v>RC</v>
          </cell>
          <cell r="E2115" t="str">
            <v>RESIDENTIAL CARE ROOM &amp; BOARD NON-APARTMENT</v>
          </cell>
          <cell r="F2115" t="str">
            <v>719NG0948</v>
          </cell>
        </row>
        <row r="2116">
          <cell r="A2116" t="str">
            <v>State Plan (Title XIX)</v>
          </cell>
          <cell r="C2116" t="str">
            <v>SSLC/BH</v>
          </cell>
          <cell r="D2116" t="str">
            <v>SSLC/BH</v>
          </cell>
          <cell r="E2116" t="str">
            <v>ICF/IID CAMPUS/STATE LOC 1 CONTRACT SPECIFIC</v>
          </cell>
          <cell r="F2116" t="str">
            <v>41F0103</v>
          </cell>
        </row>
        <row r="2117">
          <cell r="A2117" t="str">
            <v>State Plan (Title XIX)</v>
          </cell>
          <cell r="C2117" t="str">
            <v>SSLC/BH</v>
          </cell>
          <cell r="D2117" t="str">
            <v>SSLC/BH</v>
          </cell>
          <cell r="E2117" t="str">
            <v>ICF/IID CAMPUS/STATE LOC 1 CONTRACT SPECIFIC WITH DRUGS</v>
          </cell>
          <cell r="F2117" t="str">
            <v>41F0100</v>
          </cell>
        </row>
        <row r="2118">
          <cell r="A2118" t="str">
            <v>State Plan (Title XIX)</v>
          </cell>
          <cell r="C2118" t="str">
            <v>SSLC/BH</v>
          </cell>
          <cell r="D2118" t="str">
            <v>SSLC/BH</v>
          </cell>
          <cell r="E2118" t="str">
            <v>ICF/IID CAMPUS/STATE LOC 1 CONTRACT SPECIFIC WITHOUT DRUGS</v>
          </cell>
          <cell r="F2118" t="str">
            <v>41F0225</v>
          </cell>
        </row>
        <row r="2119">
          <cell r="A2119" t="str">
            <v>State Plan (Title XIX)</v>
          </cell>
          <cell r="C2119" t="str">
            <v>SSLC/BH</v>
          </cell>
          <cell r="D2119" t="str">
            <v>SSLC/BH</v>
          </cell>
          <cell r="E2119" t="str">
            <v>ICF/IID STATE/COMMUNITY RESIDENTIAL LOC 1 CONTRACT SPECIFIC WITH DRUGS</v>
          </cell>
          <cell r="F2119" t="str">
            <v>51F0109</v>
          </cell>
        </row>
        <row r="2120">
          <cell r="A2120" t="str">
            <v>State Plan (Title XIX)</v>
          </cell>
          <cell r="C2120" t="str">
            <v>SSLC/BH</v>
          </cell>
          <cell r="D2120" t="str">
            <v>SSLC/BH</v>
          </cell>
          <cell r="E2120" t="str">
            <v>ICF/IID STATE/COMMUNITY RESIDENTIAL LOC 1 CONTRACT SPECIFIC WITHOUT DRUGS</v>
          </cell>
          <cell r="F2120" t="str">
            <v>51F0227</v>
          </cell>
        </row>
        <row r="2121">
          <cell r="A2121" t="str">
            <v>State Plan (Title XIX)</v>
          </cell>
          <cell r="C2121" t="str">
            <v>SSLC/BH</v>
          </cell>
          <cell r="D2121" t="str">
            <v>SSLC/BH</v>
          </cell>
          <cell r="E2121" t="str">
            <v>ICF/IID STATE/COMMUNITY RESIDENTIAL LOC 8 CONTRACT SPECIFIC WITH DRUGS</v>
          </cell>
          <cell r="F2121" t="str">
            <v>51F0108</v>
          </cell>
        </row>
        <row r="2122">
          <cell r="A2122" t="str">
            <v>State Plan (Title XIX)</v>
          </cell>
          <cell r="C2122" t="str">
            <v>SSLC/BH</v>
          </cell>
          <cell r="D2122" t="str">
            <v>SSLC/BH</v>
          </cell>
          <cell r="E2122" t="str">
            <v>ICF/IID STATE/COMMUNITY RESIDENTIAL LOC 8 CONTRACT SPECIFIC WITHOUT DRUGS</v>
          </cell>
          <cell r="F2122" t="str">
            <v>51F0226</v>
          </cell>
        </row>
        <row r="2123">
          <cell r="C2123" t="str">
            <v>SSPD</v>
          </cell>
          <cell r="D2123" t="str">
            <v>SSPD</v>
          </cell>
          <cell r="E2123" t="str">
            <v>Specialized Services for Persons with Disabilities</v>
          </cell>
          <cell r="F2123" t="str">
            <v>728C0300</v>
          </cell>
        </row>
        <row r="2124">
          <cell r="C2124" t="str">
            <v>SSPD</v>
          </cell>
          <cell r="D2124" t="str">
            <v>SSPD</v>
          </cell>
          <cell r="E2124" t="str">
            <v>Specialized Services for Persons with Disabilities</v>
          </cell>
          <cell r="F2124" t="str">
            <v>728RG114</v>
          </cell>
        </row>
        <row r="2125">
          <cell r="C2125" t="str">
            <v>SSPD</v>
          </cell>
          <cell r="D2125" t="str">
            <v>SSPD</v>
          </cell>
          <cell r="E2125" t="str">
            <v>Specialized Services for Persons with Disabilities</v>
          </cell>
          <cell r="F2125" t="str">
            <v>728RG125</v>
          </cell>
        </row>
        <row r="2126">
          <cell r="C2126" t="str">
            <v>SSPD</v>
          </cell>
          <cell r="D2126" t="str">
            <v>SSPD</v>
          </cell>
          <cell r="E2126" t="str">
            <v>Specialized Services for Persons with Disabilities</v>
          </cell>
          <cell r="F2126" t="str">
            <v>728RG126</v>
          </cell>
        </row>
        <row r="2127">
          <cell r="C2127" t="str">
            <v>SSPD</v>
          </cell>
          <cell r="D2127" t="str">
            <v>SSPD</v>
          </cell>
          <cell r="E2127" t="str">
            <v>Specialized Services for Persons with Disabilities</v>
          </cell>
          <cell r="F2127" t="str">
            <v>728RG128</v>
          </cell>
        </row>
        <row r="2128">
          <cell r="C2128" t="str">
            <v>SSPD</v>
          </cell>
          <cell r="D2128" t="str">
            <v>SSPD</v>
          </cell>
          <cell r="E2128" t="str">
            <v>Specialized Services for Persons with Disabilities</v>
          </cell>
          <cell r="F2128" t="str">
            <v>728RG132</v>
          </cell>
        </row>
        <row r="2129">
          <cell r="C2129" t="str">
            <v>SSPD</v>
          </cell>
          <cell r="D2129" t="str">
            <v>SSPD</v>
          </cell>
          <cell r="E2129" t="str">
            <v>Specialized Services for Persons with Disabilities</v>
          </cell>
          <cell r="F2129" t="str">
            <v>728RG134</v>
          </cell>
        </row>
        <row r="2130">
          <cell r="C2130" t="str">
            <v>SSPD</v>
          </cell>
          <cell r="D2130" t="str">
            <v>SSPD</v>
          </cell>
          <cell r="E2130" t="str">
            <v>Specialized Services for Persons with Disabilities</v>
          </cell>
          <cell r="F2130" t="str">
            <v>728AC0303</v>
          </cell>
        </row>
        <row r="2131">
          <cell r="C2131" t="str">
            <v>SSPD</v>
          </cell>
          <cell r="D2131" t="str">
            <v>SSPD</v>
          </cell>
          <cell r="E2131" t="str">
            <v>SSPD 24 HOUR ATTENDANT CARE (TILE 201)</v>
          </cell>
          <cell r="F2131" t="str">
            <v>728N0201</v>
          </cell>
        </row>
        <row r="2132">
          <cell r="C2132" t="str">
            <v>SSPD</v>
          </cell>
          <cell r="D2132" t="str">
            <v>SSPD</v>
          </cell>
          <cell r="E2132" t="str">
            <v>SSPD 24 HOUR ATTENDANT CARE (TILE 202)</v>
          </cell>
          <cell r="F2132" t="str">
            <v>728N0202</v>
          </cell>
        </row>
        <row r="2133">
          <cell r="C2133" t="str">
            <v>SSPD</v>
          </cell>
          <cell r="D2133" t="str">
            <v>SSPD</v>
          </cell>
          <cell r="E2133" t="str">
            <v>SSPD 24 HOUR ATTENDANT CARE (TILE 203)</v>
          </cell>
          <cell r="F2133" t="str">
            <v>728N0203</v>
          </cell>
        </row>
        <row r="2134">
          <cell r="C2134" t="str">
            <v>SSPD</v>
          </cell>
          <cell r="D2134" t="str">
            <v>SSPD</v>
          </cell>
          <cell r="E2134" t="str">
            <v>SSPD 24 HOUR ATTENDANT CARE (TILE 204)</v>
          </cell>
          <cell r="F2134" t="str">
            <v>728N0204</v>
          </cell>
        </row>
        <row r="2135">
          <cell r="C2135" t="str">
            <v>SSPD</v>
          </cell>
          <cell r="D2135" t="str">
            <v>SSPD</v>
          </cell>
          <cell r="E2135" t="str">
            <v>SSPD 24 HOUR ATTENDANT CARE (TILE 205)</v>
          </cell>
          <cell r="F2135" t="str">
            <v>728N0205</v>
          </cell>
        </row>
        <row r="2136">
          <cell r="C2136" t="str">
            <v>SSPD</v>
          </cell>
          <cell r="D2136" t="str">
            <v>SSPD</v>
          </cell>
          <cell r="E2136" t="str">
            <v>SSPD 24 HOUR ATTENDANT CARE (TILE 206)</v>
          </cell>
          <cell r="F2136" t="str">
            <v>728N0206</v>
          </cell>
        </row>
        <row r="2137">
          <cell r="C2137" t="str">
            <v>SSPD</v>
          </cell>
          <cell r="D2137" t="str">
            <v>SSPD</v>
          </cell>
          <cell r="E2137" t="str">
            <v>SSPD 24 HOUR ATTENDANT CARE (TILE 207)</v>
          </cell>
          <cell r="F2137" t="str">
            <v>728N0207</v>
          </cell>
        </row>
        <row r="2138">
          <cell r="C2138" t="str">
            <v>SSPD</v>
          </cell>
          <cell r="D2138" t="str">
            <v>SSPD</v>
          </cell>
          <cell r="E2138" t="str">
            <v>SSPD 24 HOUR ATTENDANT CARE (TILE 208)</v>
          </cell>
          <cell r="F2138" t="str">
            <v>728N0208</v>
          </cell>
        </row>
        <row r="2139">
          <cell r="C2139" t="str">
            <v>SSPD</v>
          </cell>
          <cell r="D2139" t="str">
            <v>SSPD</v>
          </cell>
          <cell r="E2139" t="str">
            <v>SSPD 24 HOUR ATTENDANT CARE (TILE 209)</v>
          </cell>
          <cell r="F2139" t="str">
            <v>728N0209</v>
          </cell>
        </row>
        <row r="2140">
          <cell r="C2140" t="str">
            <v>SSPD</v>
          </cell>
          <cell r="D2140" t="str">
            <v>SSPD</v>
          </cell>
          <cell r="E2140" t="str">
            <v>SSPD 24 HOUR ATTENDANT CARE (TILE 210)</v>
          </cell>
          <cell r="F2140" t="str">
            <v>728N0210</v>
          </cell>
        </row>
        <row r="2141">
          <cell r="C2141" t="str">
            <v>SSPD</v>
          </cell>
          <cell r="D2141" t="str">
            <v>SSPD</v>
          </cell>
          <cell r="E2141" t="str">
            <v>SSPD 24 HOUR ATTENDANT CARE (TILE 211)</v>
          </cell>
          <cell r="F2141" t="str">
            <v>728N0211</v>
          </cell>
        </row>
        <row r="2142">
          <cell r="C2142" t="str">
            <v>SSPD</v>
          </cell>
          <cell r="D2142" t="str">
            <v>SSPD</v>
          </cell>
          <cell r="E2142" t="str">
            <v>SSPD 24 HOUR ATTENDANT CARE (TILE 212)</v>
          </cell>
          <cell r="F2142" t="str">
            <v>728N0212</v>
          </cell>
        </row>
        <row r="2143">
          <cell r="C2143" t="str">
            <v>SSPD</v>
          </cell>
          <cell r="D2143" t="str">
            <v>SSPD</v>
          </cell>
          <cell r="E2143" t="str">
            <v>SSPD 24 HOUR ATTENDANT CARE BA1</v>
          </cell>
          <cell r="F2143" t="str">
            <v>728RG024</v>
          </cell>
        </row>
        <row r="2144">
          <cell r="C2144" t="str">
            <v>SSPD</v>
          </cell>
          <cell r="D2144" t="str">
            <v>SSPD</v>
          </cell>
          <cell r="E2144" t="str">
            <v>SSPD 24 HOUR ATTENDANT CARE BA2</v>
          </cell>
          <cell r="F2144" t="str">
            <v>728RG023</v>
          </cell>
        </row>
        <row r="2145">
          <cell r="C2145" t="str">
            <v>SSPD</v>
          </cell>
          <cell r="D2145" t="str">
            <v>SSPD</v>
          </cell>
          <cell r="E2145" t="str">
            <v>SSPD 24 HOUR ATTENDANT CARE BB1</v>
          </cell>
          <cell r="F2145" t="str">
            <v>728RG022</v>
          </cell>
        </row>
        <row r="2146">
          <cell r="C2146" t="str">
            <v>SSPD</v>
          </cell>
          <cell r="D2146" t="str">
            <v>SSPD</v>
          </cell>
          <cell r="E2146" t="str">
            <v>SSPD 24 HOUR ATTENDANT CARE BB2</v>
          </cell>
          <cell r="F2146" t="str">
            <v>728RG021</v>
          </cell>
        </row>
        <row r="2147">
          <cell r="C2147" t="str">
            <v>SSPD</v>
          </cell>
          <cell r="D2147" t="str">
            <v>SSPD</v>
          </cell>
          <cell r="E2147" t="str">
            <v>SSPD 24 HOUR ATTENDANT CARE BC1</v>
          </cell>
          <cell r="F2147" t="str">
            <v>728RG035</v>
          </cell>
        </row>
        <row r="2148">
          <cell r="C2148" t="str">
            <v>SSPD</v>
          </cell>
          <cell r="D2148" t="str">
            <v>SSPD</v>
          </cell>
          <cell r="E2148" t="str">
            <v>SSPD 24 HOUR ATTENDANT CARE CA1</v>
          </cell>
          <cell r="F2148" t="str">
            <v>728RG016</v>
          </cell>
        </row>
        <row r="2149">
          <cell r="C2149" t="str">
            <v>SSPD</v>
          </cell>
          <cell r="D2149" t="str">
            <v>SSPD</v>
          </cell>
          <cell r="E2149" t="str">
            <v>SSPD 24 HOUR ATTENDANT CARE CA2</v>
          </cell>
          <cell r="F2149" t="str">
            <v>728RG015</v>
          </cell>
        </row>
        <row r="2150">
          <cell r="C2150" t="str">
            <v>SSPD</v>
          </cell>
          <cell r="D2150" t="str">
            <v>SSPD</v>
          </cell>
          <cell r="E2150" t="str">
            <v>SSPD 24 HOUR ATTENDANT CARE CB1</v>
          </cell>
          <cell r="F2150" t="str">
            <v>728RG014</v>
          </cell>
        </row>
        <row r="2151">
          <cell r="C2151" t="str">
            <v>SSPD</v>
          </cell>
          <cell r="D2151" t="str">
            <v>SSPD</v>
          </cell>
          <cell r="E2151" t="str">
            <v>SSPD 24 HOUR ATTENDANT CARE CB2</v>
          </cell>
          <cell r="F2151" t="str">
            <v>728RG013</v>
          </cell>
        </row>
        <row r="2152">
          <cell r="C2152" t="str">
            <v>SSPD</v>
          </cell>
          <cell r="D2152" t="str">
            <v>SSPD</v>
          </cell>
          <cell r="E2152" t="str">
            <v>SSPD 24 HOUR ATTENDANT CARE CC1</v>
          </cell>
          <cell r="F2152" t="str">
            <v>728RG012</v>
          </cell>
        </row>
        <row r="2153">
          <cell r="C2153" t="str">
            <v>SSPD</v>
          </cell>
          <cell r="D2153" t="str">
            <v>SSPD</v>
          </cell>
          <cell r="E2153" t="str">
            <v>SSPD 24 HOUR ATTENDANT CARE CC2</v>
          </cell>
          <cell r="F2153" t="str">
            <v>728RG011</v>
          </cell>
        </row>
        <row r="2154">
          <cell r="C2154" t="str">
            <v>SSPD</v>
          </cell>
          <cell r="D2154" t="str">
            <v>SSPD</v>
          </cell>
          <cell r="E2154" t="str">
            <v>SSPD 24 HOUR ATTENDANT CARE IA1</v>
          </cell>
          <cell r="F2154" t="str">
            <v>728RG020</v>
          </cell>
        </row>
        <row r="2155">
          <cell r="C2155" t="str">
            <v>SSPD</v>
          </cell>
          <cell r="D2155" t="str">
            <v>SSPD</v>
          </cell>
          <cell r="E2155" t="str">
            <v>SSPD 24 HOUR ATTENDANT CARE IA2</v>
          </cell>
          <cell r="F2155" t="str">
            <v>728RG019</v>
          </cell>
        </row>
        <row r="2156">
          <cell r="C2156" t="str">
            <v>SSPD</v>
          </cell>
          <cell r="D2156" t="str">
            <v>SSPD</v>
          </cell>
          <cell r="E2156" t="str">
            <v>SSPD 24 HOUR ATTENDANT CARE IB1</v>
          </cell>
          <cell r="F2156" t="str">
            <v>728RG018</v>
          </cell>
        </row>
        <row r="2157">
          <cell r="C2157" t="str">
            <v>SSPD</v>
          </cell>
          <cell r="D2157" t="str">
            <v>SSPD</v>
          </cell>
          <cell r="E2157" t="str">
            <v>SSPD 24 HOUR ATTENDANT CARE IB2</v>
          </cell>
          <cell r="F2157" t="str">
            <v>728RG017</v>
          </cell>
        </row>
        <row r="2158">
          <cell r="C2158" t="str">
            <v>SSPD</v>
          </cell>
          <cell r="D2158" t="str">
            <v>SSPD</v>
          </cell>
          <cell r="E2158" t="str">
            <v>SSPD 24 HOUR ATTENDANT CARE PA1</v>
          </cell>
          <cell r="F2158" t="str">
            <v>728RG034</v>
          </cell>
        </row>
        <row r="2159">
          <cell r="C2159" t="str">
            <v>SSPD</v>
          </cell>
          <cell r="D2159" t="str">
            <v>SSPD</v>
          </cell>
          <cell r="E2159" t="str">
            <v>SSPD 24 HOUR ATTENDANT CARE PA2</v>
          </cell>
          <cell r="F2159" t="str">
            <v>728RG033</v>
          </cell>
        </row>
        <row r="2160">
          <cell r="C2160" t="str">
            <v>SSPD</v>
          </cell>
          <cell r="D2160" t="str">
            <v>SSPD</v>
          </cell>
          <cell r="E2160" t="str">
            <v>SSPD 24 HOUR ATTENDANT CARE PB1</v>
          </cell>
          <cell r="F2160" t="str">
            <v>728RG032</v>
          </cell>
        </row>
        <row r="2161">
          <cell r="C2161" t="str">
            <v>SSPD</v>
          </cell>
          <cell r="D2161" t="str">
            <v>SSPD</v>
          </cell>
          <cell r="E2161" t="str">
            <v>SSPD 24 HOUR ATTENDANT CARE PB2</v>
          </cell>
          <cell r="F2161" t="str">
            <v>728RG031</v>
          </cell>
        </row>
        <row r="2162">
          <cell r="C2162" t="str">
            <v>SSPD</v>
          </cell>
          <cell r="D2162" t="str">
            <v>SSPD</v>
          </cell>
          <cell r="E2162" t="str">
            <v>SSPD 24 HOUR ATTENDANT CARE PC1</v>
          </cell>
          <cell r="F2162" t="str">
            <v>728RG030</v>
          </cell>
        </row>
        <row r="2163">
          <cell r="C2163" t="str">
            <v>SSPD</v>
          </cell>
          <cell r="D2163" t="str">
            <v>SSPD</v>
          </cell>
          <cell r="E2163" t="str">
            <v>SSPD 24 HOUR ATTENDANT CARE PC2</v>
          </cell>
          <cell r="F2163" t="str">
            <v>728RG029</v>
          </cell>
        </row>
        <row r="2164">
          <cell r="C2164" t="str">
            <v>SSPD</v>
          </cell>
          <cell r="D2164" t="str">
            <v>SSPD</v>
          </cell>
          <cell r="E2164" t="str">
            <v>SSPD 24 HOUR ATTENDANT CARE PCE</v>
          </cell>
          <cell r="F2164" t="str">
            <v>728RG036</v>
          </cell>
        </row>
        <row r="2165">
          <cell r="C2165" t="str">
            <v>SSPD</v>
          </cell>
          <cell r="D2165" t="str">
            <v>SSPD</v>
          </cell>
          <cell r="E2165" t="str">
            <v>SSPD 24 HOUR ATTENDANT CARE PD1</v>
          </cell>
          <cell r="F2165" t="str">
            <v>728RG028</v>
          </cell>
        </row>
        <row r="2166">
          <cell r="C2166" t="str">
            <v>SSPD</v>
          </cell>
          <cell r="D2166" t="str">
            <v>SSPD</v>
          </cell>
          <cell r="E2166" t="str">
            <v>SSPD 24 HOUR ATTENDANT CARE PD2</v>
          </cell>
          <cell r="F2166" t="str">
            <v>728RG027</v>
          </cell>
        </row>
        <row r="2167">
          <cell r="C2167" t="str">
            <v>SSPD</v>
          </cell>
          <cell r="D2167" t="str">
            <v>SSPD</v>
          </cell>
          <cell r="E2167" t="str">
            <v>SSPD 24 HOUR ATTENDANT CARE PE1</v>
          </cell>
          <cell r="F2167" t="str">
            <v>728RG026</v>
          </cell>
        </row>
        <row r="2168">
          <cell r="C2168" t="str">
            <v>SSPD</v>
          </cell>
          <cell r="D2168" t="str">
            <v>SSPD</v>
          </cell>
          <cell r="E2168" t="str">
            <v>SSPD 24 HOUR ATTENDANT CARE PE2</v>
          </cell>
          <cell r="F2168" t="str">
            <v>728RG025</v>
          </cell>
        </row>
        <row r="2169">
          <cell r="C2169" t="str">
            <v>SSPD</v>
          </cell>
          <cell r="D2169" t="str">
            <v>SSPD</v>
          </cell>
          <cell r="E2169" t="str">
            <v>SSPD 24 HOUR ATTENDANT CARE RAA</v>
          </cell>
          <cell r="F2169" t="str">
            <v>728RG004</v>
          </cell>
        </row>
        <row r="2170">
          <cell r="C2170" t="str">
            <v>SSPD</v>
          </cell>
          <cell r="D2170" t="str">
            <v>SSPD</v>
          </cell>
          <cell r="E2170" t="str">
            <v>SSPD 24 HOUR ATTENDANT CARE RAB</v>
          </cell>
          <cell r="F2170" t="str">
            <v>728RG003</v>
          </cell>
        </row>
        <row r="2171">
          <cell r="C2171" t="str">
            <v>SSPD</v>
          </cell>
          <cell r="D2171" t="str">
            <v>SSPD</v>
          </cell>
          <cell r="E2171" t="str">
            <v>SSPD 24 HOUR ATTENDANT CARE RAC</v>
          </cell>
          <cell r="F2171" t="str">
            <v>728RG002</v>
          </cell>
        </row>
        <row r="2172">
          <cell r="C2172" t="str">
            <v>SSPD</v>
          </cell>
          <cell r="D2172" t="str">
            <v>SSPD</v>
          </cell>
          <cell r="E2172" t="str">
            <v>SSPD 24 HOUR ATTENDANT CARE RAD</v>
          </cell>
          <cell r="F2172" t="str">
            <v>728RG001</v>
          </cell>
        </row>
        <row r="2173">
          <cell r="C2173" t="str">
            <v>SSPD</v>
          </cell>
          <cell r="D2173" t="str">
            <v>SSPD</v>
          </cell>
          <cell r="E2173" t="str">
            <v>SSPD 24 HOUR ATTENDANT CARE SE1</v>
          </cell>
          <cell r="F2173" t="str">
            <v>728RG007</v>
          </cell>
        </row>
        <row r="2174">
          <cell r="C2174" t="str">
            <v>SSPD</v>
          </cell>
          <cell r="D2174" t="str">
            <v>SSPD</v>
          </cell>
          <cell r="E2174" t="str">
            <v>SSPD 24 HOUR ATTENDANT CARE SE2</v>
          </cell>
          <cell r="F2174" t="str">
            <v>728RG006</v>
          </cell>
        </row>
        <row r="2175">
          <cell r="C2175" t="str">
            <v>SSPD</v>
          </cell>
          <cell r="D2175" t="str">
            <v>SSPD</v>
          </cell>
          <cell r="E2175" t="str">
            <v>SSPD 24 HOUR ATTENDANT CARE SE3</v>
          </cell>
          <cell r="F2175" t="str">
            <v>728RG005</v>
          </cell>
        </row>
        <row r="2176">
          <cell r="C2176" t="str">
            <v>SSPD</v>
          </cell>
          <cell r="D2176" t="str">
            <v>SSPD</v>
          </cell>
          <cell r="E2176" t="str">
            <v>SSPD 24 HOUR ATTENDANT CARE SSA</v>
          </cell>
          <cell r="F2176" t="str">
            <v>728RG010</v>
          </cell>
        </row>
        <row r="2177">
          <cell r="C2177" t="str">
            <v>SSPD</v>
          </cell>
          <cell r="D2177" t="str">
            <v>SSPD</v>
          </cell>
          <cell r="E2177" t="str">
            <v>SSPD 24 HOUR ATTENDANT CARE SSB</v>
          </cell>
          <cell r="F2177" t="str">
            <v>728RG009</v>
          </cell>
        </row>
        <row r="2178">
          <cell r="C2178" t="str">
            <v>SSPD</v>
          </cell>
          <cell r="D2178" t="str">
            <v>SSPD</v>
          </cell>
          <cell r="E2178" t="str">
            <v>SSPD 24 HOUR ATTENDANT CARE SSC</v>
          </cell>
          <cell r="F2178" t="str">
            <v>728RG008</v>
          </cell>
        </row>
        <row r="2179">
          <cell r="C2179" t="str">
            <v>SSPD</v>
          </cell>
          <cell r="D2179" t="str">
            <v>SSPD</v>
          </cell>
          <cell r="E2179" t="str">
            <v>SSPD 24 HOUR ATTENDANT CARE WITH ERS (TILE 201)</v>
          </cell>
          <cell r="F2179" t="str">
            <v>728N1201</v>
          </cell>
        </row>
        <row r="2180">
          <cell r="C2180" t="str">
            <v>SSPD</v>
          </cell>
          <cell r="D2180" t="str">
            <v>SSPD</v>
          </cell>
          <cell r="E2180" t="str">
            <v>SSPD 24 HOUR ATTENDANT CARE WITH ERS (TILE 202)</v>
          </cell>
          <cell r="F2180" t="str">
            <v>728N1202</v>
          </cell>
        </row>
        <row r="2181">
          <cell r="C2181" t="str">
            <v>SSPD</v>
          </cell>
          <cell r="D2181" t="str">
            <v>SSPD</v>
          </cell>
          <cell r="E2181" t="str">
            <v>SSPD 24 HOUR ATTENDANT CARE WITH ERS (TILE 203)</v>
          </cell>
          <cell r="F2181" t="str">
            <v>728N1203</v>
          </cell>
        </row>
        <row r="2182">
          <cell r="C2182" t="str">
            <v>SSPD</v>
          </cell>
          <cell r="D2182" t="str">
            <v>SSPD</v>
          </cell>
          <cell r="E2182" t="str">
            <v>SSPD 24 HOUR ATTENDANT CARE WITH ERS (TILE 204)</v>
          </cell>
          <cell r="F2182" t="str">
            <v>728N1204</v>
          </cell>
        </row>
        <row r="2183">
          <cell r="C2183" t="str">
            <v>SSPD</v>
          </cell>
          <cell r="D2183" t="str">
            <v>SSPD</v>
          </cell>
          <cell r="E2183" t="str">
            <v>SSPD 24 HOUR ATTENDANT CARE WITH ERS (TILE 205)</v>
          </cell>
          <cell r="F2183" t="str">
            <v>728N1205</v>
          </cell>
        </row>
        <row r="2184">
          <cell r="C2184" t="str">
            <v>SSPD</v>
          </cell>
          <cell r="D2184" t="str">
            <v>SSPD</v>
          </cell>
          <cell r="E2184" t="str">
            <v>SSPD 24 HOUR ATTENDANT CARE WITH ERS (TILE 206)</v>
          </cell>
          <cell r="F2184" t="str">
            <v>728N1206</v>
          </cell>
        </row>
        <row r="2185">
          <cell r="C2185" t="str">
            <v>SSPD</v>
          </cell>
          <cell r="D2185" t="str">
            <v>SSPD</v>
          </cell>
          <cell r="E2185" t="str">
            <v>SSPD 24 HOUR ATTENDANT CARE WITH ERS (TILE 207)</v>
          </cell>
          <cell r="F2185" t="str">
            <v>728N1207</v>
          </cell>
        </row>
        <row r="2186">
          <cell r="C2186" t="str">
            <v>SSPD</v>
          </cell>
          <cell r="D2186" t="str">
            <v>SSPD</v>
          </cell>
          <cell r="E2186" t="str">
            <v>SSPD 24 HOUR ATTENDANT CARE WITH ERS (TILE 208)</v>
          </cell>
          <cell r="F2186" t="str">
            <v>728N1208</v>
          </cell>
        </row>
        <row r="2187">
          <cell r="C2187" t="str">
            <v>SSPD</v>
          </cell>
          <cell r="D2187" t="str">
            <v>SSPD</v>
          </cell>
          <cell r="E2187" t="str">
            <v>SSPD 24 HOUR ATTENDANT CARE WITH ERS (TILE 209)</v>
          </cell>
          <cell r="F2187" t="str">
            <v>728N1209</v>
          </cell>
        </row>
        <row r="2188">
          <cell r="C2188" t="str">
            <v>SSPD</v>
          </cell>
          <cell r="D2188" t="str">
            <v>SSPD</v>
          </cell>
          <cell r="E2188" t="str">
            <v>SSPD 24 HOUR ATTENDANT CARE WITH ERS (TILE 210)</v>
          </cell>
          <cell r="F2188" t="str">
            <v>728N1210</v>
          </cell>
        </row>
        <row r="2189">
          <cell r="C2189" t="str">
            <v>SSPD</v>
          </cell>
          <cell r="D2189" t="str">
            <v>SSPD</v>
          </cell>
          <cell r="E2189" t="str">
            <v>SSPD 24 HOUR ATTENDANT CARE WITH ERS (TILE 211)</v>
          </cell>
          <cell r="F2189" t="str">
            <v>728N1211</v>
          </cell>
        </row>
        <row r="2190">
          <cell r="C2190" t="str">
            <v>SSPD</v>
          </cell>
          <cell r="D2190" t="str">
            <v>SSPD</v>
          </cell>
          <cell r="E2190" t="str">
            <v>SSPD 24 HOUR ATTENDANT CARE WITH ERS (TILE 212)</v>
          </cell>
          <cell r="F2190" t="str">
            <v>728N1212</v>
          </cell>
        </row>
        <row r="2191">
          <cell r="C2191" t="str">
            <v>SSPD</v>
          </cell>
          <cell r="D2191" t="str">
            <v>SSPD</v>
          </cell>
          <cell r="E2191" t="str">
            <v>SSPD 24 HOUR ATTENDANT CARE WITH ERS BA1</v>
          </cell>
          <cell r="F2191" t="str">
            <v>728RG124</v>
          </cell>
        </row>
        <row r="2192">
          <cell r="C2192" t="str">
            <v>SSPD</v>
          </cell>
          <cell r="D2192" t="str">
            <v>SSPD</v>
          </cell>
          <cell r="E2192" t="str">
            <v>SSPD 24 HOUR ATTENDANT CARE WITH ERS BA2</v>
          </cell>
          <cell r="F2192" t="str">
            <v>728RG123</v>
          </cell>
        </row>
        <row r="2193">
          <cell r="C2193" t="str">
            <v>SSPD</v>
          </cell>
          <cell r="D2193" t="str">
            <v>SSPD</v>
          </cell>
          <cell r="E2193" t="str">
            <v>SSPD 24 HOUR ATTENDANT CARE WITH ERS BB1</v>
          </cell>
          <cell r="F2193" t="str">
            <v>728RG122</v>
          </cell>
        </row>
        <row r="2194">
          <cell r="C2194" t="str">
            <v>SSPD</v>
          </cell>
          <cell r="D2194" t="str">
            <v>SSPD</v>
          </cell>
          <cell r="E2194" t="str">
            <v>SSPD 24 HOUR ATTENDANT CARE WITH ERS BB2</v>
          </cell>
          <cell r="F2194" t="str">
            <v>728RG121</v>
          </cell>
        </row>
        <row r="2195">
          <cell r="C2195" t="str">
            <v>SSPD</v>
          </cell>
          <cell r="D2195" t="str">
            <v>SSPD</v>
          </cell>
          <cell r="E2195" t="str">
            <v>SSPD 24 HOUR ATTENDANT CARE WITH ERS BC1</v>
          </cell>
          <cell r="F2195" t="str">
            <v>728RG135</v>
          </cell>
        </row>
        <row r="2196">
          <cell r="C2196" t="str">
            <v>SSPD</v>
          </cell>
          <cell r="D2196" t="str">
            <v>SSPD</v>
          </cell>
          <cell r="E2196" t="str">
            <v>SSPD 24 HOUR ATTENDANT CARE WITH ERS CA1</v>
          </cell>
          <cell r="F2196" t="str">
            <v>728RG116</v>
          </cell>
        </row>
        <row r="2197">
          <cell r="C2197" t="str">
            <v>SSPD</v>
          </cell>
          <cell r="D2197" t="str">
            <v>SSPD</v>
          </cell>
          <cell r="E2197" t="str">
            <v>SSPD 24 HOUR ATTENDANT CARE WITH ERS CA2</v>
          </cell>
          <cell r="F2197" t="str">
            <v>728RG115</v>
          </cell>
        </row>
        <row r="2198">
          <cell r="C2198" t="str">
            <v>SSPD</v>
          </cell>
          <cell r="D2198" t="str">
            <v>SSPD</v>
          </cell>
          <cell r="E2198" t="str">
            <v>SSPD 24 HOUR ATTENDANT CARE WITH ERS CB2</v>
          </cell>
          <cell r="F2198" t="str">
            <v>728RG113</v>
          </cell>
        </row>
        <row r="2199">
          <cell r="C2199" t="str">
            <v>SSPD</v>
          </cell>
          <cell r="D2199" t="str">
            <v>SSPD</v>
          </cell>
          <cell r="E2199" t="str">
            <v>SSPD 24 HOUR ATTENDANT CARE WITH ERS CC1</v>
          </cell>
          <cell r="F2199" t="str">
            <v>728RG112</v>
          </cell>
        </row>
        <row r="2200">
          <cell r="C2200" t="str">
            <v>SSPD</v>
          </cell>
          <cell r="D2200" t="str">
            <v>SSPD</v>
          </cell>
          <cell r="E2200" t="str">
            <v>SSPD 24 HOUR ATTENDANT CARE WITH ERS CC2</v>
          </cell>
          <cell r="F2200" t="str">
            <v>728RG111</v>
          </cell>
        </row>
        <row r="2201">
          <cell r="C2201" t="str">
            <v>SSPD</v>
          </cell>
          <cell r="D2201" t="str">
            <v>SSPD</v>
          </cell>
          <cell r="E2201" t="str">
            <v>SSPD 24 HOUR ATTENDANT CARE WITH ERS IA1</v>
          </cell>
          <cell r="F2201" t="str">
            <v>728RG120</v>
          </cell>
        </row>
        <row r="2202">
          <cell r="C2202" t="str">
            <v>SSPD</v>
          </cell>
          <cell r="D2202" t="str">
            <v>SSPD</v>
          </cell>
          <cell r="E2202" t="str">
            <v>SSPD 24 HOUR ATTENDANT CARE WITH ERS IA2</v>
          </cell>
          <cell r="F2202" t="str">
            <v>728RG119</v>
          </cell>
        </row>
        <row r="2203">
          <cell r="C2203" t="str">
            <v>SSPD</v>
          </cell>
          <cell r="D2203" t="str">
            <v>SSPD</v>
          </cell>
          <cell r="E2203" t="str">
            <v>SSPD 24 HOUR ATTENDANT CARE WITH ERS IB1</v>
          </cell>
          <cell r="F2203" t="str">
            <v>728RG118</v>
          </cell>
        </row>
        <row r="2204">
          <cell r="C2204" t="str">
            <v>SSPD</v>
          </cell>
          <cell r="D2204" t="str">
            <v>SSPD</v>
          </cell>
          <cell r="E2204" t="str">
            <v>SSPD 24 HOUR ATTENDANT CARE WITH ERS IB2</v>
          </cell>
          <cell r="F2204" t="str">
            <v>728RG117</v>
          </cell>
        </row>
        <row r="2205">
          <cell r="C2205" t="str">
            <v>SSPD</v>
          </cell>
          <cell r="D2205" t="str">
            <v>SSPD</v>
          </cell>
          <cell r="E2205" t="str">
            <v>SSPD 24 HOUR ATTENDANT CARE WITH ERS PA2</v>
          </cell>
          <cell r="F2205" t="str">
            <v>728RG133</v>
          </cell>
        </row>
        <row r="2206">
          <cell r="C2206" t="str">
            <v>SSPD</v>
          </cell>
          <cell r="D2206" t="str">
            <v>SSPD</v>
          </cell>
          <cell r="E2206" t="str">
            <v>SSPD 24 HOUR ATTENDANT CARE WITH ERS PB2</v>
          </cell>
          <cell r="F2206" t="str">
            <v>728RG131</v>
          </cell>
        </row>
        <row r="2207">
          <cell r="C2207" t="str">
            <v>SSPD</v>
          </cell>
          <cell r="D2207" t="str">
            <v>SSPD</v>
          </cell>
          <cell r="E2207" t="str">
            <v>SSPD 24 HOUR ATTENDANT CARE WITH ERS PC1</v>
          </cell>
          <cell r="F2207" t="str">
            <v>728RG130</v>
          </cell>
        </row>
        <row r="2208">
          <cell r="C2208" t="str">
            <v>SSPD</v>
          </cell>
          <cell r="D2208" t="str">
            <v>SSPD</v>
          </cell>
          <cell r="E2208" t="str">
            <v>SSPD 24 HOUR ATTENDANT CARE WITH ERS PC2</v>
          </cell>
          <cell r="F2208" t="str">
            <v>728RG129</v>
          </cell>
        </row>
        <row r="2209">
          <cell r="C2209" t="str">
            <v>SSPD</v>
          </cell>
          <cell r="D2209" t="str">
            <v>SSPD</v>
          </cell>
          <cell r="E2209" t="str">
            <v>SSPD 24 HOUR ATTENDANT CARE WITH ERS PCE</v>
          </cell>
          <cell r="F2209" t="str">
            <v>728RG136</v>
          </cell>
        </row>
        <row r="2210">
          <cell r="C2210" t="str">
            <v>SSPD</v>
          </cell>
          <cell r="D2210" t="str">
            <v>SSPD</v>
          </cell>
          <cell r="E2210" t="str">
            <v>SSPD 24 HOUR ATTENDANT CARE WITH ERS PD2</v>
          </cell>
          <cell r="F2210" t="str">
            <v>728RG127</v>
          </cell>
        </row>
        <row r="2211">
          <cell r="C2211" t="str">
            <v>SSPD</v>
          </cell>
          <cell r="D2211" t="str">
            <v>SSPD</v>
          </cell>
          <cell r="E2211" t="str">
            <v>SSPD 24 HOUR ATTENDANT CARE WITH ERS RAA</v>
          </cell>
          <cell r="F2211" t="str">
            <v>728RG104</v>
          </cell>
        </row>
        <row r="2212">
          <cell r="C2212" t="str">
            <v>SSPD</v>
          </cell>
          <cell r="D2212" t="str">
            <v>SSPD</v>
          </cell>
          <cell r="E2212" t="str">
            <v>SSPD 24 HOUR ATTENDANT CARE WITH ERS RAB</v>
          </cell>
          <cell r="F2212" t="str">
            <v>728RG103</v>
          </cell>
        </row>
        <row r="2213">
          <cell r="C2213" t="str">
            <v>SSPD</v>
          </cell>
          <cell r="D2213" t="str">
            <v>SSPD</v>
          </cell>
          <cell r="E2213" t="str">
            <v>SSPD 24 HOUR ATTENDANT CARE WITH ERS RAC</v>
          </cell>
          <cell r="F2213" t="str">
            <v>728RG102</v>
          </cell>
        </row>
        <row r="2214">
          <cell r="C2214" t="str">
            <v>SSPD</v>
          </cell>
          <cell r="D2214" t="str">
            <v>SSPD</v>
          </cell>
          <cell r="E2214" t="str">
            <v>SSPD 24 HOUR ATTENDANT CARE WITH ERS RAD</v>
          </cell>
          <cell r="F2214" t="str">
            <v>728RG101</v>
          </cell>
        </row>
        <row r="2215">
          <cell r="C2215" t="str">
            <v>SSPD</v>
          </cell>
          <cell r="D2215" t="str">
            <v>SSPD</v>
          </cell>
          <cell r="E2215" t="str">
            <v>SSPD 24 HOUR ATTENDANT CARE WITH ERS SE1</v>
          </cell>
          <cell r="F2215" t="str">
            <v>728RG107</v>
          </cell>
        </row>
        <row r="2216">
          <cell r="C2216" t="str">
            <v>SSPD</v>
          </cell>
          <cell r="D2216" t="str">
            <v>SSPD</v>
          </cell>
          <cell r="E2216" t="str">
            <v>SSPD 24 HOUR ATTENDANT CARE WITH ERS SE2</v>
          </cell>
          <cell r="F2216" t="str">
            <v>728RG106</v>
          </cell>
        </row>
        <row r="2217">
          <cell r="C2217" t="str">
            <v>SSPD</v>
          </cell>
          <cell r="D2217" t="str">
            <v>SSPD</v>
          </cell>
          <cell r="E2217" t="str">
            <v>SSPD 24 HOUR ATTENDANT CARE WITH ERS SE3</v>
          </cell>
          <cell r="F2217" t="str">
            <v>728RG105</v>
          </cell>
        </row>
        <row r="2218">
          <cell r="C2218" t="str">
            <v>SSPD</v>
          </cell>
          <cell r="D2218" t="str">
            <v>SSPD</v>
          </cell>
          <cell r="E2218" t="str">
            <v>SSPD 24 HOUR ATTENDANT CARE WITH ERS SSA</v>
          </cell>
          <cell r="F2218" t="str">
            <v>728RG110</v>
          </cell>
        </row>
        <row r="2219">
          <cell r="C2219" t="str">
            <v>SSPD</v>
          </cell>
          <cell r="D2219" t="str">
            <v>SSPD</v>
          </cell>
          <cell r="E2219" t="str">
            <v>SSPD 24 HOUR ATTENDANT CARE WITH ERS SSB</v>
          </cell>
          <cell r="F2219" t="str">
            <v>728RG109</v>
          </cell>
        </row>
        <row r="2220">
          <cell r="C2220" t="str">
            <v>SSPD</v>
          </cell>
          <cell r="D2220" t="str">
            <v>SSPD</v>
          </cell>
          <cell r="E2220" t="str">
            <v>SSPD 24 HOUR ATTENDANT CARE WITH ERS SSC</v>
          </cell>
          <cell r="F2220" t="str">
            <v>728RG108</v>
          </cell>
        </row>
        <row r="2221">
          <cell r="A2221" t="str">
            <v>State Plan (Title XIX)</v>
          </cell>
          <cell r="C2221" t="str">
            <v>STAR Health</v>
          </cell>
          <cell r="D2221" t="str">
            <v>DAHS</v>
          </cell>
          <cell r="E2221" t="str">
            <v xml:space="preserve">Day Activities &amp; Health Services (3-6 hours) </v>
          </cell>
          <cell r="F2221" t="str">
            <v>S5101SH</v>
          </cell>
        </row>
        <row r="2222">
          <cell r="A2222" t="str">
            <v>State Plan (Title XIX)</v>
          </cell>
          <cell r="C2222" t="str">
            <v>STAR Health</v>
          </cell>
          <cell r="D2222" t="str">
            <v>DAHS</v>
          </cell>
          <cell r="E2222" t="str">
            <v xml:space="preserve">Day Activities &amp; Health Services (3-6 hours) (MDCP) </v>
          </cell>
          <cell r="F2222" t="str">
            <v>S5101SHU6</v>
          </cell>
        </row>
        <row r="2223">
          <cell r="A2223" t="str">
            <v>Value-added Services 42 CFR § 438.3(e)(1)(i)</v>
          </cell>
          <cell r="C2223" t="str">
            <v>STAR Health</v>
          </cell>
          <cell r="D2223" t="str">
            <v>ERS</v>
          </cell>
          <cell r="E2223" t="str">
            <v xml:space="preserve">Emergency Response Services (Installation and Testing) </v>
          </cell>
          <cell r="F2223" t="str">
            <v>S5160SH</v>
          </cell>
        </row>
        <row r="2224">
          <cell r="A2224" t="str">
            <v>Value-added Services 42 CFR § 438.3(e)(1)(i)</v>
          </cell>
          <cell r="C2224" t="str">
            <v>STAR Health</v>
          </cell>
          <cell r="D2224" t="str">
            <v>ERS</v>
          </cell>
          <cell r="E2224" t="str">
            <v xml:space="preserve">Emergency Response Services (Monthly) </v>
          </cell>
          <cell r="F2224" t="str">
            <v>S5161SHU3U3</v>
          </cell>
        </row>
        <row r="2225">
          <cell r="A2225" t="str">
            <v>State Plan (Title XIX)</v>
          </cell>
          <cell r="C2225" t="str">
            <v>STAR Health</v>
          </cell>
          <cell r="D2225" t="str">
            <v>ERS</v>
          </cell>
          <cell r="E2225" t="str">
            <v xml:space="preserve">Emergency Response Services (Monthly) (CFC) </v>
          </cell>
          <cell r="F2225" t="str">
            <v>S5161SHU2</v>
          </cell>
          <cell r="P2225" t="str">
            <v>CFC</v>
          </cell>
        </row>
        <row r="2226">
          <cell r="A2226" t="str">
            <v>State Plan (Title XIX)</v>
          </cell>
          <cell r="C2226" t="str">
            <v>STAR Health</v>
          </cell>
          <cell r="D2226" t="str">
            <v>ERS</v>
          </cell>
          <cell r="E2226" t="str">
            <v xml:space="preserve">Emergency Response Services (Monthly) (CFC) (MDCP) </v>
          </cell>
          <cell r="F2226" t="str">
            <v>S5161SHU2U6</v>
          </cell>
          <cell r="P2226" t="str">
            <v>CFC</v>
          </cell>
        </row>
        <row r="2227">
          <cell r="A2227" t="str">
            <v>State Plan (Title XIX)</v>
          </cell>
          <cell r="C2227" t="str">
            <v>STAR Health</v>
          </cell>
          <cell r="D2227" t="str">
            <v>FMS</v>
          </cell>
          <cell r="E2227" t="str">
            <v>Financial Management Service (FMS) Fee, Monthly Fee, PCS (CDS)</v>
          </cell>
          <cell r="F2227" t="str">
            <v>T2040SHU9U1</v>
          </cell>
        </row>
        <row r="2228">
          <cell r="A2228" t="str">
            <v>State Plan (Title XIX)</v>
          </cell>
          <cell r="C2228" t="str">
            <v>STAR Health</v>
          </cell>
          <cell r="D2228" t="str">
            <v>FMS</v>
          </cell>
          <cell r="E2228" t="str">
            <v>Financial Management Service Fee, CFC, non- MDCP (CDS)</v>
          </cell>
          <cell r="F2228" t="str">
            <v>T2040SHU5</v>
          </cell>
          <cell r="P2228" t="str">
            <v>CFC</v>
          </cell>
        </row>
        <row r="2229">
          <cell r="A2229" t="str">
            <v>State Plan (Title XIX)</v>
          </cell>
          <cell r="C2229" t="str">
            <v>STAR Health</v>
          </cell>
          <cell r="D2229" t="str">
            <v>FMS</v>
          </cell>
          <cell r="E2229" t="str">
            <v>Financial Management Service Fee, PCS (CDS)</v>
          </cell>
          <cell r="F2229" t="str">
            <v>T2040SHU8</v>
          </cell>
        </row>
        <row r="2230">
          <cell r="A2230" t="str">
            <v>State Plan (Title XIX)</v>
          </cell>
          <cell r="C2230" t="str">
            <v>STAR Health</v>
          </cell>
          <cell r="D2230" t="str">
            <v>FMS</v>
          </cell>
          <cell r="E2230" t="str">
            <v>FMS Fee, Monthly Fee, CFC (CDS)</v>
          </cell>
          <cell r="F2230" t="str">
            <v>T2040SHU9U2</v>
          </cell>
          <cell r="P2230" t="str">
            <v>CFC</v>
          </cell>
        </row>
        <row r="2231">
          <cell r="A2231" t="str">
            <v>State Plan (Title XIX)</v>
          </cell>
          <cell r="C2231" t="str">
            <v>STAR Health</v>
          </cell>
          <cell r="D2231" t="str">
            <v>FMS</v>
          </cell>
          <cell r="E2231" t="str">
            <v>FMS Fee, Monthly Fee, CFC (MDCP) (CDS)</v>
          </cell>
          <cell r="F2231" t="str">
            <v>T2040SHU9U2U6</v>
          </cell>
          <cell r="P2231" t="str">
            <v>CFC</v>
          </cell>
        </row>
        <row r="2232">
          <cell r="A2232" t="str">
            <v>State Plan (Title XIX)</v>
          </cell>
          <cell r="C2232" t="str">
            <v>STAR Health</v>
          </cell>
          <cell r="D2232" t="str">
            <v>FMS</v>
          </cell>
          <cell r="E2232" t="str">
            <v>FMS Fee, Monthly Fee, MDCP (CDS)</v>
          </cell>
          <cell r="F2232" t="str">
            <v>T2040SHU9U6</v>
          </cell>
        </row>
        <row r="2233">
          <cell r="A2233" t="str">
            <v>State Plan (Title XIX)</v>
          </cell>
          <cell r="C2233" t="str">
            <v>STAR Health</v>
          </cell>
          <cell r="D2233" t="str">
            <v>Nurse Delegation</v>
          </cell>
          <cell r="E2233" t="str">
            <v>RN Assessment for delegation of CFC tasks</v>
          </cell>
          <cell r="F2233" t="str">
            <v>G0162SHU2</v>
          </cell>
          <cell r="P2233" t="str">
            <v>CFC</v>
          </cell>
        </row>
        <row r="2234">
          <cell r="A2234" t="str">
            <v>State Plan (Title XIX)</v>
          </cell>
          <cell r="C2234" t="str">
            <v>STAR Health</v>
          </cell>
          <cell r="D2234" t="str">
            <v>Nurse Delegation</v>
          </cell>
          <cell r="E2234" t="str">
            <v xml:space="preserve">RN Assessment for delegation of CFC tasks (MDCP) </v>
          </cell>
          <cell r="F2234" t="str">
            <v>G0162SHU2U6</v>
          </cell>
          <cell r="P2234" t="str">
            <v>CFC</v>
          </cell>
        </row>
        <row r="2235">
          <cell r="A2235" t="str">
            <v>State Plan (Title XIX)</v>
          </cell>
          <cell r="C2235" t="str">
            <v>STAR Health</v>
          </cell>
          <cell r="D2235" t="str">
            <v>Nurse Delegation</v>
          </cell>
          <cell r="E2235" t="str">
            <v>RN Assessment for delegation of PCS or CFC tasks</v>
          </cell>
          <cell r="F2235" t="str">
            <v>G0162SH</v>
          </cell>
          <cell r="P2235" t="str">
            <v>CFC</v>
          </cell>
        </row>
        <row r="2236">
          <cell r="A2236" t="str">
            <v>State Plan (Title XIX)</v>
          </cell>
          <cell r="C2236" t="str">
            <v>STAR Health</v>
          </cell>
          <cell r="D2236" t="str">
            <v>Nurse Delegation</v>
          </cell>
          <cell r="E2236" t="str">
            <v xml:space="preserve">RN Assessment for delegation of PCS tasks (MDCP) </v>
          </cell>
          <cell r="F2236" t="str">
            <v>G0162SHU1U6</v>
          </cell>
        </row>
        <row r="2237">
          <cell r="A2237" t="str">
            <v>State Plan (Title XIX)</v>
          </cell>
          <cell r="C2237" t="str">
            <v>STAR Health</v>
          </cell>
          <cell r="D2237" t="str">
            <v>Nurse Delegation</v>
          </cell>
          <cell r="E2237" t="str">
            <v>RN training and ongoing supervision of delegated tasks</v>
          </cell>
          <cell r="F2237" t="str">
            <v>G0162SHU1</v>
          </cell>
        </row>
        <row r="2238">
          <cell r="A2238" t="str">
            <v>State Plan (Title XIX)</v>
          </cell>
          <cell r="C2238" t="str">
            <v>STAR Health</v>
          </cell>
          <cell r="D2238" t="str">
            <v>Nurse Delegation</v>
          </cell>
          <cell r="E2238" t="str">
            <v>RN training and ongoing supervision of delegated tasks</v>
          </cell>
          <cell r="F2238" t="str">
            <v>G0495SH</v>
          </cell>
        </row>
        <row r="2239">
          <cell r="A2239" t="str">
            <v>State Plan (Title XIX)</v>
          </cell>
          <cell r="C2239" t="str">
            <v>STAR Health</v>
          </cell>
          <cell r="D2239" t="str">
            <v>Nurse Delegation</v>
          </cell>
          <cell r="E2239" t="str">
            <v xml:space="preserve">RN training and ongoing supervision of delegated tasks (MDCP) </v>
          </cell>
          <cell r="F2239" t="str">
            <v>G0495SHU6</v>
          </cell>
        </row>
        <row r="2240">
          <cell r="A2240" t="str">
            <v>State Plan (Title XIX)</v>
          </cell>
          <cell r="C2240" t="str">
            <v>STAR Health</v>
          </cell>
          <cell r="D2240" t="str">
            <v>PAS/HAB</v>
          </cell>
          <cell r="E2240" t="str">
            <v xml:space="preserve">CFC Attendant care and habilitation HAB (AO) </v>
          </cell>
          <cell r="F2240" t="str">
            <v>T1019SHU9</v>
          </cell>
          <cell r="P2240" t="str">
            <v>CFC</v>
          </cell>
        </row>
        <row r="2241">
          <cell r="A2241" t="str">
            <v>State Plan (Title XIX)</v>
          </cell>
          <cell r="C2241" t="str">
            <v>STAR Health</v>
          </cell>
          <cell r="D2241" t="str">
            <v>PAS/HAB</v>
          </cell>
          <cell r="E2241" t="str">
            <v xml:space="preserve">CFC Attendant care and habilitation HAB (CDS) </v>
          </cell>
          <cell r="F2241" t="str">
            <v>T1019SHU4</v>
          </cell>
          <cell r="P2241" t="str">
            <v>CFC</v>
          </cell>
        </row>
        <row r="2242">
          <cell r="A2242" t="str">
            <v>State Plan (Title XIX)</v>
          </cell>
          <cell r="C2242" t="str">
            <v>STAR Health</v>
          </cell>
          <cell r="D2242" t="str">
            <v>PAS/HAB</v>
          </cell>
          <cell r="E2242" t="str">
            <v xml:space="preserve">CFC Attendant care and habilitation HAB (SRO) </v>
          </cell>
          <cell r="F2242" t="str">
            <v>T1019SHU2</v>
          </cell>
          <cell r="P2242" t="str">
            <v>CFC</v>
          </cell>
        </row>
        <row r="2243">
          <cell r="A2243" t="str">
            <v>State Plan (Title XIX)</v>
          </cell>
          <cell r="C2243" t="str">
            <v>STAR Health</v>
          </cell>
          <cell r="D2243" t="str">
            <v>PAS/HAB</v>
          </cell>
          <cell r="E2243" t="str">
            <v xml:space="preserve">CFC Habilitation and Attendant Care HAB (AO) </v>
          </cell>
          <cell r="F2243" t="str">
            <v>T1019SHU9U1</v>
          </cell>
          <cell r="P2243" t="str">
            <v>CFC</v>
          </cell>
        </row>
        <row r="2244">
          <cell r="A2244" t="str">
            <v>State Plan (Title XIX)</v>
          </cell>
          <cell r="C2244" t="str">
            <v>STAR Health</v>
          </cell>
          <cell r="D2244" t="str">
            <v>PAS/HAB</v>
          </cell>
          <cell r="E2244" t="str">
            <v xml:space="preserve">CFC Habilitation and Attendant Care HAB (AO) (MDCP) </v>
          </cell>
          <cell r="F2244" t="str">
            <v>T1019SHU9U1U6</v>
          </cell>
          <cell r="P2244" t="str">
            <v>CFC</v>
          </cell>
        </row>
        <row r="2245">
          <cell r="A2245" t="str">
            <v>State Plan (Title XIX)</v>
          </cell>
          <cell r="C2245" t="str">
            <v>STAR Health</v>
          </cell>
          <cell r="D2245" t="str">
            <v>PAS/HAB</v>
          </cell>
          <cell r="E2245" t="str">
            <v xml:space="preserve">CFC Habilitation and Attendant Care HAB (CDS) </v>
          </cell>
          <cell r="F2245" t="str">
            <v>T1019SHU9UC</v>
          </cell>
          <cell r="P2245" t="str">
            <v>CFC</v>
          </cell>
        </row>
        <row r="2246">
          <cell r="A2246" t="str">
            <v>State Plan (Title XIX)</v>
          </cell>
          <cell r="C2246" t="str">
            <v>STAR Health</v>
          </cell>
          <cell r="D2246" t="str">
            <v>PAS/HAB</v>
          </cell>
          <cell r="E2246" t="str">
            <v xml:space="preserve">CFC Habilitation and Attendant Care HAB (CDS) (MDCP) </v>
          </cell>
          <cell r="F2246" t="str">
            <v>T1019SHU9UCU6</v>
          </cell>
          <cell r="P2246" t="str">
            <v>CFC</v>
          </cell>
        </row>
        <row r="2247">
          <cell r="A2247" t="str">
            <v>State Plan (Title XIX)</v>
          </cell>
          <cell r="C2247" t="str">
            <v>STAR Health</v>
          </cell>
          <cell r="D2247" t="str">
            <v>PAS/HAB</v>
          </cell>
          <cell r="E2247" t="str">
            <v xml:space="preserve">CFC Habilitation and Attendant Care HAB (SRO) </v>
          </cell>
          <cell r="F2247" t="str">
            <v>T1019SHU9U2</v>
          </cell>
          <cell r="P2247" t="str">
            <v>CFC</v>
          </cell>
        </row>
        <row r="2248">
          <cell r="A2248" t="str">
            <v>State Plan (Title XIX)</v>
          </cell>
          <cell r="C2248" t="str">
            <v>STAR Health</v>
          </cell>
          <cell r="D2248" t="str">
            <v>PAS/HAB</v>
          </cell>
          <cell r="E2248" t="str">
            <v xml:space="preserve">CFC Habilitation and Attendant Care HAB (SRO) (MDCP) </v>
          </cell>
          <cell r="F2248" t="str">
            <v>T1019SHU9U2U6</v>
          </cell>
          <cell r="P2248" t="str">
            <v>CFC</v>
          </cell>
        </row>
        <row r="2249">
          <cell r="A2249" t="str">
            <v>State Plan (Title XIX)</v>
          </cell>
          <cell r="C2249" t="str">
            <v>STAR Health</v>
          </cell>
          <cell r="D2249" t="str">
            <v>PCS SH</v>
          </cell>
          <cell r="E2249" t="str">
            <v xml:space="preserve"> PCS (AO) </v>
          </cell>
          <cell r="F2249" t="str">
            <v>T1019SHU6</v>
          </cell>
        </row>
        <row r="2250">
          <cell r="A2250" t="str">
            <v>State Plan (Title XIX)</v>
          </cell>
          <cell r="C2250" t="str">
            <v>STAR Health</v>
          </cell>
          <cell r="D2250" t="str">
            <v>PCS SH</v>
          </cell>
          <cell r="E2250" t="str">
            <v xml:space="preserve"> PCS (CDS) </v>
          </cell>
          <cell r="F2250" t="str">
            <v>T1019SHUC</v>
          </cell>
        </row>
        <row r="2251">
          <cell r="A2251" t="str">
            <v>State Plan (Title XIX)</v>
          </cell>
          <cell r="C2251" t="str">
            <v>STAR Health</v>
          </cell>
          <cell r="D2251" t="str">
            <v>PCS SH</v>
          </cell>
          <cell r="E2251" t="str">
            <v xml:space="preserve"> PCS (SRO) </v>
          </cell>
          <cell r="F2251" t="str">
            <v>T1019SHUS</v>
          </cell>
        </row>
        <row r="2252">
          <cell r="A2252" t="str">
            <v>State Plan (Title XIX)</v>
          </cell>
          <cell r="C2252" t="str">
            <v>STAR Health</v>
          </cell>
          <cell r="D2252" t="str">
            <v>PCS SH</v>
          </cell>
          <cell r="E2252" t="str">
            <v xml:space="preserve">CFC PCS Attendant care Only (AO) </v>
          </cell>
          <cell r="F2252" t="str">
            <v>T1019SHUDU1</v>
          </cell>
          <cell r="P2252" t="str">
            <v>CFC</v>
          </cell>
        </row>
        <row r="2253">
          <cell r="A2253" t="str">
            <v>State Plan (Title XIX)</v>
          </cell>
          <cell r="C2253" t="str">
            <v>STAR Health</v>
          </cell>
          <cell r="D2253" t="str">
            <v>PCS SH</v>
          </cell>
          <cell r="E2253" t="str">
            <v xml:space="preserve">CFC PCS Attendant care only (AO) </v>
          </cell>
          <cell r="F2253" t="str">
            <v>T1019SHUD</v>
          </cell>
          <cell r="P2253" t="str">
            <v>CFC</v>
          </cell>
        </row>
        <row r="2254">
          <cell r="A2254" t="str">
            <v>State Plan (Title XIX)</v>
          </cell>
          <cell r="C2254" t="str">
            <v>STAR Health</v>
          </cell>
          <cell r="D2254" t="str">
            <v>PCS SH</v>
          </cell>
          <cell r="E2254" t="str">
            <v xml:space="preserve">CFC PCS Attendant care Only (AO) (MDCP) </v>
          </cell>
          <cell r="F2254" t="str">
            <v>T1019SHUDU1U6</v>
          </cell>
          <cell r="P2254" t="str">
            <v>CFC</v>
          </cell>
        </row>
        <row r="2255">
          <cell r="A2255" t="str">
            <v>State Plan (Title XIX)</v>
          </cell>
          <cell r="C2255" t="str">
            <v>STAR Health</v>
          </cell>
          <cell r="D2255" t="str">
            <v>PCS SH</v>
          </cell>
          <cell r="E2255" t="str">
            <v xml:space="preserve">CFC PCS Attendant care Only (CDS) </v>
          </cell>
          <cell r="F2255" t="str">
            <v>T1019SHUDUC</v>
          </cell>
          <cell r="P2255" t="str">
            <v>CFC</v>
          </cell>
        </row>
        <row r="2256">
          <cell r="A2256" t="str">
            <v>State Plan (Title XIX)</v>
          </cell>
          <cell r="C2256" t="str">
            <v>STAR Health</v>
          </cell>
          <cell r="D2256" t="str">
            <v>PCS SH</v>
          </cell>
          <cell r="E2256" t="str">
            <v xml:space="preserve">CFC PCS Attendant care only (CDS) </v>
          </cell>
          <cell r="F2256" t="str">
            <v>T1019SHU3</v>
          </cell>
          <cell r="P2256" t="str">
            <v>CFC</v>
          </cell>
        </row>
        <row r="2257">
          <cell r="A2257" t="str">
            <v>State Plan (Title XIX)</v>
          </cell>
          <cell r="C2257" t="str">
            <v>STAR Health</v>
          </cell>
          <cell r="D2257" t="str">
            <v>PCS SH</v>
          </cell>
          <cell r="E2257" t="str">
            <v xml:space="preserve">CFC PCS Attendant care Only (CDS) (MDCP) </v>
          </cell>
          <cell r="F2257" t="str">
            <v>T1019SHUDUCU6</v>
          </cell>
          <cell r="P2257" t="str">
            <v>CFC</v>
          </cell>
        </row>
        <row r="2258">
          <cell r="A2258" t="str">
            <v>State Plan (Title XIX)</v>
          </cell>
          <cell r="C2258" t="str">
            <v>STAR Health</v>
          </cell>
          <cell r="D2258" t="str">
            <v>PCS SH</v>
          </cell>
          <cell r="E2258" t="str">
            <v xml:space="preserve">CFC PCS Attendant care Only (SRO) </v>
          </cell>
          <cell r="F2258" t="str">
            <v>T1019SHUDU2</v>
          </cell>
          <cell r="P2258" t="str">
            <v>CFC</v>
          </cell>
        </row>
        <row r="2259">
          <cell r="A2259" t="str">
            <v>State Plan (Title XIX)</v>
          </cell>
          <cell r="C2259" t="str">
            <v>STAR Health</v>
          </cell>
          <cell r="D2259" t="str">
            <v>PCS SH</v>
          </cell>
          <cell r="E2259" t="str">
            <v xml:space="preserve">CFC PCS Attendant care only (SRO) </v>
          </cell>
          <cell r="F2259" t="str">
            <v>T1019SHU1</v>
          </cell>
          <cell r="P2259" t="str">
            <v>CFC</v>
          </cell>
        </row>
        <row r="2260">
          <cell r="A2260" t="str">
            <v>State Plan (Title XIX)</v>
          </cell>
          <cell r="C2260" t="str">
            <v>STAR Health</v>
          </cell>
          <cell r="D2260" t="str">
            <v>PCS SH</v>
          </cell>
          <cell r="E2260" t="str">
            <v xml:space="preserve">CFC PCS Attendant care Only (SRO) (MDCP) </v>
          </cell>
          <cell r="F2260" t="str">
            <v>T1019SHUDU2U6</v>
          </cell>
          <cell r="P2260" t="str">
            <v>CFC</v>
          </cell>
        </row>
        <row r="2261">
          <cell r="A2261" t="str">
            <v>State Plan (Title XIX)</v>
          </cell>
          <cell r="C2261" t="str">
            <v>STAR Health</v>
          </cell>
          <cell r="D2261" t="str">
            <v>PCS SH</v>
          </cell>
          <cell r="E2261" t="str">
            <v xml:space="preserve">PCS (BH Condition) (AO) </v>
          </cell>
          <cell r="F2261" t="str">
            <v>T1019SHUBU1</v>
          </cell>
        </row>
        <row r="2262">
          <cell r="A2262" t="str">
            <v>State Plan (Title XIX)</v>
          </cell>
          <cell r="C2262" t="str">
            <v>STAR Health</v>
          </cell>
          <cell r="D2262" t="str">
            <v>PCS SH</v>
          </cell>
          <cell r="E2262" t="str">
            <v xml:space="preserve">PCS (BH Condition) (CDS) </v>
          </cell>
          <cell r="F2262" t="str">
            <v>T1019SHUBUC</v>
          </cell>
        </row>
        <row r="2263">
          <cell r="A2263" t="str">
            <v>State Plan (Title XIX)</v>
          </cell>
          <cell r="C2263" t="str">
            <v>STAR Health</v>
          </cell>
          <cell r="D2263" t="str">
            <v>PCS SH</v>
          </cell>
          <cell r="E2263" t="str">
            <v xml:space="preserve">PCS (BH Condition) (SRO) </v>
          </cell>
          <cell r="F2263" t="str">
            <v>T1019SHUBU2</v>
          </cell>
        </row>
        <row r="2264">
          <cell r="A2264" t="str">
            <v>State Plan (Title XIX)</v>
          </cell>
          <cell r="C2264" t="str">
            <v>STAR Health</v>
          </cell>
          <cell r="D2264" t="str">
            <v>PCS SH</v>
          </cell>
          <cell r="E2264" t="str">
            <v xml:space="preserve">PCS BH Condition (AO) </v>
          </cell>
          <cell r="F2264" t="str">
            <v>T1019SHUAU6</v>
          </cell>
        </row>
        <row r="2265">
          <cell r="A2265" t="str">
            <v>State Plan (Title XIX)</v>
          </cell>
          <cell r="C2265" t="str">
            <v>STAR Health</v>
          </cell>
          <cell r="D2265" t="str">
            <v>PCS SH</v>
          </cell>
          <cell r="E2265" t="str">
            <v xml:space="preserve">PCS BH Condition (CDS) </v>
          </cell>
          <cell r="F2265" t="str">
            <v>T1019SHUAUC</v>
          </cell>
        </row>
        <row r="2266">
          <cell r="A2266" t="str">
            <v>State Plan (Title XIX)</v>
          </cell>
          <cell r="C2266" t="str">
            <v>STAR Health</v>
          </cell>
          <cell r="D2266" t="str">
            <v>PCS SH</v>
          </cell>
          <cell r="E2266" t="str">
            <v xml:space="preserve">PCS BH Condition (SRO) </v>
          </cell>
          <cell r="F2266" t="str">
            <v>T1019SHUAUS</v>
          </cell>
        </row>
        <row r="2267">
          <cell r="A2267" t="str">
            <v>State Plan (Title XIX)</v>
          </cell>
          <cell r="C2267" t="str">
            <v>STAR Health</v>
          </cell>
          <cell r="D2267" t="str">
            <v>PDN</v>
          </cell>
          <cell r="E2267" t="str">
            <v>PDN Independently Enrolled LVN</v>
          </cell>
          <cell r="F2267" t="str">
            <v>T1000SHU3TE</v>
          </cell>
        </row>
        <row r="2268">
          <cell r="A2268" t="str">
            <v>State Plan (Title XIX)</v>
          </cell>
          <cell r="C2268" t="str">
            <v>STAR Health</v>
          </cell>
          <cell r="D2268" t="str">
            <v>PDN</v>
          </cell>
          <cell r="E2268" t="str">
            <v xml:space="preserve">PDN Independently Enrolled LVN (MDCP) </v>
          </cell>
          <cell r="F2268" t="str">
            <v>T1000SHU3TEU6</v>
          </cell>
        </row>
        <row r="2269">
          <cell r="A2269" t="str">
            <v>State Plan (Title XIX)</v>
          </cell>
          <cell r="C2269" t="str">
            <v>STAR Health</v>
          </cell>
          <cell r="D2269" t="str">
            <v>PDN</v>
          </cell>
          <cell r="E2269" t="str">
            <v>PDN Independently Enrolled RN</v>
          </cell>
          <cell r="F2269" t="str">
            <v>T1000SHU3TD</v>
          </cell>
        </row>
        <row r="2270">
          <cell r="A2270" t="str">
            <v>State Plan (Title XIX)</v>
          </cell>
          <cell r="C2270" t="str">
            <v>STAR Health</v>
          </cell>
          <cell r="D2270" t="str">
            <v>PDN</v>
          </cell>
          <cell r="E2270" t="str">
            <v xml:space="preserve">PDN Independently Enrolled RN (MDCP) </v>
          </cell>
          <cell r="F2270" t="str">
            <v>T1000SHU3TDU6</v>
          </cell>
        </row>
        <row r="2271">
          <cell r="A2271" t="str">
            <v>State Plan (Title XIX)</v>
          </cell>
          <cell r="C2271" t="str">
            <v>STAR Health</v>
          </cell>
          <cell r="D2271" t="str">
            <v>PDN</v>
          </cell>
          <cell r="E2271" t="str">
            <v>PDN Independently Enrolled Specialized LVN</v>
          </cell>
          <cell r="F2271" t="str">
            <v>T1000SHU3TEUA</v>
          </cell>
        </row>
        <row r="2272">
          <cell r="A2272" t="str">
            <v>State Plan (Title XIX)</v>
          </cell>
          <cell r="C2272" t="str">
            <v>STAR Health</v>
          </cell>
          <cell r="D2272" t="str">
            <v>PDN</v>
          </cell>
          <cell r="E2272" t="str">
            <v xml:space="preserve">PDN Independently Enrolled Specialized LVN (MDCP) </v>
          </cell>
          <cell r="F2272" t="str">
            <v>T1000SHU3TEUAU6</v>
          </cell>
        </row>
        <row r="2273">
          <cell r="A2273" t="str">
            <v>State Plan (Title XIX)</v>
          </cell>
          <cell r="C2273" t="str">
            <v>STAR Health</v>
          </cell>
          <cell r="D2273" t="str">
            <v>PDN</v>
          </cell>
          <cell r="E2273" t="str">
            <v>PDN Independently Enrolled Specialized RN</v>
          </cell>
          <cell r="F2273" t="str">
            <v>T1000SHU3TDUA</v>
          </cell>
        </row>
        <row r="2274">
          <cell r="A2274" t="str">
            <v>State Plan (Title XIX)</v>
          </cell>
          <cell r="C2274" t="str">
            <v>STAR Health</v>
          </cell>
          <cell r="D2274" t="str">
            <v>PDN</v>
          </cell>
          <cell r="E2274" t="str">
            <v xml:space="preserve">PDN Independently Enrolled Specialized RN (MDCP) </v>
          </cell>
          <cell r="F2274" t="str">
            <v>T1000SHU3TDUAU6</v>
          </cell>
        </row>
        <row r="2275">
          <cell r="A2275" t="str">
            <v>State Plan (Title XIX)</v>
          </cell>
          <cell r="C2275" t="str">
            <v>STAR Health</v>
          </cell>
          <cell r="D2275" t="str">
            <v>PDN</v>
          </cell>
          <cell r="E2275" t="str">
            <v>PDN LVN</v>
          </cell>
          <cell r="F2275" t="str">
            <v>T1000SHTE</v>
          </cell>
        </row>
        <row r="2276">
          <cell r="A2276" t="str">
            <v>State Plan (Title XIX)</v>
          </cell>
          <cell r="C2276" t="str">
            <v>STAR Health</v>
          </cell>
          <cell r="D2276" t="str">
            <v>PDN</v>
          </cell>
          <cell r="E2276" t="str">
            <v xml:space="preserve">PDN LVN (MDCP) </v>
          </cell>
          <cell r="F2276" t="str">
            <v>T1000SHTEU6</v>
          </cell>
        </row>
        <row r="2277">
          <cell r="A2277" t="str">
            <v>State Plan (Title XIX)</v>
          </cell>
          <cell r="C2277" t="str">
            <v>STAR Health</v>
          </cell>
          <cell r="D2277" t="str">
            <v>PDN</v>
          </cell>
          <cell r="E2277" t="str">
            <v>PDN RN</v>
          </cell>
          <cell r="F2277" t="str">
            <v>T1000SHTD</v>
          </cell>
        </row>
        <row r="2278">
          <cell r="A2278" t="str">
            <v>State Plan (Title XIX)</v>
          </cell>
          <cell r="C2278" t="str">
            <v>STAR Health</v>
          </cell>
          <cell r="D2278" t="str">
            <v>PDN</v>
          </cell>
          <cell r="E2278" t="str">
            <v xml:space="preserve">PDN RN (MDCP) </v>
          </cell>
          <cell r="F2278" t="str">
            <v>T1000SHTDU6</v>
          </cell>
        </row>
        <row r="2279">
          <cell r="A2279" t="str">
            <v>State Plan (Title XIX)</v>
          </cell>
          <cell r="C2279" t="str">
            <v>STAR Health</v>
          </cell>
          <cell r="D2279" t="str">
            <v>PDN</v>
          </cell>
          <cell r="E2279" t="str">
            <v>PDN Specialized LVN</v>
          </cell>
          <cell r="F2279" t="str">
            <v>T1000SHTEUA</v>
          </cell>
        </row>
        <row r="2280">
          <cell r="A2280" t="str">
            <v>State Plan (Title XIX)</v>
          </cell>
          <cell r="C2280" t="str">
            <v>STAR Health</v>
          </cell>
          <cell r="D2280" t="str">
            <v>PDN</v>
          </cell>
          <cell r="E2280" t="str">
            <v xml:space="preserve">PDN Specialized LVN (MDCP) </v>
          </cell>
          <cell r="F2280" t="str">
            <v>T1000SHTEUAU6</v>
          </cell>
        </row>
        <row r="2281">
          <cell r="A2281" t="str">
            <v>State Plan (Title XIX)</v>
          </cell>
          <cell r="C2281" t="str">
            <v>STAR Health</v>
          </cell>
          <cell r="D2281" t="str">
            <v>PDN</v>
          </cell>
          <cell r="E2281" t="str">
            <v>PDN Specialized RN</v>
          </cell>
          <cell r="F2281" t="str">
            <v>T1000SHTDUA</v>
          </cell>
        </row>
        <row r="2282">
          <cell r="A2282" t="str">
            <v>State Plan (Title XIX)</v>
          </cell>
          <cell r="C2282" t="str">
            <v>STAR Health</v>
          </cell>
          <cell r="D2282" t="str">
            <v>PDN</v>
          </cell>
          <cell r="E2282" t="str">
            <v xml:space="preserve">PDN Specialized RN (MDCP) </v>
          </cell>
          <cell r="F2282" t="str">
            <v>T1000SHTDUAU6</v>
          </cell>
        </row>
        <row r="2283">
          <cell r="A2283" t="str">
            <v>State Plan (Title XIX)</v>
          </cell>
          <cell r="C2283" t="str">
            <v>STAR Health</v>
          </cell>
          <cell r="D2283" t="str">
            <v>PPEC</v>
          </cell>
          <cell r="E2283" t="str">
            <v>Non-emergency transportation</v>
          </cell>
          <cell r="F2283" t="str">
            <v>T2002SH</v>
          </cell>
        </row>
        <row r="2284">
          <cell r="A2284" t="str">
            <v>State Plan (Title XIX)</v>
          </cell>
          <cell r="C2284" t="str">
            <v>STAR Health</v>
          </cell>
          <cell r="D2284" t="str">
            <v>PPEC</v>
          </cell>
          <cell r="E2284" t="str">
            <v xml:space="preserve">Prescribed Pediatric Extended Care transportation (MDCP) </v>
          </cell>
          <cell r="F2284" t="str">
            <v>T2002SHU6</v>
          </cell>
        </row>
        <row r="2285">
          <cell r="A2285" t="str">
            <v>State Plan (Title XIX)</v>
          </cell>
          <cell r="C2285" t="str">
            <v>STAR Health</v>
          </cell>
          <cell r="D2285" t="str">
            <v>PPEC</v>
          </cell>
          <cell r="E2285" t="str">
            <v xml:space="preserve">Prescribed Pediatric Extended Care, greater than 4 hours </v>
          </cell>
          <cell r="F2285" t="str">
            <v>T1025SH</v>
          </cell>
        </row>
        <row r="2286">
          <cell r="A2286" t="str">
            <v>State Plan (Title XIX)</v>
          </cell>
          <cell r="C2286" t="str">
            <v>STAR Health</v>
          </cell>
          <cell r="D2286" t="str">
            <v>PPEC</v>
          </cell>
          <cell r="E2286" t="str">
            <v xml:space="preserve">Prescribed Pediatric Extended Care, greater than 4 hours (MDCP) </v>
          </cell>
          <cell r="F2286" t="str">
            <v>T1025SHU6</v>
          </cell>
        </row>
        <row r="2287">
          <cell r="A2287" t="str">
            <v>State Plan (Title XIX)</v>
          </cell>
          <cell r="C2287" t="str">
            <v>STAR Health</v>
          </cell>
          <cell r="D2287" t="str">
            <v>PPEC</v>
          </cell>
          <cell r="E2287" t="str">
            <v xml:space="preserve">Prescribed Pediatric Extended Care, up to 4 hours </v>
          </cell>
          <cell r="F2287" t="str">
            <v>T1026SH</v>
          </cell>
        </row>
        <row r="2288">
          <cell r="A2288" t="str">
            <v>State Plan (Title XIX)</v>
          </cell>
          <cell r="C2288" t="str">
            <v>STAR Health</v>
          </cell>
          <cell r="D2288" t="str">
            <v>PPEC</v>
          </cell>
          <cell r="E2288" t="str">
            <v xml:space="preserve">Prescribed Pediatric Extended Care, up to 4 hours (MDCP) </v>
          </cell>
          <cell r="F2288" t="str">
            <v>T1026SHU6</v>
          </cell>
        </row>
        <row r="2289">
          <cell r="A2289" t="str">
            <v>1915(c) waiver</v>
          </cell>
          <cell r="C2289" t="str">
            <v>STAR Health MDCP</v>
          </cell>
          <cell r="D2289" t="str">
            <v xml:space="preserve">Adaptive Aids/DME </v>
          </cell>
          <cell r="E2289" t="str">
            <v>Adaptive Aid- Medical Equipment</v>
          </cell>
          <cell r="F2289" t="str">
            <v>T2029SH</v>
          </cell>
        </row>
        <row r="2290">
          <cell r="A2290" t="str">
            <v>1915(c) waiver</v>
          </cell>
          <cell r="C2290" t="str">
            <v>STAR Health MDCP</v>
          </cell>
          <cell r="D2290" t="str">
            <v xml:space="preserve">Adaptive Aids/DME </v>
          </cell>
          <cell r="E2290" t="str">
            <v xml:space="preserve">Adaptive Aid- Medical Equipment (CDS) </v>
          </cell>
          <cell r="F2290" t="str">
            <v>T2029SHUC</v>
          </cell>
        </row>
        <row r="2291">
          <cell r="A2291" t="str">
            <v>1915(c) waiver</v>
          </cell>
          <cell r="C2291" t="str">
            <v>STAR Health MDCP</v>
          </cell>
          <cell r="D2291" t="str">
            <v xml:space="preserve">Adaptive Aids/DME </v>
          </cell>
          <cell r="E2291" t="str">
            <v>Adaptive Aid- NOS</v>
          </cell>
          <cell r="F2291" t="str">
            <v>T2028SH</v>
          </cell>
        </row>
        <row r="2292">
          <cell r="A2292" t="str">
            <v>1915(c) waiver</v>
          </cell>
          <cell r="C2292" t="str">
            <v>STAR Health MDCP</v>
          </cell>
          <cell r="D2292" t="str">
            <v xml:space="preserve">Adaptive Aids/DME </v>
          </cell>
          <cell r="E2292" t="str">
            <v xml:space="preserve">Adaptive Aid- NOS (CDS) </v>
          </cell>
          <cell r="F2292" t="str">
            <v>T2028SHUC</v>
          </cell>
        </row>
        <row r="2293">
          <cell r="A2293" t="str">
            <v>1915(c) waiver</v>
          </cell>
          <cell r="C2293" t="str">
            <v>STAR Health MDCP</v>
          </cell>
          <cell r="D2293" t="str">
            <v xml:space="preserve">Adaptive Aids/DME </v>
          </cell>
          <cell r="E2293" t="str">
            <v>Adaptive Aid- Vehicle Modification</v>
          </cell>
          <cell r="F2293" t="str">
            <v>T2039SH</v>
          </cell>
        </row>
        <row r="2294">
          <cell r="A2294" t="str">
            <v>1915(c) waiver</v>
          </cell>
          <cell r="C2294" t="str">
            <v>STAR Health MDCP</v>
          </cell>
          <cell r="D2294" t="str">
            <v xml:space="preserve">Adaptive Aids/DME </v>
          </cell>
          <cell r="E2294" t="str">
            <v xml:space="preserve">Adaptive Aid- Vehicle Modification (CDS) </v>
          </cell>
          <cell r="F2294" t="str">
            <v>T2039SHUC</v>
          </cell>
        </row>
        <row r="2295">
          <cell r="A2295" t="str">
            <v>1915(c) waiver</v>
          </cell>
          <cell r="C2295" t="str">
            <v>STAR Health MDCP</v>
          </cell>
          <cell r="D2295" t="str">
            <v>Employment Services</v>
          </cell>
          <cell r="E2295" t="str">
            <v xml:space="preserve"> Employment Assistance (AO) </v>
          </cell>
          <cell r="F2295" t="str">
            <v>H2025SHU1</v>
          </cell>
        </row>
        <row r="2296">
          <cell r="A2296" t="str">
            <v>1915(c) waiver</v>
          </cell>
          <cell r="C2296" t="str">
            <v>STAR Health MDCP</v>
          </cell>
          <cell r="D2296" t="str">
            <v>Employment Services</v>
          </cell>
          <cell r="E2296" t="str">
            <v xml:space="preserve"> Employment Assistance (AO) </v>
          </cell>
          <cell r="F2296" t="str">
            <v>H2023SH</v>
          </cell>
        </row>
        <row r="2297">
          <cell r="A2297" t="str">
            <v>1915(c) waiver</v>
          </cell>
          <cell r="C2297" t="str">
            <v>STAR Health MDCP</v>
          </cell>
          <cell r="D2297" t="str">
            <v>Employment Services</v>
          </cell>
          <cell r="E2297" t="str">
            <v xml:space="preserve"> Employment Assistance (CDS) </v>
          </cell>
          <cell r="F2297" t="str">
            <v>H2023SHUC</v>
          </cell>
        </row>
        <row r="2298">
          <cell r="A2298" t="str">
            <v>1915(c) waiver</v>
          </cell>
          <cell r="C2298" t="str">
            <v>STAR Health MDCP</v>
          </cell>
          <cell r="D2298" t="str">
            <v>Employment Services</v>
          </cell>
          <cell r="E2298" t="str">
            <v xml:space="preserve"> Employment Assistance (SRO) </v>
          </cell>
          <cell r="F2298" t="str">
            <v>H2025SHU2</v>
          </cell>
        </row>
        <row r="2299">
          <cell r="A2299" t="str">
            <v>1915(c) waiver</v>
          </cell>
          <cell r="C2299" t="str">
            <v>STAR Health MDCP</v>
          </cell>
          <cell r="D2299" t="str">
            <v>Employment Services</v>
          </cell>
          <cell r="E2299" t="str">
            <v xml:space="preserve"> Employment Assistance (SRO) </v>
          </cell>
          <cell r="F2299" t="str">
            <v>H2023SHUS</v>
          </cell>
        </row>
        <row r="2300">
          <cell r="A2300" t="str">
            <v>1915(c) waiver</v>
          </cell>
          <cell r="C2300" t="str">
            <v>STAR Health MDCP</v>
          </cell>
          <cell r="D2300" t="str">
            <v>Employment Services</v>
          </cell>
          <cell r="E2300" t="str">
            <v xml:space="preserve">Supported Employment (AO) </v>
          </cell>
          <cell r="F2300" t="str">
            <v>H2023SHU1</v>
          </cell>
        </row>
        <row r="2301">
          <cell r="A2301" t="str">
            <v>1915(c) waiver</v>
          </cell>
          <cell r="C2301" t="str">
            <v>STAR Health MDCP</v>
          </cell>
          <cell r="D2301" t="str">
            <v>Employment Services</v>
          </cell>
          <cell r="E2301" t="str">
            <v xml:space="preserve">Supported Employment (AO) </v>
          </cell>
          <cell r="F2301" t="str">
            <v>H2025SH</v>
          </cell>
        </row>
        <row r="2302">
          <cell r="A2302" t="str">
            <v>1915(c) waiver</v>
          </cell>
          <cell r="C2302" t="str">
            <v>STAR Health MDCP</v>
          </cell>
          <cell r="D2302" t="str">
            <v>Employment Services</v>
          </cell>
          <cell r="E2302" t="str">
            <v xml:space="preserve">Supported Employment (CDS) </v>
          </cell>
          <cell r="F2302" t="str">
            <v>H2025SHUC</v>
          </cell>
        </row>
        <row r="2303">
          <cell r="A2303" t="str">
            <v>1915(c) waiver</v>
          </cell>
          <cell r="C2303" t="str">
            <v>STAR Health MDCP</v>
          </cell>
          <cell r="D2303" t="str">
            <v>Employment Services</v>
          </cell>
          <cell r="E2303" t="str">
            <v xml:space="preserve">Supported Employment (SRO) </v>
          </cell>
          <cell r="F2303" t="str">
            <v>H2023SHU2</v>
          </cell>
        </row>
        <row r="2304">
          <cell r="A2304" t="str">
            <v>1915(c) waiver</v>
          </cell>
          <cell r="C2304" t="str">
            <v>STAR Health MDCP</v>
          </cell>
          <cell r="D2304" t="str">
            <v>Employment Services</v>
          </cell>
          <cell r="E2304" t="str">
            <v xml:space="preserve">Supported Employment (SRO) </v>
          </cell>
          <cell r="F2304" t="str">
            <v>H2025SHUS</v>
          </cell>
        </row>
        <row r="2305">
          <cell r="A2305" t="str">
            <v>1915(c) waiver</v>
          </cell>
          <cell r="C2305" t="str">
            <v>STAR Health MDCP</v>
          </cell>
          <cell r="D2305" t="str">
            <v>Flexible Family Supports</v>
          </cell>
          <cell r="E2305" t="str">
            <v xml:space="preserve">Attendant (AO) </v>
          </cell>
          <cell r="F2305" t="str">
            <v>S9482SHU4U1</v>
          </cell>
        </row>
        <row r="2306">
          <cell r="A2306" t="str">
            <v>1915(c) waiver</v>
          </cell>
          <cell r="C2306" t="str">
            <v>STAR Health MDCP</v>
          </cell>
          <cell r="D2306" t="str">
            <v>Flexible Family Supports</v>
          </cell>
          <cell r="E2306" t="str">
            <v xml:space="preserve">Attendant (AO) </v>
          </cell>
          <cell r="F2306" t="str">
            <v>H2015SH99U1</v>
          </cell>
        </row>
        <row r="2307">
          <cell r="A2307" t="str">
            <v>1915(c) waiver</v>
          </cell>
          <cell r="C2307" t="str">
            <v>STAR Health MDCP</v>
          </cell>
          <cell r="D2307" t="str">
            <v>Flexible Family Supports</v>
          </cell>
          <cell r="E2307" t="str">
            <v xml:space="preserve">Attendant (CDS) </v>
          </cell>
          <cell r="F2307" t="str">
            <v>S9482SHU4UC</v>
          </cell>
        </row>
        <row r="2308">
          <cell r="A2308" t="str">
            <v>1915(c) waiver</v>
          </cell>
          <cell r="C2308" t="str">
            <v>STAR Health MDCP</v>
          </cell>
          <cell r="D2308" t="str">
            <v>Flexible Family Supports</v>
          </cell>
          <cell r="E2308" t="str">
            <v xml:space="preserve">Attendant (CDS) </v>
          </cell>
          <cell r="F2308" t="str">
            <v>H2015SH99U1UC</v>
          </cell>
        </row>
        <row r="2309">
          <cell r="A2309" t="str">
            <v>1915(c) waiver</v>
          </cell>
          <cell r="C2309" t="str">
            <v>STAR Health MDCP</v>
          </cell>
          <cell r="D2309" t="str">
            <v>Flexible Family Supports</v>
          </cell>
          <cell r="E2309" t="str">
            <v xml:space="preserve">Attendant (SRO) </v>
          </cell>
          <cell r="F2309" t="str">
            <v>S9482SHU4U2</v>
          </cell>
        </row>
        <row r="2310">
          <cell r="A2310" t="str">
            <v>1915(c) waiver</v>
          </cell>
          <cell r="C2310" t="str">
            <v>STAR Health MDCP</v>
          </cell>
          <cell r="D2310" t="str">
            <v>Flexible Family Supports</v>
          </cell>
          <cell r="E2310" t="str">
            <v xml:space="preserve">Attendant (SRO) </v>
          </cell>
          <cell r="F2310" t="str">
            <v>H2015SH99U1US</v>
          </cell>
        </row>
        <row r="2311">
          <cell r="A2311" t="str">
            <v>1915(c) waiver</v>
          </cell>
          <cell r="C2311" t="str">
            <v>STAR Health MDCP</v>
          </cell>
          <cell r="D2311" t="str">
            <v>Flexible Family Supports</v>
          </cell>
          <cell r="E2311" t="str">
            <v xml:space="preserve">Attendant with RN delegation (AO) </v>
          </cell>
          <cell r="F2311" t="str">
            <v>S9482SHU4TDU1</v>
          </cell>
        </row>
        <row r="2312">
          <cell r="A2312" t="str">
            <v>1915(c) waiver</v>
          </cell>
          <cell r="C2312" t="str">
            <v>STAR Health MDCP</v>
          </cell>
          <cell r="D2312" t="str">
            <v>Flexible Family Supports</v>
          </cell>
          <cell r="E2312" t="str">
            <v xml:space="preserve">Attendant with RN delegation (AO) </v>
          </cell>
          <cell r="F2312" t="str">
            <v>H2015SH99U1UA</v>
          </cell>
        </row>
        <row r="2313">
          <cell r="A2313" t="str">
            <v>1915(c) waiver</v>
          </cell>
          <cell r="C2313" t="str">
            <v>STAR Health MDCP</v>
          </cell>
          <cell r="D2313" t="str">
            <v>Flexible Family Supports</v>
          </cell>
          <cell r="E2313" t="str">
            <v xml:space="preserve">Attendant with RN delegation (AO) </v>
          </cell>
          <cell r="F2313" t="str">
            <v>H2015SH99U199</v>
          </cell>
        </row>
        <row r="2314">
          <cell r="A2314" t="str">
            <v>1915(c) waiver</v>
          </cell>
          <cell r="C2314" t="str">
            <v>STAR Health MDCP</v>
          </cell>
          <cell r="D2314" t="str">
            <v>Flexible Family Supports</v>
          </cell>
          <cell r="E2314" t="str">
            <v xml:space="preserve">Attendant with RN delegation (CDS) </v>
          </cell>
          <cell r="F2314" t="str">
            <v>S9482SHU4TDUC</v>
          </cell>
        </row>
        <row r="2315">
          <cell r="A2315" t="str">
            <v>1915(c) waiver</v>
          </cell>
          <cell r="C2315" t="str">
            <v>STAR Health MDCP</v>
          </cell>
          <cell r="D2315" t="str">
            <v>Flexible Family Supports</v>
          </cell>
          <cell r="E2315" t="str">
            <v xml:space="preserve">Attendant with RN delegation (CDS) </v>
          </cell>
          <cell r="F2315" t="str">
            <v>H2015SH99U1UAUC</v>
          </cell>
        </row>
        <row r="2316">
          <cell r="A2316" t="str">
            <v>1915(c) waiver</v>
          </cell>
          <cell r="C2316" t="str">
            <v>STAR Health MDCP</v>
          </cell>
          <cell r="D2316" t="str">
            <v>Flexible Family Supports</v>
          </cell>
          <cell r="E2316" t="str">
            <v xml:space="preserve">Attendant with RN delegation (CDS) </v>
          </cell>
          <cell r="F2316" t="str">
            <v>H2015SH99U199UC</v>
          </cell>
        </row>
        <row r="2317">
          <cell r="A2317" t="str">
            <v>1915(c) waiver</v>
          </cell>
          <cell r="C2317" t="str">
            <v>STAR Health MDCP</v>
          </cell>
          <cell r="D2317" t="str">
            <v>Flexible Family Supports</v>
          </cell>
          <cell r="E2317" t="str">
            <v xml:space="preserve">Attendant with RN delegation (SRO) </v>
          </cell>
          <cell r="F2317" t="str">
            <v>S9482SHU4TDU2</v>
          </cell>
        </row>
        <row r="2318">
          <cell r="A2318" t="str">
            <v>1915(c) waiver</v>
          </cell>
          <cell r="C2318" t="str">
            <v>STAR Health MDCP</v>
          </cell>
          <cell r="D2318" t="str">
            <v>Flexible Family Supports</v>
          </cell>
          <cell r="E2318" t="str">
            <v xml:space="preserve">Attendant with RN delegation (SRO) </v>
          </cell>
          <cell r="F2318" t="str">
            <v>H2015SH99U1UAUS</v>
          </cell>
        </row>
        <row r="2319">
          <cell r="A2319" t="str">
            <v>1915(c) waiver</v>
          </cell>
          <cell r="C2319" t="str">
            <v>STAR Health MDCP</v>
          </cell>
          <cell r="D2319" t="str">
            <v>Flexible Family Supports</v>
          </cell>
          <cell r="E2319" t="str">
            <v xml:space="preserve">Attendant with RN delegation (SRO) </v>
          </cell>
          <cell r="F2319" t="str">
            <v>H2015SH99U199US</v>
          </cell>
        </row>
        <row r="2320">
          <cell r="A2320" t="str">
            <v>1915(c) waiver</v>
          </cell>
          <cell r="C2320" t="str">
            <v>STAR Health MDCP</v>
          </cell>
          <cell r="D2320" t="str">
            <v>Flexible Family Supports</v>
          </cell>
          <cell r="E2320" t="str">
            <v xml:space="preserve">LVN (AO) </v>
          </cell>
          <cell r="F2320" t="str">
            <v>S9482SHTEU1</v>
          </cell>
        </row>
        <row r="2321">
          <cell r="A2321" t="str">
            <v>1915(c) waiver</v>
          </cell>
          <cell r="C2321" t="str">
            <v>STAR Health MDCP</v>
          </cell>
          <cell r="D2321" t="str">
            <v>Flexible Family Supports</v>
          </cell>
          <cell r="E2321" t="str">
            <v xml:space="preserve">LVN (AO) </v>
          </cell>
          <cell r="F2321" t="str">
            <v>H2015SH99U3</v>
          </cell>
        </row>
        <row r="2322">
          <cell r="A2322" t="str">
            <v>1915(c) waiver</v>
          </cell>
          <cell r="C2322" t="str">
            <v>STAR Health MDCP</v>
          </cell>
          <cell r="D2322" t="str">
            <v>Flexible Family Supports</v>
          </cell>
          <cell r="E2322" t="str">
            <v xml:space="preserve">LVN (CDS) </v>
          </cell>
          <cell r="F2322" t="str">
            <v>S9482SHTEUC</v>
          </cell>
        </row>
        <row r="2323">
          <cell r="A2323" t="str">
            <v>1915(c) waiver</v>
          </cell>
          <cell r="C2323" t="str">
            <v>STAR Health MDCP</v>
          </cell>
          <cell r="D2323" t="str">
            <v>Flexible Family Supports</v>
          </cell>
          <cell r="E2323" t="str">
            <v xml:space="preserve">LVN (CDS) </v>
          </cell>
          <cell r="F2323" t="str">
            <v>H2015SH99U3UC</v>
          </cell>
        </row>
        <row r="2324">
          <cell r="A2324" t="str">
            <v>1915(c) waiver</v>
          </cell>
          <cell r="C2324" t="str">
            <v>STAR Health MDCP</v>
          </cell>
          <cell r="D2324" t="str">
            <v>Flexible Family Supports</v>
          </cell>
          <cell r="E2324" t="str">
            <v xml:space="preserve">LVN (SRO) </v>
          </cell>
          <cell r="F2324" t="str">
            <v>S9482SHTEU2</v>
          </cell>
        </row>
        <row r="2325">
          <cell r="A2325" t="str">
            <v>1915(c) waiver</v>
          </cell>
          <cell r="C2325" t="str">
            <v>STAR Health MDCP</v>
          </cell>
          <cell r="D2325" t="str">
            <v>Flexible Family Supports</v>
          </cell>
          <cell r="E2325" t="str">
            <v xml:space="preserve">LVN (SRO) </v>
          </cell>
          <cell r="F2325" t="str">
            <v>H2015SH99U3US</v>
          </cell>
        </row>
        <row r="2326">
          <cell r="A2326" t="str">
            <v>1915(c) waiver</v>
          </cell>
          <cell r="C2326" t="str">
            <v>STAR Health MDCP</v>
          </cell>
          <cell r="D2326" t="str">
            <v>Flexible Family Supports</v>
          </cell>
          <cell r="E2326" t="str">
            <v xml:space="preserve">RN (AO) </v>
          </cell>
          <cell r="F2326" t="str">
            <v>S9482SHTDU1</v>
          </cell>
        </row>
        <row r="2327">
          <cell r="A2327" t="str">
            <v>1915(c) waiver</v>
          </cell>
          <cell r="C2327" t="str">
            <v>STAR Health MDCP</v>
          </cell>
          <cell r="D2327" t="str">
            <v>Flexible Family Supports</v>
          </cell>
          <cell r="E2327" t="str">
            <v xml:space="preserve">RN (AO) </v>
          </cell>
          <cell r="F2327" t="str">
            <v>H2015SH99U5</v>
          </cell>
        </row>
        <row r="2328">
          <cell r="A2328" t="str">
            <v>1915(c) waiver</v>
          </cell>
          <cell r="C2328" t="str">
            <v>STAR Health MDCP</v>
          </cell>
          <cell r="D2328" t="str">
            <v>Flexible Family Supports</v>
          </cell>
          <cell r="E2328" t="str">
            <v xml:space="preserve">RN (CDS) </v>
          </cell>
          <cell r="F2328" t="str">
            <v>S9482SHTDUC</v>
          </cell>
        </row>
        <row r="2329">
          <cell r="A2329" t="str">
            <v>1915(c) waiver</v>
          </cell>
          <cell r="C2329" t="str">
            <v>STAR Health MDCP</v>
          </cell>
          <cell r="D2329" t="str">
            <v>Flexible Family Supports</v>
          </cell>
          <cell r="E2329" t="str">
            <v xml:space="preserve">RN (CDS) </v>
          </cell>
          <cell r="F2329" t="str">
            <v>H2015SH99U5UC</v>
          </cell>
        </row>
        <row r="2330">
          <cell r="A2330" t="str">
            <v>1915(c) waiver</v>
          </cell>
          <cell r="C2330" t="str">
            <v>STAR Health MDCP</v>
          </cell>
          <cell r="D2330" t="str">
            <v>Flexible Family Supports</v>
          </cell>
          <cell r="E2330" t="str">
            <v xml:space="preserve">RN (SRO) </v>
          </cell>
          <cell r="F2330" t="str">
            <v>S9482SHTDU2</v>
          </cell>
        </row>
        <row r="2331">
          <cell r="A2331" t="str">
            <v>1915(c) waiver</v>
          </cell>
          <cell r="C2331" t="str">
            <v>STAR Health MDCP</v>
          </cell>
          <cell r="D2331" t="str">
            <v>Flexible Family Supports</v>
          </cell>
          <cell r="E2331" t="str">
            <v xml:space="preserve">RN (SRO) </v>
          </cell>
          <cell r="F2331" t="str">
            <v>H2015SH99U5US</v>
          </cell>
        </row>
        <row r="2332">
          <cell r="A2332" t="str">
            <v>1915(c) waiver</v>
          </cell>
          <cell r="C2332" t="str">
            <v>STAR Health MDCP</v>
          </cell>
          <cell r="D2332" t="str">
            <v>Flexible Family Supports</v>
          </cell>
          <cell r="E2332" t="str">
            <v xml:space="preserve">Specialized LVN (AO) </v>
          </cell>
          <cell r="F2332" t="str">
            <v>S9482SHTEU7U1</v>
          </cell>
        </row>
        <row r="2333">
          <cell r="A2333" t="str">
            <v>1915(c) waiver</v>
          </cell>
          <cell r="C2333" t="str">
            <v>STAR Health MDCP</v>
          </cell>
          <cell r="D2333" t="str">
            <v>Flexible Family Supports</v>
          </cell>
          <cell r="E2333" t="str">
            <v xml:space="preserve">Specialized LVN (AO) </v>
          </cell>
          <cell r="F2333" t="str">
            <v>H2015SH99U3UA</v>
          </cell>
        </row>
        <row r="2334">
          <cell r="A2334" t="str">
            <v>1915(c) waiver</v>
          </cell>
          <cell r="C2334" t="str">
            <v>STAR Health MDCP</v>
          </cell>
          <cell r="D2334" t="str">
            <v>Flexible Family Supports</v>
          </cell>
          <cell r="E2334" t="str">
            <v xml:space="preserve">Specialized LVN (AO) </v>
          </cell>
          <cell r="F2334" t="str">
            <v>H2015SH99U399</v>
          </cell>
        </row>
        <row r="2335">
          <cell r="A2335" t="str">
            <v>1915(c) waiver</v>
          </cell>
          <cell r="C2335" t="str">
            <v>STAR Health MDCP</v>
          </cell>
          <cell r="D2335" t="str">
            <v>Flexible Family Supports</v>
          </cell>
          <cell r="E2335" t="str">
            <v xml:space="preserve">Specialized LVN (CDS) </v>
          </cell>
          <cell r="F2335" t="str">
            <v>S9482SHTEU7UC</v>
          </cell>
        </row>
        <row r="2336">
          <cell r="A2336" t="str">
            <v>1915(c) waiver</v>
          </cell>
          <cell r="C2336" t="str">
            <v>STAR Health MDCP</v>
          </cell>
          <cell r="D2336" t="str">
            <v>Flexible Family Supports</v>
          </cell>
          <cell r="E2336" t="str">
            <v xml:space="preserve">Specialized LVN (CDS) </v>
          </cell>
          <cell r="F2336" t="str">
            <v>H2015SH99U3UAUC</v>
          </cell>
        </row>
        <row r="2337">
          <cell r="A2337" t="str">
            <v>1915(c) waiver</v>
          </cell>
          <cell r="C2337" t="str">
            <v>STAR Health MDCP</v>
          </cell>
          <cell r="D2337" t="str">
            <v>Flexible Family Supports</v>
          </cell>
          <cell r="E2337" t="str">
            <v xml:space="preserve">Specialized LVN (CDS) </v>
          </cell>
          <cell r="F2337" t="str">
            <v>H2015SH99U399UC</v>
          </cell>
        </row>
        <row r="2338">
          <cell r="A2338" t="str">
            <v>1915(c) waiver</v>
          </cell>
          <cell r="C2338" t="str">
            <v>STAR Health MDCP</v>
          </cell>
          <cell r="D2338" t="str">
            <v>Flexible Family Supports</v>
          </cell>
          <cell r="E2338" t="str">
            <v xml:space="preserve">Specialized LVN (SRO) </v>
          </cell>
          <cell r="F2338" t="str">
            <v>S9482SHTEU7U2</v>
          </cell>
        </row>
        <row r="2339">
          <cell r="A2339" t="str">
            <v>1915(c) waiver</v>
          </cell>
          <cell r="C2339" t="str">
            <v>STAR Health MDCP</v>
          </cell>
          <cell r="D2339" t="str">
            <v>Flexible Family Supports</v>
          </cell>
          <cell r="E2339" t="str">
            <v xml:space="preserve">Specialized LVN (SRO) </v>
          </cell>
          <cell r="F2339" t="str">
            <v>H2015SH99U3UAUS</v>
          </cell>
        </row>
        <row r="2340">
          <cell r="A2340" t="str">
            <v>1915(c) waiver</v>
          </cell>
          <cell r="C2340" t="str">
            <v>STAR Health MDCP</v>
          </cell>
          <cell r="D2340" t="str">
            <v>Flexible Family Supports</v>
          </cell>
          <cell r="E2340" t="str">
            <v xml:space="preserve">Specialized LVN (SRO) </v>
          </cell>
          <cell r="F2340" t="str">
            <v>H2015SH99U399US</v>
          </cell>
        </row>
        <row r="2341">
          <cell r="A2341" t="str">
            <v>1915(c) waiver</v>
          </cell>
          <cell r="C2341" t="str">
            <v>STAR Health MDCP</v>
          </cell>
          <cell r="D2341" t="str">
            <v>Flexible Family Supports</v>
          </cell>
          <cell r="E2341" t="str">
            <v xml:space="preserve">Specialized RN (AO) </v>
          </cell>
          <cell r="F2341" t="str">
            <v>S9482SHTDU7U1</v>
          </cell>
        </row>
        <row r="2342">
          <cell r="A2342" t="str">
            <v>1915(c) waiver</v>
          </cell>
          <cell r="C2342" t="str">
            <v>STAR Health MDCP</v>
          </cell>
          <cell r="D2342" t="str">
            <v>Flexible Family Supports</v>
          </cell>
          <cell r="E2342" t="str">
            <v xml:space="preserve">Specialized RN (AO) </v>
          </cell>
          <cell r="F2342" t="str">
            <v>H2015SH99U5UA</v>
          </cell>
        </row>
        <row r="2343">
          <cell r="A2343" t="str">
            <v>1915(c) waiver</v>
          </cell>
          <cell r="C2343" t="str">
            <v>STAR Health MDCP</v>
          </cell>
          <cell r="D2343" t="str">
            <v>Flexible Family Supports</v>
          </cell>
          <cell r="E2343" t="str">
            <v xml:space="preserve">Specialized RN (AO) </v>
          </cell>
          <cell r="F2343" t="str">
            <v>H2015SH99U599</v>
          </cell>
        </row>
        <row r="2344">
          <cell r="A2344" t="str">
            <v>1915(c) waiver</v>
          </cell>
          <cell r="C2344" t="str">
            <v>STAR Health MDCP</v>
          </cell>
          <cell r="D2344" t="str">
            <v>Flexible Family Supports</v>
          </cell>
          <cell r="E2344" t="str">
            <v xml:space="preserve">Specialized RN (CDS) </v>
          </cell>
          <cell r="F2344" t="str">
            <v>S9482SHTDU7UC</v>
          </cell>
        </row>
        <row r="2345">
          <cell r="A2345" t="str">
            <v>1915(c) waiver</v>
          </cell>
          <cell r="C2345" t="str">
            <v>STAR Health MDCP</v>
          </cell>
          <cell r="D2345" t="str">
            <v>Flexible Family Supports</v>
          </cell>
          <cell r="E2345" t="str">
            <v xml:space="preserve">Specialized RN (CDS) </v>
          </cell>
          <cell r="F2345" t="str">
            <v>H2015SH99U5UAUC</v>
          </cell>
        </row>
        <row r="2346">
          <cell r="A2346" t="str">
            <v>1915(c) waiver</v>
          </cell>
          <cell r="C2346" t="str">
            <v>STAR Health MDCP</v>
          </cell>
          <cell r="D2346" t="str">
            <v>Flexible Family Supports</v>
          </cell>
          <cell r="E2346" t="str">
            <v xml:space="preserve">Specialized RN (CDS) </v>
          </cell>
          <cell r="F2346" t="str">
            <v>H2015SH99U599UC</v>
          </cell>
        </row>
        <row r="2347">
          <cell r="A2347" t="str">
            <v>1915(c) waiver</v>
          </cell>
          <cell r="C2347" t="str">
            <v>STAR Health MDCP</v>
          </cell>
          <cell r="D2347" t="str">
            <v>Flexible Family Supports</v>
          </cell>
          <cell r="E2347" t="str">
            <v xml:space="preserve">Specialized RN (SRO) </v>
          </cell>
          <cell r="F2347" t="str">
            <v>S9482SHTDU7U2</v>
          </cell>
        </row>
        <row r="2348">
          <cell r="A2348" t="str">
            <v>1915(c) waiver</v>
          </cell>
          <cell r="C2348" t="str">
            <v>STAR Health MDCP</v>
          </cell>
          <cell r="D2348" t="str">
            <v>Flexible Family Supports</v>
          </cell>
          <cell r="E2348" t="str">
            <v xml:space="preserve">Specialized RN (SRO) </v>
          </cell>
          <cell r="F2348" t="str">
            <v>H2015SH99U5UAUS</v>
          </cell>
        </row>
        <row r="2349">
          <cell r="A2349" t="str">
            <v>1915(c) waiver</v>
          </cell>
          <cell r="C2349" t="str">
            <v>STAR Health MDCP</v>
          </cell>
          <cell r="D2349" t="str">
            <v>Flexible Family Supports</v>
          </cell>
          <cell r="E2349" t="str">
            <v xml:space="preserve">Specialized RN (SRO) </v>
          </cell>
          <cell r="F2349" t="str">
            <v>H2015SH99U599US</v>
          </cell>
        </row>
        <row r="2350">
          <cell r="A2350" t="str">
            <v>State Plan (Title XIX)</v>
          </cell>
          <cell r="C2350" t="str">
            <v>STAR Health MDCP</v>
          </cell>
          <cell r="D2350" t="str">
            <v>FMS</v>
          </cell>
          <cell r="E2350" t="str">
            <v>Financial Management Service Fee, CFC and MDCP (CDS)</v>
          </cell>
          <cell r="F2350" t="str">
            <v>T2040SHU4</v>
          </cell>
          <cell r="P2350" t="str">
            <v>CFC</v>
          </cell>
        </row>
        <row r="2351">
          <cell r="A2351" t="str">
            <v>1915(c) waiver</v>
          </cell>
          <cell r="C2351" t="str">
            <v>STAR Health MDCP</v>
          </cell>
          <cell r="D2351" t="str">
            <v>FMS</v>
          </cell>
          <cell r="E2351" t="str">
            <v>Financial Management Service Fee, MDCP (CDS)</v>
          </cell>
          <cell r="F2351" t="str">
            <v>T2040SHU3</v>
          </cell>
        </row>
        <row r="2352">
          <cell r="A2352" t="str">
            <v>1915(c) waiver</v>
          </cell>
          <cell r="C2352" t="str">
            <v>STAR Health MDCP</v>
          </cell>
          <cell r="D2352" t="str">
            <v>Home Modifications</v>
          </cell>
          <cell r="E2352" t="str">
            <v xml:space="preserve">Minor Home Modifications </v>
          </cell>
          <cell r="F2352" t="str">
            <v>S5165SH</v>
          </cell>
        </row>
        <row r="2353">
          <cell r="A2353" t="str">
            <v>1915(c) waiver</v>
          </cell>
          <cell r="C2353" t="str">
            <v>STAR Health MDCP</v>
          </cell>
          <cell r="D2353" t="str">
            <v>Home Modifications</v>
          </cell>
          <cell r="E2353" t="str">
            <v xml:space="preserve">Minor Home Modifications (CDS) </v>
          </cell>
          <cell r="F2353" t="str">
            <v>S5165SHUC</v>
          </cell>
        </row>
        <row r="2354">
          <cell r="A2354" t="str">
            <v>1915(c) waiver</v>
          </cell>
          <cell r="C2354" t="str">
            <v>STAR Health MDCP</v>
          </cell>
          <cell r="D2354" t="str">
            <v>In Home Respite</v>
          </cell>
          <cell r="E2354" t="str">
            <v xml:space="preserve">Attendant (AO) </v>
          </cell>
          <cell r="F2354" t="str">
            <v>H2015SHU1</v>
          </cell>
        </row>
        <row r="2355">
          <cell r="A2355" t="str">
            <v>1915(c) waiver</v>
          </cell>
          <cell r="C2355" t="str">
            <v>STAR Health MDCP</v>
          </cell>
          <cell r="D2355" t="str">
            <v>In Home Respite</v>
          </cell>
          <cell r="E2355" t="str">
            <v xml:space="preserve">Attendant (CDS) </v>
          </cell>
          <cell r="F2355" t="str">
            <v>H2015SHU1UC</v>
          </cell>
        </row>
        <row r="2356">
          <cell r="A2356" t="str">
            <v>1915(c) waiver</v>
          </cell>
          <cell r="C2356" t="str">
            <v>STAR Health MDCP</v>
          </cell>
          <cell r="D2356" t="str">
            <v>In Home Respite</v>
          </cell>
          <cell r="E2356" t="str">
            <v xml:space="preserve">Attendant (SRO) </v>
          </cell>
          <cell r="F2356" t="str">
            <v>H2015SHU1US</v>
          </cell>
        </row>
        <row r="2357">
          <cell r="A2357" t="str">
            <v>1915(c) waiver</v>
          </cell>
          <cell r="C2357" t="str">
            <v>STAR Health MDCP</v>
          </cell>
          <cell r="D2357" t="str">
            <v>In Home Respite</v>
          </cell>
          <cell r="E2357" t="str">
            <v xml:space="preserve">Attendant with RN delegation (AO) </v>
          </cell>
          <cell r="F2357" t="str">
            <v>H2015SHU1UA</v>
          </cell>
        </row>
        <row r="2358">
          <cell r="A2358" t="str">
            <v>1915(c) waiver</v>
          </cell>
          <cell r="C2358" t="str">
            <v>STAR Health MDCP</v>
          </cell>
          <cell r="D2358" t="str">
            <v>In Home Respite</v>
          </cell>
          <cell r="E2358" t="str">
            <v xml:space="preserve">Attendant with RN delegation (AO) </v>
          </cell>
          <cell r="F2358" t="str">
            <v>H2015SHU199</v>
          </cell>
        </row>
        <row r="2359">
          <cell r="A2359" t="str">
            <v>1915(c) waiver</v>
          </cell>
          <cell r="C2359" t="str">
            <v>STAR Health MDCP</v>
          </cell>
          <cell r="D2359" t="str">
            <v>In Home Respite</v>
          </cell>
          <cell r="E2359" t="str">
            <v xml:space="preserve">Attendant with RN delegation (CDS) </v>
          </cell>
          <cell r="F2359" t="str">
            <v>H2015SHU1UAUC</v>
          </cell>
        </row>
        <row r="2360">
          <cell r="A2360" t="str">
            <v>1915(c) waiver</v>
          </cell>
          <cell r="C2360" t="str">
            <v>STAR Health MDCP</v>
          </cell>
          <cell r="D2360" t="str">
            <v>In Home Respite</v>
          </cell>
          <cell r="E2360" t="str">
            <v xml:space="preserve">Attendant with RN delegation (CDS) </v>
          </cell>
          <cell r="F2360" t="str">
            <v>H2015SHU199UC</v>
          </cell>
        </row>
        <row r="2361">
          <cell r="A2361" t="str">
            <v>1915(c) waiver</v>
          </cell>
          <cell r="C2361" t="str">
            <v>STAR Health MDCP</v>
          </cell>
          <cell r="D2361" t="str">
            <v>In Home Respite</v>
          </cell>
          <cell r="E2361" t="str">
            <v xml:space="preserve">Attendant with RN delegation (SRO) </v>
          </cell>
          <cell r="F2361" t="str">
            <v>H2015SHU1UAUS</v>
          </cell>
        </row>
        <row r="2362">
          <cell r="A2362" t="str">
            <v>1915(c) waiver</v>
          </cell>
          <cell r="C2362" t="str">
            <v>STAR Health MDCP</v>
          </cell>
          <cell r="D2362" t="str">
            <v>In Home Respite</v>
          </cell>
          <cell r="E2362" t="str">
            <v xml:space="preserve">Attendant with RN delegation (SRO) </v>
          </cell>
          <cell r="F2362" t="str">
            <v>H2015SHU199US</v>
          </cell>
        </row>
        <row r="2363">
          <cell r="A2363" t="str">
            <v>1915(c) waiver</v>
          </cell>
          <cell r="C2363" t="str">
            <v>STAR Health MDCP</v>
          </cell>
          <cell r="D2363" t="str">
            <v>In Home Respite</v>
          </cell>
          <cell r="E2363" t="str">
            <v xml:space="preserve">LVN (AO) </v>
          </cell>
          <cell r="F2363" t="str">
            <v>H2015SHU3</v>
          </cell>
        </row>
        <row r="2364">
          <cell r="A2364" t="str">
            <v>1915(c) waiver</v>
          </cell>
          <cell r="C2364" t="str">
            <v>STAR Health MDCP</v>
          </cell>
          <cell r="D2364" t="str">
            <v>In Home Respite</v>
          </cell>
          <cell r="E2364" t="str">
            <v xml:space="preserve">LVN (CDS) </v>
          </cell>
          <cell r="F2364" t="str">
            <v>H2015SHU3UC</v>
          </cell>
        </row>
        <row r="2365">
          <cell r="A2365" t="str">
            <v>1915(c) waiver</v>
          </cell>
          <cell r="C2365" t="str">
            <v>STAR Health MDCP</v>
          </cell>
          <cell r="D2365" t="str">
            <v>In Home Respite</v>
          </cell>
          <cell r="E2365" t="str">
            <v xml:space="preserve">LVN (SRO) </v>
          </cell>
          <cell r="F2365" t="str">
            <v>H2015SHU3US</v>
          </cell>
        </row>
        <row r="2366">
          <cell r="A2366" t="str">
            <v>1915(c) waiver</v>
          </cell>
          <cell r="C2366" t="str">
            <v>STAR Health MDCP</v>
          </cell>
          <cell r="D2366" t="str">
            <v>In Home Respite</v>
          </cell>
          <cell r="E2366" t="str">
            <v xml:space="preserve">Respite Care provided by a LVN (AO) </v>
          </cell>
          <cell r="F2366" t="str">
            <v>T1005SHTEU1</v>
          </cell>
        </row>
        <row r="2367">
          <cell r="A2367" t="str">
            <v>1915(c) waiver</v>
          </cell>
          <cell r="C2367" t="str">
            <v>STAR Health MDCP</v>
          </cell>
          <cell r="D2367" t="str">
            <v>In Home Respite</v>
          </cell>
          <cell r="E2367" t="str">
            <v xml:space="preserve">Respite Care provided by a LVN (CDS) </v>
          </cell>
          <cell r="F2367" t="str">
            <v>T1005SHTEUC</v>
          </cell>
        </row>
        <row r="2368">
          <cell r="A2368" t="str">
            <v>1915(c) waiver</v>
          </cell>
          <cell r="C2368" t="str">
            <v>STAR Health MDCP</v>
          </cell>
          <cell r="D2368" t="str">
            <v>In Home Respite</v>
          </cell>
          <cell r="E2368" t="str">
            <v xml:space="preserve">Respite Care provided by a LVN Service (SRO) </v>
          </cell>
          <cell r="F2368" t="str">
            <v>T1005SHTEU2</v>
          </cell>
        </row>
        <row r="2369">
          <cell r="A2369" t="str">
            <v>1915(c) waiver</v>
          </cell>
          <cell r="C2369" t="str">
            <v>STAR Health MDCP</v>
          </cell>
          <cell r="D2369" t="str">
            <v>In Home Respite</v>
          </cell>
          <cell r="E2369" t="str">
            <v xml:space="preserve">Respite Care provided by a RN (AO) </v>
          </cell>
          <cell r="F2369" t="str">
            <v>T1005SHTDU1</v>
          </cell>
        </row>
        <row r="2370">
          <cell r="A2370" t="str">
            <v>1915(c) waiver</v>
          </cell>
          <cell r="C2370" t="str">
            <v>STAR Health MDCP</v>
          </cell>
          <cell r="D2370" t="str">
            <v>In Home Respite</v>
          </cell>
          <cell r="E2370" t="str">
            <v xml:space="preserve">Respite Care provided by a RN (CDS) </v>
          </cell>
          <cell r="F2370" t="str">
            <v>T1005SHTDUC</v>
          </cell>
        </row>
        <row r="2371">
          <cell r="A2371" t="str">
            <v>1915(c) waiver</v>
          </cell>
          <cell r="C2371" t="str">
            <v>STAR Health MDCP</v>
          </cell>
          <cell r="D2371" t="str">
            <v>In Home Respite</v>
          </cell>
          <cell r="E2371" t="str">
            <v xml:space="preserve">Respite Care provided by a RN (SRO) </v>
          </cell>
          <cell r="F2371" t="str">
            <v>T1005SHTDU2</v>
          </cell>
        </row>
        <row r="2372">
          <cell r="A2372" t="str">
            <v>1915(c) waiver</v>
          </cell>
          <cell r="C2372" t="str">
            <v>STAR Health MDCP</v>
          </cell>
          <cell r="D2372" t="str">
            <v>In Home Respite</v>
          </cell>
          <cell r="E2372" t="str">
            <v xml:space="preserve">Respite Care provided by a Specialized LVN (AO) </v>
          </cell>
          <cell r="F2372" t="str">
            <v>T1005SHTEU7U1</v>
          </cell>
        </row>
        <row r="2373">
          <cell r="A2373" t="str">
            <v>1915(c) waiver</v>
          </cell>
          <cell r="C2373" t="str">
            <v>STAR Health MDCP</v>
          </cell>
          <cell r="D2373" t="str">
            <v>In Home Respite</v>
          </cell>
          <cell r="E2373" t="str">
            <v xml:space="preserve">Respite Care provided by a Specialized LVN (CDS) </v>
          </cell>
          <cell r="F2373" t="str">
            <v>T1005SHTEU7UC</v>
          </cell>
        </row>
        <row r="2374">
          <cell r="A2374" t="str">
            <v>1915(c) waiver</v>
          </cell>
          <cell r="C2374" t="str">
            <v>STAR Health MDCP</v>
          </cell>
          <cell r="D2374" t="str">
            <v>In Home Respite</v>
          </cell>
          <cell r="E2374" t="str">
            <v xml:space="preserve">Respite Care provided by a Specialized LVN (SRO) </v>
          </cell>
          <cell r="F2374" t="str">
            <v>T1005SHTEU7U2</v>
          </cell>
        </row>
        <row r="2375">
          <cell r="A2375" t="str">
            <v>1915(c) waiver</v>
          </cell>
          <cell r="C2375" t="str">
            <v>STAR Health MDCP</v>
          </cell>
          <cell r="D2375" t="str">
            <v>In Home Respite</v>
          </cell>
          <cell r="E2375" t="str">
            <v xml:space="preserve">Respite Care provided by a Specialized RN (AO) </v>
          </cell>
          <cell r="F2375" t="str">
            <v>T1005SHTDU7U1</v>
          </cell>
        </row>
        <row r="2376">
          <cell r="A2376" t="str">
            <v>1915(c) waiver</v>
          </cell>
          <cell r="C2376" t="str">
            <v>STAR Health MDCP</v>
          </cell>
          <cell r="D2376" t="str">
            <v>In Home Respite</v>
          </cell>
          <cell r="E2376" t="str">
            <v xml:space="preserve">Respite Care provided by a Specialized RN (CDS) </v>
          </cell>
          <cell r="F2376" t="str">
            <v>T1005SHTDU7UC</v>
          </cell>
        </row>
        <row r="2377">
          <cell r="A2377" t="str">
            <v>1915(c) waiver</v>
          </cell>
          <cell r="C2377" t="str">
            <v>STAR Health MDCP</v>
          </cell>
          <cell r="D2377" t="str">
            <v>In Home Respite</v>
          </cell>
          <cell r="E2377" t="str">
            <v xml:space="preserve">Respite Care provided by a Specialized RN (SRO) </v>
          </cell>
          <cell r="F2377" t="str">
            <v>T1005SHTDU7U2</v>
          </cell>
        </row>
        <row r="2378">
          <cell r="A2378" t="str">
            <v>1915(c) waiver</v>
          </cell>
          <cell r="C2378" t="str">
            <v>STAR Health MDCP</v>
          </cell>
          <cell r="D2378" t="str">
            <v>In Home Respite</v>
          </cell>
          <cell r="E2378" t="str">
            <v xml:space="preserve">Respite Care provided by an Attendant (AO) </v>
          </cell>
          <cell r="F2378" t="str">
            <v>T1005SHU4U1</v>
          </cell>
        </row>
        <row r="2379">
          <cell r="A2379" t="str">
            <v>1915(c) waiver</v>
          </cell>
          <cell r="C2379" t="str">
            <v>STAR Health MDCP</v>
          </cell>
          <cell r="D2379" t="str">
            <v>In Home Respite</v>
          </cell>
          <cell r="E2379" t="str">
            <v xml:space="preserve">Respite Care provided by an Attendant (CDS) </v>
          </cell>
          <cell r="F2379" t="str">
            <v>T1005SHU4UC</v>
          </cell>
        </row>
        <row r="2380">
          <cell r="A2380" t="str">
            <v>1915(c) waiver</v>
          </cell>
          <cell r="C2380" t="str">
            <v>STAR Health MDCP</v>
          </cell>
          <cell r="D2380" t="str">
            <v>In Home Respite</v>
          </cell>
          <cell r="E2380" t="str">
            <v xml:space="preserve">Respite Care provided by an Attendant (SRO) </v>
          </cell>
          <cell r="F2380" t="str">
            <v>T1005SHU4U2</v>
          </cell>
        </row>
        <row r="2381">
          <cell r="A2381" t="str">
            <v>1915(c) waiver</v>
          </cell>
          <cell r="C2381" t="str">
            <v>STAR Health MDCP</v>
          </cell>
          <cell r="D2381" t="str">
            <v>In Home Respite</v>
          </cell>
          <cell r="E2381" t="str">
            <v xml:space="preserve">Respite Care provided by an Attendant with RN delegation (AO) </v>
          </cell>
          <cell r="F2381" t="str">
            <v>T1005SHU4TDU1</v>
          </cell>
        </row>
        <row r="2382">
          <cell r="A2382" t="str">
            <v>1915(c) waiver</v>
          </cell>
          <cell r="C2382" t="str">
            <v>STAR Health MDCP</v>
          </cell>
          <cell r="D2382" t="str">
            <v>In Home Respite</v>
          </cell>
          <cell r="E2382" t="str">
            <v xml:space="preserve">Respite Care provided by an Attendant with RN delegation (CDS) </v>
          </cell>
          <cell r="F2382" t="str">
            <v>T1005SHU4TDUC</v>
          </cell>
        </row>
        <row r="2383">
          <cell r="A2383" t="str">
            <v>1915(c) waiver</v>
          </cell>
          <cell r="C2383" t="str">
            <v>STAR Health MDCP</v>
          </cell>
          <cell r="D2383" t="str">
            <v>In Home Respite</v>
          </cell>
          <cell r="E2383" t="str">
            <v xml:space="preserve">Respite Care provided by an Attendant with RN delegation (SRO) </v>
          </cell>
          <cell r="F2383" t="str">
            <v>T1005SHU4TDU2</v>
          </cell>
        </row>
        <row r="2384">
          <cell r="A2384" t="str">
            <v>1915(c) waiver</v>
          </cell>
          <cell r="C2384" t="str">
            <v>STAR Health MDCP</v>
          </cell>
          <cell r="D2384" t="str">
            <v>In Home Respite</v>
          </cell>
          <cell r="E2384" t="str">
            <v xml:space="preserve">RN (AO) </v>
          </cell>
          <cell r="F2384" t="str">
            <v>H2015SHU5</v>
          </cell>
        </row>
        <row r="2385">
          <cell r="A2385" t="str">
            <v>1915(c) waiver</v>
          </cell>
          <cell r="C2385" t="str">
            <v>STAR Health MDCP</v>
          </cell>
          <cell r="D2385" t="str">
            <v>In Home Respite</v>
          </cell>
          <cell r="E2385" t="str">
            <v xml:space="preserve">RN (CDS) </v>
          </cell>
          <cell r="F2385" t="str">
            <v>H2015SHU5UC</v>
          </cell>
        </row>
        <row r="2386">
          <cell r="A2386" t="str">
            <v>1915(c) waiver</v>
          </cell>
          <cell r="C2386" t="str">
            <v>STAR Health MDCP</v>
          </cell>
          <cell r="D2386" t="str">
            <v>In Home Respite</v>
          </cell>
          <cell r="E2386" t="str">
            <v xml:space="preserve">RN (SRO) </v>
          </cell>
          <cell r="F2386" t="str">
            <v>H2015SHU5US</v>
          </cell>
        </row>
        <row r="2387">
          <cell r="A2387" t="str">
            <v>1915(c) waiver</v>
          </cell>
          <cell r="C2387" t="str">
            <v>STAR Health MDCP</v>
          </cell>
          <cell r="D2387" t="str">
            <v>In Home Respite</v>
          </cell>
          <cell r="E2387" t="str">
            <v xml:space="preserve">Specialized LVN (AO) </v>
          </cell>
          <cell r="F2387" t="str">
            <v>H2015SHU3UA</v>
          </cell>
        </row>
        <row r="2388">
          <cell r="A2388" t="str">
            <v>1915(c) waiver</v>
          </cell>
          <cell r="C2388" t="str">
            <v>STAR Health MDCP</v>
          </cell>
          <cell r="D2388" t="str">
            <v>In Home Respite</v>
          </cell>
          <cell r="E2388" t="str">
            <v xml:space="preserve">Specialized LVN (AO) </v>
          </cell>
          <cell r="F2388" t="str">
            <v>H2015SHU399</v>
          </cell>
        </row>
        <row r="2389">
          <cell r="A2389" t="str">
            <v>1915(c) waiver</v>
          </cell>
          <cell r="C2389" t="str">
            <v>STAR Health MDCP</v>
          </cell>
          <cell r="D2389" t="str">
            <v>In Home Respite</v>
          </cell>
          <cell r="E2389" t="str">
            <v xml:space="preserve">Specialized LVN (CDS) </v>
          </cell>
          <cell r="F2389" t="str">
            <v>H2015SHU3UAUC</v>
          </cell>
        </row>
        <row r="2390">
          <cell r="A2390" t="str">
            <v>1915(c) waiver</v>
          </cell>
          <cell r="C2390" t="str">
            <v>STAR Health MDCP</v>
          </cell>
          <cell r="D2390" t="str">
            <v>In Home Respite</v>
          </cell>
          <cell r="E2390" t="str">
            <v xml:space="preserve">Specialized LVN (CDS) </v>
          </cell>
          <cell r="F2390" t="str">
            <v>H2015SHU399UC</v>
          </cell>
        </row>
        <row r="2391">
          <cell r="A2391" t="str">
            <v>1915(c) waiver</v>
          </cell>
          <cell r="C2391" t="str">
            <v>STAR Health MDCP</v>
          </cell>
          <cell r="D2391" t="str">
            <v>In Home Respite</v>
          </cell>
          <cell r="E2391" t="str">
            <v xml:space="preserve">Specialized LVN (SRO) </v>
          </cell>
          <cell r="F2391" t="str">
            <v>H2015SHU3UAUS</v>
          </cell>
        </row>
        <row r="2392">
          <cell r="A2392" t="str">
            <v>1915(c) waiver</v>
          </cell>
          <cell r="C2392" t="str">
            <v>STAR Health MDCP</v>
          </cell>
          <cell r="D2392" t="str">
            <v>In Home Respite</v>
          </cell>
          <cell r="E2392" t="str">
            <v xml:space="preserve">Specialized LVN (SRO) </v>
          </cell>
          <cell r="F2392" t="str">
            <v>H2015SHU399US</v>
          </cell>
        </row>
        <row r="2393">
          <cell r="A2393" t="str">
            <v>1915(c) waiver</v>
          </cell>
          <cell r="C2393" t="str">
            <v>STAR Health MDCP</v>
          </cell>
          <cell r="D2393" t="str">
            <v>In Home Respite</v>
          </cell>
          <cell r="E2393" t="str">
            <v xml:space="preserve">Specialized RN (AO) </v>
          </cell>
          <cell r="F2393" t="str">
            <v>H2015SHU5UA</v>
          </cell>
        </row>
        <row r="2394">
          <cell r="A2394" t="str">
            <v>1915(c) waiver</v>
          </cell>
          <cell r="C2394" t="str">
            <v>STAR Health MDCP</v>
          </cell>
          <cell r="D2394" t="str">
            <v>In Home Respite</v>
          </cell>
          <cell r="E2394" t="str">
            <v xml:space="preserve">Specialized RN (AO) </v>
          </cell>
          <cell r="F2394" t="str">
            <v>H2015SHU599</v>
          </cell>
        </row>
        <row r="2395">
          <cell r="A2395" t="str">
            <v>1915(c) waiver</v>
          </cell>
          <cell r="C2395" t="str">
            <v>STAR Health MDCP</v>
          </cell>
          <cell r="D2395" t="str">
            <v>In Home Respite</v>
          </cell>
          <cell r="E2395" t="str">
            <v xml:space="preserve">Specialized RN (CDS) </v>
          </cell>
          <cell r="F2395" t="str">
            <v>H2015SHU5UAUC</v>
          </cell>
        </row>
        <row r="2396">
          <cell r="A2396" t="str">
            <v>1915(c) waiver</v>
          </cell>
          <cell r="C2396" t="str">
            <v>STAR Health MDCP</v>
          </cell>
          <cell r="D2396" t="str">
            <v>In Home Respite</v>
          </cell>
          <cell r="E2396" t="str">
            <v xml:space="preserve">Specialized RN (CDS) </v>
          </cell>
          <cell r="F2396" t="str">
            <v>H2015SHU599UC</v>
          </cell>
        </row>
        <row r="2397">
          <cell r="A2397" t="str">
            <v>1915(c) waiver</v>
          </cell>
          <cell r="C2397" t="str">
            <v>STAR Health MDCP</v>
          </cell>
          <cell r="D2397" t="str">
            <v>In Home Respite</v>
          </cell>
          <cell r="E2397" t="str">
            <v xml:space="preserve">Specialized RN (SRO) </v>
          </cell>
          <cell r="F2397" t="str">
            <v>H2015SHU5UAUS</v>
          </cell>
        </row>
        <row r="2398">
          <cell r="A2398" t="str">
            <v>1915(c) waiver</v>
          </cell>
          <cell r="C2398" t="str">
            <v>STAR Health MDCP</v>
          </cell>
          <cell r="D2398" t="str">
            <v>In Home Respite</v>
          </cell>
          <cell r="E2398" t="str">
            <v xml:space="preserve">Specialized RN (SRO) </v>
          </cell>
          <cell r="F2398" t="str">
            <v>H2015SHU599US</v>
          </cell>
        </row>
        <row r="2399">
          <cell r="A2399" t="str">
            <v>1915(c) waiver</v>
          </cell>
          <cell r="C2399" t="str">
            <v>STAR Health MDCP</v>
          </cell>
          <cell r="D2399" t="str">
            <v>Out of Home Respite</v>
          </cell>
          <cell r="E2399" t="str">
            <v>Level 1: PA1</v>
          </cell>
          <cell r="F2399" t="str">
            <v>T1005SHU1</v>
          </cell>
        </row>
        <row r="2400">
          <cell r="A2400" t="str">
            <v>1915(c) waiver</v>
          </cell>
          <cell r="C2400" t="str">
            <v>STAR Health MDCP</v>
          </cell>
          <cell r="D2400" t="str">
            <v>Out of Home Respite</v>
          </cell>
          <cell r="E2400" t="str">
            <v>Level 1: PA1 &amp; BA1 with partial vent</v>
          </cell>
          <cell r="F2400" t="str">
            <v>T1005SHU1U3</v>
          </cell>
        </row>
        <row r="2401">
          <cell r="A2401" t="str">
            <v>1915(c) waiver</v>
          </cell>
          <cell r="C2401" t="str">
            <v>STAR Health MDCP</v>
          </cell>
          <cell r="D2401" t="str">
            <v>Out of Home Respite</v>
          </cell>
          <cell r="E2401" t="str">
            <v>Level 1: PA1 &amp; BA1 with trach</v>
          </cell>
          <cell r="F2401" t="str">
            <v>T1005SHU1U5</v>
          </cell>
        </row>
        <row r="2402">
          <cell r="A2402" t="str">
            <v>1915(c) waiver</v>
          </cell>
          <cell r="C2402" t="str">
            <v>STAR Health MDCP</v>
          </cell>
          <cell r="D2402" t="str">
            <v>Out of Home Respite</v>
          </cell>
          <cell r="E2402" t="str">
            <v>Level 1: PA1, BA1, &amp; PA2 with full vent</v>
          </cell>
          <cell r="F2402" t="str">
            <v>T1005SHU1U7</v>
          </cell>
        </row>
        <row r="2403">
          <cell r="A2403" t="str">
            <v>1915(c) waiver</v>
          </cell>
          <cell r="C2403" t="str">
            <v>STAR Health MDCP</v>
          </cell>
          <cell r="D2403" t="str">
            <v>Out of Home Respite</v>
          </cell>
          <cell r="E2403" t="str">
            <v>Level 10: SE2 with full vent</v>
          </cell>
          <cell r="F2403" t="str">
            <v>T1005SHU0U5</v>
          </cell>
        </row>
        <row r="2404">
          <cell r="A2404" t="str">
            <v>1915(c) waiver</v>
          </cell>
          <cell r="C2404" t="str">
            <v>STAR Health MDCP</v>
          </cell>
          <cell r="D2404" t="str">
            <v>Out of Home Respite</v>
          </cell>
          <cell r="E2404" t="str">
            <v>Level 10: SE3</v>
          </cell>
          <cell r="F2404" t="str">
            <v>T1005SHUA</v>
          </cell>
        </row>
        <row r="2405">
          <cell r="A2405" t="str">
            <v>1915(c) waiver</v>
          </cell>
          <cell r="C2405" t="str">
            <v>STAR Health MDCP</v>
          </cell>
          <cell r="D2405" t="str">
            <v>Out of Home Respite</v>
          </cell>
          <cell r="E2405" t="str">
            <v>Level 10: SE3</v>
          </cell>
          <cell r="F2405" t="str">
            <v>T1005SHU0</v>
          </cell>
        </row>
        <row r="2406">
          <cell r="A2406" t="str">
            <v>1915(c) waiver</v>
          </cell>
          <cell r="C2406" t="str">
            <v>STAR Health MDCP</v>
          </cell>
          <cell r="D2406" t="str">
            <v>Out of Home Respite</v>
          </cell>
          <cell r="E2406" t="str">
            <v>Level 10: SE3 with full vent</v>
          </cell>
          <cell r="F2406" t="str">
            <v>T1005SHUAU7</v>
          </cell>
        </row>
        <row r="2407">
          <cell r="A2407" t="str">
            <v>1915(c) waiver</v>
          </cell>
          <cell r="C2407" t="str">
            <v>STAR Health MDCP</v>
          </cell>
          <cell r="D2407" t="str">
            <v>Out of Home Respite</v>
          </cell>
          <cell r="E2407" t="str">
            <v>Level 10: SE3 with partial vent</v>
          </cell>
          <cell r="F2407" t="str">
            <v>T1005SHUAU3</v>
          </cell>
        </row>
        <row r="2408">
          <cell r="A2408" t="str">
            <v>1915(c) waiver</v>
          </cell>
          <cell r="C2408" t="str">
            <v>STAR Health MDCP</v>
          </cell>
          <cell r="D2408" t="str">
            <v>Out of Home Respite</v>
          </cell>
          <cell r="E2408" t="str">
            <v>Level 10: SE3 with partial vent</v>
          </cell>
          <cell r="F2408" t="str">
            <v>T1005SHU0U3</v>
          </cell>
        </row>
        <row r="2409">
          <cell r="A2409" t="str">
            <v>1915(c) waiver</v>
          </cell>
          <cell r="C2409" t="str">
            <v>STAR Health MDCP</v>
          </cell>
          <cell r="D2409" t="str">
            <v>Out of Home Respite</v>
          </cell>
          <cell r="E2409" t="str">
            <v>Level 10: SE3 with trach</v>
          </cell>
          <cell r="F2409" t="str">
            <v>T1005SHUAU5</v>
          </cell>
        </row>
        <row r="2410">
          <cell r="A2410" t="str">
            <v>1915(c) waiver</v>
          </cell>
          <cell r="C2410" t="str">
            <v>STAR Health MDCP</v>
          </cell>
          <cell r="D2410" t="str">
            <v>Out of Home Respite</v>
          </cell>
          <cell r="E2410" t="str">
            <v>Level 2: BA1, PA2, IA1, PB1, BA2, &amp; IA2</v>
          </cell>
          <cell r="F2410" t="str">
            <v>T1005SHU2</v>
          </cell>
        </row>
        <row r="2411">
          <cell r="A2411" t="str">
            <v>1915(c) waiver</v>
          </cell>
          <cell r="C2411" t="str">
            <v>STAR Health MDCP</v>
          </cell>
          <cell r="D2411" t="str">
            <v>Out of Home Respite</v>
          </cell>
          <cell r="E2411" t="str">
            <v xml:space="preserve">Level 2: IA1, PB1, BA2, IA2, &amp; PB2 with full vent </v>
          </cell>
          <cell r="F2411" t="str">
            <v>T1005SHU2U7</v>
          </cell>
        </row>
        <row r="2412">
          <cell r="A2412" t="str">
            <v>1915(c) waiver</v>
          </cell>
          <cell r="C2412" t="str">
            <v>STAR Health MDCP</v>
          </cell>
          <cell r="D2412" t="str">
            <v>Out of Home Respite</v>
          </cell>
          <cell r="E2412" t="str">
            <v>Level 2: PA2, IA1, PB1, BA2, IA2, and PB2 with partial vent</v>
          </cell>
          <cell r="F2412" t="str">
            <v>T1005SHU2U3</v>
          </cell>
        </row>
        <row r="2413">
          <cell r="A2413" t="str">
            <v>1915(c) waiver</v>
          </cell>
          <cell r="C2413" t="str">
            <v>STAR Health MDCP</v>
          </cell>
          <cell r="D2413" t="str">
            <v>Out of Home Respite</v>
          </cell>
          <cell r="E2413" t="str">
            <v>Level 2: PA2, IA1, PB1, BA2, IA2, and PB2 with trach</v>
          </cell>
          <cell r="F2413" t="str">
            <v>T1005SHU2U5</v>
          </cell>
        </row>
        <row r="2414">
          <cell r="A2414" t="str">
            <v>1915(c) waiver</v>
          </cell>
          <cell r="C2414" t="str">
            <v>STAR Health MDCP</v>
          </cell>
          <cell r="D2414" t="str">
            <v>Out of Home Respite</v>
          </cell>
          <cell r="E2414" t="str">
            <v>Level 3: BB1, PC1, PC2, IB1, &amp; CA1 with full vent</v>
          </cell>
          <cell r="F2414" t="str">
            <v>T1005SHU3U7</v>
          </cell>
        </row>
        <row r="2415">
          <cell r="A2415" t="str">
            <v>1915(c) waiver</v>
          </cell>
          <cell r="C2415" t="str">
            <v>STAR Health MDCP</v>
          </cell>
          <cell r="D2415" t="str">
            <v>Out of Home Respite</v>
          </cell>
          <cell r="E2415" t="str">
            <v>Level 3: BB1, PC1, PC2, IB1, CA1, PD1, BB2, &amp; CA2 with partial vent</v>
          </cell>
          <cell r="F2415" t="str">
            <v>T1005SHU3U3</v>
          </cell>
        </row>
        <row r="2416">
          <cell r="A2416" t="str">
            <v>1915(c) waiver</v>
          </cell>
          <cell r="C2416" t="str">
            <v>STAR Health MDCP</v>
          </cell>
          <cell r="D2416" t="str">
            <v>Out of Home Respite</v>
          </cell>
          <cell r="E2416" t="str">
            <v>Level 3: BB1, PC1, PC2, IB1, CA1, PD1, BB2, &amp; CA2 with trach</v>
          </cell>
          <cell r="F2416" t="str">
            <v>T1005SHU3U5</v>
          </cell>
        </row>
        <row r="2417">
          <cell r="A2417" t="str">
            <v>1915(c) waiver</v>
          </cell>
          <cell r="C2417" t="str">
            <v>STAR Health MDCP</v>
          </cell>
          <cell r="D2417" t="str">
            <v>Out of Home Respite</v>
          </cell>
          <cell r="E2417" t="str">
            <v>Level 3: PB2, BB1, PC1, PC2, IB1, CA1, &amp; PD1</v>
          </cell>
          <cell r="F2417" t="str">
            <v>T1005SHU3</v>
          </cell>
        </row>
        <row r="2418">
          <cell r="A2418" t="str">
            <v>1915(c) waiver</v>
          </cell>
          <cell r="C2418" t="str">
            <v>STAR Health MDCP</v>
          </cell>
          <cell r="D2418" t="str">
            <v>Out of Home Respite</v>
          </cell>
          <cell r="E2418" t="str">
            <v>Level 4: BB2, CA2, PE1, IB2, PD2, CB1, &amp; PE2</v>
          </cell>
          <cell r="F2418" t="str">
            <v>T1005SHU4</v>
          </cell>
        </row>
        <row r="2419">
          <cell r="A2419" t="str">
            <v>1915(c) waiver</v>
          </cell>
          <cell r="C2419" t="str">
            <v>STAR Health MDCP</v>
          </cell>
          <cell r="D2419" t="str">
            <v>Out of Home Respite</v>
          </cell>
          <cell r="E2419" t="str">
            <v>Level 4: PD1, BB2, CA2, PE1, IB2, &amp; PD2 with full vent</v>
          </cell>
          <cell r="F2419" t="str">
            <v>T1005SHU4U7</v>
          </cell>
        </row>
        <row r="2420">
          <cell r="A2420" t="str">
            <v>1915(c) waiver</v>
          </cell>
          <cell r="C2420" t="str">
            <v>STAR Health MDCP</v>
          </cell>
          <cell r="D2420" t="str">
            <v>Out of Home Respite</v>
          </cell>
          <cell r="E2420" t="str">
            <v>Level 4: PE1, IB2, PD2, CB1,PE2, &amp; CB2 with partial vent</v>
          </cell>
          <cell r="F2420" t="str">
            <v>T1005SHU4U3</v>
          </cell>
        </row>
        <row r="2421">
          <cell r="A2421" t="str">
            <v>1915(c) waiver</v>
          </cell>
          <cell r="C2421" t="str">
            <v>STAR Health MDCP</v>
          </cell>
          <cell r="D2421" t="str">
            <v>Out of Home Respite</v>
          </cell>
          <cell r="E2421" t="str">
            <v>Level 4: PE1, IB2, PD2, CB1,PE2, &amp; CB2 with trach</v>
          </cell>
          <cell r="F2421" t="str">
            <v>T1005SHU4U5</v>
          </cell>
        </row>
        <row r="2422">
          <cell r="A2422" t="str">
            <v>1915(c) waiver</v>
          </cell>
          <cell r="C2422" t="str">
            <v>STAR Health MDCP</v>
          </cell>
          <cell r="D2422" t="str">
            <v>Out of Home Respite</v>
          </cell>
          <cell r="E2422" t="str">
            <v>Level 5: CB1, PE2, CB2, &amp; CC1 with full vent</v>
          </cell>
          <cell r="F2422" t="str">
            <v>T1005SHU5U7</v>
          </cell>
        </row>
        <row r="2423">
          <cell r="A2423" t="str">
            <v>1915(c) waiver</v>
          </cell>
          <cell r="C2423" t="str">
            <v>STAR Health MDCP</v>
          </cell>
          <cell r="D2423" t="str">
            <v>Out of Home Respite</v>
          </cell>
          <cell r="E2423" t="str">
            <v>Level 5: CB2, CC1, &amp; CC2</v>
          </cell>
          <cell r="F2423" t="str">
            <v>T1005SHU5</v>
          </cell>
        </row>
        <row r="2424">
          <cell r="A2424" t="str">
            <v>1915(c) waiver</v>
          </cell>
          <cell r="C2424" t="str">
            <v>STAR Health MDCP</v>
          </cell>
          <cell r="D2424" t="str">
            <v>Out of Home Respite</v>
          </cell>
          <cell r="E2424" t="str">
            <v>Level 5: CC1, &amp; CC2 with partial vent</v>
          </cell>
          <cell r="F2424" t="str">
            <v>T1005SHU5U3</v>
          </cell>
        </row>
        <row r="2425">
          <cell r="A2425" t="str">
            <v>1915(c) waiver</v>
          </cell>
          <cell r="C2425" t="str">
            <v>STAR Health MDCP</v>
          </cell>
          <cell r="D2425" t="str">
            <v>Out of Home Respite</v>
          </cell>
          <cell r="E2425" t="str">
            <v>Level 5: CC1, &amp; CC2 with trach</v>
          </cell>
          <cell r="F2425" t="str">
            <v>T1005SHU5U5</v>
          </cell>
        </row>
        <row r="2426">
          <cell r="A2426" t="str">
            <v>1915(c) waiver</v>
          </cell>
          <cell r="C2426" t="str">
            <v>STAR Health MDCP</v>
          </cell>
          <cell r="D2426" t="str">
            <v>Out of Home Respite</v>
          </cell>
          <cell r="E2426" t="str">
            <v>Level 6: CC2 &amp; RAA with full vent</v>
          </cell>
          <cell r="F2426" t="str">
            <v>T1005SHU6U7</v>
          </cell>
        </row>
        <row r="2427">
          <cell r="A2427" t="str">
            <v>1915(c) waiver</v>
          </cell>
          <cell r="C2427" t="str">
            <v>STAR Health MDCP</v>
          </cell>
          <cell r="D2427" t="str">
            <v>Out of Home Respite</v>
          </cell>
          <cell r="E2427" t="str">
            <v>Level 6: RAA</v>
          </cell>
          <cell r="F2427" t="str">
            <v>T1005SHU6</v>
          </cell>
        </row>
        <row r="2428">
          <cell r="A2428" t="str">
            <v>1915(c) waiver</v>
          </cell>
          <cell r="C2428" t="str">
            <v>STAR Health MDCP</v>
          </cell>
          <cell r="D2428" t="str">
            <v>Out of Home Respite</v>
          </cell>
          <cell r="E2428" t="str">
            <v>Level 6: RAA with partial vent</v>
          </cell>
          <cell r="F2428" t="str">
            <v>T1005SHU6U3</v>
          </cell>
        </row>
        <row r="2429">
          <cell r="A2429" t="str">
            <v>1915(c) waiver</v>
          </cell>
          <cell r="C2429" t="str">
            <v>STAR Health MDCP</v>
          </cell>
          <cell r="D2429" t="str">
            <v>Out of Home Respite</v>
          </cell>
          <cell r="E2429" t="str">
            <v>Level 6: RAA with trach</v>
          </cell>
          <cell r="F2429" t="str">
            <v>T1005SHU6U5</v>
          </cell>
        </row>
        <row r="2430">
          <cell r="A2430" t="str">
            <v>1915(c) waiver</v>
          </cell>
          <cell r="C2430" t="str">
            <v>STAR Health MDCP</v>
          </cell>
          <cell r="D2430" t="str">
            <v>Out of Home Respite</v>
          </cell>
          <cell r="E2430" t="str">
            <v>Level 7: SSA &amp; SSB with full vent</v>
          </cell>
          <cell r="F2430" t="str">
            <v>T1005SHU7U7</v>
          </cell>
        </row>
        <row r="2431">
          <cell r="A2431" t="str">
            <v>1915(c) waiver</v>
          </cell>
          <cell r="C2431" t="str">
            <v>STAR Health MDCP</v>
          </cell>
          <cell r="D2431" t="str">
            <v>Out of Home Respite</v>
          </cell>
          <cell r="E2431" t="str">
            <v>Level 7: SSA, SSB, &amp; RAB</v>
          </cell>
          <cell r="F2431" t="str">
            <v>T1005SHU7</v>
          </cell>
        </row>
        <row r="2432">
          <cell r="A2432" t="str">
            <v>1915(c) waiver</v>
          </cell>
          <cell r="C2432" t="str">
            <v>STAR Health MDCP</v>
          </cell>
          <cell r="D2432" t="str">
            <v>Out of Home Respite</v>
          </cell>
          <cell r="E2432" t="str">
            <v>Level 7: SSA, SSB, RAB, &amp; SSC with partial vent</v>
          </cell>
          <cell r="F2432" t="str">
            <v>T1005SHU7U3</v>
          </cell>
        </row>
        <row r="2433">
          <cell r="A2433" t="str">
            <v>1915(c) waiver</v>
          </cell>
          <cell r="C2433" t="str">
            <v>STAR Health MDCP</v>
          </cell>
          <cell r="D2433" t="str">
            <v>Out of Home Respite</v>
          </cell>
          <cell r="E2433" t="str">
            <v>Level 7: SSA, SSB, RAB, &amp; SSC with trach</v>
          </cell>
          <cell r="F2433" t="str">
            <v>T1005SHU7U5</v>
          </cell>
        </row>
        <row r="2434">
          <cell r="A2434" t="str">
            <v>1915(c) waiver</v>
          </cell>
          <cell r="C2434" t="str">
            <v>STAR Health MDCP</v>
          </cell>
          <cell r="D2434" t="str">
            <v>Out of Home Respite</v>
          </cell>
          <cell r="E2434" t="str">
            <v>Level 8: RAB, SSC, SE1, &amp; RAC with full vent</v>
          </cell>
          <cell r="F2434" t="str">
            <v>T1005SHU8U7</v>
          </cell>
        </row>
        <row r="2435">
          <cell r="A2435" t="str">
            <v>1915(c) waiver</v>
          </cell>
          <cell r="C2435" t="str">
            <v>STAR Health MDCP</v>
          </cell>
          <cell r="D2435" t="str">
            <v>Out of Home Respite</v>
          </cell>
          <cell r="E2435" t="str">
            <v>Level 8: SE1, &amp; RAC with partial vent</v>
          </cell>
          <cell r="F2435" t="str">
            <v>T1005SHU8U3</v>
          </cell>
        </row>
        <row r="2436">
          <cell r="A2436" t="str">
            <v>1915(c) waiver</v>
          </cell>
          <cell r="C2436" t="str">
            <v>STAR Health MDCP</v>
          </cell>
          <cell r="D2436" t="str">
            <v>Out of Home Respite</v>
          </cell>
          <cell r="E2436" t="str">
            <v>Level 8: SE1, &amp; RAC with trach</v>
          </cell>
          <cell r="F2436" t="str">
            <v>T1005SHU8U5</v>
          </cell>
        </row>
        <row r="2437">
          <cell r="A2437" t="str">
            <v>1915(c) waiver</v>
          </cell>
          <cell r="C2437" t="str">
            <v>STAR Health MDCP</v>
          </cell>
          <cell r="D2437" t="str">
            <v>Out of Home Respite</v>
          </cell>
          <cell r="E2437" t="str">
            <v>Level 8: SSC, SE1, &amp;RAC</v>
          </cell>
          <cell r="F2437" t="str">
            <v>T1005SHU8</v>
          </cell>
        </row>
        <row r="2438">
          <cell r="A2438" t="str">
            <v>1915(c) waiver</v>
          </cell>
          <cell r="C2438" t="str">
            <v>STAR Health MDCP</v>
          </cell>
          <cell r="D2438" t="str">
            <v>Out of Home Respite</v>
          </cell>
          <cell r="E2438" t="str">
            <v>Level 9: RAD &amp; SE2</v>
          </cell>
          <cell r="F2438" t="str">
            <v>T1005SHU9</v>
          </cell>
        </row>
        <row r="2439">
          <cell r="A2439" t="str">
            <v>1915(c) waiver</v>
          </cell>
          <cell r="C2439" t="str">
            <v>STAR Health MDCP</v>
          </cell>
          <cell r="D2439" t="str">
            <v>Out of Home Respite</v>
          </cell>
          <cell r="E2439" t="str">
            <v>Level 9: RAD &amp; SE2 with full vent</v>
          </cell>
          <cell r="F2439" t="str">
            <v>T1005SHU9U7</v>
          </cell>
        </row>
        <row r="2440">
          <cell r="A2440" t="str">
            <v>1915(c) waiver</v>
          </cell>
          <cell r="C2440" t="str">
            <v>STAR Health MDCP</v>
          </cell>
          <cell r="D2440" t="str">
            <v>Out of Home Respite</v>
          </cell>
          <cell r="E2440" t="str">
            <v>Level 9: RAD &amp; SE2 with partial vent</v>
          </cell>
          <cell r="F2440" t="str">
            <v>T1005SHU9U3</v>
          </cell>
        </row>
        <row r="2441">
          <cell r="A2441" t="str">
            <v>1915(c) waiver</v>
          </cell>
          <cell r="C2441" t="str">
            <v>STAR Health MDCP</v>
          </cell>
          <cell r="D2441" t="str">
            <v>Out of Home Respite</v>
          </cell>
          <cell r="E2441" t="str">
            <v>Level 9: RAD &amp; SE2 with trach</v>
          </cell>
          <cell r="F2441" t="str">
            <v>T1005SHU9U5</v>
          </cell>
        </row>
        <row r="2442">
          <cell r="A2442" t="str">
            <v>1915(c) waiver</v>
          </cell>
          <cell r="C2442" t="str">
            <v>STAR Health MDCP</v>
          </cell>
          <cell r="D2442" t="str">
            <v>Out of Home Respite</v>
          </cell>
          <cell r="E2442" t="str">
            <v>Respite Care, Camp Setting</v>
          </cell>
          <cell r="F2442" t="str">
            <v>T2027SH</v>
          </cell>
        </row>
        <row r="2443">
          <cell r="A2443" t="str">
            <v>1915(c) waiver</v>
          </cell>
          <cell r="C2443" t="str">
            <v>STAR Health MDCP</v>
          </cell>
          <cell r="D2443" t="str">
            <v>Out of Home Respite</v>
          </cell>
          <cell r="E2443" t="str">
            <v>Respite Care, not hospice</v>
          </cell>
          <cell r="F2443" t="str">
            <v>S5151SH</v>
          </cell>
        </row>
        <row r="2444">
          <cell r="A2444" t="str">
            <v>1915(c) waiver</v>
          </cell>
          <cell r="C2444" t="str">
            <v>STAR Health MDCP</v>
          </cell>
          <cell r="D2444" t="str">
            <v>Out of Home Respite</v>
          </cell>
          <cell r="E2444" t="str">
            <v>Respite Care, not hospice, with full vent</v>
          </cell>
          <cell r="F2444" t="str">
            <v>S5151SHU2</v>
          </cell>
        </row>
        <row r="2445">
          <cell r="A2445" t="str">
            <v>1915(c) waiver</v>
          </cell>
          <cell r="C2445" t="str">
            <v>STAR Health MDCP</v>
          </cell>
          <cell r="D2445" t="str">
            <v>Out of Home Respite</v>
          </cell>
          <cell r="E2445" t="str">
            <v>Respite Care, not hospice, with partial vent</v>
          </cell>
          <cell r="F2445" t="str">
            <v>S5151SHU1</v>
          </cell>
        </row>
        <row r="2446">
          <cell r="A2446" t="str">
            <v>1915(c) waiver</v>
          </cell>
          <cell r="C2446" t="str">
            <v>STAR Health MDCP</v>
          </cell>
          <cell r="D2446" t="str">
            <v>Out of Home Respite</v>
          </cell>
          <cell r="E2446" t="str">
            <v>Respite Care, not hospice, with trach</v>
          </cell>
          <cell r="F2446" t="str">
            <v>S5151SHU3</v>
          </cell>
        </row>
        <row r="2447">
          <cell r="A2447" t="str">
            <v>1915(c) waiver</v>
          </cell>
          <cell r="C2447" t="str">
            <v>STAR Health MDCP</v>
          </cell>
          <cell r="D2447" t="str">
            <v>Requisition Fees</v>
          </cell>
          <cell r="E2447" t="str">
            <v>Transition Assistance Services Requisition Fee</v>
          </cell>
          <cell r="F2447" t="str">
            <v>T2038SH</v>
          </cell>
        </row>
        <row r="2448">
          <cell r="A2448" t="str">
            <v>State Plan (Title XIX)</v>
          </cell>
          <cell r="C2448" t="str">
            <v>STAR Kids</v>
          </cell>
          <cell r="D2448" t="str">
            <v>DAHS</v>
          </cell>
          <cell r="E2448" t="str">
            <v xml:space="preserve">Day Activities &amp; Health Services (3-6 hours) </v>
          </cell>
          <cell r="F2448" t="str">
            <v>S5101SK</v>
          </cell>
        </row>
        <row r="2449">
          <cell r="A2449" t="str">
            <v>State Plan (Title XIX)</v>
          </cell>
          <cell r="C2449" t="str">
            <v>STAR Kids</v>
          </cell>
          <cell r="D2449" t="str">
            <v>DAHS</v>
          </cell>
          <cell r="E2449" t="str">
            <v xml:space="preserve">Day Activities &amp; Health Services (3-6 hours) (MDCP) </v>
          </cell>
          <cell r="F2449" t="str">
            <v>S5101SKU6</v>
          </cell>
        </row>
        <row r="2450">
          <cell r="A2450" t="str">
            <v>Value-added Services 42 CFR § 438.3(e)(1)(i)</v>
          </cell>
          <cell r="C2450" t="str">
            <v>STAR Kids</v>
          </cell>
          <cell r="D2450" t="str">
            <v>ERS</v>
          </cell>
          <cell r="E2450" t="str">
            <v xml:space="preserve">Emergency Response Services (Installation and Testing) </v>
          </cell>
          <cell r="F2450" t="str">
            <v>S5160SK</v>
          </cell>
        </row>
        <row r="2451">
          <cell r="A2451" t="str">
            <v>Value-added Services 42 CFR § 438.3(e)(1)(i)</v>
          </cell>
          <cell r="C2451" t="str">
            <v>STAR Kids</v>
          </cell>
          <cell r="D2451" t="str">
            <v>ERS</v>
          </cell>
          <cell r="E2451" t="str">
            <v xml:space="preserve">Emergency Response Services (Monthly) </v>
          </cell>
          <cell r="F2451" t="str">
            <v>S5161SKU3U3</v>
          </cell>
        </row>
        <row r="2452">
          <cell r="A2452" t="str">
            <v>State Plan (Title XIX)</v>
          </cell>
          <cell r="C2452" t="str">
            <v>STAR Kids</v>
          </cell>
          <cell r="D2452" t="str">
            <v>ERS</v>
          </cell>
          <cell r="E2452" t="str">
            <v xml:space="preserve">Emergency Response Services (Monthly) (CFC) </v>
          </cell>
          <cell r="F2452" t="str">
            <v>S5161SKU2</v>
          </cell>
          <cell r="P2452" t="str">
            <v>CFC</v>
          </cell>
        </row>
        <row r="2453">
          <cell r="A2453" t="str">
            <v>State Plan (Title XIX)</v>
          </cell>
          <cell r="C2453" t="str">
            <v>STAR Kids</v>
          </cell>
          <cell r="D2453" t="str">
            <v>ERS</v>
          </cell>
          <cell r="E2453" t="str">
            <v xml:space="preserve">Emergency Response Services (Monthly) (CFC) (MDCP) </v>
          </cell>
          <cell r="F2453" t="str">
            <v>S5161SKU2U6</v>
          </cell>
          <cell r="P2453" t="str">
            <v>CFC</v>
          </cell>
        </row>
        <row r="2454">
          <cell r="A2454" t="str">
            <v>State Plan (Title XIX)</v>
          </cell>
          <cell r="C2454" t="str">
            <v>STAR Kids</v>
          </cell>
          <cell r="D2454" t="str">
            <v>FMS</v>
          </cell>
          <cell r="E2454" t="str">
            <v>Financial Management Service (FMS) Fee, Monthly Fee, PCS (CDS)</v>
          </cell>
          <cell r="F2454" t="str">
            <v>T2040SKU9U1</v>
          </cell>
        </row>
        <row r="2455">
          <cell r="A2455" t="str">
            <v>State Plan (Title XIX)</v>
          </cell>
          <cell r="C2455" t="str">
            <v>STAR Kids</v>
          </cell>
          <cell r="D2455" t="str">
            <v>FMS</v>
          </cell>
          <cell r="E2455" t="str">
            <v>Financial Management Service Fee, CFC, non- MDCP (CDS)</v>
          </cell>
          <cell r="F2455" t="str">
            <v>T2040SKU5</v>
          </cell>
          <cell r="P2455" t="str">
            <v>CFC</v>
          </cell>
        </row>
        <row r="2456">
          <cell r="A2456" t="str">
            <v>State Plan (Title XIX)</v>
          </cell>
          <cell r="C2456" t="str">
            <v>STAR Kids</v>
          </cell>
          <cell r="D2456" t="str">
            <v>FMS</v>
          </cell>
          <cell r="E2456" t="str">
            <v>Financial Management Service Fee, PCS (CDS)</v>
          </cell>
          <cell r="F2456" t="str">
            <v>T2040SKU8</v>
          </cell>
        </row>
        <row r="2457">
          <cell r="A2457" t="str">
            <v>State Plan (Title XIX)</v>
          </cell>
          <cell r="C2457" t="str">
            <v>STAR Kids</v>
          </cell>
          <cell r="D2457" t="str">
            <v>FMS</v>
          </cell>
          <cell r="E2457" t="str">
            <v>FMS Fee, Monthly Fee, CFC (CDS)</v>
          </cell>
          <cell r="F2457" t="str">
            <v>T2040SKU9U2</v>
          </cell>
          <cell r="P2457" t="str">
            <v>CFC</v>
          </cell>
        </row>
        <row r="2458">
          <cell r="A2458" t="str">
            <v>State Plan (Title XIX)</v>
          </cell>
          <cell r="C2458" t="str">
            <v>STAR Kids</v>
          </cell>
          <cell r="D2458" t="str">
            <v>FMS</v>
          </cell>
          <cell r="E2458" t="str">
            <v>FMS Fee, Monthly Fee, CFC (MDCP) (CDS)</v>
          </cell>
          <cell r="F2458" t="str">
            <v>T2040SKU9U2U6</v>
          </cell>
          <cell r="P2458" t="str">
            <v>CFC</v>
          </cell>
        </row>
        <row r="2459">
          <cell r="A2459" t="str">
            <v>State Plan (Title XIX)</v>
          </cell>
          <cell r="C2459" t="str">
            <v>STAR Kids</v>
          </cell>
          <cell r="D2459" t="str">
            <v>FMS</v>
          </cell>
          <cell r="E2459" t="str">
            <v>FMS Fee, Monthly Fee, MDCP (CDS)</v>
          </cell>
          <cell r="F2459" t="str">
            <v>T2040SKU9U6</v>
          </cell>
        </row>
        <row r="2460">
          <cell r="A2460" t="str">
            <v>State Plan (Title XIX)</v>
          </cell>
          <cell r="C2460" t="str">
            <v>STAR Kids</v>
          </cell>
          <cell r="D2460" t="str">
            <v>Nurse Delegation</v>
          </cell>
          <cell r="E2460" t="str">
            <v>RN Assessment for delegation of CFC tasks</v>
          </cell>
          <cell r="F2460" t="str">
            <v>G0162SKU2</v>
          </cell>
          <cell r="P2460" t="str">
            <v>CFC</v>
          </cell>
        </row>
        <row r="2461">
          <cell r="A2461" t="str">
            <v>State Plan (Title XIX)</v>
          </cell>
          <cell r="C2461" t="str">
            <v>STAR Kids</v>
          </cell>
          <cell r="D2461" t="str">
            <v>Nurse Delegation</v>
          </cell>
          <cell r="E2461" t="str">
            <v xml:space="preserve">RN Assessment for delegation of CFC tasks (MDCP) </v>
          </cell>
          <cell r="F2461" t="str">
            <v>G0162SKU2U6</v>
          </cell>
          <cell r="P2461" t="str">
            <v>CFC</v>
          </cell>
        </row>
        <row r="2462">
          <cell r="A2462" t="str">
            <v>State Plan (Title XIX)</v>
          </cell>
          <cell r="C2462" t="str">
            <v>STAR Kids</v>
          </cell>
          <cell r="D2462" t="str">
            <v>Nurse Delegation</v>
          </cell>
          <cell r="E2462" t="str">
            <v>RN Assessment for delegation of PCS or CFC tasks</v>
          </cell>
          <cell r="F2462" t="str">
            <v>G0162SK</v>
          </cell>
          <cell r="P2462" t="str">
            <v>CFC</v>
          </cell>
        </row>
        <row r="2463">
          <cell r="A2463" t="str">
            <v>State Plan (Title XIX)</v>
          </cell>
          <cell r="C2463" t="str">
            <v>STAR Kids</v>
          </cell>
          <cell r="D2463" t="str">
            <v>Nurse Delegation</v>
          </cell>
          <cell r="E2463" t="str">
            <v xml:space="preserve">RN Assessment for delegation of PCS tasks (MDCP) </v>
          </cell>
          <cell r="F2463" t="str">
            <v>G0162SKU1U6</v>
          </cell>
        </row>
        <row r="2464">
          <cell r="A2464" t="str">
            <v>State Plan (Title XIX)</v>
          </cell>
          <cell r="C2464" t="str">
            <v>STAR Kids</v>
          </cell>
          <cell r="D2464" t="str">
            <v>Nurse Delegation</v>
          </cell>
          <cell r="E2464" t="str">
            <v>RN training and ongoing supervision of delegated tasks</v>
          </cell>
          <cell r="F2464" t="str">
            <v>G0162SKU1</v>
          </cell>
        </row>
        <row r="2465">
          <cell r="A2465" t="str">
            <v>State Plan (Title XIX)</v>
          </cell>
          <cell r="C2465" t="str">
            <v>STAR Kids</v>
          </cell>
          <cell r="D2465" t="str">
            <v>Nurse Delegation</v>
          </cell>
          <cell r="E2465" t="str">
            <v>RN training and ongoing supervision of delegated tasks</v>
          </cell>
          <cell r="F2465" t="str">
            <v>G0495SK</v>
          </cell>
        </row>
        <row r="2466">
          <cell r="A2466" t="str">
            <v>State Plan (Title XIX)</v>
          </cell>
          <cell r="C2466" t="str">
            <v>STAR Kids</v>
          </cell>
          <cell r="D2466" t="str">
            <v>Nurse Delegation</v>
          </cell>
          <cell r="E2466" t="str">
            <v xml:space="preserve">RN training and ongoing supervision of delegated tasks (MDCP) </v>
          </cell>
          <cell r="F2466" t="str">
            <v>G0495SKU6</v>
          </cell>
        </row>
        <row r="2467">
          <cell r="A2467" t="str">
            <v>State Plan (Title XIX)</v>
          </cell>
          <cell r="C2467" t="str">
            <v>STAR Kids</v>
          </cell>
          <cell r="D2467" t="str">
            <v>PAS/HAB</v>
          </cell>
          <cell r="E2467" t="str">
            <v xml:space="preserve">CFC ATTENDANT CARE AND HABILITATION (CDS) </v>
          </cell>
          <cell r="F2467" t="str">
            <v>T1019SKU3</v>
          </cell>
          <cell r="P2467" t="str">
            <v>CFC</v>
          </cell>
        </row>
        <row r="2468">
          <cell r="A2468" t="str">
            <v>State Plan (Title XIX)</v>
          </cell>
          <cell r="C2468" t="str">
            <v>STAR Kids</v>
          </cell>
          <cell r="D2468" t="str">
            <v>PAS/HAB</v>
          </cell>
          <cell r="E2468" t="str">
            <v xml:space="preserve">CFC Attendant care and habilitation HAB (AO) </v>
          </cell>
          <cell r="F2468" t="str">
            <v>T1019SKU9</v>
          </cell>
          <cell r="P2468" t="str">
            <v>CFC</v>
          </cell>
        </row>
        <row r="2469">
          <cell r="A2469" t="str">
            <v>State Plan (Title XIX)</v>
          </cell>
          <cell r="C2469" t="str">
            <v>STAR Kids</v>
          </cell>
          <cell r="D2469" t="str">
            <v>PAS/HAB</v>
          </cell>
          <cell r="E2469" t="str">
            <v xml:space="preserve">CFC Attendant care and habilitation HAB (CDS) </v>
          </cell>
          <cell r="F2469" t="str">
            <v>T1019SKU4</v>
          </cell>
          <cell r="P2469" t="str">
            <v>CFC</v>
          </cell>
        </row>
        <row r="2470">
          <cell r="A2470" t="str">
            <v>State Plan (Title XIX)</v>
          </cell>
          <cell r="C2470" t="str">
            <v>STAR Kids</v>
          </cell>
          <cell r="D2470" t="str">
            <v>PAS/HAB</v>
          </cell>
          <cell r="E2470" t="str">
            <v xml:space="preserve">CFC Attendant care and habilitation HAB (SRO) </v>
          </cell>
          <cell r="F2470" t="str">
            <v>T1019SKU2</v>
          </cell>
          <cell r="P2470" t="str">
            <v>CFC</v>
          </cell>
        </row>
        <row r="2471">
          <cell r="A2471" t="str">
            <v>State Plan (Title XIX)</v>
          </cell>
          <cell r="C2471" t="str">
            <v>STAR Kids</v>
          </cell>
          <cell r="D2471" t="str">
            <v>PAS/HAB</v>
          </cell>
          <cell r="E2471" t="str">
            <v xml:space="preserve">CFC Habilitation and Attendant Care HAB (AO) </v>
          </cell>
          <cell r="F2471" t="str">
            <v>T1019SKU9U1</v>
          </cell>
          <cell r="P2471" t="str">
            <v>CFC</v>
          </cell>
        </row>
        <row r="2472">
          <cell r="A2472" t="str">
            <v>State Plan (Title XIX)</v>
          </cell>
          <cell r="C2472" t="str">
            <v>STAR Kids</v>
          </cell>
          <cell r="D2472" t="str">
            <v>PAS/HAB</v>
          </cell>
          <cell r="E2472" t="str">
            <v xml:space="preserve">CFC Habilitation and Attendant Care HAB (AO) (MDCP) </v>
          </cell>
          <cell r="F2472" t="str">
            <v>T1019SKU9U1U6</v>
          </cell>
          <cell r="P2472" t="str">
            <v>CFC</v>
          </cell>
        </row>
        <row r="2473">
          <cell r="A2473" t="str">
            <v>State Plan (Title XIX)</v>
          </cell>
          <cell r="C2473" t="str">
            <v>STAR Kids</v>
          </cell>
          <cell r="D2473" t="str">
            <v>PAS/HAB</v>
          </cell>
          <cell r="E2473" t="str">
            <v xml:space="preserve">CFC Habilitation and Attendant Care HAB (CDS) </v>
          </cell>
          <cell r="F2473" t="str">
            <v>T1019SKU9UC</v>
          </cell>
          <cell r="P2473" t="str">
            <v>CFC</v>
          </cell>
        </row>
        <row r="2474">
          <cell r="A2474" t="str">
            <v>State Plan (Title XIX)</v>
          </cell>
          <cell r="C2474" t="str">
            <v>STAR Kids</v>
          </cell>
          <cell r="D2474" t="str">
            <v>PAS/HAB</v>
          </cell>
          <cell r="E2474" t="str">
            <v xml:space="preserve">CFC Habilitation and Attendant Care HAB (CDS) (MDCP) </v>
          </cell>
          <cell r="F2474" t="str">
            <v>T1019SKU9UCU6</v>
          </cell>
          <cell r="P2474" t="str">
            <v>CFC</v>
          </cell>
        </row>
        <row r="2475">
          <cell r="A2475" t="str">
            <v>State Plan (Title XIX)</v>
          </cell>
          <cell r="C2475" t="str">
            <v>STAR Kids</v>
          </cell>
          <cell r="D2475" t="str">
            <v>PAS/HAB</v>
          </cell>
          <cell r="E2475" t="str">
            <v xml:space="preserve">CFC Habilitation and Attendant Care HAB (SRO) </v>
          </cell>
          <cell r="F2475" t="str">
            <v>T1019SKU9U2</v>
          </cell>
          <cell r="P2475" t="str">
            <v>CFC</v>
          </cell>
        </row>
        <row r="2476">
          <cell r="A2476" t="str">
            <v>State Plan (Title XIX)</v>
          </cell>
          <cell r="C2476" t="str">
            <v>STAR Kids</v>
          </cell>
          <cell r="D2476" t="str">
            <v>PAS/HAB</v>
          </cell>
          <cell r="E2476" t="str">
            <v xml:space="preserve">CFC Habilitation and Attendant Care HAB (SRO) (MDCP) </v>
          </cell>
          <cell r="F2476" t="str">
            <v>T1019SKU9U2U6</v>
          </cell>
          <cell r="P2476" t="str">
            <v>CFC</v>
          </cell>
        </row>
        <row r="2477">
          <cell r="A2477" t="str">
            <v>State Plan (Title XIX)</v>
          </cell>
          <cell r="C2477" t="str">
            <v>STAR Kids</v>
          </cell>
          <cell r="D2477" t="str">
            <v>PCS SK</v>
          </cell>
          <cell r="E2477" t="str">
            <v xml:space="preserve"> PCS (CDS) </v>
          </cell>
          <cell r="F2477" t="str">
            <v>T1019SKUC</v>
          </cell>
        </row>
        <row r="2478">
          <cell r="A2478" t="str">
            <v>State Plan (Title XIX)</v>
          </cell>
          <cell r="C2478" t="str">
            <v>STAR Kids</v>
          </cell>
          <cell r="D2478" t="str">
            <v>PCS SK</v>
          </cell>
          <cell r="E2478" t="str">
            <v xml:space="preserve"> PCS BH Condition (CDS) </v>
          </cell>
          <cell r="F2478" t="str">
            <v>T1019SKUAUC</v>
          </cell>
        </row>
        <row r="2479">
          <cell r="A2479" t="str">
            <v>State Plan (Title XIX)</v>
          </cell>
          <cell r="C2479" t="str">
            <v>STAR Kids</v>
          </cell>
          <cell r="D2479" t="str">
            <v>PCS SK</v>
          </cell>
          <cell r="E2479" t="str">
            <v xml:space="preserve">CFC (AO) </v>
          </cell>
          <cell r="F2479" t="str">
            <v>T1019SKUD</v>
          </cell>
          <cell r="P2479" t="str">
            <v>CFC</v>
          </cell>
        </row>
        <row r="2480">
          <cell r="A2480" t="str">
            <v>State Plan (Title XIX)</v>
          </cell>
          <cell r="C2480" t="str">
            <v>STAR Kids</v>
          </cell>
          <cell r="D2480" t="str">
            <v>PCS SK</v>
          </cell>
          <cell r="E2480" t="str">
            <v xml:space="preserve">CFC PCS Attendant care Only (AO) </v>
          </cell>
          <cell r="F2480" t="str">
            <v>T1019SKUDU1</v>
          </cell>
          <cell r="P2480" t="str">
            <v>CFC</v>
          </cell>
        </row>
        <row r="2481">
          <cell r="A2481" t="str">
            <v>State Plan (Title XIX)</v>
          </cell>
          <cell r="C2481" t="str">
            <v>STAR Kids</v>
          </cell>
          <cell r="D2481" t="str">
            <v>PCS SK</v>
          </cell>
          <cell r="E2481" t="str">
            <v xml:space="preserve">CFC PCS Attendant care only (AO) </v>
          </cell>
          <cell r="F2481" t="str">
            <v>T1019SKUD</v>
          </cell>
          <cell r="P2481" t="str">
            <v>CFC</v>
          </cell>
        </row>
        <row r="2482">
          <cell r="A2482" t="str">
            <v>State Plan (Title XIX)</v>
          </cell>
          <cell r="C2482" t="str">
            <v>STAR Kids</v>
          </cell>
          <cell r="D2482" t="str">
            <v>PCS SK</v>
          </cell>
          <cell r="E2482" t="str">
            <v xml:space="preserve">CFC PCS Attendant care Only (AO) (MDCP) </v>
          </cell>
          <cell r="F2482" t="str">
            <v>T1019SKUDU1U6</v>
          </cell>
          <cell r="P2482" t="str">
            <v>CFC</v>
          </cell>
        </row>
        <row r="2483">
          <cell r="A2483" t="str">
            <v>State Plan (Title XIX)</v>
          </cell>
          <cell r="C2483" t="str">
            <v>STAR Kids</v>
          </cell>
          <cell r="D2483" t="str">
            <v>PCS SK</v>
          </cell>
          <cell r="E2483" t="str">
            <v xml:space="preserve">CFC PCS Attendant care Only (CDS) </v>
          </cell>
          <cell r="F2483" t="str">
            <v>T1019SKUDUC</v>
          </cell>
          <cell r="P2483" t="str">
            <v>CFC</v>
          </cell>
        </row>
        <row r="2484">
          <cell r="A2484" t="str">
            <v>State Plan (Title XIX)</v>
          </cell>
          <cell r="C2484" t="str">
            <v>STAR Kids</v>
          </cell>
          <cell r="D2484" t="str">
            <v>PCS SK</v>
          </cell>
          <cell r="E2484" t="str">
            <v xml:space="preserve">CFC PCS Attendant care only (CDS) </v>
          </cell>
          <cell r="F2484" t="str">
            <v>T1019SKU3</v>
          </cell>
          <cell r="P2484" t="str">
            <v>CFC</v>
          </cell>
        </row>
        <row r="2485">
          <cell r="A2485" t="str">
            <v>State Plan (Title XIX)</v>
          </cell>
          <cell r="C2485" t="str">
            <v>STAR Kids</v>
          </cell>
          <cell r="D2485" t="str">
            <v>PCS SK</v>
          </cell>
          <cell r="E2485" t="str">
            <v xml:space="preserve">CFC PCS Attendant care Only (CDS) (MDCP) </v>
          </cell>
          <cell r="F2485" t="str">
            <v>T1019SKUDUCU6</v>
          </cell>
          <cell r="P2485" t="str">
            <v>CFC</v>
          </cell>
        </row>
        <row r="2486">
          <cell r="A2486" t="str">
            <v>State Plan (Title XIX)</v>
          </cell>
          <cell r="C2486" t="str">
            <v>STAR Kids</v>
          </cell>
          <cell r="D2486" t="str">
            <v>PCS SK</v>
          </cell>
          <cell r="E2486" t="str">
            <v xml:space="preserve">CFC PCS Attendant care only (SRO) </v>
          </cell>
          <cell r="F2486" t="str">
            <v>T1019SKU1</v>
          </cell>
          <cell r="P2486" t="str">
            <v>CFC</v>
          </cell>
        </row>
        <row r="2487">
          <cell r="A2487" t="str">
            <v>State Plan (Title XIX)</v>
          </cell>
          <cell r="C2487" t="str">
            <v>STAR Kids</v>
          </cell>
          <cell r="D2487" t="str">
            <v>PCS SK</v>
          </cell>
          <cell r="E2487" t="str">
            <v xml:space="preserve">CFC PCS Attendant care Only (SRO) </v>
          </cell>
          <cell r="F2487" t="str">
            <v>T1019SKUDU2</v>
          </cell>
          <cell r="P2487" t="str">
            <v>CFC</v>
          </cell>
        </row>
        <row r="2488">
          <cell r="A2488" t="str">
            <v>State Plan (Title XIX)</v>
          </cell>
          <cell r="C2488" t="str">
            <v>STAR Kids</v>
          </cell>
          <cell r="D2488" t="str">
            <v>PCS SK</v>
          </cell>
          <cell r="E2488" t="str">
            <v xml:space="preserve">CFC PCS Attendant care Only (SRO) (MDCP) </v>
          </cell>
          <cell r="F2488" t="str">
            <v>T1019SKUDU2U6</v>
          </cell>
          <cell r="P2488" t="str">
            <v>CFC</v>
          </cell>
        </row>
        <row r="2489">
          <cell r="A2489" t="str">
            <v>State Plan (Title XIX)</v>
          </cell>
          <cell r="C2489" t="str">
            <v>STAR Kids</v>
          </cell>
          <cell r="D2489" t="str">
            <v>PCS SK</v>
          </cell>
          <cell r="E2489" t="str">
            <v xml:space="preserve">CFC PCS BEHAVIORAL HEALTH CONDITION (AO) </v>
          </cell>
          <cell r="F2489" t="str">
            <v>T1019SKU9</v>
          </cell>
          <cell r="P2489" t="str">
            <v>CFC</v>
          </cell>
        </row>
        <row r="2490">
          <cell r="A2490" t="str">
            <v>State Plan (Title XIX)</v>
          </cell>
          <cell r="C2490" t="str">
            <v>STAR Kids</v>
          </cell>
          <cell r="D2490" t="str">
            <v>PCS SK</v>
          </cell>
          <cell r="E2490" t="str">
            <v xml:space="preserve">CFC PCS BEHAVIORAL HEALTH CONDITION (CDS) </v>
          </cell>
          <cell r="F2490" t="str">
            <v>T1019SKU4</v>
          </cell>
          <cell r="P2490" t="str">
            <v>CFC</v>
          </cell>
        </row>
        <row r="2491">
          <cell r="A2491" t="str">
            <v>State Plan (Title XIX)</v>
          </cell>
          <cell r="C2491" t="str">
            <v>STAR Kids</v>
          </cell>
          <cell r="D2491" t="str">
            <v>PCS SK</v>
          </cell>
          <cell r="E2491" t="str">
            <v xml:space="preserve">PCS (AO) </v>
          </cell>
          <cell r="F2491" t="str">
            <v>T1019SKU6</v>
          </cell>
        </row>
        <row r="2492">
          <cell r="A2492" t="str">
            <v>State Plan (Title XIX)</v>
          </cell>
          <cell r="C2492" t="str">
            <v>STAR Kids</v>
          </cell>
          <cell r="D2492" t="str">
            <v>PCS SK</v>
          </cell>
          <cell r="E2492" t="str">
            <v xml:space="preserve">PCS (AO) </v>
          </cell>
          <cell r="F2492" t="str">
            <v>T1019SKU6</v>
          </cell>
        </row>
        <row r="2493">
          <cell r="A2493" t="str">
            <v>State Plan (Title XIX)</v>
          </cell>
          <cell r="C2493" t="str">
            <v>STAR Kids</v>
          </cell>
          <cell r="D2493" t="str">
            <v>PCS SK</v>
          </cell>
          <cell r="E2493" t="str">
            <v xml:space="preserve">PCS (BH Condition) (AO) </v>
          </cell>
          <cell r="F2493" t="str">
            <v>T1019SKUBU1</v>
          </cell>
        </row>
        <row r="2494">
          <cell r="A2494" t="str">
            <v>State Plan (Title XIX)</v>
          </cell>
          <cell r="C2494" t="str">
            <v>STAR Kids</v>
          </cell>
          <cell r="D2494" t="str">
            <v>PCS SK</v>
          </cell>
          <cell r="E2494" t="str">
            <v xml:space="preserve">PCS (BH Condition) (CDS) </v>
          </cell>
          <cell r="F2494" t="str">
            <v>T1019SKUBUC</v>
          </cell>
        </row>
        <row r="2495">
          <cell r="A2495" t="str">
            <v>State Plan (Title XIX)</v>
          </cell>
          <cell r="C2495" t="str">
            <v>STAR Kids</v>
          </cell>
          <cell r="D2495" t="str">
            <v>PCS SK</v>
          </cell>
          <cell r="E2495" t="str">
            <v xml:space="preserve">PCS (BH Condition) (SRO) </v>
          </cell>
          <cell r="F2495" t="str">
            <v>T1019SKUBU2</v>
          </cell>
        </row>
        <row r="2496">
          <cell r="A2496" t="str">
            <v>State Plan (Title XIX)</v>
          </cell>
          <cell r="C2496" t="str">
            <v>STAR Kids</v>
          </cell>
          <cell r="D2496" t="str">
            <v>PCS SK</v>
          </cell>
          <cell r="E2496" t="str">
            <v xml:space="preserve">PCS (CDS) </v>
          </cell>
          <cell r="F2496" t="str">
            <v>T1019SKU7</v>
          </cell>
        </row>
        <row r="2497">
          <cell r="A2497" t="str">
            <v>State Plan (Title XIX)</v>
          </cell>
          <cell r="C2497" t="str">
            <v>STAR Kids</v>
          </cell>
          <cell r="D2497" t="str">
            <v>PCS SK</v>
          </cell>
          <cell r="E2497" t="str">
            <v xml:space="preserve">PCS (SRO) </v>
          </cell>
          <cell r="F2497" t="str">
            <v>T1019SKUS</v>
          </cell>
        </row>
        <row r="2498">
          <cell r="A2498" t="str">
            <v>State Plan (Title XIX)</v>
          </cell>
          <cell r="C2498" t="str">
            <v>STAR Kids</v>
          </cell>
          <cell r="D2498" t="str">
            <v>PCS SK</v>
          </cell>
          <cell r="E2498" t="str">
            <v xml:space="preserve">PCS BEHAVIORAL HEALTH CONDITION (AO) </v>
          </cell>
          <cell r="F2498" t="str">
            <v>T1019SKUA</v>
          </cell>
        </row>
        <row r="2499">
          <cell r="A2499" t="str">
            <v>State Plan (Title XIX)</v>
          </cell>
          <cell r="C2499" t="str">
            <v>STAR Kids</v>
          </cell>
          <cell r="D2499" t="str">
            <v>PCS SK</v>
          </cell>
          <cell r="E2499" t="str">
            <v xml:space="preserve">PCS BEHAVIORAL HEALTH CONDITION (CDS) </v>
          </cell>
          <cell r="F2499" t="str">
            <v>T1019SKUB</v>
          </cell>
        </row>
        <row r="2500">
          <cell r="A2500" t="str">
            <v>State Plan (Title XIX)</v>
          </cell>
          <cell r="C2500" t="str">
            <v>STAR Kids</v>
          </cell>
          <cell r="D2500" t="str">
            <v>PCS SK</v>
          </cell>
          <cell r="E2500" t="str">
            <v xml:space="preserve">PCS BH Condition (AO) </v>
          </cell>
          <cell r="F2500" t="str">
            <v>T1019SKUAU6</v>
          </cell>
        </row>
        <row r="2501">
          <cell r="A2501" t="str">
            <v>State Plan (Title XIX)</v>
          </cell>
          <cell r="C2501" t="str">
            <v>STAR Kids</v>
          </cell>
          <cell r="D2501" t="str">
            <v>PCS SK</v>
          </cell>
          <cell r="E2501" t="str">
            <v xml:space="preserve">PCS BH Condition (SRO) </v>
          </cell>
          <cell r="F2501" t="str">
            <v>T1019SKUAUS</v>
          </cell>
        </row>
        <row r="2502">
          <cell r="A2502" t="str">
            <v>State Plan (Title XIX)</v>
          </cell>
          <cell r="C2502" t="str">
            <v>STAR Kids</v>
          </cell>
          <cell r="D2502" t="str">
            <v>PDN</v>
          </cell>
          <cell r="E2502" t="str">
            <v>PDN Independently Enrolled LVN</v>
          </cell>
          <cell r="F2502" t="str">
            <v>T1000SKU3TE</v>
          </cell>
        </row>
        <row r="2503">
          <cell r="A2503" t="str">
            <v>State Plan (Title XIX)</v>
          </cell>
          <cell r="C2503" t="str">
            <v>STAR Kids</v>
          </cell>
          <cell r="D2503" t="str">
            <v>PDN</v>
          </cell>
          <cell r="E2503" t="str">
            <v xml:space="preserve">PDN Independently Enrolled LVN (MDCP) </v>
          </cell>
          <cell r="F2503" t="str">
            <v>T1000SKU3TEU6</v>
          </cell>
        </row>
        <row r="2504">
          <cell r="A2504" t="str">
            <v>State Plan (Title XIX)</v>
          </cell>
          <cell r="C2504" t="str">
            <v>STAR Kids</v>
          </cell>
          <cell r="D2504" t="str">
            <v>PDN</v>
          </cell>
          <cell r="E2504" t="str">
            <v>PDN Independently Enrolled RN</v>
          </cell>
          <cell r="F2504" t="str">
            <v>T1000SKU3TD</v>
          </cell>
        </row>
        <row r="2505">
          <cell r="A2505" t="str">
            <v>State Plan (Title XIX)</v>
          </cell>
          <cell r="C2505" t="str">
            <v>STAR Kids</v>
          </cell>
          <cell r="D2505" t="str">
            <v>PDN</v>
          </cell>
          <cell r="E2505" t="str">
            <v xml:space="preserve">PDN Independently Enrolled RN (MDCP) </v>
          </cell>
          <cell r="F2505" t="str">
            <v>T1000SKU3TDU6</v>
          </cell>
        </row>
        <row r="2506">
          <cell r="A2506" t="str">
            <v>State Plan (Title XIX)</v>
          </cell>
          <cell r="C2506" t="str">
            <v>STAR Kids</v>
          </cell>
          <cell r="D2506" t="str">
            <v>PDN</v>
          </cell>
          <cell r="E2506" t="str">
            <v>PDN Independently Enrolled Specialized LVN</v>
          </cell>
          <cell r="F2506" t="str">
            <v>T1000SKU3TEUA</v>
          </cell>
        </row>
        <row r="2507">
          <cell r="A2507" t="str">
            <v>State Plan (Title XIX)</v>
          </cell>
          <cell r="C2507" t="str">
            <v>STAR Kids</v>
          </cell>
          <cell r="D2507" t="str">
            <v>PDN</v>
          </cell>
          <cell r="E2507" t="str">
            <v xml:space="preserve">PDN Independently Enrolled Specialized LVN (MDCP) </v>
          </cell>
          <cell r="F2507" t="str">
            <v>T1000SKU3TEUAU6</v>
          </cell>
        </row>
        <row r="2508">
          <cell r="A2508" t="str">
            <v>State Plan (Title XIX)</v>
          </cell>
          <cell r="C2508" t="str">
            <v>STAR Kids</v>
          </cell>
          <cell r="D2508" t="str">
            <v>PDN</v>
          </cell>
          <cell r="E2508" t="str">
            <v>PDN Independently Enrolled Specialized RN</v>
          </cell>
          <cell r="F2508" t="str">
            <v>T1000SKU3TDUA</v>
          </cell>
        </row>
        <row r="2509">
          <cell r="A2509" t="str">
            <v>State Plan (Title XIX)</v>
          </cell>
          <cell r="C2509" t="str">
            <v>STAR Kids</v>
          </cell>
          <cell r="D2509" t="str">
            <v>PDN</v>
          </cell>
          <cell r="E2509" t="str">
            <v xml:space="preserve">PDN Independently Enrolled Specialized RN (MDCP) </v>
          </cell>
          <cell r="F2509" t="str">
            <v>T1000SKU3TDUAU6</v>
          </cell>
        </row>
        <row r="2510">
          <cell r="A2510" t="str">
            <v>State Plan (Title XIX)</v>
          </cell>
          <cell r="C2510" t="str">
            <v>STAR Kids</v>
          </cell>
          <cell r="D2510" t="str">
            <v>PDN</v>
          </cell>
          <cell r="E2510" t="str">
            <v>PDN LVN</v>
          </cell>
          <cell r="F2510" t="str">
            <v>T1000SKTE</v>
          </cell>
        </row>
        <row r="2511">
          <cell r="A2511" t="str">
            <v>State Plan (Title XIX)</v>
          </cell>
          <cell r="C2511" t="str">
            <v>STAR Kids</v>
          </cell>
          <cell r="D2511" t="str">
            <v>PDN</v>
          </cell>
          <cell r="E2511" t="str">
            <v xml:space="preserve">PDN LVN (MDCP) </v>
          </cell>
          <cell r="F2511" t="str">
            <v>T1000SKTEU6</v>
          </cell>
        </row>
        <row r="2512">
          <cell r="A2512" t="str">
            <v>State Plan (Title XIX)</v>
          </cell>
          <cell r="C2512" t="str">
            <v>STAR Kids</v>
          </cell>
          <cell r="D2512" t="str">
            <v>PDN</v>
          </cell>
          <cell r="E2512" t="str">
            <v>PDN RN</v>
          </cell>
          <cell r="F2512" t="str">
            <v>T1000SKTD</v>
          </cell>
        </row>
        <row r="2513">
          <cell r="A2513" t="str">
            <v>State Plan (Title XIX)</v>
          </cell>
          <cell r="C2513" t="str">
            <v>STAR Kids</v>
          </cell>
          <cell r="D2513" t="str">
            <v>PDN</v>
          </cell>
          <cell r="E2513" t="str">
            <v xml:space="preserve">PDN RN (MDCP) </v>
          </cell>
          <cell r="F2513" t="str">
            <v>T1000SKTDU6</v>
          </cell>
        </row>
        <row r="2514">
          <cell r="A2514" t="str">
            <v>State Plan (Title XIX)</v>
          </cell>
          <cell r="C2514" t="str">
            <v>STAR Kids</v>
          </cell>
          <cell r="D2514" t="str">
            <v>PDN</v>
          </cell>
          <cell r="E2514" t="str">
            <v>PDN Specialized LVN</v>
          </cell>
          <cell r="F2514" t="str">
            <v>T1000SKTEUA</v>
          </cell>
        </row>
        <row r="2515">
          <cell r="A2515" t="str">
            <v>State Plan (Title XIX)</v>
          </cell>
          <cell r="C2515" t="str">
            <v>STAR Kids</v>
          </cell>
          <cell r="D2515" t="str">
            <v>PDN</v>
          </cell>
          <cell r="E2515" t="str">
            <v xml:space="preserve">PDN Specialized LVN (MDCP) </v>
          </cell>
          <cell r="F2515" t="str">
            <v>T1000SKTEUAU6</v>
          </cell>
        </row>
        <row r="2516">
          <cell r="A2516" t="str">
            <v>State Plan (Title XIX)</v>
          </cell>
          <cell r="C2516" t="str">
            <v>STAR Kids</v>
          </cell>
          <cell r="D2516" t="str">
            <v>PDN</v>
          </cell>
          <cell r="E2516" t="str">
            <v>PDN Specialized RN</v>
          </cell>
          <cell r="F2516" t="str">
            <v>T1000SKTDUA</v>
          </cell>
        </row>
        <row r="2517">
          <cell r="A2517" t="str">
            <v>State Plan (Title XIX)</v>
          </cell>
          <cell r="C2517" t="str">
            <v>STAR Kids</v>
          </cell>
          <cell r="D2517" t="str">
            <v>PDN</v>
          </cell>
          <cell r="E2517" t="str">
            <v xml:space="preserve">PDN Specialized RN (MDCP) </v>
          </cell>
          <cell r="F2517" t="str">
            <v>T1000SKTDUAU6</v>
          </cell>
        </row>
        <row r="2518">
          <cell r="A2518" t="str">
            <v>State Plan (Title XIX)</v>
          </cell>
          <cell r="C2518" t="str">
            <v>STAR Kids</v>
          </cell>
          <cell r="D2518" t="str">
            <v>PPEC</v>
          </cell>
          <cell r="E2518" t="str">
            <v>Non-emergency transportation</v>
          </cell>
          <cell r="F2518" t="str">
            <v>T2002SK</v>
          </cell>
        </row>
        <row r="2519">
          <cell r="A2519" t="str">
            <v>State Plan (Title XIX)</v>
          </cell>
          <cell r="C2519" t="str">
            <v>STAR Kids</v>
          </cell>
          <cell r="D2519" t="str">
            <v>PPEC</v>
          </cell>
          <cell r="E2519" t="str">
            <v xml:space="preserve">Prescribed Pediatric Extended Care transportation (MDCP) </v>
          </cell>
          <cell r="F2519" t="str">
            <v>T2002SKU6</v>
          </cell>
        </row>
        <row r="2520">
          <cell r="A2520" t="str">
            <v>State Plan (Title XIX)</v>
          </cell>
          <cell r="C2520" t="str">
            <v>STAR Kids</v>
          </cell>
          <cell r="D2520" t="str">
            <v>PPEC</v>
          </cell>
          <cell r="E2520" t="str">
            <v xml:space="preserve">Prescribed Pediatric Extended Care, greater than 4 hours </v>
          </cell>
          <cell r="F2520" t="str">
            <v>T1025SK</v>
          </cell>
        </row>
        <row r="2521">
          <cell r="A2521" t="str">
            <v>State Plan (Title XIX)</v>
          </cell>
          <cell r="C2521" t="str">
            <v>STAR Kids</v>
          </cell>
          <cell r="D2521" t="str">
            <v>PPEC</v>
          </cell>
          <cell r="E2521" t="str">
            <v xml:space="preserve">Prescribed Pediatric Extended Care, greater than 4 hours (MDCP) </v>
          </cell>
          <cell r="F2521" t="str">
            <v>T1025SKU6</v>
          </cell>
        </row>
        <row r="2522">
          <cell r="A2522" t="str">
            <v>State Plan (Title XIX)</v>
          </cell>
          <cell r="C2522" t="str">
            <v>STAR Kids</v>
          </cell>
          <cell r="D2522" t="str">
            <v>PPEC</v>
          </cell>
          <cell r="E2522" t="str">
            <v xml:space="preserve">Prescribed Pediatric Extended Care, up to 4 hours </v>
          </cell>
          <cell r="F2522" t="str">
            <v>T1026SK</v>
          </cell>
          <cell r="P2522"/>
        </row>
        <row r="2523">
          <cell r="A2523" t="str">
            <v>State Plan (Title XIX)</v>
          </cell>
          <cell r="C2523" t="str">
            <v>STAR Kids</v>
          </cell>
          <cell r="D2523" t="str">
            <v>PPEC</v>
          </cell>
          <cell r="E2523" t="str">
            <v xml:space="preserve">Prescribed Pediatric Extended Care, up to 4 hours (MDCP) </v>
          </cell>
          <cell r="F2523" t="str">
            <v>T1026SKU6</v>
          </cell>
        </row>
        <row r="2524">
          <cell r="A2524" t="str">
            <v>1915(c) waiver</v>
          </cell>
          <cell r="C2524" t="str">
            <v>STAR Kids MDCP</v>
          </cell>
          <cell r="D2524" t="str">
            <v xml:space="preserve">Adaptive Aids/DME </v>
          </cell>
          <cell r="E2524" t="str">
            <v>Adaptive Aid- Medical Equipment</v>
          </cell>
          <cell r="F2524" t="str">
            <v>T2029SK</v>
          </cell>
        </row>
        <row r="2525">
          <cell r="A2525" t="str">
            <v>1915(c) waiver</v>
          </cell>
          <cell r="C2525" t="str">
            <v>STAR Kids MDCP</v>
          </cell>
          <cell r="D2525" t="str">
            <v xml:space="preserve">Adaptive Aids/DME </v>
          </cell>
          <cell r="E2525" t="str">
            <v xml:space="preserve">Adaptive Aid- Medical Equipment (CDS) </v>
          </cell>
          <cell r="F2525" t="str">
            <v>T2029SKUC</v>
          </cell>
        </row>
        <row r="2526">
          <cell r="A2526" t="str">
            <v>1915(c) waiver</v>
          </cell>
          <cell r="C2526" t="str">
            <v>STAR Kids MDCP</v>
          </cell>
          <cell r="D2526" t="str">
            <v xml:space="preserve">Adaptive Aids/DME </v>
          </cell>
          <cell r="E2526" t="str">
            <v>Adaptive Aid- NOS</v>
          </cell>
          <cell r="F2526" t="str">
            <v>T2028SK</v>
          </cell>
        </row>
        <row r="2527">
          <cell r="A2527" t="str">
            <v>1915(c) waiver</v>
          </cell>
          <cell r="C2527" t="str">
            <v>STAR Kids MDCP</v>
          </cell>
          <cell r="D2527" t="str">
            <v xml:space="preserve">Adaptive Aids/DME </v>
          </cell>
          <cell r="E2527" t="str">
            <v xml:space="preserve">Adaptive Aid- NOS (CDS) </v>
          </cell>
          <cell r="F2527" t="str">
            <v>T2028SKUC</v>
          </cell>
        </row>
        <row r="2528">
          <cell r="A2528" t="str">
            <v>1915(c) waiver</v>
          </cell>
          <cell r="C2528" t="str">
            <v>STAR Kids MDCP</v>
          </cell>
          <cell r="D2528" t="str">
            <v xml:space="preserve">Adaptive Aids/DME </v>
          </cell>
          <cell r="E2528" t="str">
            <v>Adaptive Aid- Vehicle Modification</v>
          </cell>
          <cell r="F2528" t="str">
            <v>T2039SK</v>
          </cell>
        </row>
        <row r="2529">
          <cell r="A2529" t="str">
            <v>1915(c) waiver</v>
          </cell>
          <cell r="C2529" t="str">
            <v>STAR Kids MDCP</v>
          </cell>
          <cell r="D2529" t="str">
            <v xml:space="preserve">Adaptive Aids/DME </v>
          </cell>
          <cell r="E2529" t="str">
            <v xml:space="preserve">Adaptive Aid- Vehicle Modification (CDS) </v>
          </cell>
          <cell r="F2529" t="str">
            <v>T2039SKUC</v>
          </cell>
        </row>
        <row r="2530">
          <cell r="A2530" t="str">
            <v>1915(c) waiver</v>
          </cell>
          <cell r="C2530" t="str">
            <v>STAR Kids MDCP</v>
          </cell>
          <cell r="D2530" t="str">
            <v>Employment Services</v>
          </cell>
          <cell r="E2530" t="str">
            <v xml:space="preserve"> Employment Assistance (CDS) </v>
          </cell>
          <cell r="F2530" t="str">
            <v>H2023SKUC</v>
          </cell>
        </row>
        <row r="2531">
          <cell r="A2531" t="str">
            <v>1915(c) waiver</v>
          </cell>
          <cell r="C2531" t="str">
            <v>STAR Kids MDCP</v>
          </cell>
          <cell r="D2531" t="str">
            <v>Employment Services</v>
          </cell>
          <cell r="E2531" t="str">
            <v xml:space="preserve">Employment Assistance (AO) </v>
          </cell>
          <cell r="F2531" t="str">
            <v>H2025SKU1</v>
          </cell>
        </row>
        <row r="2532">
          <cell r="A2532" t="str">
            <v>1915(c) waiver</v>
          </cell>
          <cell r="C2532" t="str">
            <v>STAR Kids MDCP</v>
          </cell>
          <cell r="D2532" t="str">
            <v>Employment Services</v>
          </cell>
          <cell r="E2532" t="str">
            <v xml:space="preserve">Employment Assistance (AO) </v>
          </cell>
          <cell r="F2532" t="str">
            <v>H2023SK</v>
          </cell>
        </row>
        <row r="2533">
          <cell r="A2533" t="str">
            <v>1915(c) waiver</v>
          </cell>
          <cell r="C2533" t="str">
            <v>STAR Kids MDCP</v>
          </cell>
          <cell r="D2533" t="str">
            <v>Employment Services</v>
          </cell>
          <cell r="E2533" t="str">
            <v xml:space="preserve">Employment Assistance (SRO) </v>
          </cell>
          <cell r="F2533" t="str">
            <v>H2025SKU2</v>
          </cell>
        </row>
        <row r="2534">
          <cell r="A2534" t="str">
            <v>1915(c) waiver</v>
          </cell>
          <cell r="C2534" t="str">
            <v>STAR Kids MDCP</v>
          </cell>
          <cell r="D2534" t="str">
            <v>Employment Services</v>
          </cell>
          <cell r="E2534" t="str">
            <v xml:space="preserve">Employment Assistance (SRO) </v>
          </cell>
          <cell r="F2534" t="str">
            <v>H2023SKUS</v>
          </cell>
        </row>
        <row r="2535">
          <cell r="A2535" t="str">
            <v>1915(c) waiver</v>
          </cell>
          <cell r="C2535" t="str">
            <v>STAR Kids MDCP</v>
          </cell>
          <cell r="D2535" t="str">
            <v>Employment Services</v>
          </cell>
          <cell r="E2535" t="str">
            <v xml:space="preserve">Supported Employment (AO) </v>
          </cell>
          <cell r="F2535" t="str">
            <v>H2023SKU1</v>
          </cell>
        </row>
        <row r="2536">
          <cell r="A2536" t="str">
            <v>1915(c) waiver</v>
          </cell>
          <cell r="C2536" t="str">
            <v>STAR Kids MDCP</v>
          </cell>
          <cell r="D2536" t="str">
            <v>Employment Services</v>
          </cell>
          <cell r="E2536" t="str">
            <v xml:space="preserve">Supported Employment (AO) </v>
          </cell>
          <cell r="F2536" t="str">
            <v>H2025SK</v>
          </cell>
        </row>
        <row r="2537">
          <cell r="A2537" t="str">
            <v>1915(c) waiver</v>
          </cell>
          <cell r="C2537" t="str">
            <v>STAR Kids MDCP</v>
          </cell>
          <cell r="D2537" t="str">
            <v>Employment Services</v>
          </cell>
          <cell r="E2537" t="str">
            <v xml:space="preserve">Supported Employment (CDS) </v>
          </cell>
          <cell r="F2537" t="str">
            <v>H2025SKUC</v>
          </cell>
        </row>
        <row r="2538">
          <cell r="A2538" t="str">
            <v>1915(c) waiver</v>
          </cell>
          <cell r="C2538" t="str">
            <v>STAR Kids MDCP</v>
          </cell>
          <cell r="D2538" t="str">
            <v>Employment Services</v>
          </cell>
          <cell r="E2538" t="str">
            <v xml:space="preserve">Supported Employment (SRO) </v>
          </cell>
          <cell r="F2538" t="str">
            <v>H2023SKU2</v>
          </cell>
        </row>
        <row r="2539">
          <cell r="A2539" t="str">
            <v>1915(c) waiver</v>
          </cell>
          <cell r="C2539" t="str">
            <v>STAR Kids MDCP</v>
          </cell>
          <cell r="D2539" t="str">
            <v>Employment Services</v>
          </cell>
          <cell r="E2539" t="str">
            <v xml:space="preserve">Supported Employment (SRO) </v>
          </cell>
          <cell r="F2539" t="str">
            <v>H2025SKUS</v>
          </cell>
        </row>
        <row r="2540">
          <cell r="A2540" t="str">
            <v>1915(c) waiver</v>
          </cell>
          <cell r="C2540" t="str">
            <v>STAR Kids MDCP</v>
          </cell>
          <cell r="D2540" t="str">
            <v>Flexible Family Supports</v>
          </cell>
          <cell r="E2540" t="str">
            <v xml:space="preserve">Attendant (AO) </v>
          </cell>
          <cell r="F2540" t="str">
            <v>S9482SKU4U1</v>
          </cell>
        </row>
        <row r="2541">
          <cell r="A2541" t="str">
            <v>1915(c) waiver</v>
          </cell>
          <cell r="C2541" t="str">
            <v>STAR Kids MDCP</v>
          </cell>
          <cell r="D2541" t="str">
            <v>Flexible Family Supports</v>
          </cell>
          <cell r="E2541" t="str">
            <v xml:space="preserve">Attendant (AO) </v>
          </cell>
          <cell r="F2541" t="str">
            <v>H2015SK99U1</v>
          </cell>
        </row>
        <row r="2542">
          <cell r="A2542" t="str">
            <v>1915(c) waiver</v>
          </cell>
          <cell r="C2542" t="str">
            <v>STAR Kids MDCP</v>
          </cell>
          <cell r="D2542" t="str">
            <v>Flexible Family Supports</v>
          </cell>
          <cell r="E2542" t="str">
            <v xml:space="preserve">Attendant (CDS) </v>
          </cell>
          <cell r="F2542" t="str">
            <v>S9482SKU4UC</v>
          </cell>
        </row>
        <row r="2543">
          <cell r="A2543" t="str">
            <v>1915(c) waiver</v>
          </cell>
          <cell r="C2543" t="str">
            <v>STAR Kids MDCP</v>
          </cell>
          <cell r="D2543" t="str">
            <v>Flexible Family Supports</v>
          </cell>
          <cell r="E2543" t="str">
            <v xml:space="preserve">Attendant (CDS) </v>
          </cell>
          <cell r="F2543" t="str">
            <v>H2015SK99U1UC</v>
          </cell>
        </row>
        <row r="2544">
          <cell r="A2544" t="str">
            <v>1915(c) waiver</v>
          </cell>
          <cell r="C2544" t="str">
            <v>STAR Kids MDCP</v>
          </cell>
          <cell r="D2544" t="str">
            <v>Flexible Family Supports</v>
          </cell>
          <cell r="E2544" t="str">
            <v xml:space="preserve">Attendant (SRO) </v>
          </cell>
          <cell r="F2544" t="str">
            <v>S9482SKU4U2</v>
          </cell>
        </row>
        <row r="2545">
          <cell r="A2545" t="str">
            <v>1915(c) waiver</v>
          </cell>
          <cell r="C2545" t="str">
            <v>STAR Kids MDCP</v>
          </cell>
          <cell r="D2545" t="str">
            <v>Flexible Family Supports</v>
          </cell>
          <cell r="E2545" t="str">
            <v xml:space="preserve">Attendant (SRO) </v>
          </cell>
          <cell r="F2545" t="str">
            <v>H2015SK99U1US</v>
          </cell>
        </row>
        <row r="2546">
          <cell r="A2546" t="str">
            <v>1915(c) waiver</v>
          </cell>
          <cell r="C2546" t="str">
            <v>STAR Kids MDCP</v>
          </cell>
          <cell r="D2546" t="str">
            <v>Flexible Family Supports</v>
          </cell>
          <cell r="E2546" t="str">
            <v xml:space="preserve">Attendant with RN delegation (AO) </v>
          </cell>
          <cell r="F2546" t="str">
            <v>S9482SKU4TDU1</v>
          </cell>
        </row>
        <row r="2547">
          <cell r="A2547" t="str">
            <v>1915(c) waiver</v>
          </cell>
          <cell r="C2547" t="str">
            <v>STAR Kids MDCP</v>
          </cell>
          <cell r="D2547" t="str">
            <v>Flexible Family Supports</v>
          </cell>
          <cell r="E2547" t="str">
            <v xml:space="preserve">Attendant with RN delegation (AO) </v>
          </cell>
          <cell r="F2547" t="str">
            <v>H2015SK99U1UA</v>
          </cell>
        </row>
        <row r="2548">
          <cell r="A2548" t="str">
            <v>1915(c) waiver</v>
          </cell>
          <cell r="C2548" t="str">
            <v>STAR Kids MDCP</v>
          </cell>
          <cell r="D2548" t="str">
            <v>Flexible Family Supports</v>
          </cell>
          <cell r="E2548" t="str">
            <v xml:space="preserve">Attendant with RN delegation (AO) </v>
          </cell>
          <cell r="F2548" t="str">
            <v>H2015SK99U199</v>
          </cell>
        </row>
        <row r="2549">
          <cell r="A2549" t="str">
            <v>1915(c) waiver</v>
          </cell>
          <cell r="C2549" t="str">
            <v>STAR Kids MDCP</v>
          </cell>
          <cell r="D2549" t="str">
            <v>Flexible Family Supports</v>
          </cell>
          <cell r="E2549" t="str">
            <v xml:space="preserve">Attendant with RN delegation (CDS) </v>
          </cell>
          <cell r="F2549" t="str">
            <v>S9482SKU4TDUC</v>
          </cell>
        </row>
        <row r="2550">
          <cell r="A2550" t="str">
            <v>1915(c) waiver</v>
          </cell>
          <cell r="C2550" t="str">
            <v>STAR Kids MDCP</v>
          </cell>
          <cell r="D2550" t="str">
            <v>Flexible Family Supports</v>
          </cell>
          <cell r="E2550" t="str">
            <v xml:space="preserve">Attendant with RN delegation (CDS) </v>
          </cell>
          <cell r="F2550" t="str">
            <v>H2015SK99U1UAUC</v>
          </cell>
        </row>
        <row r="2551">
          <cell r="A2551" t="str">
            <v>1915(c) waiver</v>
          </cell>
          <cell r="C2551" t="str">
            <v>STAR Kids MDCP</v>
          </cell>
          <cell r="D2551" t="str">
            <v>Flexible Family Supports</v>
          </cell>
          <cell r="E2551" t="str">
            <v xml:space="preserve">Attendant with RN delegation (CDS) </v>
          </cell>
          <cell r="F2551" t="str">
            <v>H2015SK99U199UC</v>
          </cell>
        </row>
        <row r="2552">
          <cell r="A2552" t="str">
            <v>1915(c) waiver</v>
          </cell>
          <cell r="C2552" t="str">
            <v>STAR Kids MDCP</v>
          </cell>
          <cell r="D2552" t="str">
            <v>Flexible Family Supports</v>
          </cell>
          <cell r="E2552" t="str">
            <v xml:space="preserve">Attendant with RN delegation (SRO) </v>
          </cell>
          <cell r="F2552" t="str">
            <v>S9482SKU4TDU2</v>
          </cell>
        </row>
        <row r="2553">
          <cell r="A2553" t="str">
            <v>1915(c) waiver</v>
          </cell>
          <cell r="C2553" t="str">
            <v>STAR Kids MDCP</v>
          </cell>
          <cell r="D2553" t="str">
            <v>Flexible Family Supports</v>
          </cell>
          <cell r="E2553" t="str">
            <v xml:space="preserve">Attendant with RN delegation (SRO) </v>
          </cell>
          <cell r="F2553" t="str">
            <v>H2015SK99U1UAUS</v>
          </cell>
        </row>
        <row r="2554">
          <cell r="A2554" t="str">
            <v>1915(c) waiver</v>
          </cell>
          <cell r="C2554" t="str">
            <v>STAR Kids MDCP</v>
          </cell>
          <cell r="D2554" t="str">
            <v>Flexible Family Supports</v>
          </cell>
          <cell r="E2554" t="str">
            <v xml:space="preserve">Attendant with RN delegation (SRO) </v>
          </cell>
          <cell r="F2554" t="str">
            <v>H2015SK99U199US</v>
          </cell>
        </row>
        <row r="2555">
          <cell r="A2555" t="str">
            <v>1915(c) waiver</v>
          </cell>
          <cell r="C2555" t="str">
            <v>STAR Kids MDCP</v>
          </cell>
          <cell r="D2555" t="str">
            <v>Flexible Family Supports</v>
          </cell>
          <cell r="E2555" t="str">
            <v xml:space="preserve">LVN (AO) </v>
          </cell>
          <cell r="F2555" t="str">
            <v>S9482SKTEU1</v>
          </cell>
        </row>
        <row r="2556">
          <cell r="A2556" t="str">
            <v>1915(c) waiver</v>
          </cell>
          <cell r="C2556" t="str">
            <v>STAR Kids MDCP</v>
          </cell>
          <cell r="D2556" t="str">
            <v>Flexible Family Supports</v>
          </cell>
          <cell r="E2556" t="str">
            <v xml:space="preserve">LVN (AO) </v>
          </cell>
          <cell r="F2556" t="str">
            <v>H2015SK99U3</v>
          </cell>
        </row>
        <row r="2557">
          <cell r="A2557" t="str">
            <v>1915(c) waiver</v>
          </cell>
          <cell r="C2557" t="str">
            <v>STAR Kids MDCP</v>
          </cell>
          <cell r="D2557" t="str">
            <v>Flexible Family Supports</v>
          </cell>
          <cell r="E2557" t="str">
            <v xml:space="preserve">LVN (CDS) </v>
          </cell>
          <cell r="F2557" t="str">
            <v>S9482SKTEUC</v>
          </cell>
        </row>
        <row r="2558">
          <cell r="A2558" t="str">
            <v>1915(c) waiver</v>
          </cell>
          <cell r="C2558" t="str">
            <v>STAR Kids MDCP</v>
          </cell>
          <cell r="D2558" t="str">
            <v>Flexible Family Supports</v>
          </cell>
          <cell r="E2558" t="str">
            <v xml:space="preserve">LVN (CDS) </v>
          </cell>
          <cell r="F2558" t="str">
            <v>H2015SK99U3UC</v>
          </cell>
        </row>
        <row r="2559">
          <cell r="A2559" t="str">
            <v>1915(c) waiver</v>
          </cell>
          <cell r="C2559" t="str">
            <v>STAR Kids MDCP</v>
          </cell>
          <cell r="D2559" t="str">
            <v>Flexible Family Supports</v>
          </cell>
          <cell r="E2559" t="str">
            <v xml:space="preserve">LVN (SRO) </v>
          </cell>
          <cell r="F2559" t="str">
            <v>S9482SKTEU2</v>
          </cell>
        </row>
        <row r="2560">
          <cell r="A2560" t="str">
            <v>1915(c) waiver</v>
          </cell>
          <cell r="C2560" t="str">
            <v>STAR Kids MDCP</v>
          </cell>
          <cell r="D2560" t="str">
            <v>Flexible Family Supports</v>
          </cell>
          <cell r="E2560" t="str">
            <v xml:space="preserve">LVN (SRO) </v>
          </cell>
          <cell r="F2560" t="str">
            <v>H2015SK99U3US</v>
          </cell>
        </row>
        <row r="2561">
          <cell r="A2561" t="str">
            <v>1915(c) waiver</v>
          </cell>
          <cell r="C2561" t="str">
            <v>STAR Kids MDCP</v>
          </cell>
          <cell r="D2561" t="str">
            <v>Flexible Family Supports</v>
          </cell>
          <cell r="E2561" t="str">
            <v xml:space="preserve">RN (AO) </v>
          </cell>
          <cell r="F2561" t="str">
            <v>S9482SKTDU1</v>
          </cell>
        </row>
        <row r="2562">
          <cell r="A2562" t="str">
            <v>1915(c) waiver</v>
          </cell>
          <cell r="C2562" t="str">
            <v>STAR Kids MDCP</v>
          </cell>
          <cell r="D2562" t="str">
            <v>Flexible Family Supports</v>
          </cell>
          <cell r="E2562" t="str">
            <v xml:space="preserve">RN (AO) </v>
          </cell>
          <cell r="F2562" t="str">
            <v>H2015SK99U5</v>
          </cell>
        </row>
        <row r="2563">
          <cell r="A2563" t="str">
            <v>1915(c) waiver</v>
          </cell>
          <cell r="C2563" t="str">
            <v>STAR Kids MDCP</v>
          </cell>
          <cell r="D2563" t="str">
            <v>Flexible Family Supports</v>
          </cell>
          <cell r="E2563" t="str">
            <v xml:space="preserve">RN (CDS) </v>
          </cell>
          <cell r="F2563" t="str">
            <v>S9482SKTDUC</v>
          </cell>
        </row>
        <row r="2564">
          <cell r="A2564" t="str">
            <v>1915(c) waiver</v>
          </cell>
          <cell r="C2564" t="str">
            <v>STAR Kids MDCP</v>
          </cell>
          <cell r="D2564" t="str">
            <v>Flexible Family Supports</v>
          </cell>
          <cell r="E2564" t="str">
            <v xml:space="preserve">RN (CDS) </v>
          </cell>
          <cell r="F2564" t="str">
            <v>H2015SK99U5UC</v>
          </cell>
        </row>
        <row r="2565">
          <cell r="A2565" t="str">
            <v>1915(c) waiver</v>
          </cell>
          <cell r="C2565" t="str">
            <v>STAR Kids MDCP</v>
          </cell>
          <cell r="D2565" t="str">
            <v>Flexible Family Supports</v>
          </cell>
          <cell r="E2565" t="str">
            <v xml:space="preserve">RN (SRO) </v>
          </cell>
          <cell r="F2565" t="str">
            <v>S9482SKTDU2</v>
          </cell>
        </row>
        <row r="2566">
          <cell r="A2566" t="str">
            <v>1915(c) waiver</v>
          </cell>
          <cell r="C2566" t="str">
            <v>STAR Kids MDCP</v>
          </cell>
          <cell r="D2566" t="str">
            <v>Flexible Family Supports</v>
          </cell>
          <cell r="E2566" t="str">
            <v xml:space="preserve">RN (SRO) </v>
          </cell>
          <cell r="F2566" t="str">
            <v>H2015SK99U5US</v>
          </cell>
        </row>
        <row r="2567">
          <cell r="A2567" t="str">
            <v>1915(c) waiver</v>
          </cell>
          <cell r="C2567" t="str">
            <v>STAR Kids MDCP</v>
          </cell>
          <cell r="D2567" t="str">
            <v>Flexible Family Supports</v>
          </cell>
          <cell r="E2567" t="str">
            <v xml:space="preserve">Specialized LVN (AO) </v>
          </cell>
          <cell r="F2567" t="str">
            <v>S9482SKTEU7U1</v>
          </cell>
        </row>
        <row r="2568">
          <cell r="A2568" t="str">
            <v>1915(c) waiver</v>
          </cell>
          <cell r="C2568" t="str">
            <v>STAR Kids MDCP</v>
          </cell>
          <cell r="D2568" t="str">
            <v>Flexible Family Supports</v>
          </cell>
          <cell r="E2568" t="str">
            <v xml:space="preserve">Specialized LVN (AO) </v>
          </cell>
          <cell r="F2568" t="str">
            <v>H2015SK99U3UA</v>
          </cell>
        </row>
        <row r="2569">
          <cell r="A2569" t="str">
            <v>1915(c) waiver</v>
          </cell>
          <cell r="C2569" t="str">
            <v>STAR Kids MDCP</v>
          </cell>
          <cell r="D2569" t="str">
            <v>Flexible Family Supports</v>
          </cell>
          <cell r="E2569" t="str">
            <v xml:space="preserve">Specialized LVN (AO) </v>
          </cell>
          <cell r="F2569" t="str">
            <v>H2015SK99U399</v>
          </cell>
        </row>
        <row r="2570">
          <cell r="A2570" t="str">
            <v>1915(c) waiver</v>
          </cell>
          <cell r="C2570" t="str">
            <v>STAR Kids MDCP</v>
          </cell>
          <cell r="D2570" t="str">
            <v>Flexible Family Supports</v>
          </cell>
          <cell r="E2570" t="str">
            <v xml:space="preserve">Specialized LVN (CDS) </v>
          </cell>
          <cell r="F2570" t="str">
            <v>S9482SKTEU7UC</v>
          </cell>
        </row>
        <row r="2571">
          <cell r="A2571" t="str">
            <v>1915(c) waiver</v>
          </cell>
          <cell r="C2571" t="str">
            <v>STAR Kids MDCP</v>
          </cell>
          <cell r="D2571" t="str">
            <v>Flexible Family Supports</v>
          </cell>
          <cell r="E2571" t="str">
            <v xml:space="preserve">Specialized LVN (CDS) </v>
          </cell>
          <cell r="F2571" t="str">
            <v>H2015SK99U3UAUC</v>
          </cell>
        </row>
        <row r="2572">
          <cell r="A2572" t="str">
            <v>1915(c) waiver</v>
          </cell>
          <cell r="C2572" t="str">
            <v>STAR Kids MDCP</v>
          </cell>
          <cell r="D2572" t="str">
            <v>Flexible Family Supports</v>
          </cell>
          <cell r="E2572" t="str">
            <v xml:space="preserve">Specialized LVN (CDS) </v>
          </cell>
          <cell r="F2572" t="str">
            <v>H2015SK99U399UC</v>
          </cell>
        </row>
        <row r="2573">
          <cell r="A2573" t="str">
            <v>1915(c) waiver</v>
          </cell>
          <cell r="C2573" t="str">
            <v>STAR Kids MDCP</v>
          </cell>
          <cell r="D2573" t="str">
            <v>Flexible Family Supports</v>
          </cell>
          <cell r="E2573" t="str">
            <v xml:space="preserve">Specialized LVN (SRO) </v>
          </cell>
          <cell r="F2573" t="str">
            <v>S9482SKTEU7U2</v>
          </cell>
        </row>
        <row r="2574">
          <cell r="A2574" t="str">
            <v>1915(c) waiver</v>
          </cell>
          <cell r="C2574" t="str">
            <v>STAR Kids MDCP</v>
          </cell>
          <cell r="D2574" t="str">
            <v>Flexible Family Supports</v>
          </cell>
          <cell r="E2574" t="str">
            <v xml:space="preserve">Specialized LVN (SRO) </v>
          </cell>
          <cell r="F2574" t="str">
            <v>H2015SK99U3UAUS</v>
          </cell>
        </row>
        <row r="2575">
          <cell r="A2575" t="str">
            <v>1915(c) waiver</v>
          </cell>
          <cell r="C2575" t="str">
            <v>STAR Kids MDCP</v>
          </cell>
          <cell r="D2575" t="str">
            <v>Flexible Family Supports</v>
          </cell>
          <cell r="E2575" t="str">
            <v xml:space="preserve">Specialized LVN (SRO) </v>
          </cell>
          <cell r="F2575" t="str">
            <v>H2015SK99U399US</v>
          </cell>
        </row>
        <row r="2576">
          <cell r="A2576" t="str">
            <v>1915(c) waiver</v>
          </cell>
          <cell r="C2576" t="str">
            <v>STAR Kids MDCP</v>
          </cell>
          <cell r="D2576" t="str">
            <v>Flexible Family Supports</v>
          </cell>
          <cell r="E2576" t="str">
            <v xml:space="preserve">Specialized RN (AO) </v>
          </cell>
          <cell r="F2576" t="str">
            <v>S9482SKTDU7U1</v>
          </cell>
        </row>
        <row r="2577">
          <cell r="A2577" t="str">
            <v>1915(c) waiver</v>
          </cell>
          <cell r="C2577" t="str">
            <v>STAR Kids MDCP</v>
          </cell>
          <cell r="D2577" t="str">
            <v>Flexible Family Supports</v>
          </cell>
          <cell r="E2577" t="str">
            <v xml:space="preserve">Specialized RN (AO) </v>
          </cell>
          <cell r="F2577" t="str">
            <v>H2015SK99U5UA</v>
          </cell>
        </row>
        <row r="2578">
          <cell r="A2578" t="str">
            <v>1915(c) waiver</v>
          </cell>
          <cell r="C2578" t="str">
            <v>STAR Kids MDCP</v>
          </cell>
          <cell r="D2578" t="str">
            <v>Flexible Family Supports</v>
          </cell>
          <cell r="E2578" t="str">
            <v xml:space="preserve">Specialized RN (AO) </v>
          </cell>
          <cell r="F2578" t="str">
            <v>H2015SK99U599</v>
          </cell>
        </row>
        <row r="2579">
          <cell r="A2579" t="str">
            <v>1915(c) waiver</v>
          </cell>
          <cell r="C2579" t="str">
            <v>STAR Kids MDCP</v>
          </cell>
          <cell r="D2579" t="str">
            <v>Flexible Family Supports</v>
          </cell>
          <cell r="E2579" t="str">
            <v xml:space="preserve">Specialized RN (CDS) </v>
          </cell>
          <cell r="F2579" t="str">
            <v>S9482SKTDU7UC</v>
          </cell>
        </row>
        <row r="2580">
          <cell r="A2580" t="str">
            <v>1915(c) waiver</v>
          </cell>
          <cell r="C2580" t="str">
            <v>STAR Kids MDCP</v>
          </cell>
          <cell r="D2580" t="str">
            <v>Flexible Family Supports</v>
          </cell>
          <cell r="E2580" t="str">
            <v xml:space="preserve">Specialized RN (CDS) </v>
          </cell>
          <cell r="F2580" t="str">
            <v>H2015SK99U5UAUC</v>
          </cell>
        </row>
        <row r="2581">
          <cell r="A2581" t="str">
            <v>1915(c) waiver</v>
          </cell>
          <cell r="C2581" t="str">
            <v>STAR Kids MDCP</v>
          </cell>
          <cell r="D2581" t="str">
            <v>Flexible Family Supports</v>
          </cell>
          <cell r="E2581" t="str">
            <v xml:space="preserve">Specialized RN (CDS) </v>
          </cell>
          <cell r="F2581" t="str">
            <v>H2015SK99U599UC</v>
          </cell>
        </row>
        <row r="2582">
          <cell r="A2582" t="str">
            <v>1915(c) waiver</v>
          </cell>
          <cell r="C2582" t="str">
            <v>STAR Kids MDCP</v>
          </cell>
          <cell r="D2582" t="str">
            <v>Flexible Family Supports</v>
          </cell>
          <cell r="E2582" t="str">
            <v xml:space="preserve">Specialized RN (SRO) </v>
          </cell>
          <cell r="F2582" t="str">
            <v>S9482SKTDU7U2</v>
          </cell>
        </row>
        <row r="2583">
          <cell r="A2583" t="str">
            <v>1915(c) waiver</v>
          </cell>
          <cell r="C2583" t="str">
            <v>STAR Kids MDCP</v>
          </cell>
          <cell r="D2583" t="str">
            <v>Flexible Family Supports</v>
          </cell>
          <cell r="E2583" t="str">
            <v xml:space="preserve">Specialized RN (SRO) </v>
          </cell>
          <cell r="F2583" t="str">
            <v>H2015SK99U5UAUS</v>
          </cell>
        </row>
        <row r="2584">
          <cell r="A2584" t="str">
            <v>1915(c) waiver</v>
          </cell>
          <cell r="C2584" t="str">
            <v>STAR Kids MDCP</v>
          </cell>
          <cell r="D2584" t="str">
            <v>Flexible Family Supports</v>
          </cell>
          <cell r="E2584" t="str">
            <v xml:space="preserve">Specialized RN (SRO) </v>
          </cell>
          <cell r="F2584" t="str">
            <v>H2015SK99U599US</v>
          </cell>
        </row>
        <row r="2585">
          <cell r="A2585" t="str">
            <v>State Plan (Title XIX)</v>
          </cell>
          <cell r="C2585" t="str">
            <v>STAR Kids MDCP</v>
          </cell>
          <cell r="D2585" t="str">
            <v>FMS</v>
          </cell>
          <cell r="E2585" t="str">
            <v>Financial Management Service Fee, CFC and MDCP (CDS)</v>
          </cell>
          <cell r="F2585" t="str">
            <v>T2040SKU4</v>
          </cell>
          <cell r="P2585" t="str">
            <v>CFC</v>
          </cell>
        </row>
        <row r="2586">
          <cell r="A2586" t="str">
            <v>1915(c) waiver</v>
          </cell>
          <cell r="C2586" t="str">
            <v>STAR Kids MDCP</v>
          </cell>
          <cell r="D2586" t="str">
            <v>FMS</v>
          </cell>
          <cell r="E2586" t="str">
            <v>Financial Management Service Fee, MDCP (CDS)</v>
          </cell>
          <cell r="F2586" t="str">
            <v>T2040SKU3</v>
          </cell>
        </row>
        <row r="2587">
          <cell r="A2587" t="str">
            <v>1915(c) waiver</v>
          </cell>
          <cell r="C2587" t="str">
            <v>STAR Kids MDCP</v>
          </cell>
          <cell r="D2587" t="str">
            <v>Home Modifications</v>
          </cell>
          <cell r="E2587" t="str">
            <v xml:space="preserve">Minor Home Modifications </v>
          </cell>
          <cell r="F2587" t="str">
            <v>S5165SK</v>
          </cell>
        </row>
        <row r="2588">
          <cell r="A2588" t="str">
            <v>1915(c) waiver</v>
          </cell>
          <cell r="C2588" t="str">
            <v>STAR Kids MDCP</v>
          </cell>
          <cell r="D2588" t="str">
            <v>Home Modifications</v>
          </cell>
          <cell r="E2588" t="str">
            <v xml:space="preserve">Minor Home Modifications (CDS) </v>
          </cell>
          <cell r="F2588" t="str">
            <v>S5165SKUC</v>
          </cell>
        </row>
        <row r="2589">
          <cell r="A2589" t="str">
            <v>1915(c) waiver</v>
          </cell>
          <cell r="C2589" t="str">
            <v>STAR Kids MDCP</v>
          </cell>
          <cell r="D2589" t="str">
            <v>In Home Respite</v>
          </cell>
          <cell r="E2589" t="str">
            <v xml:space="preserve">Attendant (AO) </v>
          </cell>
          <cell r="F2589" t="str">
            <v>H2015SKU1</v>
          </cell>
        </row>
        <row r="2590">
          <cell r="A2590" t="str">
            <v>1915(c) waiver</v>
          </cell>
          <cell r="C2590" t="str">
            <v>STAR Kids MDCP</v>
          </cell>
          <cell r="D2590" t="str">
            <v>In Home Respite</v>
          </cell>
          <cell r="E2590" t="str">
            <v xml:space="preserve">Attendant (CDS) </v>
          </cell>
          <cell r="F2590" t="str">
            <v>H2015SKU1UC</v>
          </cell>
        </row>
        <row r="2591">
          <cell r="A2591" t="str">
            <v>1915(c) waiver</v>
          </cell>
          <cell r="C2591" t="str">
            <v>STAR Kids MDCP</v>
          </cell>
          <cell r="D2591" t="str">
            <v>In Home Respite</v>
          </cell>
          <cell r="E2591" t="str">
            <v xml:space="preserve">Attendant (SRO) </v>
          </cell>
          <cell r="F2591" t="str">
            <v>H2015SKU1US</v>
          </cell>
        </row>
        <row r="2592">
          <cell r="A2592" t="str">
            <v>1915(c) waiver</v>
          </cell>
          <cell r="C2592" t="str">
            <v>STAR Kids MDCP</v>
          </cell>
          <cell r="D2592" t="str">
            <v>In Home Respite</v>
          </cell>
          <cell r="E2592" t="str">
            <v xml:space="preserve">Attendant with RN delegation (AO) </v>
          </cell>
          <cell r="F2592" t="str">
            <v>H2015SKU1UA</v>
          </cell>
        </row>
        <row r="2593">
          <cell r="A2593" t="str">
            <v>1915(c) waiver</v>
          </cell>
          <cell r="C2593" t="str">
            <v>STAR Kids MDCP</v>
          </cell>
          <cell r="D2593" t="str">
            <v>In Home Respite</v>
          </cell>
          <cell r="E2593" t="str">
            <v xml:space="preserve">Attendant with RN delegation (AO) </v>
          </cell>
          <cell r="F2593" t="str">
            <v>H2015SKU199</v>
          </cell>
        </row>
        <row r="2594">
          <cell r="A2594" t="str">
            <v>1915(c) waiver</v>
          </cell>
          <cell r="C2594" t="str">
            <v>STAR Kids MDCP</v>
          </cell>
          <cell r="D2594" t="str">
            <v>In Home Respite</v>
          </cell>
          <cell r="E2594" t="str">
            <v xml:space="preserve">Attendant with RN delegation (CDS) </v>
          </cell>
          <cell r="F2594" t="str">
            <v>H2015SKU1UAUC</v>
          </cell>
        </row>
        <row r="2595">
          <cell r="A2595" t="str">
            <v>1915(c) waiver</v>
          </cell>
          <cell r="C2595" t="str">
            <v>STAR Kids MDCP</v>
          </cell>
          <cell r="D2595" t="str">
            <v>In Home Respite</v>
          </cell>
          <cell r="E2595" t="str">
            <v xml:space="preserve">Attendant with RN delegation (CDS) </v>
          </cell>
          <cell r="F2595" t="str">
            <v>H2015SKU199UC</v>
          </cell>
        </row>
        <row r="2596">
          <cell r="A2596" t="str">
            <v>1915(c) waiver</v>
          </cell>
          <cell r="C2596" t="str">
            <v>STAR Kids MDCP</v>
          </cell>
          <cell r="D2596" t="str">
            <v>In Home Respite</v>
          </cell>
          <cell r="E2596" t="str">
            <v xml:space="preserve">Attendant with RN delegation (SRO) </v>
          </cell>
          <cell r="F2596" t="str">
            <v>H2015SKU1UAUS</v>
          </cell>
        </row>
        <row r="2597">
          <cell r="A2597" t="str">
            <v>1915(c) waiver</v>
          </cell>
          <cell r="C2597" t="str">
            <v>STAR Kids MDCP</v>
          </cell>
          <cell r="D2597" t="str">
            <v>In Home Respite</v>
          </cell>
          <cell r="E2597" t="str">
            <v xml:space="preserve">Attendant with RN delegation (SRO) </v>
          </cell>
          <cell r="F2597" t="str">
            <v>H2015SKU199US</v>
          </cell>
        </row>
        <row r="2598">
          <cell r="A2598" t="str">
            <v>1915(c) waiver</v>
          </cell>
          <cell r="C2598" t="str">
            <v>STAR Kids MDCP</v>
          </cell>
          <cell r="D2598" t="str">
            <v>In Home Respite</v>
          </cell>
          <cell r="E2598" t="str">
            <v xml:space="preserve">LVN (AO) </v>
          </cell>
          <cell r="F2598" t="str">
            <v>H2015SKU3</v>
          </cell>
        </row>
        <row r="2599">
          <cell r="A2599" t="str">
            <v>1915(c) waiver</v>
          </cell>
          <cell r="C2599" t="str">
            <v>STAR Kids MDCP</v>
          </cell>
          <cell r="D2599" t="str">
            <v>In Home Respite</v>
          </cell>
          <cell r="E2599" t="str">
            <v xml:space="preserve">LVN (CDS) </v>
          </cell>
          <cell r="F2599" t="str">
            <v>H2015SKU3UC</v>
          </cell>
        </row>
        <row r="2600">
          <cell r="A2600" t="str">
            <v>1915(c) waiver</v>
          </cell>
          <cell r="C2600" t="str">
            <v>STAR Kids MDCP</v>
          </cell>
          <cell r="D2600" t="str">
            <v>In Home Respite</v>
          </cell>
          <cell r="E2600" t="str">
            <v xml:space="preserve">LVN (SRO) </v>
          </cell>
          <cell r="F2600" t="str">
            <v>H2015SKU3US</v>
          </cell>
        </row>
        <row r="2601">
          <cell r="A2601" t="str">
            <v>1915(c) waiver</v>
          </cell>
          <cell r="C2601" t="str">
            <v>STAR Kids MDCP</v>
          </cell>
          <cell r="D2601" t="str">
            <v>In Home Respite</v>
          </cell>
          <cell r="E2601" t="str">
            <v xml:space="preserve">Respite Care provided by a LVN (AO) </v>
          </cell>
          <cell r="F2601" t="str">
            <v>T1005SKTEU1</v>
          </cell>
        </row>
        <row r="2602">
          <cell r="A2602" t="str">
            <v>1915(c) waiver</v>
          </cell>
          <cell r="C2602" t="str">
            <v>STAR Kids MDCP</v>
          </cell>
          <cell r="D2602" t="str">
            <v>In Home Respite</v>
          </cell>
          <cell r="E2602" t="str">
            <v xml:space="preserve">Respite Care provided by a LVN (CDS) </v>
          </cell>
          <cell r="F2602" t="str">
            <v>T1005SKTEUC</v>
          </cell>
        </row>
        <row r="2603">
          <cell r="A2603" t="str">
            <v>1915(c) waiver</v>
          </cell>
          <cell r="C2603" t="str">
            <v>STAR Kids MDCP</v>
          </cell>
          <cell r="D2603" t="str">
            <v>In Home Respite</v>
          </cell>
          <cell r="E2603" t="str">
            <v xml:space="preserve">Respite Care provided by a LVN Service (SRO) </v>
          </cell>
          <cell r="F2603" t="str">
            <v>T1005SKTEU2</v>
          </cell>
        </row>
        <row r="2604">
          <cell r="A2604" t="str">
            <v>1915(c) waiver</v>
          </cell>
          <cell r="C2604" t="str">
            <v>STAR Kids MDCP</v>
          </cell>
          <cell r="D2604" t="str">
            <v>In Home Respite</v>
          </cell>
          <cell r="E2604" t="str">
            <v xml:space="preserve">Respite Care provided by a RN (AO) </v>
          </cell>
          <cell r="F2604" t="str">
            <v>T1005SKTDU1</v>
          </cell>
        </row>
        <row r="2605">
          <cell r="A2605" t="str">
            <v>1915(c) waiver</v>
          </cell>
          <cell r="C2605" t="str">
            <v>STAR Kids MDCP</v>
          </cell>
          <cell r="D2605" t="str">
            <v>In Home Respite</v>
          </cell>
          <cell r="E2605" t="str">
            <v xml:space="preserve">Respite Care provided by a RN (CDS) </v>
          </cell>
          <cell r="F2605" t="str">
            <v>T1005SKTDUC</v>
          </cell>
        </row>
        <row r="2606">
          <cell r="A2606" t="str">
            <v>1915(c) waiver</v>
          </cell>
          <cell r="C2606" t="str">
            <v>STAR Kids MDCP</v>
          </cell>
          <cell r="D2606" t="str">
            <v>In Home Respite</v>
          </cell>
          <cell r="E2606" t="str">
            <v xml:space="preserve">Respite Care provided by a RN (SRO) </v>
          </cell>
          <cell r="F2606" t="str">
            <v>T1005SKTDU2</v>
          </cell>
        </row>
        <row r="2607">
          <cell r="A2607" t="str">
            <v>1915(c) waiver</v>
          </cell>
          <cell r="C2607" t="str">
            <v>STAR Kids MDCP</v>
          </cell>
          <cell r="D2607" t="str">
            <v>In Home Respite</v>
          </cell>
          <cell r="E2607" t="str">
            <v xml:space="preserve">Respite Care provided by a Specialized LVN (AO) </v>
          </cell>
          <cell r="F2607" t="str">
            <v>T1005SKTEU7U1</v>
          </cell>
        </row>
        <row r="2608">
          <cell r="A2608" t="str">
            <v>1915(c) waiver</v>
          </cell>
          <cell r="C2608" t="str">
            <v>STAR Kids MDCP</v>
          </cell>
          <cell r="D2608" t="str">
            <v>In Home Respite</v>
          </cell>
          <cell r="E2608" t="str">
            <v xml:space="preserve">Respite Care provided by a Specialized LVN (CDS) </v>
          </cell>
          <cell r="F2608" t="str">
            <v>T1005SKTEU7UC</v>
          </cell>
        </row>
        <row r="2609">
          <cell r="A2609" t="str">
            <v>1915(c) waiver</v>
          </cell>
          <cell r="C2609" t="str">
            <v>STAR Kids MDCP</v>
          </cell>
          <cell r="D2609" t="str">
            <v>In Home Respite</v>
          </cell>
          <cell r="E2609" t="str">
            <v xml:space="preserve">Respite Care provided by a Specialized LVN (SRO) </v>
          </cell>
          <cell r="F2609" t="str">
            <v>T1005SKTEU7U2</v>
          </cell>
        </row>
        <row r="2610">
          <cell r="A2610" t="str">
            <v>1915(c) waiver</v>
          </cell>
          <cell r="C2610" t="str">
            <v>STAR Kids MDCP</v>
          </cell>
          <cell r="D2610" t="str">
            <v>In Home Respite</v>
          </cell>
          <cell r="E2610" t="str">
            <v xml:space="preserve">Respite Care provided by a Specialized RN (AO) </v>
          </cell>
          <cell r="F2610" t="str">
            <v>T1005SKTDU7U1</v>
          </cell>
        </row>
        <row r="2611">
          <cell r="A2611" t="str">
            <v>1915(c) waiver</v>
          </cell>
          <cell r="C2611" t="str">
            <v>STAR Kids MDCP</v>
          </cell>
          <cell r="D2611" t="str">
            <v>In Home Respite</v>
          </cell>
          <cell r="E2611" t="str">
            <v xml:space="preserve">Respite Care provided by a Specialized RN (CDS) </v>
          </cell>
          <cell r="F2611" t="str">
            <v>T1005SKTDU7UC</v>
          </cell>
        </row>
        <row r="2612">
          <cell r="A2612" t="str">
            <v>1915(c) waiver</v>
          </cell>
          <cell r="C2612" t="str">
            <v>STAR Kids MDCP</v>
          </cell>
          <cell r="D2612" t="str">
            <v>In Home Respite</v>
          </cell>
          <cell r="E2612" t="str">
            <v xml:space="preserve">Respite Care provided by a Specialized RN (SRO) </v>
          </cell>
          <cell r="F2612" t="str">
            <v>T1005SKTDU7U2</v>
          </cell>
        </row>
        <row r="2613">
          <cell r="A2613" t="str">
            <v>1915(c) waiver</v>
          </cell>
          <cell r="C2613" t="str">
            <v>STAR Kids MDCP</v>
          </cell>
          <cell r="D2613" t="str">
            <v>In Home Respite</v>
          </cell>
          <cell r="E2613" t="str">
            <v xml:space="preserve">Respite Care provided by an Attendant (AO) </v>
          </cell>
          <cell r="F2613" t="str">
            <v>T1005SKU4U1</v>
          </cell>
        </row>
        <row r="2614">
          <cell r="A2614" t="str">
            <v>1915(c) waiver</v>
          </cell>
          <cell r="C2614" t="str">
            <v>STAR Kids MDCP</v>
          </cell>
          <cell r="D2614" t="str">
            <v>In Home Respite</v>
          </cell>
          <cell r="E2614" t="str">
            <v xml:space="preserve">Respite Care provided by an Attendant (CDS) </v>
          </cell>
          <cell r="F2614" t="str">
            <v>T1005SKU4UC</v>
          </cell>
        </row>
        <row r="2615">
          <cell r="A2615" t="str">
            <v>1915(c) waiver</v>
          </cell>
          <cell r="C2615" t="str">
            <v>STAR Kids MDCP</v>
          </cell>
          <cell r="D2615" t="str">
            <v>In Home Respite</v>
          </cell>
          <cell r="E2615" t="str">
            <v xml:space="preserve">Respite Care provided by an Attendant (SRO) </v>
          </cell>
          <cell r="F2615" t="str">
            <v>T1005SKU4U2</v>
          </cell>
        </row>
        <row r="2616">
          <cell r="A2616" t="str">
            <v>1915(c) waiver</v>
          </cell>
          <cell r="C2616" t="str">
            <v>STAR Kids MDCP</v>
          </cell>
          <cell r="D2616" t="str">
            <v>In Home Respite</v>
          </cell>
          <cell r="E2616" t="str">
            <v xml:space="preserve">Respite Care provided by an Attendant with RN delegation (AO) </v>
          </cell>
          <cell r="F2616" t="str">
            <v>T1005SKU4TDU1</v>
          </cell>
        </row>
        <row r="2617">
          <cell r="A2617" t="str">
            <v>1915(c) waiver</v>
          </cell>
          <cell r="C2617" t="str">
            <v>STAR Kids MDCP</v>
          </cell>
          <cell r="D2617" t="str">
            <v>In Home Respite</v>
          </cell>
          <cell r="E2617" t="str">
            <v xml:space="preserve">Respite Care provided by an Attendant with RN delegation (CDS) </v>
          </cell>
          <cell r="F2617" t="str">
            <v>T1005SKU4TDUC</v>
          </cell>
        </row>
        <row r="2618">
          <cell r="A2618" t="str">
            <v>1915(c) waiver</v>
          </cell>
          <cell r="C2618" t="str">
            <v>STAR Kids MDCP</v>
          </cell>
          <cell r="D2618" t="str">
            <v>In Home Respite</v>
          </cell>
          <cell r="E2618" t="str">
            <v xml:space="preserve">Respite Care provided by an Attendant with RN delegation (SRO) </v>
          </cell>
          <cell r="F2618" t="str">
            <v>T1005SKU4TDU2</v>
          </cell>
        </row>
        <row r="2619">
          <cell r="A2619" t="str">
            <v>1915(c) waiver</v>
          </cell>
          <cell r="C2619" t="str">
            <v>STAR Kids MDCP</v>
          </cell>
          <cell r="D2619" t="str">
            <v>In Home Respite</v>
          </cell>
          <cell r="E2619" t="str">
            <v xml:space="preserve">RN (AO) </v>
          </cell>
          <cell r="F2619" t="str">
            <v>H2015SKU5</v>
          </cell>
        </row>
        <row r="2620">
          <cell r="A2620" t="str">
            <v>1915(c) waiver</v>
          </cell>
          <cell r="C2620" t="str">
            <v>STAR Kids MDCP</v>
          </cell>
          <cell r="D2620" t="str">
            <v>In Home Respite</v>
          </cell>
          <cell r="E2620" t="str">
            <v xml:space="preserve">RN (CDS) </v>
          </cell>
          <cell r="F2620" t="str">
            <v>H2015SKU5UC</v>
          </cell>
        </row>
        <row r="2621">
          <cell r="A2621" t="str">
            <v>1915(c) waiver</v>
          </cell>
          <cell r="C2621" t="str">
            <v>STAR Kids MDCP</v>
          </cell>
          <cell r="D2621" t="str">
            <v>In Home Respite</v>
          </cell>
          <cell r="E2621" t="str">
            <v xml:space="preserve">RN (SRO) </v>
          </cell>
          <cell r="F2621" t="str">
            <v>H2015SKU5US</v>
          </cell>
        </row>
        <row r="2622">
          <cell r="A2622" t="str">
            <v>1915(c) waiver</v>
          </cell>
          <cell r="C2622" t="str">
            <v>STAR Kids MDCP</v>
          </cell>
          <cell r="D2622" t="str">
            <v>In Home Respite</v>
          </cell>
          <cell r="E2622" t="str">
            <v xml:space="preserve">Specialized LVN (AO) </v>
          </cell>
          <cell r="F2622" t="str">
            <v>H2015SKU3UA</v>
          </cell>
        </row>
        <row r="2623">
          <cell r="A2623" t="str">
            <v>1915(c) waiver</v>
          </cell>
          <cell r="C2623" t="str">
            <v>STAR Kids MDCP</v>
          </cell>
          <cell r="D2623" t="str">
            <v>In Home Respite</v>
          </cell>
          <cell r="E2623" t="str">
            <v xml:space="preserve">Specialized LVN (AO) </v>
          </cell>
          <cell r="F2623" t="str">
            <v>H2015SKU399</v>
          </cell>
        </row>
        <row r="2624">
          <cell r="A2624" t="str">
            <v>1915(c) waiver</v>
          </cell>
          <cell r="C2624" t="str">
            <v>STAR Kids MDCP</v>
          </cell>
          <cell r="D2624" t="str">
            <v>In Home Respite</v>
          </cell>
          <cell r="E2624" t="str">
            <v xml:space="preserve">Specialized LVN (CDS) </v>
          </cell>
          <cell r="F2624" t="str">
            <v>H2015SKU3UAUC</v>
          </cell>
        </row>
        <row r="2625">
          <cell r="A2625" t="str">
            <v>1915(c) waiver</v>
          </cell>
          <cell r="C2625" t="str">
            <v>STAR Kids MDCP</v>
          </cell>
          <cell r="D2625" t="str">
            <v>In Home Respite</v>
          </cell>
          <cell r="E2625" t="str">
            <v xml:space="preserve">Specialized LVN (CDS) </v>
          </cell>
          <cell r="F2625" t="str">
            <v>H2015SKU399UC</v>
          </cell>
        </row>
        <row r="2626">
          <cell r="A2626" t="str">
            <v>1915(c) waiver</v>
          </cell>
          <cell r="C2626" t="str">
            <v>STAR Kids MDCP</v>
          </cell>
          <cell r="D2626" t="str">
            <v>In Home Respite</v>
          </cell>
          <cell r="E2626" t="str">
            <v xml:space="preserve">Specialized LVN (SRO) </v>
          </cell>
          <cell r="F2626" t="str">
            <v>H2015SKU3UAUS</v>
          </cell>
        </row>
        <row r="2627">
          <cell r="A2627" t="str">
            <v>1915(c) waiver</v>
          </cell>
          <cell r="C2627" t="str">
            <v>STAR Kids MDCP</v>
          </cell>
          <cell r="D2627" t="str">
            <v>In Home Respite</v>
          </cell>
          <cell r="E2627" t="str">
            <v xml:space="preserve">Specialized LVN (SRO) </v>
          </cell>
          <cell r="F2627" t="str">
            <v>H2015SKU399US</v>
          </cell>
        </row>
        <row r="2628">
          <cell r="A2628" t="str">
            <v>1915(c) waiver</v>
          </cell>
          <cell r="C2628" t="str">
            <v>STAR Kids MDCP</v>
          </cell>
          <cell r="D2628" t="str">
            <v>In Home Respite</v>
          </cell>
          <cell r="E2628" t="str">
            <v xml:space="preserve">Specialized RN (AO) </v>
          </cell>
          <cell r="F2628" t="str">
            <v>H2015SKU5UA</v>
          </cell>
        </row>
        <row r="2629">
          <cell r="A2629" t="str">
            <v>1915(c) waiver</v>
          </cell>
          <cell r="C2629" t="str">
            <v>STAR Kids MDCP</v>
          </cell>
          <cell r="D2629" t="str">
            <v>In Home Respite</v>
          </cell>
          <cell r="E2629" t="str">
            <v xml:space="preserve">Specialized RN (AO) </v>
          </cell>
          <cell r="F2629" t="str">
            <v>H2015SKU599</v>
          </cell>
        </row>
        <row r="2630">
          <cell r="A2630" t="str">
            <v>1915(c) waiver</v>
          </cell>
          <cell r="C2630" t="str">
            <v>STAR Kids MDCP</v>
          </cell>
          <cell r="D2630" t="str">
            <v>In Home Respite</v>
          </cell>
          <cell r="E2630" t="str">
            <v xml:space="preserve">Specialized RN (CDS) </v>
          </cell>
          <cell r="F2630" t="str">
            <v>H2015SKU5UAUC</v>
          </cell>
        </row>
        <row r="2631">
          <cell r="A2631" t="str">
            <v>1915(c) waiver</v>
          </cell>
          <cell r="C2631" t="str">
            <v>STAR Kids MDCP</v>
          </cell>
          <cell r="D2631" t="str">
            <v>In Home Respite</v>
          </cell>
          <cell r="E2631" t="str">
            <v xml:space="preserve">Specialized RN (CDS) </v>
          </cell>
          <cell r="F2631" t="str">
            <v>H2015SKU599UC</v>
          </cell>
        </row>
        <row r="2632">
          <cell r="A2632" t="str">
            <v>1915(c) waiver</v>
          </cell>
          <cell r="C2632" t="str">
            <v>STAR Kids MDCP</v>
          </cell>
          <cell r="D2632" t="str">
            <v>In Home Respite</v>
          </cell>
          <cell r="E2632" t="str">
            <v xml:space="preserve">Specialized RN (SRO) </v>
          </cell>
          <cell r="F2632" t="str">
            <v>H2015SKU5UAUS</v>
          </cell>
        </row>
        <row r="2633">
          <cell r="A2633" t="str">
            <v>1915(c) waiver</v>
          </cell>
          <cell r="C2633" t="str">
            <v>STAR Kids MDCP</v>
          </cell>
          <cell r="D2633" t="str">
            <v>In Home Respite</v>
          </cell>
          <cell r="E2633" t="str">
            <v xml:space="preserve">Specialized RN (SRO) </v>
          </cell>
          <cell r="F2633" t="str">
            <v>H2015SKU599US</v>
          </cell>
        </row>
        <row r="2634">
          <cell r="A2634" t="str">
            <v>1915(c) waiver</v>
          </cell>
          <cell r="C2634" t="str">
            <v>STAR Kids MDCP</v>
          </cell>
          <cell r="D2634" t="str">
            <v>Out of Home Respite</v>
          </cell>
          <cell r="E2634" t="str">
            <v>Level 1: PA1</v>
          </cell>
          <cell r="F2634" t="str">
            <v>T1005SKU1</v>
          </cell>
        </row>
        <row r="2635">
          <cell r="A2635" t="str">
            <v>1915(c) waiver</v>
          </cell>
          <cell r="C2635" t="str">
            <v>STAR Kids MDCP</v>
          </cell>
          <cell r="D2635" t="str">
            <v>Out of Home Respite</v>
          </cell>
          <cell r="E2635" t="str">
            <v>Level 1: PA1 &amp; BA1 with partial vent</v>
          </cell>
          <cell r="F2635" t="str">
            <v>T1005SKU1U3</v>
          </cell>
        </row>
        <row r="2636">
          <cell r="A2636" t="str">
            <v>1915(c) waiver</v>
          </cell>
          <cell r="C2636" t="str">
            <v>STAR Kids MDCP</v>
          </cell>
          <cell r="D2636" t="str">
            <v>Out of Home Respite</v>
          </cell>
          <cell r="E2636" t="str">
            <v>Level 1: PA1 &amp; BA1 with trach</v>
          </cell>
          <cell r="F2636" t="str">
            <v>T1005SKU1U5</v>
          </cell>
        </row>
        <row r="2637">
          <cell r="A2637" t="str">
            <v>1915(c) waiver</v>
          </cell>
          <cell r="C2637" t="str">
            <v>STAR Kids MDCP</v>
          </cell>
          <cell r="D2637" t="str">
            <v>Out of Home Respite</v>
          </cell>
          <cell r="E2637" t="str">
            <v>Level 1: PA1, BA1, &amp; PA2 with full vent</v>
          </cell>
          <cell r="F2637" t="str">
            <v>T1005SKU1U7</v>
          </cell>
        </row>
        <row r="2638">
          <cell r="A2638" t="str">
            <v>1915(c) waiver</v>
          </cell>
          <cell r="C2638" t="str">
            <v>STAR Kids MDCP</v>
          </cell>
          <cell r="D2638" t="str">
            <v>Out of Home Respite</v>
          </cell>
          <cell r="E2638" t="str">
            <v>Level 10: SE2 with full vent</v>
          </cell>
          <cell r="F2638" t="str">
            <v>T1005SKU0U5</v>
          </cell>
        </row>
        <row r="2639">
          <cell r="A2639" t="str">
            <v>1915(c) waiver</v>
          </cell>
          <cell r="C2639" t="str">
            <v>STAR Kids MDCP</v>
          </cell>
          <cell r="D2639" t="str">
            <v>Out of Home Respite</v>
          </cell>
          <cell r="E2639" t="str">
            <v>Level 10: SE3</v>
          </cell>
          <cell r="F2639" t="str">
            <v>T1005SKUA</v>
          </cell>
        </row>
        <row r="2640">
          <cell r="A2640" t="str">
            <v>1915(c) waiver</v>
          </cell>
          <cell r="C2640" t="str">
            <v>STAR Kids MDCP</v>
          </cell>
          <cell r="D2640" t="str">
            <v>Out of Home Respite</v>
          </cell>
          <cell r="E2640" t="str">
            <v>Level 10: SE3</v>
          </cell>
          <cell r="F2640" t="str">
            <v>T1005SKU0</v>
          </cell>
        </row>
        <row r="2641">
          <cell r="A2641" t="str">
            <v>1915(c) waiver</v>
          </cell>
          <cell r="C2641" t="str">
            <v>STAR Kids MDCP</v>
          </cell>
          <cell r="D2641" t="str">
            <v>Out of Home Respite</v>
          </cell>
          <cell r="E2641" t="str">
            <v>Level 10: SE3 with full vent</v>
          </cell>
          <cell r="F2641" t="str">
            <v>T1005SKUAU7</v>
          </cell>
        </row>
        <row r="2642">
          <cell r="A2642" t="str">
            <v>1915(c) waiver</v>
          </cell>
          <cell r="C2642" t="str">
            <v>STAR Kids MDCP</v>
          </cell>
          <cell r="D2642" t="str">
            <v>Out of Home Respite</v>
          </cell>
          <cell r="E2642" t="str">
            <v>Level 10: SE3 with partial vent</v>
          </cell>
          <cell r="F2642" t="str">
            <v>T1005SKUAU3</v>
          </cell>
        </row>
        <row r="2643">
          <cell r="A2643" t="str">
            <v>1915(c) waiver</v>
          </cell>
          <cell r="C2643" t="str">
            <v>STAR Kids MDCP</v>
          </cell>
          <cell r="D2643" t="str">
            <v>Out of Home Respite</v>
          </cell>
          <cell r="E2643" t="str">
            <v>Level 10: SE3 with partial vent</v>
          </cell>
          <cell r="F2643" t="str">
            <v>T1005SKU0U3</v>
          </cell>
        </row>
        <row r="2644">
          <cell r="A2644" t="str">
            <v>1915(c) waiver</v>
          </cell>
          <cell r="C2644" t="str">
            <v>STAR Kids MDCP</v>
          </cell>
          <cell r="D2644" t="str">
            <v>Out of Home Respite</v>
          </cell>
          <cell r="E2644" t="str">
            <v>Level 10: SE3 with trach</v>
          </cell>
          <cell r="F2644" t="str">
            <v>T1005SKUAU5</v>
          </cell>
        </row>
        <row r="2645">
          <cell r="A2645" t="str">
            <v>1915(c) waiver</v>
          </cell>
          <cell r="C2645" t="str">
            <v>STAR Kids MDCP</v>
          </cell>
          <cell r="D2645" t="str">
            <v>Out of Home Respite</v>
          </cell>
          <cell r="E2645" t="str">
            <v>Level 2: BA1, PA2, IA1, PB1, BA2, &amp; IA2</v>
          </cell>
          <cell r="F2645" t="str">
            <v>T1005SKU2</v>
          </cell>
        </row>
        <row r="2646">
          <cell r="A2646" t="str">
            <v>1915(c) waiver</v>
          </cell>
          <cell r="C2646" t="str">
            <v>STAR Kids MDCP</v>
          </cell>
          <cell r="D2646" t="str">
            <v>Out of Home Respite</v>
          </cell>
          <cell r="E2646" t="str">
            <v xml:space="preserve">Level 2: IA1, PB1, BA2, IA2, &amp; PB2 with full vent </v>
          </cell>
          <cell r="F2646" t="str">
            <v>T1005SKU2U7</v>
          </cell>
        </row>
        <row r="2647">
          <cell r="A2647" t="str">
            <v>1915(c) waiver</v>
          </cell>
          <cell r="C2647" t="str">
            <v>STAR Kids MDCP</v>
          </cell>
          <cell r="D2647" t="str">
            <v>Out of Home Respite</v>
          </cell>
          <cell r="E2647" t="str">
            <v>Level 2: PA2, IA1, PB1, BA2, IA2, and PB2 with partial vent</v>
          </cell>
          <cell r="F2647" t="str">
            <v>T1005SKU2U3</v>
          </cell>
        </row>
        <row r="2648">
          <cell r="A2648" t="str">
            <v>1915(c) waiver</v>
          </cell>
          <cell r="C2648" t="str">
            <v>STAR Kids MDCP</v>
          </cell>
          <cell r="D2648" t="str">
            <v>Out of Home Respite</v>
          </cell>
          <cell r="E2648" t="str">
            <v>Level 2: PA2, IA1, PB1, BA2, IA2, and PB2 with trach</v>
          </cell>
          <cell r="F2648" t="str">
            <v>T1005SKU2U5</v>
          </cell>
        </row>
        <row r="2649">
          <cell r="A2649" t="str">
            <v>1915(c) waiver</v>
          </cell>
          <cell r="C2649" t="str">
            <v>STAR Kids MDCP</v>
          </cell>
          <cell r="D2649" t="str">
            <v>Out of Home Respite</v>
          </cell>
          <cell r="E2649" t="str">
            <v>Level 3: BB1, PC1, PC2, IB1, &amp; CA1 with full vent</v>
          </cell>
          <cell r="F2649" t="str">
            <v>T1005SKU3U7</v>
          </cell>
        </row>
        <row r="2650">
          <cell r="A2650" t="str">
            <v>1915(c) waiver</v>
          </cell>
          <cell r="C2650" t="str">
            <v>STAR Kids MDCP</v>
          </cell>
          <cell r="D2650" t="str">
            <v>Out of Home Respite</v>
          </cell>
          <cell r="E2650" t="str">
            <v>Level 3: BB1, PC1, PC2, IB1, CA1, PD1, BB2, &amp; CA2 with partial vent</v>
          </cell>
          <cell r="F2650" t="str">
            <v>T1005SKU3U3</v>
          </cell>
        </row>
        <row r="2651">
          <cell r="A2651" t="str">
            <v>1915(c) waiver</v>
          </cell>
          <cell r="C2651" t="str">
            <v>STAR Kids MDCP</v>
          </cell>
          <cell r="D2651" t="str">
            <v>Out of Home Respite</v>
          </cell>
          <cell r="E2651" t="str">
            <v>Level 3: BB1, PC1, PC2, IB1, CA1, PD1, BB2, &amp; CA2 with trach</v>
          </cell>
          <cell r="F2651" t="str">
            <v>T1005SKU3U5</v>
          </cell>
        </row>
        <row r="2652">
          <cell r="A2652" t="str">
            <v>1915(c) waiver</v>
          </cell>
          <cell r="C2652" t="str">
            <v>STAR Kids MDCP</v>
          </cell>
          <cell r="D2652" t="str">
            <v>Out of Home Respite</v>
          </cell>
          <cell r="E2652" t="str">
            <v>Level 3: PB2, BB1, PC1, PC2, IB1, CA1, &amp; PD1</v>
          </cell>
          <cell r="F2652" t="str">
            <v>T1005SKU3</v>
          </cell>
        </row>
        <row r="2653">
          <cell r="A2653" t="str">
            <v>1915(c) waiver</v>
          </cell>
          <cell r="C2653" t="str">
            <v>STAR Kids MDCP</v>
          </cell>
          <cell r="D2653" t="str">
            <v>Out of Home Respite</v>
          </cell>
          <cell r="E2653" t="str">
            <v>Level 4: BB2, CA2, PE1, IB2, PD2, CB1, &amp; PE2</v>
          </cell>
          <cell r="F2653" t="str">
            <v>T1005SKU4</v>
          </cell>
        </row>
        <row r="2654">
          <cell r="A2654" t="str">
            <v>1915(c) waiver</v>
          </cell>
          <cell r="C2654" t="str">
            <v>STAR Kids MDCP</v>
          </cell>
          <cell r="D2654" t="str">
            <v>Out of Home Respite</v>
          </cell>
          <cell r="E2654" t="str">
            <v>Level 4: PD1, BB2, CA2, PE1, IB2, &amp; PD2 with full vent</v>
          </cell>
          <cell r="F2654" t="str">
            <v>T1005SKU4U7</v>
          </cell>
        </row>
        <row r="2655">
          <cell r="A2655" t="str">
            <v>1915(c) waiver</v>
          </cell>
          <cell r="C2655" t="str">
            <v>STAR Kids MDCP</v>
          </cell>
          <cell r="D2655" t="str">
            <v>Out of Home Respite</v>
          </cell>
          <cell r="E2655" t="str">
            <v>Level 4: PE1, IB2, PD2, CB1,PE2, &amp; CB2 with partial vent</v>
          </cell>
          <cell r="F2655" t="str">
            <v>T1005SKU4U3</v>
          </cell>
        </row>
        <row r="2656">
          <cell r="A2656" t="str">
            <v>1915(c) waiver</v>
          </cell>
          <cell r="C2656" t="str">
            <v>STAR Kids MDCP</v>
          </cell>
          <cell r="D2656" t="str">
            <v>Out of Home Respite</v>
          </cell>
          <cell r="E2656" t="str">
            <v>Level 4: PE1, IB2, PD2, CB1,PE2, &amp; CB2 with trach</v>
          </cell>
          <cell r="F2656" t="str">
            <v>T1005SKU4U5</v>
          </cell>
        </row>
        <row r="2657">
          <cell r="A2657" t="str">
            <v>1915(c) waiver</v>
          </cell>
          <cell r="C2657" t="str">
            <v>STAR Kids MDCP</v>
          </cell>
          <cell r="D2657" t="str">
            <v>Out of Home Respite</v>
          </cell>
          <cell r="E2657" t="str">
            <v>Level 5: CB1, PE2, CB2, &amp; CC1 with full vent</v>
          </cell>
          <cell r="F2657" t="str">
            <v>T1005SKU5U7</v>
          </cell>
        </row>
        <row r="2658">
          <cell r="A2658" t="str">
            <v>1915(c) waiver</v>
          </cell>
          <cell r="C2658" t="str">
            <v>STAR Kids MDCP</v>
          </cell>
          <cell r="D2658" t="str">
            <v>Out of Home Respite</v>
          </cell>
          <cell r="E2658" t="str">
            <v>Level 5: CB2, CC1, &amp; CC2</v>
          </cell>
          <cell r="F2658" t="str">
            <v>T1005SKU5</v>
          </cell>
        </row>
        <row r="2659">
          <cell r="A2659" t="str">
            <v>1915(c) waiver</v>
          </cell>
          <cell r="C2659" t="str">
            <v>STAR Kids MDCP</v>
          </cell>
          <cell r="D2659" t="str">
            <v>Out of Home Respite</v>
          </cell>
          <cell r="E2659" t="str">
            <v>Level 5: CC1, &amp; CC2 with partial vent</v>
          </cell>
          <cell r="F2659" t="str">
            <v>T1005SKU5U3</v>
          </cell>
        </row>
        <row r="2660">
          <cell r="A2660" t="str">
            <v>1915(c) waiver</v>
          </cell>
          <cell r="C2660" t="str">
            <v>STAR Kids MDCP</v>
          </cell>
          <cell r="D2660" t="str">
            <v>Out of Home Respite</v>
          </cell>
          <cell r="E2660" t="str">
            <v>Level 5: CC1, &amp; CC2 with trach</v>
          </cell>
          <cell r="F2660" t="str">
            <v>T1005SKU5U5</v>
          </cell>
        </row>
        <row r="2661">
          <cell r="A2661" t="str">
            <v>1915(c) waiver</v>
          </cell>
          <cell r="C2661" t="str">
            <v>STAR Kids MDCP</v>
          </cell>
          <cell r="D2661" t="str">
            <v>Out of Home Respite</v>
          </cell>
          <cell r="E2661" t="str">
            <v>Level 6: CC2 &amp; RAA with full vent</v>
          </cell>
          <cell r="F2661" t="str">
            <v>T1005SKU6U7</v>
          </cell>
        </row>
        <row r="2662">
          <cell r="A2662" t="str">
            <v>1915(c) waiver</v>
          </cell>
          <cell r="C2662" t="str">
            <v>STAR Kids MDCP</v>
          </cell>
          <cell r="D2662" t="str">
            <v>Out of Home Respite</v>
          </cell>
          <cell r="E2662" t="str">
            <v>Level 6: RAA</v>
          </cell>
          <cell r="F2662" t="str">
            <v>T1005SKU6</v>
          </cell>
        </row>
        <row r="2663">
          <cell r="A2663" t="str">
            <v>1915(c) waiver</v>
          </cell>
          <cell r="C2663" t="str">
            <v>STAR Kids MDCP</v>
          </cell>
          <cell r="D2663" t="str">
            <v>Out of Home Respite</v>
          </cell>
          <cell r="E2663" t="str">
            <v>Level 6: RAA with partial vent</v>
          </cell>
          <cell r="F2663" t="str">
            <v>T1005SKU6U3</v>
          </cell>
        </row>
        <row r="2664">
          <cell r="A2664" t="str">
            <v>1915(c) waiver</v>
          </cell>
          <cell r="C2664" t="str">
            <v>STAR Kids MDCP</v>
          </cell>
          <cell r="D2664" t="str">
            <v>Out of Home Respite</v>
          </cell>
          <cell r="E2664" t="str">
            <v>Level 6: RAA with trach</v>
          </cell>
          <cell r="F2664" t="str">
            <v>T1005SKU6U5</v>
          </cell>
        </row>
        <row r="2665">
          <cell r="A2665" t="str">
            <v>1915(c) waiver</v>
          </cell>
          <cell r="C2665" t="str">
            <v>STAR Kids MDCP</v>
          </cell>
          <cell r="D2665" t="str">
            <v>Out of Home Respite</v>
          </cell>
          <cell r="E2665" t="str">
            <v>Level 7: SSA &amp; SSB with full vent</v>
          </cell>
          <cell r="F2665" t="str">
            <v>T1005SKU7U7</v>
          </cell>
        </row>
        <row r="2666">
          <cell r="A2666" t="str">
            <v>1915(c) waiver</v>
          </cell>
          <cell r="C2666" t="str">
            <v>STAR Kids MDCP</v>
          </cell>
          <cell r="D2666" t="str">
            <v>Out of Home Respite</v>
          </cell>
          <cell r="E2666" t="str">
            <v>Level 7: SSA, SSB, &amp; RAB</v>
          </cell>
          <cell r="F2666" t="str">
            <v>T1005SKU7</v>
          </cell>
        </row>
        <row r="2667">
          <cell r="A2667" t="str">
            <v>1915(c) waiver</v>
          </cell>
          <cell r="C2667" t="str">
            <v>STAR Kids MDCP</v>
          </cell>
          <cell r="D2667" t="str">
            <v>Out of Home Respite</v>
          </cell>
          <cell r="E2667" t="str">
            <v>Level 7: SSA, SSB, RAB, &amp; SSC with partial vent</v>
          </cell>
          <cell r="F2667" t="str">
            <v>T1005SKU7U3</v>
          </cell>
        </row>
        <row r="2668">
          <cell r="A2668" t="str">
            <v>1915(c) waiver</v>
          </cell>
          <cell r="C2668" t="str">
            <v>STAR Kids MDCP</v>
          </cell>
          <cell r="D2668" t="str">
            <v>Out of Home Respite</v>
          </cell>
          <cell r="E2668" t="str">
            <v>Level 7: SSA, SSB, RAB, &amp; SSC with trach</v>
          </cell>
          <cell r="F2668" t="str">
            <v>T1005SKU7U5</v>
          </cell>
        </row>
        <row r="2669">
          <cell r="A2669" t="str">
            <v>1915(c) waiver</v>
          </cell>
          <cell r="C2669" t="str">
            <v>STAR Kids MDCP</v>
          </cell>
          <cell r="D2669" t="str">
            <v>Out of Home Respite</v>
          </cell>
          <cell r="E2669" t="str">
            <v>Level 8: RAB, SSC, SE1, &amp; RAC with full vent</v>
          </cell>
          <cell r="F2669" t="str">
            <v>T1005SKU8U7</v>
          </cell>
        </row>
        <row r="2670">
          <cell r="A2670" t="str">
            <v>1915(c) waiver</v>
          </cell>
          <cell r="C2670" t="str">
            <v>STAR Kids MDCP</v>
          </cell>
          <cell r="D2670" t="str">
            <v>Out of Home Respite</v>
          </cell>
          <cell r="E2670" t="str">
            <v>Level 8: SE1, &amp; RAC with partial vent</v>
          </cell>
          <cell r="F2670" t="str">
            <v>T1005SKU8U3</v>
          </cell>
        </row>
        <row r="2671">
          <cell r="A2671" t="str">
            <v>1915(c) waiver</v>
          </cell>
          <cell r="C2671" t="str">
            <v>STAR Kids MDCP</v>
          </cell>
          <cell r="D2671" t="str">
            <v>Out of Home Respite</v>
          </cell>
          <cell r="E2671" t="str">
            <v>Level 8: SE1, &amp; RAC with trach</v>
          </cell>
          <cell r="F2671" t="str">
            <v>T1005SKU8U5</v>
          </cell>
        </row>
        <row r="2672">
          <cell r="A2672" t="str">
            <v>1915(c) waiver</v>
          </cell>
          <cell r="C2672" t="str">
            <v>STAR Kids MDCP</v>
          </cell>
          <cell r="D2672" t="str">
            <v>Out of Home Respite</v>
          </cell>
          <cell r="E2672" t="str">
            <v>Level 8: SSC, SE1, &amp;RAC</v>
          </cell>
          <cell r="F2672" t="str">
            <v>T1005SKU8</v>
          </cell>
        </row>
        <row r="2673">
          <cell r="A2673" t="str">
            <v>1915(c) waiver</v>
          </cell>
          <cell r="C2673" t="str">
            <v>STAR Kids MDCP</v>
          </cell>
          <cell r="D2673" t="str">
            <v>Out of Home Respite</v>
          </cell>
          <cell r="E2673" t="str">
            <v>Level 9: RAD &amp; SE2</v>
          </cell>
          <cell r="F2673" t="str">
            <v>T1005SKU9</v>
          </cell>
        </row>
        <row r="2674">
          <cell r="A2674" t="str">
            <v>1915(c) waiver</v>
          </cell>
          <cell r="C2674" t="str">
            <v>STAR Kids MDCP</v>
          </cell>
          <cell r="D2674" t="str">
            <v>Out of Home Respite</v>
          </cell>
          <cell r="E2674" t="str">
            <v>Level 9: RAD &amp; SE2 with full vent</v>
          </cell>
          <cell r="F2674" t="str">
            <v>T1005SKU9U7</v>
          </cell>
        </row>
        <row r="2675">
          <cell r="A2675" t="str">
            <v>1915(c) waiver</v>
          </cell>
          <cell r="C2675" t="str">
            <v>STAR Kids MDCP</v>
          </cell>
          <cell r="D2675" t="str">
            <v>Out of Home Respite</v>
          </cell>
          <cell r="E2675" t="str">
            <v>Level 9: RAD &amp; SE2 with partial vent</v>
          </cell>
          <cell r="F2675" t="str">
            <v>T1005SKU9U3</v>
          </cell>
        </row>
        <row r="2676">
          <cell r="A2676" t="str">
            <v>1915(c) waiver</v>
          </cell>
          <cell r="C2676" t="str">
            <v>STAR Kids MDCP</v>
          </cell>
          <cell r="D2676" t="str">
            <v>Out of Home Respite</v>
          </cell>
          <cell r="E2676" t="str">
            <v>Level 9: RAD &amp; SE2 with trach</v>
          </cell>
          <cell r="F2676" t="str">
            <v>T1005SKU9U5</v>
          </cell>
        </row>
        <row r="2677">
          <cell r="A2677" t="str">
            <v>1915(c) waiver</v>
          </cell>
          <cell r="C2677" t="str">
            <v>STAR Kids MDCP</v>
          </cell>
          <cell r="D2677" t="str">
            <v>Out of Home Respite</v>
          </cell>
          <cell r="E2677" t="str">
            <v>Respite Care, Camp Setting</v>
          </cell>
          <cell r="F2677" t="str">
            <v>T2027SK</v>
          </cell>
        </row>
        <row r="2678">
          <cell r="A2678" t="str">
            <v>1915(c) waiver</v>
          </cell>
          <cell r="C2678" t="str">
            <v>STAR Kids MDCP</v>
          </cell>
          <cell r="D2678" t="str">
            <v>Out of Home Respite</v>
          </cell>
          <cell r="E2678" t="str">
            <v>Respite Care, not hospice</v>
          </cell>
          <cell r="F2678" t="str">
            <v>S5151SK</v>
          </cell>
        </row>
        <row r="2679">
          <cell r="A2679" t="str">
            <v>1915(c) waiver</v>
          </cell>
          <cell r="C2679" t="str">
            <v>STAR Kids MDCP</v>
          </cell>
          <cell r="D2679" t="str">
            <v>Out of Home Respite</v>
          </cell>
          <cell r="E2679" t="str">
            <v>Respite Care, not hospice, with full vent</v>
          </cell>
          <cell r="F2679" t="str">
            <v>S5151SKU2</v>
          </cell>
        </row>
        <row r="2680">
          <cell r="A2680" t="str">
            <v>1915(c) waiver</v>
          </cell>
          <cell r="C2680" t="str">
            <v>STAR Kids MDCP</v>
          </cell>
          <cell r="D2680" t="str">
            <v>Out of Home Respite</v>
          </cell>
          <cell r="E2680" t="str">
            <v>Respite Care, not hospice, with partial vent</v>
          </cell>
          <cell r="F2680" t="str">
            <v>S5151SKU1</v>
          </cell>
        </row>
        <row r="2681">
          <cell r="A2681" t="str">
            <v>1915(c) waiver</v>
          </cell>
          <cell r="C2681" t="str">
            <v>STAR Kids MDCP</v>
          </cell>
          <cell r="D2681" t="str">
            <v>Out of Home Respite</v>
          </cell>
          <cell r="E2681" t="str">
            <v>Respite Care, not hospice, with trach</v>
          </cell>
          <cell r="F2681" t="str">
            <v>S5151SKU3</v>
          </cell>
        </row>
        <row r="2682">
          <cell r="A2682" t="str">
            <v>1915(c) waiver</v>
          </cell>
          <cell r="C2682" t="str">
            <v>STAR Kids MDCP</v>
          </cell>
          <cell r="D2682" t="str">
            <v>Requisition Fees</v>
          </cell>
          <cell r="E2682" t="str">
            <v>Transition Assistance Services Requisition Fee</v>
          </cell>
          <cell r="F2682" t="str">
            <v>T2038SK</v>
          </cell>
        </row>
        <row r="2683">
          <cell r="A2683" t="str">
            <v>State Plan (Title XIX)</v>
          </cell>
          <cell r="C2683" t="str">
            <v>STAR+PLUS</v>
          </cell>
          <cell r="D2683" t="str">
            <v>DAHS</v>
          </cell>
          <cell r="E2683" t="str">
            <v xml:space="preserve">Day Activities &amp; Health Services (3-6 hours) </v>
          </cell>
          <cell r="F2683" t="str">
            <v>S5101SP</v>
          </cell>
        </row>
        <row r="2684">
          <cell r="A2684" t="str">
            <v>State Plan (Title XIX)</v>
          </cell>
          <cell r="C2684" t="str">
            <v>STAR+PLUS</v>
          </cell>
          <cell r="D2684" t="str">
            <v>DAHS</v>
          </cell>
          <cell r="E2684" t="str">
            <v xml:space="preserve">Day Activities &amp; Health Services (3-6 hours) </v>
          </cell>
          <cell r="F2684" t="str">
            <v>S5101MP</v>
          </cell>
        </row>
        <row r="2685">
          <cell r="A2685" t="str">
            <v>Value-added Services 42 CFR § 438.3(e)(1)(i)</v>
          </cell>
          <cell r="C2685" t="str">
            <v>STAR+PLUS</v>
          </cell>
          <cell r="D2685" t="str">
            <v>ERS</v>
          </cell>
          <cell r="E2685" t="str">
            <v xml:space="preserve">Emergency Response Services (Installation and Testing) </v>
          </cell>
          <cell r="F2685" t="str">
            <v>S5160SP</v>
          </cell>
        </row>
        <row r="2686">
          <cell r="A2686" t="str">
            <v>Value-added Services 42 CFR § 438.3(e)(1)(i)</v>
          </cell>
          <cell r="C2686" t="str">
            <v>STAR+PLUS</v>
          </cell>
          <cell r="D2686" t="str">
            <v>ERS</v>
          </cell>
          <cell r="E2686" t="str">
            <v xml:space="preserve">Emergency Response Services (Installation and Testing) </v>
          </cell>
          <cell r="F2686" t="str">
            <v>S5160MP</v>
          </cell>
        </row>
        <row r="2687">
          <cell r="A2687" t="str">
            <v>Value-added Services 42 CFR § 438.3(e)(1)(i)</v>
          </cell>
          <cell r="C2687" t="str">
            <v>STAR+PLUS</v>
          </cell>
          <cell r="D2687" t="str">
            <v>ERS</v>
          </cell>
          <cell r="E2687" t="str">
            <v xml:space="preserve">Emergency Response Services (Monthly) (Non-HCBS) </v>
          </cell>
          <cell r="F2687" t="str">
            <v>S5161SPU7U7</v>
          </cell>
        </row>
        <row r="2688">
          <cell r="A2688" t="str">
            <v>Value-added Services 42 CFR § 438.3(e)(1)(i)</v>
          </cell>
          <cell r="C2688" t="str">
            <v>STAR+PLUS</v>
          </cell>
          <cell r="D2688" t="str">
            <v>ERS</v>
          </cell>
          <cell r="E2688" t="str">
            <v xml:space="preserve">Emergency Response Services (Monthly) (Non-HCBS) </v>
          </cell>
          <cell r="F2688" t="str">
            <v>S5161MPU7U7</v>
          </cell>
        </row>
        <row r="2689">
          <cell r="A2689" t="str">
            <v>State Plan (Title XIX)</v>
          </cell>
          <cell r="C2689" t="str">
            <v>STAR+PLUS</v>
          </cell>
          <cell r="D2689" t="str">
            <v>ERS</v>
          </cell>
          <cell r="E2689" t="str">
            <v xml:space="preserve">Emergency Response Services (Monthly) (Non-HCBS) (CFC) </v>
          </cell>
          <cell r="F2689" t="str">
            <v>S5161SPU5U7</v>
          </cell>
          <cell r="P2689" t="str">
            <v>CFC</v>
          </cell>
        </row>
        <row r="2690">
          <cell r="A2690" t="str">
            <v>State Plan (Title XIX)</v>
          </cell>
          <cell r="C2690" t="str">
            <v>STAR+PLUS</v>
          </cell>
          <cell r="D2690" t="str">
            <v>ERS</v>
          </cell>
          <cell r="E2690" t="str">
            <v xml:space="preserve">Emergency Response Services (Monthly) (Non-HCBS) (CFC) </v>
          </cell>
          <cell r="F2690" t="str">
            <v>S5161MPU5U7</v>
          </cell>
          <cell r="P2690" t="str">
            <v>CFC</v>
          </cell>
        </row>
        <row r="2691">
          <cell r="A2691" t="str">
            <v>State Plan (Title XIX)</v>
          </cell>
          <cell r="C2691" t="str">
            <v>STAR+PLUS</v>
          </cell>
          <cell r="D2691" t="str">
            <v>ERS</v>
          </cell>
          <cell r="E2691" t="str">
            <v xml:space="preserve">Emergency Response Services (Monthly) (Non-HCBS) (CFC) </v>
          </cell>
          <cell r="F2691" t="str">
            <v>S5161SPU7U7U7</v>
          </cell>
          <cell r="P2691" t="str">
            <v>CFC</v>
          </cell>
        </row>
        <row r="2692">
          <cell r="A2692" t="str">
            <v>State Plan (Title XIX)</v>
          </cell>
          <cell r="C2692" t="str">
            <v>STAR+PLUS</v>
          </cell>
          <cell r="D2692" t="str">
            <v>ERS</v>
          </cell>
          <cell r="E2692" t="str">
            <v xml:space="preserve">Emergency Response Services (Monthly) (Non-HCBS) (CFC) </v>
          </cell>
          <cell r="F2692" t="str">
            <v>S5161MPU7U7U7</v>
          </cell>
          <cell r="P2692" t="str">
            <v>CFC</v>
          </cell>
        </row>
        <row r="2693">
          <cell r="A2693" t="str">
            <v>State Plan (Title XIX)</v>
          </cell>
          <cell r="C2693" t="str">
            <v>STAR+PLUS</v>
          </cell>
          <cell r="D2693" t="str">
            <v>FMS</v>
          </cell>
          <cell r="E2693" t="str">
            <v xml:space="preserve"> (CDS) Agency (Non-HCBS) </v>
          </cell>
          <cell r="F2693" t="str">
            <v>T2040SPU7</v>
          </cell>
        </row>
        <row r="2694">
          <cell r="A2694" t="str">
            <v>State Plan (Title XIX)</v>
          </cell>
          <cell r="C2694" t="str">
            <v>STAR+PLUS</v>
          </cell>
          <cell r="D2694" t="str">
            <v>FMS</v>
          </cell>
          <cell r="E2694" t="str">
            <v xml:space="preserve"> (CDS) Agency (Non-HCBS) </v>
          </cell>
          <cell r="F2694" t="str">
            <v>T2040MPU7</v>
          </cell>
        </row>
        <row r="2695">
          <cell r="A2695" t="str">
            <v>State Plan (Title XIX)</v>
          </cell>
          <cell r="C2695" t="str">
            <v>STAR+PLUS</v>
          </cell>
          <cell r="D2695" t="str">
            <v>FMS</v>
          </cell>
          <cell r="E2695" t="str">
            <v>Financial Management Service (FMS) Fee, Monthly Fee (CDS)</v>
          </cell>
          <cell r="F2695" t="str">
            <v>T2040SPU5U9</v>
          </cell>
        </row>
        <row r="2696">
          <cell r="A2696" t="str">
            <v>State Plan (Title XIX)</v>
          </cell>
          <cell r="C2696" t="str">
            <v>STAR+PLUS</v>
          </cell>
          <cell r="D2696" t="str">
            <v>FMS</v>
          </cell>
          <cell r="E2696" t="str">
            <v>Financial Management Service (FMS) Fee, Monthly Fee (CDS)</v>
          </cell>
          <cell r="F2696" t="str">
            <v>T2040MPU5U9</v>
          </cell>
        </row>
        <row r="2697">
          <cell r="A2697" t="str">
            <v>State Plan (Title XIX)</v>
          </cell>
          <cell r="C2697" t="str">
            <v>STAR+PLUS</v>
          </cell>
          <cell r="D2697" t="str">
            <v>FMS</v>
          </cell>
          <cell r="E2697" t="str">
            <v>FMS Fee, Monthly Fee (CFC) (CDS)</v>
          </cell>
          <cell r="F2697" t="str">
            <v>T2040SPU5U9U7</v>
          </cell>
          <cell r="P2697" t="str">
            <v>CFC</v>
          </cell>
        </row>
        <row r="2698">
          <cell r="A2698" t="str">
            <v>State Plan (Title XIX)</v>
          </cell>
          <cell r="C2698" t="str">
            <v>STAR+PLUS</v>
          </cell>
          <cell r="D2698" t="str">
            <v>FMS</v>
          </cell>
          <cell r="E2698" t="str">
            <v>FMS Fee, Monthly Fee (CFC) (CDS)</v>
          </cell>
          <cell r="F2698" t="str">
            <v>T2040MPU5U9U7</v>
          </cell>
          <cell r="P2698" t="str">
            <v>CFC</v>
          </cell>
        </row>
        <row r="2699">
          <cell r="A2699" t="str">
            <v>State Plan (Title XIX)</v>
          </cell>
          <cell r="C2699" t="str">
            <v>STAR+PLUS</v>
          </cell>
          <cell r="D2699" t="str">
            <v>HDM</v>
          </cell>
          <cell r="E2699" t="str">
            <v>Non-HCBS Home Delivered Meals</v>
          </cell>
          <cell r="F2699" t="str">
            <v>S5170SPU7</v>
          </cell>
        </row>
        <row r="2700">
          <cell r="A2700" t="str">
            <v>State Plan (Title XIX)</v>
          </cell>
          <cell r="C2700" t="str">
            <v>STAR+PLUS</v>
          </cell>
          <cell r="D2700" t="str">
            <v>HDM</v>
          </cell>
          <cell r="E2700" t="str">
            <v>Non-HCBS Home Delivered Meals</v>
          </cell>
          <cell r="F2700" t="str">
            <v>S5170MPU7</v>
          </cell>
        </row>
        <row r="2701">
          <cell r="A2701" t="str">
            <v>State Plan (Title XIX)</v>
          </cell>
          <cell r="C2701" t="str">
            <v>STAR+PLUS</v>
          </cell>
          <cell r="D2701" t="str">
            <v>NF Daily Care</v>
          </cell>
          <cell r="E2701" t="str">
            <v>BA1</v>
          </cell>
          <cell r="F2701" t="str">
            <v>BA1MP</v>
          </cell>
        </row>
        <row r="2702">
          <cell r="A2702" t="str">
            <v>State Plan (Title XIX)</v>
          </cell>
          <cell r="C2702" t="str">
            <v>STAR+PLUS</v>
          </cell>
          <cell r="D2702" t="str">
            <v>NF Daily Care</v>
          </cell>
          <cell r="E2702" t="str">
            <v>BA1</v>
          </cell>
          <cell r="F2702" t="str">
            <v>BA1SP</v>
          </cell>
        </row>
        <row r="2703">
          <cell r="A2703" t="str">
            <v>State Plan (Title XIX)</v>
          </cell>
          <cell r="C2703" t="str">
            <v>STAR+PLUS</v>
          </cell>
          <cell r="D2703" t="str">
            <v>NF Daily Care</v>
          </cell>
          <cell r="E2703" t="str">
            <v>BA2</v>
          </cell>
          <cell r="F2703" t="str">
            <v>BA2MP</v>
          </cell>
        </row>
        <row r="2704">
          <cell r="A2704" t="str">
            <v>State Plan (Title XIX)</v>
          </cell>
          <cell r="C2704" t="str">
            <v>STAR+PLUS</v>
          </cell>
          <cell r="D2704" t="str">
            <v>NF Daily Care</v>
          </cell>
          <cell r="E2704" t="str">
            <v>BA2</v>
          </cell>
          <cell r="F2704" t="str">
            <v>BA2SP</v>
          </cell>
        </row>
        <row r="2705">
          <cell r="A2705" t="str">
            <v>State Plan (Title XIX)</v>
          </cell>
          <cell r="C2705" t="str">
            <v>STAR+PLUS</v>
          </cell>
          <cell r="D2705" t="str">
            <v>NF Daily Care</v>
          </cell>
          <cell r="E2705" t="str">
            <v>BB1</v>
          </cell>
          <cell r="F2705" t="str">
            <v>BB1MP</v>
          </cell>
        </row>
        <row r="2706">
          <cell r="A2706" t="str">
            <v>State Plan (Title XIX)</v>
          </cell>
          <cell r="C2706" t="str">
            <v>STAR+PLUS</v>
          </cell>
          <cell r="D2706" t="str">
            <v>NF Daily Care</v>
          </cell>
          <cell r="E2706" t="str">
            <v>BB1</v>
          </cell>
          <cell r="F2706" t="str">
            <v>BB1SP</v>
          </cell>
        </row>
        <row r="2707">
          <cell r="A2707" t="str">
            <v>State Plan (Title XIX)</v>
          </cell>
          <cell r="C2707" t="str">
            <v>STAR+PLUS</v>
          </cell>
          <cell r="D2707" t="str">
            <v>NF Daily Care</v>
          </cell>
          <cell r="E2707" t="str">
            <v>BB2</v>
          </cell>
          <cell r="F2707" t="str">
            <v>BB2MP</v>
          </cell>
        </row>
        <row r="2708">
          <cell r="A2708" t="str">
            <v>State Plan (Title XIX)</v>
          </cell>
          <cell r="C2708" t="str">
            <v>STAR+PLUS</v>
          </cell>
          <cell r="D2708" t="str">
            <v>NF Daily Care</v>
          </cell>
          <cell r="E2708" t="str">
            <v>BB2</v>
          </cell>
          <cell r="F2708" t="str">
            <v>BB2SP</v>
          </cell>
        </row>
        <row r="2709">
          <cell r="A2709" t="str">
            <v>State Plan (Title XIX)</v>
          </cell>
          <cell r="C2709" t="str">
            <v>STAR+PLUS</v>
          </cell>
          <cell r="D2709" t="str">
            <v>NF Daily Care</v>
          </cell>
          <cell r="E2709" t="str">
            <v>BC1</v>
          </cell>
          <cell r="F2709" t="str">
            <v>BC1MP</v>
          </cell>
        </row>
        <row r="2710">
          <cell r="A2710" t="str">
            <v>State Plan (Title XIX)</v>
          </cell>
          <cell r="C2710" t="str">
            <v>STAR+PLUS</v>
          </cell>
          <cell r="D2710" t="str">
            <v>NF Daily Care</v>
          </cell>
          <cell r="E2710" t="str">
            <v>BC1</v>
          </cell>
          <cell r="F2710" t="str">
            <v>BC1SP</v>
          </cell>
        </row>
        <row r="2711">
          <cell r="A2711" t="str">
            <v>State Plan (Title XIX)</v>
          </cell>
          <cell r="C2711" t="str">
            <v>STAR+PLUS</v>
          </cell>
          <cell r="D2711" t="str">
            <v>NF Daily Care</v>
          </cell>
          <cell r="E2711" t="str">
            <v>CA1</v>
          </cell>
          <cell r="F2711" t="str">
            <v>CA1MP</v>
          </cell>
        </row>
        <row r="2712">
          <cell r="A2712" t="str">
            <v>State Plan (Title XIX)</v>
          </cell>
          <cell r="C2712" t="str">
            <v>STAR+PLUS</v>
          </cell>
          <cell r="D2712" t="str">
            <v>NF Daily Care</v>
          </cell>
          <cell r="E2712" t="str">
            <v>CA1</v>
          </cell>
          <cell r="F2712" t="str">
            <v>CA1SP</v>
          </cell>
        </row>
        <row r="2713">
          <cell r="A2713" t="str">
            <v>State Plan (Title XIX)</v>
          </cell>
          <cell r="C2713" t="str">
            <v>STAR+PLUS</v>
          </cell>
          <cell r="D2713" t="str">
            <v>NF Daily Care</v>
          </cell>
          <cell r="E2713" t="str">
            <v>CA2</v>
          </cell>
          <cell r="F2713" t="str">
            <v>CA2MP</v>
          </cell>
        </row>
        <row r="2714">
          <cell r="A2714" t="str">
            <v>State Plan (Title XIX)</v>
          </cell>
          <cell r="C2714" t="str">
            <v>STAR+PLUS</v>
          </cell>
          <cell r="D2714" t="str">
            <v>NF Daily Care</v>
          </cell>
          <cell r="E2714" t="str">
            <v>CA2</v>
          </cell>
          <cell r="F2714" t="str">
            <v>CA2SP</v>
          </cell>
        </row>
        <row r="2715">
          <cell r="A2715" t="str">
            <v>State Plan (Title XIX)</v>
          </cell>
          <cell r="C2715" t="str">
            <v>STAR+PLUS</v>
          </cell>
          <cell r="D2715" t="str">
            <v>NF Daily Care</v>
          </cell>
          <cell r="E2715" t="str">
            <v>CB1</v>
          </cell>
          <cell r="F2715" t="str">
            <v>CB1MP</v>
          </cell>
        </row>
        <row r="2716">
          <cell r="A2716" t="str">
            <v>State Plan (Title XIX)</v>
          </cell>
          <cell r="C2716" t="str">
            <v>STAR+PLUS</v>
          </cell>
          <cell r="D2716" t="str">
            <v>NF Daily Care</v>
          </cell>
          <cell r="E2716" t="str">
            <v>CB1</v>
          </cell>
          <cell r="F2716" t="str">
            <v>CB1SP</v>
          </cell>
        </row>
        <row r="2717">
          <cell r="A2717" t="str">
            <v>State Plan (Title XIX)</v>
          </cell>
          <cell r="C2717" t="str">
            <v>STAR+PLUS</v>
          </cell>
          <cell r="D2717" t="str">
            <v>NF Daily Care</v>
          </cell>
          <cell r="E2717" t="str">
            <v>CB2</v>
          </cell>
          <cell r="F2717" t="str">
            <v>CB2MP</v>
          </cell>
        </row>
        <row r="2718">
          <cell r="A2718" t="str">
            <v>State Plan (Title XIX)</v>
          </cell>
          <cell r="C2718" t="str">
            <v>STAR+PLUS</v>
          </cell>
          <cell r="D2718" t="str">
            <v>NF Daily Care</v>
          </cell>
          <cell r="E2718" t="str">
            <v>CB2</v>
          </cell>
          <cell r="F2718" t="str">
            <v>CB2SP</v>
          </cell>
        </row>
        <row r="2719">
          <cell r="A2719" t="str">
            <v>State Plan (Title XIX)</v>
          </cell>
          <cell r="C2719" t="str">
            <v>STAR+PLUS</v>
          </cell>
          <cell r="D2719" t="str">
            <v>NF Daily Care</v>
          </cell>
          <cell r="E2719" t="str">
            <v>CC1</v>
          </cell>
          <cell r="F2719" t="str">
            <v>CC1MP</v>
          </cell>
        </row>
        <row r="2720">
          <cell r="A2720" t="str">
            <v>State Plan (Title XIX)</v>
          </cell>
          <cell r="C2720" t="str">
            <v>STAR+PLUS</v>
          </cell>
          <cell r="D2720" t="str">
            <v>NF Daily Care</v>
          </cell>
          <cell r="E2720" t="str">
            <v>CC1</v>
          </cell>
          <cell r="F2720" t="str">
            <v>CC1SP</v>
          </cell>
        </row>
        <row r="2721">
          <cell r="A2721" t="str">
            <v>State Plan (Title XIX)</v>
          </cell>
          <cell r="C2721" t="str">
            <v>STAR+PLUS</v>
          </cell>
          <cell r="D2721" t="str">
            <v>NF Daily Care</v>
          </cell>
          <cell r="E2721" t="str">
            <v>CC2</v>
          </cell>
          <cell r="F2721" t="str">
            <v>CC2MP</v>
          </cell>
        </row>
        <row r="2722">
          <cell r="A2722" t="str">
            <v>State Plan (Title XIX)</v>
          </cell>
          <cell r="C2722" t="str">
            <v>STAR+PLUS</v>
          </cell>
          <cell r="D2722" t="str">
            <v>NF Daily Care</v>
          </cell>
          <cell r="E2722" t="str">
            <v>CC2</v>
          </cell>
          <cell r="F2722" t="str">
            <v>CC2SP</v>
          </cell>
        </row>
        <row r="2723">
          <cell r="A2723" t="str">
            <v>State Plan (Title XIX)</v>
          </cell>
          <cell r="C2723" t="str">
            <v>STAR+PLUS</v>
          </cell>
          <cell r="D2723" t="str">
            <v>NF Daily Care</v>
          </cell>
          <cell r="E2723" t="str">
            <v>IA1</v>
          </cell>
          <cell r="F2723" t="str">
            <v>IA1MP</v>
          </cell>
        </row>
        <row r="2724">
          <cell r="A2724" t="str">
            <v>State Plan (Title XIX)</v>
          </cell>
          <cell r="C2724" t="str">
            <v>STAR+PLUS</v>
          </cell>
          <cell r="D2724" t="str">
            <v>NF Daily Care</v>
          </cell>
          <cell r="E2724" t="str">
            <v>IA1</v>
          </cell>
          <cell r="F2724" t="str">
            <v>IA1SP</v>
          </cell>
        </row>
        <row r="2725">
          <cell r="A2725" t="str">
            <v>State Plan (Title XIX)</v>
          </cell>
          <cell r="C2725" t="str">
            <v>STAR+PLUS</v>
          </cell>
          <cell r="D2725" t="str">
            <v>NF Daily Care</v>
          </cell>
          <cell r="E2725" t="str">
            <v>IA2</v>
          </cell>
          <cell r="F2725" t="str">
            <v>IA2MP</v>
          </cell>
        </row>
        <row r="2726">
          <cell r="A2726" t="str">
            <v>State Plan (Title XIX)</v>
          </cell>
          <cell r="C2726" t="str">
            <v>STAR+PLUS</v>
          </cell>
          <cell r="D2726" t="str">
            <v>NF Daily Care</v>
          </cell>
          <cell r="E2726" t="str">
            <v>IA2</v>
          </cell>
          <cell r="F2726" t="str">
            <v>IA2SP</v>
          </cell>
        </row>
        <row r="2727">
          <cell r="A2727" t="str">
            <v>State Plan (Title XIX)</v>
          </cell>
          <cell r="C2727" t="str">
            <v>STAR+PLUS</v>
          </cell>
          <cell r="D2727" t="str">
            <v>NF Daily Care</v>
          </cell>
          <cell r="E2727" t="str">
            <v>IB1</v>
          </cell>
          <cell r="F2727" t="str">
            <v>IB1MP</v>
          </cell>
        </row>
        <row r="2728">
          <cell r="A2728" t="str">
            <v>State Plan (Title XIX)</v>
          </cell>
          <cell r="C2728" t="str">
            <v>STAR+PLUS</v>
          </cell>
          <cell r="D2728" t="str">
            <v>NF Daily Care</v>
          </cell>
          <cell r="E2728" t="str">
            <v>IB1</v>
          </cell>
          <cell r="F2728" t="str">
            <v>IB1SP</v>
          </cell>
        </row>
        <row r="2729">
          <cell r="A2729" t="str">
            <v>State Plan (Title XIX)</v>
          </cell>
          <cell r="C2729" t="str">
            <v>STAR+PLUS</v>
          </cell>
          <cell r="D2729" t="str">
            <v>NF Daily Care</v>
          </cell>
          <cell r="E2729" t="str">
            <v>IB2</v>
          </cell>
          <cell r="F2729" t="str">
            <v>IB2MP</v>
          </cell>
        </row>
        <row r="2730">
          <cell r="A2730" t="str">
            <v>State Plan (Title XIX)</v>
          </cell>
          <cell r="C2730" t="str">
            <v>STAR+PLUS</v>
          </cell>
          <cell r="D2730" t="str">
            <v>NF Daily Care</v>
          </cell>
          <cell r="E2730" t="str">
            <v>IB2</v>
          </cell>
          <cell r="F2730" t="str">
            <v>IB2SP</v>
          </cell>
        </row>
        <row r="2731">
          <cell r="A2731" t="str">
            <v>State Plan (Title XIX)</v>
          </cell>
          <cell r="C2731" t="str">
            <v>STAR+PLUS</v>
          </cell>
          <cell r="D2731" t="str">
            <v>NF Daily Care</v>
          </cell>
          <cell r="E2731" t="str">
            <v>PA1</v>
          </cell>
          <cell r="F2731" t="str">
            <v>PA1MP</v>
          </cell>
        </row>
        <row r="2732">
          <cell r="A2732" t="str">
            <v>State Plan (Title XIX)</v>
          </cell>
          <cell r="C2732" t="str">
            <v>STAR+PLUS</v>
          </cell>
          <cell r="D2732" t="str">
            <v>NF Daily Care</v>
          </cell>
          <cell r="E2732" t="str">
            <v>PA1</v>
          </cell>
          <cell r="F2732" t="str">
            <v>PA1SP</v>
          </cell>
        </row>
        <row r="2733">
          <cell r="A2733" t="str">
            <v>State Plan (Title XIX)</v>
          </cell>
          <cell r="C2733" t="str">
            <v>STAR+PLUS</v>
          </cell>
          <cell r="D2733" t="str">
            <v>NF Daily Care</v>
          </cell>
          <cell r="E2733" t="str">
            <v>PA2</v>
          </cell>
          <cell r="F2733" t="str">
            <v>PA2MP</v>
          </cell>
        </row>
        <row r="2734">
          <cell r="A2734" t="str">
            <v>State Plan (Title XIX)</v>
          </cell>
          <cell r="C2734" t="str">
            <v>STAR+PLUS</v>
          </cell>
          <cell r="D2734" t="str">
            <v>NF Daily Care</v>
          </cell>
          <cell r="E2734" t="str">
            <v>PA2</v>
          </cell>
          <cell r="F2734" t="str">
            <v>PA2SP</v>
          </cell>
        </row>
        <row r="2735">
          <cell r="A2735" t="str">
            <v>State Plan (Title XIX)</v>
          </cell>
          <cell r="C2735" t="str">
            <v>STAR+PLUS</v>
          </cell>
          <cell r="D2735" t="str">
            <v>NF Daily Care</v>
          </cell>
          <cell r="E2735" t="str">
            <v>PB1</v>
          </cell>
          <cell r="F2735" t="str">
            <v>PB1MP</v>
          </cell>
        </row>
        <row r="2736">
          <cell r="A2736" t="str">
            <v>State Plan (Title XIX)</v>
          </cell>
          <cell r="C2736" t="str">
            <v>STAR+PLUS</v>
          </cell>
          <cell r="D2736" t="str">
            <v>NF Daily Care</v>
          </cell>
          <cell r="E2736" t="str">
            <v>PB1</v>
          </cell>
          <cell r="F2736" t="str">
            <v>PB1SP</v>
          </cell>
        </row>
        <row r="2737">
          <cell r="A2737" t="str">
            <v>State Plan (Title XIX)</v>
          </cell>
          <cell r="C2737" t="str">
            <v>STAR+PLUS</v>
          </cell>
          <cell r="D2737" t="str">
            <v>NF Daily Care</v>
          </cell>
          <cell r="E2737" t="str">
            <v>PB2</v>
          </cell>
          <cell r="F2737" t="str">
            <v>PB2MP</v>
          </cell>
        </row>
        <row r="2738">
          <cell r="A2738" t="str">
            <v>State Plan (Title XIX)</v>
          </cell>
          <cell r="C2738" t="str">
            <v>STAR+PLUS</v>
          </cell>
          <cell r="D2738" t="str">
            <v>NF Daily Care</v>
          </cell>
          <cell r="E2738" t="str">
            <v>PB2</v>
          </cell>
          <cell r="F2738" t="str">
            <v>PB2SP</v>
          </cell>
        </row>
        <row r="2739">
          <cell r="A2739" t="str">
            <v>State Plan (Title XIX)</v>
          </cell>
          <cell r="C2739" t="str">
            <v>STAR+PLUS</v>
          </cell>
          <cell r="D2739" t="str">
            <v>NF Daily Care</v>
          </cell>
          <cell r="E2739" t="str">
            <v>PC1</v>
          </cell>
          <cell r="F2739" t="str">
            <v>PC1MP</v>
          </cell>
        </row>
        <row r="2740">
          <cell r="A2740" t="str">
            <v>State Plan (Title XIX)</v>
          </cell>
          <cell r="C2740" t="str">
            <v>STAR+PLUS</v>
          </cell>
          <cell r="D2740" t="str">
            <v>NF Daily Care</v>
          </cell>
          <cell r="E2740" t="str">
            <v>PC1</v>
          </cell>
          <cell r="F2740" t="str">
            <v>PC1SP</v>
          </cell>
        </row>
        <row r="2741">
          <cell r="A2741" t="str">
            <v>State Plan (Title XIX)</v>
          </cell>
          <cell r="C2741" t="str">
            <v>STAR+PLUS</v>
          </cell>
          <cell r="D2741" t="str">
            <v>NF Daily Care</v>
          </cell>
          <cell r="E2741" t="str">
            <v>PC2</v>
          </cell>
          <cell r="F2741" t="str">
            <v>PC2MP</v>
          </cell>
        </row>
        <row r="2742">
          <cell r="A2742" t="str">
            <v>State Plan (Title XIX)</v>
          </cell>
          <cell r="C2742" t="str">
            <v>STAR+PLUS</v>
          </cell>
          <cell r="D2742" t="str">
            <v>NF Daily Care</v>
          </cell>
          <cell r="E2742" t="str">
            <v>PC2</v>
          </cell>
          <cell r="F2742" t="str">
            <v>PC2SP</v>
          </cell>
        </row>
        <row r="2743">
          <cell r="A2743" t="str">
            <v>State Plan (Title XIX)</v>
          </cell>
          <cell r="C2743" t="str">
            <v>STAR+PLUS</v>
          </cell>
          <cell r="D2743" t="str">
            <v>NF Daily Care</v>
          </cell>
          <cell r="E2743" t="str">
            <v>PCE</v>
          </cell>
          <cell r="F2743" t="str">
            <v>PCEMP</v>
          </cell>
        </row>
        <row r="2744">
          <cell r="A2744" t="str">
            <v>State Plan (Title XIX)</v>
          </cell>
          <cell r="C2744" t="str">
            <v>STAR+PLUS</v>
          </cell>
          <cell r="D2744" t="str">
            <v>NF Daily Care</v>
          </cell>
          <cell r="E2744" t="str">
            <v>PCE</v>
          </cell>
          <cell r="F2744" t="str">
            <v>PCESP</v>
          </cell>
        </row>
        <row r="2745">
          <cell r="A2745" t="str">
            <v>State Plan (Title XIX)</v>
          </cell>
          <cell r="C2745" t="str">
            <v>STAR+PLUS</v>
          </cell>
          <cell r="D2745" t="str">
            <v>NF Daily Care</v>
          </cell>
          <cell r="E2745" t="str">
            <v>PD1</v>
          </cell>
          <cell r="F2745" t="str">
            <v>PD1MP</v>
          </cell>
        </row>
        <row r="2746">
          <cell r="A2746" t="str">
            <v>State Plan (Title XIX)</v>
          </cell>
          <cell r="C2746" t="str">
            <v>STAR+PLUS</v>
          </cell>
          <cell r="D2746" t="str">
            <v>NF Daily Care</v>
          </cell>
          <cell r="E2746" t="str">
            <v>PD1</v>
          </cell>
          <cell r="F2746" t="str">
            <v>PD1SP</v>
          </cell>
        </row>
        <row r="2747">
          <cell r="A2747" t="str">
            <v>State Plan (Title XIX)</v>
          </cell>
          <cell r="C2747" t="str">
            <v>STAR+PLUS</v>
          </cell>
          <cell r="D2747" t="str">
            <v>NF Daily Care</v>
          </cell>
          <cell r="E2747" t="str">
            <v>PD2</v>
          </cell>
          <cell r="F2747" t="str">
            <v>PD2MP</v>
          </cell>
        </row>
        <row r="2748">
          <cell r="A2748" t="str">
            <v>State Plan (Title XIX)</v>
          </cell>
          <cell r="C2748" t="str">
            <v>STAR+PLUS</v>
          </cell>
          <cell r="D2748" t="str">
            <v>NF Daily Care</v>
          </cell>
          <cell r="E2748" t="str">
            <v>PD2</v>
          </cell>
          <cell r="F2748" t="str">
            <v>PD2SP</v>
          </cell>
        </row>
        <row r="2749">
          <cell r="A2749" t="str">
            <v>State Plan (Title XIX)</v>
          </cell>
          <cell r="C2749" t="str">
            <v>STAR+PLUS</v>
          </cell>
          <cell r="D2749" t="str">
            <v>NF Daily Care</v>
          </cell>
          <cell r="E2749" t="str">
            <v>PE1</v>
          </cell>
          <cell r="F2749" t="str">
            <v>PE1MP</v>
          </cell>
        </row>
        <row r="2750">
          <cell r="A2750" t="str">
            <v>State Plan (Title XIX)</v>
          </cell>
          <cell r="C2750" t="str">
            <v>STAR+PLUS</v>
          </cell>
          <cell r="D2750" t="str">
            <v>NF Daily Care</v>
          </cell>
          <cell r="E2750" t="str">
            <v>PE1</v>
          </cell>
          <cell r="F2750" t="str">
            <v>PE1SP</v>
          </cell>
        </row>
        <row r="2751">
          <cell r="A2751" t="str">
            <v>State Plan (Title XIX)</v>
          </cell>
          <cell r="C2751" t="str">
            <v>STAR+PLUS</v>
          </cell>
          <cell r="D2751" t="str">
            <v>NF Daily Care</v>
          </cell>
          <cell r="E2751" t="str">
            <v>PE2</v>
          </cell>
          <cell r="F2751" t="str">
            <v>PE2MP</v>
          </cell>
        </row>
        <row r="2752">
          <cell r="A2752" t="str">
            <v>State Plan (Title XIX)</v>
          </cell>
          <cell r="C2752" t="str">
            <v>STAR+PLUS</v>
          </cell>
          <cell r="D2752" t="str">
            <v>NF Daily Care</v>
          </cell>
          <cell r="E2752" t="str">
            <v>PE2</v>
          </cell>
          <cell r="F2752" t="str">
            <v>PE2SP</v>
          </cell>
        </row>
        <row r="2753">
          <cell r="A2753" t="str">
            <v>State Plan (Title XIX)</v>
          </cell>
          <cell r="C2753" t="str">
            <v>STAR+PLUS</v>
          </cell>
          <cell r="D2753" t="str">
            <v>NF Daily Care</v>
          </cell>
          <cell r="E2753" t="str">
            <v>RAA</v>
          </cell>
          <cell r="F2753" t="str">
            <v>RAAMP</v>
          </cell>
        </row>
        <row r="2754">
          <cell r="A2754" t="str">
            <v>State Plan (Title XIX)</v>
          </cell>
          <cell r="C2754" t="str">
            <v>STAR+PLUS</v>
          </cell>
          <cell r="D2754" t="str">
            <v>NF Daily Care</v>
          </cell>
          <cell r="E2754" t="str">
            <v>RAA</v>
          </cell>
          <cell r="F2754" t="str">
            <v>RAASP</v>
          </cell>
        </row>
        <row r="2755">
          <cell r="A2755" t="str">
            <v>State Plan (Title XIX)</v>
          </cell>
          <cell r="C2755" t="str">
            <v>STAR+PLUS</v>
          </cell>
          <cell r="D2755" t="str">
            <v>NF Daily Care</v>
          </cell>
          <cell r="E2755" t="str">
            <v>RAB</v>
          </cell>
          <cell r="F2755" t="str">
            <v>RABMP</v>
          </cell>
        </row>
        <row r="2756">
          <cell r="A2756" t="str">
            <v>State Plan (Title XIX)</v>
          </cell>
          <cell r="C2756" t="str">
            <v>STAR+PLUS</v>
          </cell>
          <cell r="D2756" t="str">
            <v>NF Daily Care</v>
          </cell>
          <cell r="E2756" t="str">
            <v>RAB</v>
          </cell>
          <cell r="F2756" t="str">
            <v>RABSP</v>
          </cell>
        </row>
        <row r="2757">
          <cell r="A2757" t="str">
            <v>State Plan (Title XIX)</v>
          </cell>
          <cell r="C2757" t="str">
            <v>STAR+PLUS</v>
          </cell>
          <cell r="D2757" t="str">
            <v>NF Daily Care</v>
          </cell>
          <cell r="E2757" t="str">
            <v>RAC</v>
          </cell>
          <cell r="F2757" t="str">
            <v>RACMP</v>
          </cell>
        </row>
        <row r="2758">
          <cell r="A2758" t="str">
            <v>State Plan (Title XIX)</v>
          </cell>
          <cell r="C2758" t="str">
            <v>STAR+PLUS</v>
          </cell>
          <cell r="D2758" t="str">
            <v>NF Daily Care</v>
          </cell>
          <cell r="E2758" t="str">
            <v>RAC</v>
          </cell>
          <cell r="F2758" t="str">
            <v>RACSP</v>
          </cell>
        </row>
        <row r="2759">
          <cell r="A2759" t="str">
            <v>State Plan (Title XIX)</v>
          </cell>
          <cell r="C2759" t="str">
            <v>STAR+PLUS</v>
          </cell>
          <cell r="D2759" t="str">
            <v>NF Daily Care</v>
          </cell>
          <cell r="E2759" t="str">
            <v>RAD</v>
          </cell>
          <cell r="F2759" t="str">
            <v>RADMP</v>
          </cell>
        </row>
        <row r="2760">
          <cell r="A2760" t="str">
            <v>State Plan (Title XIX)</v>
          </cell>
          <cell r="C2760" t="str">
            <v>STAR+PLUS</v>
          </cell>
          <cell r="D2760" t="str">
            <v>NF Daily Care</v>
          </cell>
          <cell r="E2760" t="str">
            <v>RAD</v>
          </cell>
          <cell r="F2760" t="str">
            <v>RADSP</v>
          </cell>
        </row>
        <row r="2761">
          <cell r="A2761" t="str">
            <v>State Plan (Title XIX)</v>
          </cell>
          <cell r="C2761" t="str">
            <v>STAR+PLUS</v>
          </cell>
          <cell r="D2761" t="str">
            <v>NF Daily Care</v>
          </cell>
          <cell r="E2761" t="str">
            <v>SE1</v>
          </cell>
          <cell r="F2761" t="str">
            <v>SE1MP</v>
          </cell>
        </row>
        <row r="2762">
          <cell r="A2762" t="str">
            <v>State Plan (Title XIX)</v>
          </cell>
          <cell r="C2762" t="str">
            <v>STAR+PLUS</v>
          </cell>
          <cell r="D2762" t="str">
            <v>NF Daily Care</v>
          </cell>
          <cell r="E2762" t="str">
            <v>SE1</v>
          </cell>
          <cell r="F2762" t="str">
            <v>SE1SP</v>
          </cell>
        </row>
        <row r="2763">
          <cell r="A2763" t="str">
            <v>State Plan (Title XIX)</v>
          </cell>
          <cell r="C2763" t="str">
            <v>STAR+PLUS</v>
          </cell>
          <cell r="D2763" t="str">
            <v>NF Daily Care</v>
          </cell>
          <cell r="E2763" t="str">
            <v>SE2</v>
          </cell>
          <cell r="F2763" t="str">
            <v>SE2MP</v>
          </cell>
        </row>
        <row r="2764">
          <cell r="A2764" t="str">
            <v>State Plan (Title XIX)</v>
          </cell>
          <cell r="C2764" t="str">
            <v>STAR+PLUS</v>
          </cell>
          <cell r="D2764" t="str">
            <v>NF Daily Care</v>
          </cell>
          <cell r="E2764" t="str">
            <v>SE2</v>
          </cell>
          <cell r="F2764" t="str">
            <v>SE2SP</v>
          </cell>
        </row>
        <row r="2765">
          <cell r="A2765" t="str">
            <v>State Plan (Title XIX)</v>
          </cell>
          <cell r="C2765" t="str">
            <v>STAR+PLUS</v>
          </cell>
          <cell r="D2765" t="str">
            <v>NF Daily Care</v>
          </cell>
          <cell r="E2765" t="str">
            <v>SE3</v>
          </cell>
          <cell r="F2765" t="str">
            <v>SE3MP</v>
          </cell>
        </row>
        <row r="2766">
          <cell r="A2766" t="str">
            <v>State Plan (Title XIX)</v>
          </cell>
          <cell r="C2766" t="str">
            <v>STAR+PLUS</v>
          </cell>
          <cell r="D2766" t="str">
            <v>NF Daily Care</v>
          </cell>
          <cell r="E2766" t="str">
            <v>SE3</v>
          </cell>
          <cell r="F2766" t="str">
            <v>SE3SP</v>
          </cell>
        </row>
        <row r="2767">
          <cell r="A2767" t="str">
            <v>State Plan (Title XIX)</v>
          </cell>
          <cell r="C2767" t="str">
            <v>STAR+PLUS</v>
          </cell>
          <cell r="D2767" t="str">
            <v>NF Daily Care</v>
          </cell>
          <cell r="E2767" t="str">
            <v>SSA</v>
          </cell>
          <cell r="F2767" t="str">
            <v>SSAMP</v>
          </cell>
        </row>
        <row r="2768">
          <cell r="A2768" t="str">
            <v>State Plan (Title XIX)</v>
          </cell>
          <cell r="C2768" t="str">
            <v>STAR+PLUS</v>
          </cell>
          <cell r="D2768" t="str">
            <v>NF Daily Care</v>
          </cell>
          <cell r="E2768" t="str">
            <v>SSA</v>
          </cell>
          <cell r="F2768" t="str">
            <v>SSASP</v>
          </cell>
        </row>
        <row r="2769">
          <cell r="A2769" t="str">
            <v>State Plan (Title XIX)</v>
          </cell>
          <cell r="C2769" t="str">
            <v>STAR+PLUS</v>
          </cell>
          <cell r="D2769" t="str">
            <v>NF Daily Care</v>
          </cell>
          <cell r="E2769" t="str">
            <v>SSB</v>
          </cell>
          <cell r="F2769" t="str">
            <v>SSBMP</v>
          </cell>
        </row>
        <row r="2770">
          <cell r="A2770" t="str">
            <v>State Plan (Title XIX)</v>
          </cell>
          <cell r="C2770" t="str">
            <v>STAR+PLUS</v>
          </cell>
          <cell r="D2770" t="str">
            <v>NF Daily Care</v>
          </cell>
          <cell r="E2770" t="str">
            <v>SSB</v>
          </cell>
          <cell r="F2770" t="str">
            <v>SSBSP</v>
          </cell>
        </row>
        <row r="2771">
          <cell r="A2771" t="str">
            <v>State Plan (Title XIX)</v>
          </cell>
          <cell r="C2771" t="str">
            <v>STAR+PLUS</v>
          </cell>
          <cell r="D2771" t="str">
            <v>NF Daily Care</v>
          </cell>
          <cell r="E2771" t="str">
            <v>SSC</v>
          </cell>
          <cell r="F2771" t="str">
            <v>SSCMP</v>
          </cell>
        </row>
        <row r="2772">
          <cell r="A2772" t="str">
            <v>State Plan (Title XIX)</v>
          </cell>
          <cell r="C2772" t="str">
            <v>STAR+PLUS</v>
          </cell>
          <cell r="D2772" t="str">
            <v>NF Daily Care</v>
          </cell>
          <cell r="E2772" t="str">
            <v>SSC</v>
          </cell>
          <cell r="F2772" t="str">
            <v>SSCSP</v>
          </cell>
        </row>
        <row r="2773">
          <cell r="A2773" t="str">
            <v>State Plan (Title XIX)</v>
          </cell>
          <cell r="C2773" t="str">
            <v>STAR+PLUS</v>
          </cell>
          <cell r="D2773" t="str">
            <v>NF Daily Care</v>
          </cell>
          <cell r="E2773" t="str">
            <v>Weighted Average RUG</v>
          </cell>
          <cell r="F2773" t="str">
            <v>MP-RUG3-W-AVG</v>
          </cell>
        </row>
        <row r="2774">
          <cell r="A2774" t="str">
            <v>State Plan (Title XIX)</v>
          </cell>
          <cell r="C2774" t="str">
            <v>STAR+PLUS</v>
          </cell>
          <cell r="D2774" t="str">
            <v>NF Daily Care</v>
          </cell>
          <cell r="E2774" t="str">
            <v>Weighted Average RUG</v>
          </cell>
          <cell r="F2774" t="str">
            <v>SP-RUG3-W-AVG</v>
          </cell>
        </row>
        <row r="2775">
          <cell r="A2775" t="str">
            <v>State Plan (Title XIX)</v>
          </cell>
          <cell r="C2775" t="str">
            <v>STAR+PLUS</v>
          </cell>
          <cell r="D2775" t="str">
            <v>NF Vent/Trach</v>
          </cell>
          <cell r="E2775" t="str">
            <v>Ventilator Supplement- continuous</v>
          </cell>
          <cell r="F2775" t="str">
            <v>94657SP9999U8</v>
          </cell>
        </row>
        <row r="2776">
          <cell r="A2776" t="str">
            <v>State Plan (Title XIX)</v>
          </cell>
          <cell r="C2776" t="str">
            <v>STAR+PLUS</v>
          </cell>
          <cell r="D2776" t="str">
            <v>NF Vent/Trach</v>
          </cell>
          <cell r="E2776" t="str">
            <v>Ventilator Supplement- continuous</v>
          </cell>
          <cell r="F2776" t="str">
            <v>94657MP9999U8</v>
          </cell>
        </row>
        <row r="2777">
          <cell r="A2777" t="str">
            <v>State Plan (Title XIX)</v>
          </cell>
          <cell r="C2777" t="str">
            <v>STAR+PLUS</v>
          </cell>
          <cell r="D2777" t="str">
            <v>NF Vent/Trach</v>
          </cell>
          <cell r="E2777" t="str">
            <v>Ventilator Supplement- Less than continuous</v>
          </cell>
          <cell r="F2777" t="str">
            <v>94657SP9999U7</v>
          </cell>
        </row>
        <row r="2778">
          <cell r="A2778" t="str">
            <v>State Plan (Title XIX)</v>
          </cell>
          <cell r="C2778" t="str">
            <v>STAR+PLUS</v>
          </cell>
          <cell r="D2778" t="str">
            <v>NF Vent/Trach</v>
          </cell>
          <cell r="E2778" t="str">
            <v>Ventilator Supplement- Less than continuous</v>
          </cell>
          <cell r="F2778" t="str">
            <v>94657MP9999U7</v>
          </cell>
        </row>
        <row r="2779">
          <cell r="A2779" t="str">
            <v>State Plan (Title XIX)</v>
          </cell>
          <cell r="C2779" t="str">
            <v>STAR+PLUS</v>
          </cell>
          <cell r="D2779" t="str">
            <v>PAS/HAB</v>
          </cell>
          <cell r="E2779" t="str">
            <v xml:space="preserve">Habilitation (AO) (Non-HCBS) (CFC) </v>
          </cell>
          <cell r="F2779" t="str">
            <v>T2017SPU5U7</v>
          </cell>
          <cell r="P2779" t="str">
            <v>CFC</v>
          </cell>
        </row>
        <row r="2780">
          <cell r="A2780" t="str">
            <v>State Plan (Title XIX)</v>
          </cell>
          <cell r="C2780" t="str">
            <v>STAR+PLUS</v>
          </cell>
          <cell r="D2780" t="str">
            <v>PAS/HAB</v>
          </cell>
          <cell r="E2780" t="str">
            <v xml:space="preserve">Habilitation (AO) (Non-HCBS) (CFC) </v>
          </cell>
          <cell r="F2780" t="str">
            <v>T2017MPU5U7</v>
          </cell>
          <cell r="P2780" t="str">
            <v>CFC</v>
          </cell>
        </row>
        <row r="2781">
          <cell r="A2781" t="str">
            <v>State Plan (Title XIX)</v>
          </cell>
          <cell r="C2781" t="str">
            <v>STAR+PLUS</v>
          </cell>
          <cell r="D2781" t="str">
            <v>PAS/HAB</v>
          </cell>
          <cell r="E2781" t="str">
            <v xml:space="preserve">Habilitation (AO) (Non-HCBS) (CFC) </v>
          </cell>
          <cell r="F2781" t="str">
            <v>T2021SPU7U7U7</v>
          </cell>
          <cell r="P2781" t="str">
            <v>CFC</v>
          </cell>
        </row>
        <row r="2782">
          <cell r="A2782" t="str">
            <v>State Plan (Title XIX)</v>
          </cell>
          <cell r="C2782" t="str">
            <v>STAR+PLUS</v>
          </cell>
          <cell r="D2782" t="str">
            <v>PAS/HAB</v>
          </cell>
          <cell r="E2782" t="str">
            <v xml:space="preserve">Habilitation (AO) (Non-HCBS) (CFC) </v>
          </cell>
          <cell r="F2782" t="str">
            <v>T2021MPU7U7U7</v>
          </cell>
          <cell r="P2782" t="str">
            <v>CFC</v>
          </cell>
        </row>
        <row r="2783">
          <cell r="A2783" t="str">
            <v>State Plan (Title XIX)</v>
          </cell>
          <cell r="C2783" t="str">
            <v>STAR+PLUS</v>
          </cell>
          <cell r="D2783" t="str">
            <v>PAS/HAB</v>
          </cell>
          <cell r="E2783" t="str">
            <v xml:space="preserve">Habilitation (CDS) (CFC) </v>
          </cell>
          <cell r="F2783" t="str">
            <v>T2017SPU5U7UC</v>
          </cell>
          <cell r="P2783" t="str">
            <v>CFC</v>
          </cell>
        </row>
        <row r="2784">
          <cell r="A2784" t="str">
            <v>State Plan (Title XIX)</v>
          </cell>
          <cell r="C2784" t="str">
            <v>STAR+PLUS</v>
          </cell>
          <cell r="D2784" t="str">
            <v>PAS/HAB</v>
          </cell>
          <cell r="E2784" t="str">
            <v xml:space="preserve">Habilitation (CDS) (CFC) </v>
          </cell>
          <cell r="F2784" t="str">
            <v>T2017MPU5U7UC</v>
          </cell>
          <cell r="P2784" t="str">
            <v>CFC</v>
          </cell>
        </row>
        <row r="2785">
          <cell r="A2785" t="str">
            <v>State Plan (Title XIX)</v>
          </cell>
          <cell r="C2785" t="str">
            <v>STAR+PLUS</v>
          </cell>
          <cell r="D2785" t="str">
            <v>PAS/HAB</v>
          </cell>
          <cell r="E2785" t="str">
            <v xml:space="preserve">Habilitation (CDS) (Non-HCBS) (CFC) </v>
          </cell>
          <cell r="F2785" t="str">
            <v>T2017SPU5UCU7</v>
          </cell>
          <cell r="P2785" t="str">
            <v>CFC</v>
          </cell>
        </row>
        <row r="2786">
          <cell r="A2786" t="str">
            <v>State Plan (Title XIX)</v>
          </cell>
          <cell r="C2786" t="str">
            <v>STAR+PLUS</v>
          </cell>
          <cell r="D2786" t="str">
            <v>PAS/HAB</v>
          </cell>
          <cell r="E2786" t="str">
            <v xml:space="preserve">Habilitation (CDS) (Non-HCBS) (CFC) </v>
          </cell>
          <cell r="F2786" t="str">
            <v>T2017MPU5UCU7</v>
          </cell>
          <cell r="P2786" t="str">
            <v>CFC</v>
          </cell>
        </row>
        <row r="2787">
          <cell r="A2787" t="str">
            <v>State Plan (Title XIX)</v>
          </cell>
          <cell r="C2787" t="str">
            <v>STAR+PLUS</v>
          </cell>
          <cell r="D2787" t="str">
            <v>PAS/HAB</v>
          </cell>
          <cell r="E2787" t="str">
            <v xml:space="preserve">Habilitation (CDS) (Non-HCBS) (CFC) </v>
          </cell>
          <cell r="F2787" t="str">
            <v>T2021SPU7U7U7UC</v>
          </cell>
          <cell r="P2787" t="str">
            <v>CFC</v>
          </cell>
        </row>
        <row r="2788">
          <cell r="A2788" t="str">
            <v>State Plan (Title XIX)</v>
          </cell>
          <cell r="C2788" t="str">
            <v>STAR+PLUS</v>
          </cell>
          <cell r="D2788" t="str">
            <v>PAS/HAB</v>
          </cell>
          <cell r="E2788" t="str">
            <v xml:space="preserve">Habilitation (CDS) (Non-HCBS) (CFC) </v>
          </cell>
          <cell r="F2788" t="str">
            <v>T2021MPU7U7U7UC</v>
          </cell>
          <cell r="P2788" t="str">
            <v>CFC</v>
          </cell>
        </row>
        <row r="2789">
          <cell r="A2789" t="str">
            <v>State Plan (Title XIX)</v>
          </cell>
          <cell r="C2789" t="str">
            <v>STAR+PLUS</v>
          </cell>
          <cell r="D2789" t="str">
            <v>PAS/HAB</v>
          </cell>
          <cell r="E2789" t="str">
            <v xml:space="preserve">Habilitation (SRO) (CFC) </v>
          </cell>
          <cell r="F2789" t="str">
            <v>T2017SPU5U7UD</v>
          </cell>
          <cell r="P2789" t="str">
            <v>CFC</v>
          </cell>
        </row>
        <row r="2790">
          <cell r="A2790" t="str">
            <v>State Plan (Title XIX)</v>
          </cell>
          <cell r="C2790" t="str">
            <v>STAR+PLUS</v>
          </cell>
          <cell r="D2790" t="str">
            <v>PAS/HAB</v>
          </cell>
          <cell r="E2790" t="str">
            <v xml:space="preserve">Habilitation (SRO) (CFC) </v>
          </cell>
          <cell r="F2790" t="str">
            <v>T2017MPU5U7UD</v>
          </cell>
          <cell r="P2790" t="str">
            <v>CFC</v>
          </cell>
        </row>
        <row r="2791">
          <cell r="A2791" t="str">
            <v>State Plan (Title XIX)</v>
          </cell>
          <cell r="C2791" t="str">
            <v>STAR+PLUS</v>
          </cell>
          <cell r="D2791" t="str">
            <v>PAS/HAB</v>
          </cell>
          <cell r="E2791" t="str">
            <v xml:space="preserve">Habilitation (SRO) (Non-HCBS) (CFC) </v>
          </cell>
          <cell r="F2791" t="str">
            <v>T2017SPU5UDU7</v>
          </cell>
          <cell r="P2791" t="str">
            <v>CFC</v>
          </cell>
        </row>
        <row r="2792">
          <cell r="A2792" t="str">
            <v>State Plan (Title XIX)</v>
          </cell>
          <cell r="C2792" t="str">
            <v>STAR+PLUS</v>
          </cell>
          <cell r="D2792" t="str">
            <v>PAS/HAB</v>
          </cell>
          <cell r="E2792" t="str">
            <v xml:space="preserve">Habilitation (SRO) (Non-HCBS) (CFC) </v>
          </cell>
          <cell r="F2792" t="str">
            <v>T2017MPU5UDU7</v>
          </cell>
          <cell r="P2792" t="str">
            <v>CFC</v>
          </cell>
        </row>
        <row r="2793">
          <cell r="A2793" t="str">
            <v>State Plan (Title XIX)</v>
          </cell>
          <cell r="C2793" t="str">
            <v>STAR+PLUS</v>
          </cell>
          <cell r="D2793" t="str">
            <v>PAS/HAB</v>
          </cell>
          <cell r="E2793" t="str">
            <v xml:space="preserve">Habilitation (SRO) (Non-HCBS) (CFC) </v>
          </cell>
          <cell r="F2793" t="str">
            <v>T2021SPU7U7U7US</v>
          </cell>
          <cell r="P2793" t="str">
            <v>CFC</v>
          </cell>
        </row>
        <row r="2794">
          <cell r="A2794" t="str">
            <v>State Plan (Title XIX)</v>
          </cell>
          <cell r="C2794" t="str">
            <v>STAR+PLUS</v>
          </cell>
          <cell r="D2794" t="str">
            <v>PAS/HAB</v>
          </cell>
          <cell r="E2794" t="str">
            <v xml:space="preserve">Habilitation (SRO) (Non-HCBS) (CFC) </v>
          </cell>
          <cell r="F2794" t="str">
            <v>T2021MPU7U7U7US</v>
          </cell>
          <cell r="P2794" t="str">
            <v>CFC</v>
          </cell>
        </row>
        <row r="2795">
          <cell r="A2795" t="str">
            <v>State Plan (Title XIX)</v>
          </cell>
          <cell r="C2795" t="str">
            <v>STAR+PLUS</v>
          </cell>
          <cell r="D2795" t="str">
            <v>PAS/HAB</v>
          </cell>
          <cell r="E2795" t="str">
            <v xml:space="preserve">PAS (AO) (Non-HCBS) </v>
          </cell>
          <cell r="F2795" t="str">
            <v>S5125SPU5</v>
          </cell>
        </row>
        <row r="2796">
          <cell r="A2796" t="str">
            <v>State Plan (Title XIX)</v>
          </cell>
          <cell r="C2796" t="str">
            <v>STAR+PLUS</v>
          </cell>
          <cell r="D2796" t="str">
            <v>PAS/HAB</v>
          </cell>
          <cell r="E2796" t="str">
            <v xml:space="preserve">PAS (AO) (Non-HCBS) </v>
          </cell>
          <cell r="F2796" t="str">
            <v>S5125MPU5</v>
          </cell>
        </row>
        <row r="2797">
          <cell r="A2797" t="str">
            <v>State Plan (Title XIX)</v>
          </cell>
          <cell r="C2797" t="str">
            <v>STAR+PLUS</v>
          </cell>
          <cell r="D2797" t="str">
            <v>PAS/HAB</v>
          </cell>
          <cell r="E2797" t="str">
            <v xml:space="preserve">PAS (AO) (Non-HCBS) (CFC) </v>
          </cell>
          <cell r="F2797" t="str">
            <v>S5125SPU5U7</v>
          </cell>
          <cell r="P2797" t="str">
            <v>CFC</v>
          </cell>
        </row>
        <row r="2798">
          <cell r="A2798" t="str">
            <v>State Plan (Title XIX)</v>
          </cell>
          <cell r="C2798" t="str">
            <v>STAR+PLUS</v>
          </cell>
          <cell r="D2798" t="str">
            <v>PAS/HAB</v>
          </cell>
          <cell r="E2798" t="str">
            <v xml:space="preserve">PAS (AO) (Non-HCBS) (CFC) </v>
          </cell>
          <cell r="F2798" t="str">
            <v>S5125MPU5U7</v>
          </cell>
          <cell r="P2798" t="str">
            <v>CFC</v>
          </cell>
        </row>
        <row r="2799">
          <cell r="A2799" t="str">
            <v>State Plan (Title XIX)</v>
          </cell>
          <cell r="C2799" t="str">
            <v>STAR+PLUS</v>
          </cell>
          <cell r="D2799" t="str">
            <v>PAS/HAB</v>
          </cell>
          <cell r="E2799" t="str">
            <v xml:space="preserve">PAS (AO) (Non-HCBS) (CFC) </v>
          </cell>
          <cell r="F2799" t="str">
            <v>S5125SPU7U5U7</v>
          </cell>
          <cell r="P2799" t="str">
            <v>CFC</v>
          </cell>
        </row>
        <row r="2800">
          <cell r="A2800" t="str">
            <v>State Plan (Title XIX)</v>
          </cell>
          <cell r="C2800" t="str">
            <v>STAR+PLUS</v>
          </cell>
          <cell r="D2800" t="str">
            <v>PAS/HAB</v>
          </cell>
          <cell r="E2800" t="str">
            <v xml:space="preserve">PAS (AO) (Non-HCBS) (CFC) </v>
          </cell>
          <cell r="F2800" t="str">
            <v>S5125MPU7U5U7</v>
          </cell>
          <cell r="P2800" t="str">
            <v>CFC</v>
          </cell>
        </row>
        <row r="2801">
          <cell r="A2801" t="str">
            <v>State Plan (Title XIX)</v>
          </cell>
          <cell r="C2801" t="str">
            <v>STAR+PLUS</v>
          </cell>
          <cell r="D2801" t="str">
            <v>PAS/HAB</v>
          </cell>
          <cell r="E2801" t="str">
            <v xml:space="preserve">PAS (AO) (Non-HCBS) (PHC Priority) </v>
          </cell>
          <cell r="F2801" t="str">
            <v>S5125SPU7U5</v>
          </cell>
        </row>
        <row r="2802">
          <cell r="A2802" t="str">
            <v>State Plan (Title XIX)</v>
          </cell>
          <cell r="C2802" t="str">
            <v>STAR+PLUS</v>
          </cell>
          <cell r="D2802" t="str">
            <v>PAS/HAB</v>
          </cell>
          <cell r="E2802" t="str">
            <v xml:space="preserve">PAS (AO) (Non-HCBS) (PHC Priority) </v>
          </cell>
          <cell r="F2802" t="str">
            <v>S5125MPU7U5</v>
          </cell>
        </row>
        <row r="2803">
          <cell r="A2803" t="str">
            <v>State Plan (Title XIX)</v>
          </cell>
          <cell r="C2803" t="str">
            <v>STAR+PLUS</v>
          </cell>
          <cell r="D2803" t="str">
            <v>PAS/HAB</v>
          </cell>
          <cell r="E2803" t="str">
            <v xml:space="preserve">PAS (CDS) (CFC) </v>
          </cell>
          <cell r="F2803" t="str">
            <v>S5125SPU5U7UC</v>
          </cell>
          <cell r="P2803" t="str">
            <v>CFC</v>
          </cell>
        </row>
        <row r="2804">
          <cell r="A2804" t="str">
            <v>State Plan (Title XIX)</v>
          </cell>
          <cell r="C2804" t="str">
            <v>STAR+PLUS</v>
          </cell>
          <cell r="D2804" t="str">
            <v>PAS/HAB</v>
          </cell>
          <cell r="E2804" t="str">
            <v xml:space="preserve">PAS (CDS) (CFC) </v>
          </cell>
          <cell r="F2804" t="str">
            <v>S5125MPU5U7UC</v>
          </cell>
          <cell r="P2804" t="str">
            <v>CFC</v>
          </cell>
        </row>
        <row r="2805">
          <cell r="A2805" t="str">
            <v>State Plan (Title XIX)</v>
          </cell>
          <cell r="C2805" t="str">
            <v>STAR+PLUS</v>
          </cell>
          <cell r="D2805" t="str">
            <v>PAS/HAB</v>
          </cell>
          <cell r="E2805" t="str">
            <v xml:space="preserve">PAS (CDS) (Non-HCBS) </v>
          </cell>
          <cell r="F2805" t="str">
            <v>S5125SPU5UC</v>
          </cell>
        </row>
        <row r="2806">
          <cell r="A2806" t="str">
            <v>State Plan (Title XIX)</v>
          </cell>
          <cell r="C2806" t="str">
            <v>STAR+PLUS</v>
          </cell>
          <cell r="D2806" t="str">
            <v>PAS/HAB</v>
          </cell>
          <cell r="E2806" t="str">
            <v xml:space="preserve">PAS (CDS) (Non-HCBS) </v>
          </cell>
          <cell r="F2806" t="str">
            <v>S5125MPU5UC</v>
          </cell>
        </row>
        <row r="2807">
          <cell r="A2807" t="str">
            <v>State Plan (Title XIX)</v>
          </cell>
          <cell r="C2807" t="str">
            <v>STAR+PLUS</v>
          </cell>
          <cell r="D2807" t="str">
            <v>PAS/HAB</v>
          </cell>
          <cell r="E2807" t="str">
            <v xml:space="preserve">PAS (CDS) (Non-HCBS) (CFC) </v>
          </cell>
          <cell r="F2807" t="str">
            <v>S5125SPU5UCU7</v>
          </cell>
          <cell r="P2807" t="str">
            <v>CFC</v>
          </cell>
        </row>
        <row r="2808">
          <cell r="A2808" t="str">
            <v>State Plan (Title XIX)</v>
          </cell>
          <cell r="C2808" t="str">
            <v>STAR+PLUS</v>
          </cell>
          <cell r="D2808" t="str">
            <v>PAS/HAB</v>
          </cell>
          <cell r="E2808" t="str">
            <v xml:space="preserve">PAS (CDS) (Non-HCBS) (CFC) </v>
          </cell>
          <cell r="F2808" t="str">
            <v>S5125MPU5UCU7</v>
          </cell>
          <cell r="P2808" t="str">
            <v>CFC</v>
          </cell>
        </row>
        <row r="2809">
          <cell r="A2809" t="str">
            <v>State Plan (Title XIX)</v>
          </cell>
          <cell r="C2809" t="str">
            <v>STAR+PLUS</v>
          </cell>
          <cell r="D2809" t="str">
            <v>PAS/HAB</v>
          </cell>
          <cell r="E2809" t="str">
            <v xml:space="preserve">PAS (CDS) (Non-HCBS) (CFC) </v>
          </cell>
          <cell r="F2809" t="str">
            <v>S5125SP9999U7UC</v>
          </cell>
          <cell r="P2809" t="str">
            <v>CFC</v>
          </cell>
        </row>
        <row r="2810">
          <cell r="A2810" t="str">
            <v>State Plan (Title XIX)</v>
          </cell>
          <cell r="C2810" t="str">
            <v>STAR+PLUS</v>
          </cell>
          <cell r="D2810" t="str">
            <v>PAS/HAB</v>
          </cell>
          <cell r="E2810" t="str">
            <v xml:space="preserve">PAS (CDS) (Non-HCBS) (CFC) </v>
          </cell>
          <cell r="F2810" t="str">
            <v>S5125MP9999U7UC</v>
          </cell>
          <cell r="P2810" t="str">
            <v>CFC</v>
          </cell>
        </row>
        <row r="2811">
          <cell r="A2811" t="str">
            <v>State Plan (Title XIX)</v>
          </cell>
          <cell r="C2811" t="str">
            <v>STAR+PLUS</v>
          </cell>
          <cell r="D2811" t="str">
            <v>PAS/HAB</v>
          </cell>
          <cell r="E2811" t="str">
            <v xml:space="preserve">PAS (CDS) (Non-HCBS) (PHC Priority) </v>
          </cell>
          <cell r="F2811" t="str">
            <v>S5125SP999999UC</v>
          </cell>
        </row>
        <row r="2812">
          <cell r="A2812" t="str">
            <v>State Plan (Title XIX)</v>
          </cell>
          <cell r="C2812" t="str">
            <v>STAR+PLUS</v>
          </cell>
          <cell r="D2812" t="str">
            <v>PAS/HAB</v>
          </cell>
          <cell r="E2812" t="str">
            <v xml:space="preserve">PAS (CDS) (Non-HCBS) (PHC Priority) </v>
          </cell>
          <cell r="F2812" t="str">
            <v>S5125MP999999UC</v>
          </cell>
        </row>
        <row r="2813">
          <cell r="A2813" t="str">
            <v>State Plan (Title XIX)</v>
          </cell>
          <cell r="C2813" t="str">
            <v>STAR+PLUS</v>
          </cell>
          <cell r="D2813" t="str">
            <v>PAS/HAB</v>
          </cell>
          <cell r="E2813" t="str">
            <v xml:space="preserve">PAS (SRO) (CFC) </v>
          </cell>
          <cell r="F2813" t="str">
            <v>S5125SPU5U7UD</v>
          </cell>
          <cell r="P2813" t="str">
            <v>CFC</v>
          </cell>
        </row>
        <row r="2814">
          <cell r="A2814" t="str">
            <v>State Plan (Title XIX)</v>
          </cell>
          <cell r="C2814" t="str">
            <v>STAR+PLUS</v>
          </cell>
          <cell r="D2814" t="str">
            <v>PAS/HAB</v>
          </cell>
          <cell r="E2814" t="str">
            <v xml:space="preserve">PAS (SRO) (CFC) </v>
          </cell>
          <cell r="F2814" t="str">
            <v>S5125MPU5U7UD</v>
          </cell>
          <cell r="P2814" t="str">
            <v>CFC</v>
          </cell>
        </row>
        <row r="2815">
          <cell r="A2815" t="str">
            <v>State Plan (Title XIX)</v>
          </cell>
          <cell r="C2815" t="str">
            <v>STAR+PLUS</v>
          </cell>
          <cell r="D2815" t="str">
            <v>PAS/HAB</v>
          </cell>
          <cell r="E2815" t="str">
            <v xml:space="preserve">PAS (SRO) (Non-HCBS ) (CFC) </v>
          </cell>
          <cell r="F2815" t="str">
            <v>S5125SPU5UDU7</v>
          </cell>
          <cell r="P2815" t="str">
            <v>CFC</v>
          </cell>
        </row>
        <row r="2816">
          <cell r="A2816" t="str">
            <v>State Plan (Title XIX)</v>
          </cell>
          <cell r="C2816" t="str">
            <v>STAR+PLUS</v>
          </cell>
          <cell r="D2816" t="str">
            <v>PAS/HAB</v>
          </cell>
          <cell r="E2816" t="str">
            <v xml:space="preserve">PAS (SRO) (Non-HCBS ) (CFC) </v>
          </cell>
          <cell r="F2816" t="str">
            <v>S5125MPU5UDU7</v>
          </cell>
          <cell r="P2816" t="str">
            <v>CFC</v>
          </cell>
        </row>
        <row r="2817">
          <cell r="A2817" t="str">
            <v>State Plan (Title XIX)</v>
          </cell>
          <cell r="C2817" t="str">
            <v>STAR+PLUS</v>
          </cell>
          <cell r="D2817" t="str">
            <v>PAS/HAB</v>
          </cell>
          <cell r="E2817" t="str">
            <v xml:space="preserve">PAS (SRO) (Non-HCBS ) (CFC) </v>
          </cell>
          <cell r="F2817" t="str">
            <v>S5125SP9999U7US</v>
          </cell>
          <cell r="P2817" t="str">
            <v>CFC</v>
          </cell>
        </row>
        <row r="2818">
          <cell r="A2818" t="str">
            <v>State Plan (Title XIX)</v>
          </cell>
          <cell r="C2818" t="str">
            <v>STAR+PLUS</v>
          </cell>
          <cell r="D2818" t="str">
            <v>PAS/HAB</v>
          </cell>
          <cell r="E2818" t="str">
            <v xml:space="preserve">PAS (SRO) (Non-HCBS ) (CFC) </v>
          </cell>
          <cell r="F2818" t="str">
            <v>S5125MP9999U7US</v>
          </cell>
          <cell r="P2818" t="str">
            <v>CFC</v>
          </cell>
        </row>
        <row r="2819">
          <cell r="A2819" t="str">
            <v>State Plan (Title XIX)</v>
          </cell>
          <cell r="C2819" t="str">
            <v>STAR+PLUS</v>
          </cell>
          <cell r="D2819" t="str">
            <v>PAS/HAB</v>
          </cell>
          <cell r="E2819" t="str">
            <v xml:space="preserve">PAS (SRO) (Non-HCBS) </v>
          </cell>
          <cell r="F2819" t="str">
            <v>S5125SPU5UD</v>
          </cell>
        </row>
        <row r="2820">
          <cell r="A2820" t="str">
            <v>State Plan (Title XIX)</v>
          </cell>
          <cell r="C2820" t="str">
            <v>STAR+PLUS</v>
          </cell>
          <cell r="D2820" t="str">
            <v>PAS/HAB</v>
          </cell>
          <cell r="E2820" t="str">
            <v xml:space="preserve">PAS (SRO) (Non-HCBS) </v>
          </cell>
          <cell r="F2820" t="str">
            <v>S5125MPU5UD</v>
          </cell>
        </row>
        <row r="2821">
          <cell r="A2821" t="str">
            <v>State Plan (Title XIX)</v>
          </cell>
          <cell r="C2821" t="str">
            <v>STAR+PLUS</v>
          </cell>
          <cell r="D2821" t="str">
            <v>PAS/HAB</v>
          </cell>
          <cell r="E2821" t="str">
            <v xml:space="preserve">PAS (SRO) (Non-HCBS) (PHC Priority) </v>
          </cell>
          <cell r="F2821" t="str">
            <v>S5125SP999999US</v>
          </cell>
        </row>
        <row r="2822">
          <cell r="A2822" t="str">
            <v>State Plan (Title XIX)</v>
          </cell>
          <cell r="C2822" t="str">
            <v>STAR+PLUS</v>
          </cell>
          <cell r="D2822" t="str">
            <v>PAS/HAB</v>
          </cell>
          <cell r="E2822" t="str">
            <v xml:space="preserve">PAS (SRO) (Non-HCBS) (PHC Priority) </v>
          </cell>
          <cell r="F2822" t="str">
            <v>S5125MP999999US</v>
          </cell>
        </row>
        <row r="2823">
          <cell r="A2823" t="str">
            <v>State Plan (Title XIX)</v>
          </cell>
          <cell r="C2823" t="str">
            <v>STAR+PLUS</v>
          </cell>
          <cell r="D2823" t="str">
            <v>PT/OT/ST</v>
          </cell>
          <cell r="E2823" t="str">
            <v xml:space="preserve">Occupational Therapy: Home per diem (AO) (Non-HCBS) </v>
          </cell>
          <cell r="F2823" t="str">
            <v>S9129SPU7U5</v>
          </cell>
        </row>
        <row r="2824">
          <cell r="A2824" t="str">
            <v>State Plan (Title XIX)</v>
          </cell>
          <cell r="C2824" t="str">
            <v>STAR+PLUS</v>
          </cell>
          <cell r="D2824" t="str">
            <v>PT/OT/ST</v>
          </cell>
          <cell r="E2824" t="str">
            <v xml:space="preserve">Occupational Therapy: Home per diem (AO) (Non-HCBS) </v>
          </cell>
          <cell r="F2824" t="str">
            <v>S9129MPU7U5</v>
          </cell>
        </row>
        <row r="2825">
          <cell r="A2825" t="str">
            <v>State Plan (Title XIX)</v>
          </cell>
          <cell r="C2825" t="str">
            <v>STAR+PLUS</v>
          </cell>
          <cell r="D2825" t="str">
            <v>PT/OT/ST</v>
          </cell>
          <cell r="E2825" t="str">
            <v xml:space="preserve">Physical Therapy; Home per diem (AO) (Non-HCBS) </v>
          </cell>
          <cell r="F2825" t="str">
            <v>S9131SPU7U5</v>
          </cell>
        </row>
        <row r="2826">
          <cell r="A2826" t="str">
            <v>State Plan (Title XIX)</v>
          </cell>
          <cell r="C2826" t="str">
            <v>STAR+PLUS</v>
          </cell>
          <cell r="D2826" t="str">
            <v>PT/OT/ST</v>
          </cell>
          <cell r="E2826" t="str">
            <v xml:space="preserve">Physical Therapy; Home per diem (AO) (Non-HCBS) </v>
          </cell>
          <cell r="F2826" t="str">
            <v>S9131MPU7U5</v>
          </cell>
        </row>
        <row r="2827">
          <cell r="A2827" t="str">
            <v>State Plan (Title XIX)</v>
          </cell>
          <cell r="C2827" t="str">
            <v>STAR+PLUS</v>
          </cell>
          <cell r="D2827" t="str">
            <v>PT/OT/ST</v>
          </cell>
          <cell r="E2827" t="str">
            <v xml:space="preserve">Speech Therapy in the Home per diem (AO) (Non-HCBS) </v>
          </cell>
          <cell r="F2827" t="str">
            <v>S9128SPU7U5</v>
          </cell>
        </row>
        <row r="2828">
          <cell r="A2828" t="str">
            <v>State Plan (Title XIX)</v>
          </cell>
          <cell r="C2828" t="str">
            <v>STAR+PLUS</v>
          </cell>
          <cell r="D2828" t="str">
            <v>PT/OT/ST</v>
          </cell>
          <cell r="E2828" t="str">
            <v xml:space="preserve">Speech Therapy in the Home per diem (AO) (Non-HCBS) </v>
          </cell>
          <cell r="F2828" t="str">
            <v>S9128MPU7U5</v>
          </cell>
        </row>
        <row r="2829">
          <cell r="A2829" t="str">
            <v>State Plan (Title XIX)</v>
          </cell>
          <cell r="C2829" t="str">
            <v>STAR+PLUS</v>
          </cell>
          <cell r="D2829" t="str">
            <v>Transportation</v>
          </cell>
          <cell r="E2829" t="str">
            <v>Non-Emergency Transport NOS**</v>
          </cell>
          <cell r="F2829" t="str">
            <v>T2003SP</v>
          </cell>
        </row>
        <row r="2830">
          <cell r="A2830" t="str">
            <v>State Plan (Title XIX)</v>
          </cell>
          <cell r="C2830" t="str">
            <v>STAR+PLUS</v>
          </cell>
          <cell r="D2830" t="str">
            <v>Transportation</v>
          </cell>
          <cell r="E2830" t="str">
            <v>Non-Emergency Transport NOS**</v>
          </cell>
          <cell r="F2830" t="str">
            <v>T2003MP</v>
          </cell>
        </row>
        <row r="2831">
          <cell r="A2831" t="str">
            <v>1115 Waiver</v>
          </cell>
          <cell r="C2831" t="str">
            <v>STAR+PLUS HCBS</v>
          </cell>
          <cell r="D2831" t="str">
            <v>AFC</v>
          </cell>
          <cell r="E2831" t="str">
            <v xml:space="preserve">Adult Foster Care Level 1 </v>
          </cell>
          <cell r="F2831" t="str">
            <v>S5140SPU1</v>
          </cell>
        </row>
        <row r="2832">
          <cell r="A2832" t="str">
            <v>1115 Waiver</v>
          </cell>
          <cell r="C2832" t="str">
            <v>STAR+PLUS HCBS</v>
          </cell>
          <cell r="D2832" t="str">
            <v>AFC</v>
          </cell>
          <cell r="E2832" t="str">
            <v xml:space="preserve">Adult Foster Care Level 1 </v>
          </cell>
          <cell r="F2832" t="str">
            <v>S5140MPU1</v>
          </cell>
        </row>
        <row r="2833">
          <cell r="A2833" t="str">
            <v>1115 Waiver</v>
          </cell>
          <cell r="C2833" t="str">
            <v>STAR+PLUS HCBS</v>
          </cell>
          <cell r="D2833" t="str">
            <v>AFC</v>
          </cell>
          <cell r="E2833" t="str">
            <v xml:space="preserve">Adult Foster Care Level 1 (one day) </v>
          </cell>
          <cell r="F2833" t="str">
            <v>S5140SP99U3</v>
          </cell>
        </row>
        <row r="2834">
          <cell r="A2834" t="str">
            <v>1115 Waiver</v>
          </cell>
          <cell r="C2834" t="str">
            <v>STAR+PLUS HCBS</v>
          </cell>
          <cell r="D2834" t="str">
            <v>AFC</v>
          </cell>
          <cell r="E2834" t="str">
            <v xml:space="preserve">Adult Foster Care Level 1 (one day) </v>
          </cell>
          <cell r="F2834" t="str">
            <v>S5140MP99U3</v>
          </cell>
        </row>
        <row r="2835">
          <cell r="A2835" t="str">
            <v>1115 Waiver</v>
          </cell>
          <cell r="C2835" t="str">
            <v>STAR+PLUS HCBS</v>
          </cell>
          <cell r="D2835" t="str">
            <v>AFC</v>
          </cell>
          <cell r="E2835" t="str">
            <v xml:space="preserve">Adult Foster Care Level 2 </v>
          </cell>
          <cell r="F2835" t="str">
            <v>S5140SPU2</v>
          </cell>
        </row>
        <row r="2836">
          <cell r="A2836" t="str">
            <v>1115 Waiver</v>
          </cell>
          <cell r="C2836" t="str">
            <v>STAR+PLUS HCBS</v>
          </cell>
          <cell r="D2836" t="str">
            <v>AFC</v>
          </cell>
          <cell r="E2836" t="str">
            <v xml:space="preserve">Adult Foster Care Level 2 </v>
          </cell>
          <cell r="F2836" t="str">
            <v>S5140MPU2</v>
          </cell>
        </row>
        <row r="2837">
          <cell r="A2837" t="str">
            <v>1115 Waiver</v>
          </cell>
          <cell r="C2837" t="str">
            <v>STAR+PLUS HCBS</v>
          </cell>
          <cell r="D2837" t="str">
            <v>AFC</v>
          </cell>
          <cell r="E2837" t="str">
            <v xml:space="preserve">Adult Foster Care Level 2 (one day) </v>
          </cell>
          <cell r="F2837" t="str">
            <v>S5140SP99U4</v>
          </cell>
        </row>
        <row r="2838">
          <cell r="A2838" t="str">
            <v>1115 Waiver</v>
          </cell>
          <cell r="C2838" t="str">
            <v>STAR+PLUS HCBS</v>
          </cell>
          <cell r="D2838" t="str">
            <v>AFC</v>
          </cell>
          <cell r="E2838" t="str">
            <v xml:space="preserve">Adult Foster Care Level 2 (one day) </v>
          </cell>
          <cell r="F2838" t="str">
            <v>S5140MP99U4</v>
          </cell>
        </row>
        <row r="2839">
          <cell r="A2839" t="str">
            <v>1115 Waiver</v>
          </cell>
          <cell r="C2839" t="str">
            <v>STAR+PLUS HCBS</v>
          </cell>
          <cell r="D2839" t="str">
            <v>AFC</v>
          </cell>
          <cell r="E2839" t="str">
            <v xml:space="preserve">Adult Foster Care Level 3 </v>
          </cell>
          <cell r="F2839" t="str">
            <v>S5140SPU3</v>
          </cell>
        </row>
        <row r="2840">
          <cell r="A2840" t="str">
            <v>1115 Waiver</v>
          </cell>
          <cell r="C2840" t="str">
            <v>STAR+PLUS HCBS</v>
          </cell>
          <cell r="D2840" t="str">
            <v>AFC</v>
          </cell>
          <cell r="E2840" t="str">
            <v xml:space="preserve">Adult Foster Care Level 3 </v>
          </cell>
          <cell r="F2840" t="str">
            <v>S5140MPU3</v>
          </cell>
        </row>
        <row r="2841">
          <cell r="A2841" t="str">
            <v>1115 Waiver</v>
          </cell>
          <cell r="C2841" t="str">
            <v>STAR+PLUS HCBS</v>
          </cell>
          <cell r="D2841" t="str">
            <v>AFC</v>
          </cell>
          <cell r="E2841" t="str">
            <v xml:space="preserve">Adult Foster Care Level 3 (one day) </v>
          </cell>
          <cell r="F2841" t="str">
            <v>S5140SP99U5</v>
          </cell>
        </row>
        <row r="2842">
          <cell r="A2842" t="str">
            <v>1115 Waiver</v>
          </cell>
          <cell r="C2842" t="str">
            <v>STAR+PLUS HCBS</v>
          </cell>
          <cell r="D2842" t="str">
            <v>AFC</v>
          </cell>
          <cell r="E2842" t="str">
            <v xml:space="preserve">Adult Foster Care Level 3 (one day) </v>
          </cell>
          <cell r="F2842" t="str">
            <v>S5140MP99U5</v>
          </cell>
        </row>
        <row r="2843">
          <cell r="A2843" t="str">
            <v>1115 Waiver</v>
          </cell>
          <cell r="C2843" t="str">
            <v>STAR+PLUS HCBS</v>
          </cell>
          <cell r="D2843" t="str">
            <v>AFC</v>
          </cell>
          <cell r="E2843" t="str">
            <v xml:space="preserve">Adult Foster Care Provider Agency Level 1 (one day) </v>
          </cell>
          <cell r="F2843" t="str">
            <v>S5140SP99U6</v>
          </cell>
        </row>
        <row r="2844">
          <cell r="A2844" t="str">
            <v>1115 Waiver</v>
          </cell>
          <cell r="C2844" t="str">
            <v>STAR+PLUS HCBS</v>
          </cell>
          <cell r="D2844" t="str">
            <v>AFC</v>
          </cell>
          <cell r="E2844" t="str">
            <v xml:space="preserve">Adult Foster Care Provider Agency Level 1 (one day) </v>
          </cell>
          <cell r="F2844" t="str">
            <v>S5140MP99U6</v>
          </cell>
        </row>
        <row r="2845">
          <cell r="A2845" t="str">
            <v>1115 Waiver</v>
          </cell>
          <cell r="C2845" t="str">
            <v>STAR+PLUS HCBS</v>
          </cell>
          <cell r="D2845" t="str">
            <v>AFC</v>
          </cell>
          <cell r="E2845" t="str">
            <v xml:space="preserve">Adult Foster Care Provider Agency- Level 2 (one day) </v>
          </cell>
          <cell r="F2845" t="str">
            <v>S5140SP99U7</v>
          </cell>
        </row>
        <row r="2846">
          <cell r="A2846" t="str">
            <v>1115 Waiver</v>
          </cell>
          <cell r="C2846" t="str">
            <v>STAR+PLUS HCBS</v>
          </cell>
          <cell r="D2846" t="str">
            <v>AFC</v>
          </cell>
          <cell r="E2846" t="str">
            <v xml:space="preserve">Adult Foster Care Provider Agency- Level 2 (one day) </v>
          </cell>
          <cell r="F2846" t="str">
            <v>S5140MP99U7</v>
          </cell>
        </row>
        <row r="2847">
          <cell r="A2847" t="str">
            <v>1115 Waiver</v>
          </cell>
          <cell r="C2847" t="str">
            <v>STAR+PLUS HCBS</v>
          </cell>
          <cell r="D2847" t="str">
            <v>AFC</v>
          </cell>
          <cell r="E2847" t="str">
            <v xml:space="preserve">Adult Foster Care Provider Agency Level 3 (one day) </v>
          </cell>
          <cell r="F2847" t="str">
            <v>S5140SP99U8</v>
          </cell>
        </row>
        <row r="2848">
          <cell r="A2848" t="str">
            <v>1115 Waiver</v>
          </cell>
          <cell r="C2848" t="str">
            <v>STAR+PLUS HCBS</v>
          </cell>
          <cell r="D2848" t="str">
            <v>AFC</v>
          </cell>
          <cell r="E2848" t="str">
            <v xml:space="preserve">Adult Foster Care Provider Agency Level 3 (one day) </v>
          </cell>
          <cell r="F2848" t="str">
            <v>S5140MP99U8</v>
          </cell>
        </row>
        <row r="2849">
          <cell r="A2849" t="str">
            <v>1115 Waiver</v>
          </cell>
          <cell r="C2849" t="str">
            <v>STAR+PLUS HCBS</v>
          </cell>
          <cell r="D2849" t="str">
            <v>Assisted Living</v>
          </cell>
          <cell r="E2849" t="str">
            <v>AL Double Level 1</v>
          </cell>
          <cell r="F2849" t="str">
            <v>T2031SPUBU1</v>
          </cell>
        </row>
        <row r="2850">
          <cell r="A2850" t="str">
            <v>1115 Waiver</v>
          </cell>
          <cell r="C2850" t="str">
            <v>STAR+PLUS HCBS</v>
          </cell>
          <cell r="D2850" t="str">
            <v>Assisted Living</v>
          </cell>
          <cell r="E2850" t="str">
            <v>AL Double Level 1</v>
          </cell>
          <cell r="F2850" t="str">
            <v>T2031MPUBU1</v>
          </cell>
        </row>
        <row r="2851">
          <cell r="A2851" t="str">
            <v>1115 Waiver</v>
          </cell>
          <cell r="C2851" t="str">
            <v>STAR+PLUS HCBS</v>
          </cell>
          <cell r="D2851" t="str">
            <v>Assisted Living</v>
          </cell>
          <cell r="E2851" t="str">
            <v>AL Double Level 2</v>
          </cell>
          <cell r="F2851" t="str">
            <v>T2031SPUBU2</v>
          </cell>
        </row>
        <row r="2852">
          <cell r="A2852" t="str">
            <v>1115 Waiver</v>
          </cell>
          <cell r="C2852" t="str">
            <v>STAR+PLUS HCBS</v>
          </cell>
          <cell r="D2852" t="str">
            <v>Assisted Living</v>
          </cell>
          <cell r="E2852" t="str">
            <v>AL Double Level 2</v>
          </cell>
          <cell r="F2852" t="str">
            <v>T2031MPUBU2</v>
          </cell>
        </row>
        <row r="2853">
          <cell r="A2853" t="str">
            <v>1115 Waiver</v>
          </cell>
          <cell r="C2853" t="str">
            <v>STAR+PLUS HCBS</v>
          </cell>
          <cell r="D2853" t="str">
            <v>Assisted Living</v>
          </cell>
          <cell r="E2853" t="str">
            <v>AL Double Level 3</v>
          </cell>
          <cell r="F2853" t="str">
            <v>T2031SPUBU3</v>
          </cell>
        </row>
        <row r="2854">
          <cell r="A2854" t="str">
            <v>1115 Waiver</v>
          </cell>
          <cell r="C2854" t="str">
            <v>STAR+PLUS HCBS</v>
          </cell>
          <cell r="D2854" t="str">
            <v>Assisted Living</v>
          </cell>
          <cell r="E2854" t="str">
            <v>AL Double Level 3</v>
          </cell>
          <cell r="F2854" t="str">
            <v>T2031MPUBU3</v>
          </cell>
        </row>
        <row r="2855">
          <cell r="A2855" t="str">
            <v>1115 Waiver</v>
          </cell>
          <cell r="C2855" t="str">
            <v>STAR+PLUS HCBS</v>
          </cell>
          <cell r="D2855" t="str">
            <v>Assisted Living</v>
          </cell>
          <cell r="E2855" t="str">
            <v>AL Double Level 4</v>
          </cell>
          <cell r="F2855" t="str">
            <v>T2031SPUBU4</v>
          </cell>
        </row>
        <row r="2856">
          <cell r="A2856" t="str">
            <v>1115 Waiver</v>
          </cell>
          <cell r="C2856" t="str">
            <v>STAR+PLUS HCBS</v>
          </cell>
          <cell r="D2856" t="str">
            <v>Assisted Living</v>
          </cell>
          <cell r="E2856" t="str">
            <v>AL Double Level 4</v>
          </cell>
          <cell r="F2856" t="str">
            <v>T2031MPUBU4</v>
          </cell>
        </row>
        <row r="2857">
          <cell r="A2857" t="str">
            <v>1115 Waiver</v>
          </cell>
          <cell r="C2857" t="str">
            <v>STAR+PLUS HCBS</v>
          </cell>
          <cell r="D2857" t="str">
            <v>Assisted Living</v>
          </cell>
          <cell r="E2857" t="str">
            <v>AL Double Level 5</v>
          </cell>
          <cell r="F2857" t="str">
            <v>T2031SPUBU5</v>
          </cell>
        </row>
        <row r="2858">
          <cell r="A2858" t="str">
            <v>1115 Waiver</v>
          </cell>
          <cell r="C2858" t="str">
            <v>STAR+PLUS HCBS</v>
          </cell>
          <cell r="D2858" t="str">
            <v>Assisted Living</v>
          </cell>
          <cell r="E2858" t="str">
            <v>AL Double Level 5</v>
          </cell>
          <cell r="F2858" t="str">
            <v>T2031MPUBU5</v>
          </cell>
        </row>
        <row r="2859">
          <cell r="A2859" t="str">
            <v>1115 Waiver</v>
          </cell>
          <cell r="C2859" t="str">
            <v>STAR+PLUS HCBS</v>
          </cell>
          <cell r="D2859" t="str">
            <v>Assisted Living</v>
          </cell>
          <cell r="E2859" t="str">
            <v>AL Double Level 6</v>
          </cell>
          <cell r="F2859" t="str">
            <v>T2031SPUBU6</v>
          </cell>
        </row>
        <row r="2860">
          <cell r="A2860" t="str">
            <v>1115 Waiver</v>
          </cell>
          <cell r="C2860" t="str">
            <v>STAR+PLUS HCBS</v>
          </cell>
          <cell r="D2860" t="str">
            <v>Assisted Living</v>
          </cell>
          <cell r="E2860" t="str">
            <v>AL Double Level 6</v>
          </cell>
          <cell r="F2860" t="str">
            <v>T2031MPUBU6</v>
          </cell>
        </row>
        <row r="2861">
          <cell r="A2861" t="str">
            <v>1115 Waiver</v>
          </cell>
          <cell r="C2861" t="str">
            <v>STAR+PLUS HCBS</v>
          </cell>
          <cell r="D2861" t="str">
            <v>Assisted Living</v>
          </cell>
          <cell r="E2861" t="str">
            <v>AL Non-Apartment Level 1</v>
          </cell>
          <cell r="F2861" t="str">
            <v>T2031SPUAU1</v>
          </cell>
        </row>
        <row r="2862">
          <cell r="A2862" t="str">
            <v>1115 Waiver</v>
          </cell>
          <cell r="C2862" t="str">
            <v>STAR+PLUS HCBS</v>
          </cell>
          <cell r="D2862" t="str">
            <v>Assisted Living</v>
          </cell>
          <cell r="E2862" t="str">
            <v>AL Non-Apartment Level 1</v>
          </cell>
          <cell r="F2862" t="str">
            <v>T2031MPUAU1</v>
          </cell>
        </row>
        <row r="2863">
          <cell r="A2863" t="str">
            <v>1115 Waiver</v>
          </cell>
          <cell r="C2863" t="str">
            <v>STAR+PLUS HCBS</v>
          </cell>
          <cell r="D2863" t="str">
            <v>Assisted Living</v>
          </cell>
          <cell r="E2863" t="str">
            <v>AL Non-Apartment Level 2</v>
          </cell>
          <cell r="F2863" t="str">
            <v>T2031SPUAU2</v>
          </cell>
        </row>
        <row r="2864">
          <cell r="A2864" t="str">
            <v>1115 Waiver</v>
          </cell>
          <cell r="C2864" t="str">
            <v>STAR+PLUS HCBS</v>
          </cell>
          <cell r="D2864" t="str">
            <v>Assisted Living</v>
          </cell>
          <cell r="E2864" t="str">
            <v>AL Non-Apartment Level 2</v>
          </cell>
          <cell r="F2864" t="str">
            <v>T2031MPUAU2</v>
          </cell>
        </row>
        <row r="2865">
          <cell r="A2865" t="str">
            <v>1115 Waiver</v>
          </cell>
          <cell r="C2865" t="str">
            <v>STAR+PLUS HCBS</v>
          </cell>
          <cell r="D2865" t="str">
            <v>Assisted Living</v>
          </cell>
          <cell r="E2865" t="str">
            <v>AL Non-Apartment Level 3</v>
          </cell>
          <cell r="F2865" t="str">
            <v>T2031SPUAU3</v>
          </cell>
        </row>
        <row r="2866">
          <cell r="A2866" t="str">
            <v>1115 Waiver</v>
          </cell>
          <cell r="C2866" t="str">
            <v>STAR+PLUS HCBS</v>
          </cell>
          <cell r="D2866" t="str">
            <v>Assisted Living</v>
          </cell>
          <cell r="E2866" t="str">
            <v>AL Non-Apartment Level 3</v>
          </cell>
          <cell r="F2866" t="str">
            <v>T2031MPUAU3</v>
          </cell>
        </row>
        <row r="2867">
          <cell r="A2867" t="str">
            <v>1115 Waiver</v>
          </cell>
          <cell r="C2867" t="str">
            <v>STAR+PLUS HCBS</v>
          </cell>
          <cell r="D2867" t="str">
            <v>Assisted Living</v>
          </cell>
          <cell r="E2867" t="str">
            <v>AL Non-Apartment Level 4</v>
          </cell>
          <cell r="F2867" t="str">
            <v>T2031SPUAU4</v>
          </cell>
        </row>
        <row r="2868">
          <cell r="A2868" t="str">
            <v>1115 Waiver</v>
          </cell>
          <cell r="C2868" t="str">
            <v>STAR+PLUS HCBS</v>
          </cell>
          <cell r="D2868" t="str">
            <v>Assisted Living</v>
          </cell>
          <cell r="E2868" t="str">
            <v>AL Non-Apartment Level 4</v>
          </cell>
          <cell r="F2868" t="str">
            <v>T2031MPUAU4</v>
          </cell>
        </row>
        <row r="2869">
          <cell r="A2869" t="str">
            <v>1115 Waiver</v>
          </cell>
          <cell r="C2869" t="str">
            <v>STAR+PLUS HCBS</v>
          </cell>
          <cell r="D2869" t="str">
            <v>Assisted Living</v>
          </cell>
          <cell r="E2869" t="str">
            <v>AL Non-Apartment Level 5</v>
          </cell>
          <cell r="F2869" t="str">
            <v>T2031SPUAU5</v>
          </cell>
        </row>
        <row r="2870">
          <cell r="A2870" t="str">
            <v>1115 Waiver</v>
          </cell>
          <cell r="C2870" t="str">
            <v>STAR+PLUS HCBS</v>
          </cell>
          <cell r="D2870" t="str">
            <v>Assisted Living</v>
          </cell>
          <cell r="E2870" t="str">
            <v>AL Non-Apartment Level 5</v>
          </cell>
          <cell r="F2870" t="str">
            <v>T2031MPUAU5</v>
          </cell>
        </row>
        <row r="2871">
          <cell r="A2871" t="str">
            <v>1115 Waiver</v>
          </cell>
          <cell r="C2871" t="str">
            <v>STAR+PLUS HCBS</v>
          </cell>
          <cell r="D2871" t="str">
            <v>Assisted Living</v>
          </cell>
          <cell r="E2871" t="str">
            <v>AL Non-Apartment Level 6</v>
          </cell>
          <cell r="F2871" t="str">
            <v>T2031SPUAU6</v>
          </cell>
        </row>
        <row r="2872">
          <cell r="A2872" t="str">
            <v>1115 Waiver</v>
          </cell>
          <cell r="C2872" t="str">
            <v>STAR+PLUS HCBS</v>
          </cell>
          <cell r="D2872" t="str">
            <v>Assisted Living</v>
          </cell>
          <cell r="E2872" t="str">
            <v>AL Non-Apartment Level 6</v>
          </cell>
          <cell r="F2872" t="str">
            <v>T2031MPUAU6</v>
          </cell>
        </row>
        <row r="2873">
          <cell r="A2873" t="str">
            <v>1115 Waiver</v>
          </cell>
          <cell r="C2873" t="str">
            <v>STAR+PLUS HCBS</v>
          </cell>
          <cell r="D2873" t="str">
            <v>Assisted Living</v>
          </cell>
          <cell r="E2873" t="str">
            <v>AL Single Level 1</v>
          </cell>
          <cell r="F2873" t="str">
            <v>T2031SPU1</v>
          </cell>
        </row>
        <row r="2874">
          <cell r="A2874" t="str">
            <v>1115 Waiver</v>
          </cell>
          <cell r="C2874" t="str">
            <v>STAR+PLUS HCBS</v>
          </cell>
          <cell r="D2874" t="str">
            <v>Assisted Living</v>
          </cell>
          <cell r="E2874" t="str">
            <v>AL Single Level 1</v>
          </cell>
          <cell r="F2874" t="str">
            <v>T2031MPU1</v>
          </cell>
        </row>
        <row r="2875">
          <cell r="A2875" t="str">
            <v>1115 Waiver</v>
          </cell>
          <cell r="C2875" t="str">
            <v>STAR+PLUS HCBS</v>
          </cell>
          <cell r="D2875" t="str">
            <v>Assisted Living</v>
          </cell>
          <cell r="E2875" t="str">
            <v>AL Single Level 2</v>
          </cell>
          <cell r="F2875" t="str">
            <v>T2031SPU2</v>
          </cell>
        </row>
        <row r="2876">
          <cell r="A2876" t="str">
            <v>1115 Waiver</v>
          </cell>
          <cell r="C2876" t="str">
            <v>STAR+PLUS HCBS</v>
          </cell>
          <cell r="D2876" t="str">
            <v>Assisted Living</v>
          </cell>
          <cell r="E2876" t="str">
            <v>AL Single Level 2</v>
          </cell>
          <cell r="F2876" t="str">
            <v>T2031MPU2</v>
          </cell>
        </row>
        <row r="2877">
          <cell r="A2877" t="str">
            <v>1115 Waiver</v>
          </cell>
          <cell r="C2877" t="str">
            <v>STAR+PLUS HCBS</v>
          </cell>
          <cell r="D2877" t="str">
            <v>Assisted Living</v>
          </cell>
          <cell r="E2877" t="str">
            <v>AL Single Level 3</v>
          </cell>
          <cell r="F2877" t="str">
            <v>T2031SPU3</v>
          </cell>
        </row>
        <row r="2878">
          <cell r="A2878" t="str">
            <v>1115 Waiver</v>
          </cell>
          <cell r="C2878" t="str">
            <v>STAR+PLUS HCBS</v>
          </cell>
          <cell r="D2878" t="str">
            <v>Assisted Living</v>
          </cell>
          <cell r="E2878" t="str">
            <v>AL Single Level 3</v>
          </cell>
          <cell r="F2878" t="str">
            <v>T2031MPU3</v>
          </cell>
        </row>
        <row r="2879">
          <cell r="A2879" t="str">
            <v>1115 Waiver</v>
          </cell>
          <cell r="C2879" t="str">
            <v>STAR+PLUS HCBS</v>
          </cell>
          <cell r="D2879" t="str">
            <v>Assisted Living</v>
          </cell>
          <cell r="E2879" t="str">
            <v>AL Single Level 4</v>
          </cell>
          <cell r="F2879" t="str">
            <v>T2031SPU4</v>
          </cell>
        </row>
        <row r="2880">
          <cell r="A2880" t="str">
            <v>1115 Waiver</v>
          </cell>
          <cell r="C2880" t="str">
            <v>STAR+PLUS HCBS</v>
          </cell>
          <cell r="D2880" t="str">
            <v>Assisted Living</v>
          </cell>
          <cell r="E2880" t="str">
            <v>AL Single Level 4</v>
          </cell>
          <cell r="F2880" t="str">
            <v>T2031MPU4</v>
          </cell>
        </row>
        <row r="2881">
          <cell r="A2881" t="str">
            <v>1115 Waiver</v>
          </cell>
          <cell r="C2881" t="str">
            <v>STAR+PLUS HCBS</v>
          </cell>
          <cell r="D2881" t="str">
            <v>Assisted Living</v>
          </cell>
          <cell r="E2881" t="str">
            <v>AL Single Level 5</v>
          </cell>
          <cell r="F2881" t="str">
            <v>T2031SPU5</v>
          </cell>
        </row>
        <row r="2882">
          <cell r="A2882" t="str">
            <v>1115 Waiver</v>
          </cell>
          <cell r="C2882" t="str">
            <v>STAR+PLUS HCBS</v>
          </cell>
          <cell r="D2882" t="str">
            <v>Assisted Living</v>
          </cell>
          <cell r="E2882" t="str">
            <v>AL Single Level 5</v>
          </cell>
          <cell r="F2882" t="str">
            <v>T2031MPU5</v>
          </cell>
        </row>
        <row r="2883">
          <cell r="A2883" t="str">
            <v>1115 Waiver</v>
          </cell>
          <cell r="C2883" t="str">
            <v>STAR+PLUS HCBS</v>
          </cell>
          <cell r="D2883" t="str">
            <v>Assisted Living</v>
          </cell>
          <cell r="E2883" t="str">
            <v>AL Single Level 6</v>
          </cell>
          <cell r="F2883" t="str">
            <v>T2031SPU6</v>
          </cell>
        </row>
        <row r="2884">
          <cell r="A2884" t="str">
            <v>1115 Waiver</v>
          </cell>
          <cell r="C2884" t="str">
            <v>STAR+PLUS HCBS</v>
          </cell>
          <cell r="D2884" t="str">
            <v>Assisted Living</v>
          </cell>
          <cell r="E2884" t="str">
            <v>AL Single Level 6</v>
          </cell>
          <cell r="F2884" t="str">
            <v>T2031MPU6</v>
          </cell>
        </row>
        <row r="2885">
          <cell r="A2885" t="str">
            <v>1115 Waiver</v>
          </cell>
          <cell r="C2885" t="str">
            <v>STAR+PLUS HCBS</v>
          </cell>
          <cell r="D2885" t="str">
            <v>Assisted Living</v>
          </cell>
          <cell r="E2885" t="str">
            <v>Level 1 Assisted Living Apartment Double</v>
          </cell>
          <cell r="F2885" t="str">
            <v>T2031SP99U3U2U1</v>
          </cell>
        </row>
        <row r="2886">
          <cell r="A2886" t="str">
            <v>1115 Waiver</v>
          </cell>
          <cell r="C2886" t="str">
            <v>STAR+PLUS HCBS</v>
          </cell>
          <cell r="D2886" t="str">
            <v>Assisted Living</v>
          </cell>
          <cell r="E2886" t="str">
            <v>Level 1 Assisted Living Apartment Double</v>
          </cell>
          <cell r="F2886" t="str">
            <v>T2031MP99U3U2U1</v>
          </cell>
        </row>
        <row r="2887">
          <cell r="A2887" t="str">
            <v>1115 Waiver</v>
          </cell>
          <cell r="C2887" t="str">
            <v>STAR+PLUS HCBS</v>
          </cell>
          <cell r="D2887" t="str">
            <v>Assisted Living</v>
          </cell>
          <cell r="E2887" t="str">
            <v>Level 1 Assisted Living Apartment Single</v>
          </cell>
          <cell r="F2887" t="str">
            <v>T2031SP99U3U1U1</v>
          </cell>
        </row>
        <row r="2888">
          <cell r="A2888" t="str">
            <v>1115 Waiver</v>
          </cell>
          <cell r="C2888" t="str">
            <v>STAR+PLUS HCBS</v>
          </cell>
          <cell r="D2888" t="str">
            <v>Assisted Living</v>
          </cell>
          <cell r="E2888" t="str">
            <v>Level 1 Assisted Living Apartment Single</v>
          </cell>
          <cell r="F2888" t="str">
            <v>T2031MP99U3U1U1</v>
          </cell>
        </row>
        <row r="2889">
          <cell r="A2889" t="str">
            <v>1115 Waiver</v>
          </cell>
          <cell r="C2889" t="str">
            <v>STAR+PLUS HCBS</v>
          </cell>
          <cell r="D2889" t="str">
            <v>Assisted Living</v>
          </cell>
          <cell r="E2889" t="str">
            <v>Level 1 Assisted Living Non-Apartment</v>
          </cell>
          <cell r="F2889" t="str">
            <v>T2031SP99U3U2U2</v>
          </cell>
        </row>
        <row r="2890">
          <cell r="A2890" t="str">
            <v>1115 Waiver</v>
          </cell>
          <cell r="C2890" t="str">
            <v>STAR+PLUS HCBS</v>
          </cell>
          <cell r="D2890" t="str">
            <v>Assisted Living</v>
          </cell>
          <cell r="E2890" t="str">
            <v>Level 1 Assisted Living Non-Apartment</v>
          </cell>
          <cell r="F2890" t="str">
            <v>T2031MP99U3U2U2</v>
          </cell>
        </row>
        <row r="2891">
          <cell r="A2891" t="str">
            <v>1115 Waiver</v>
          </cell>
          <cell r="C2891" t="str">
            <v>STAR+PLUS HCBS</v>
          </cell>
          <cell r="D2891" t="str">
            <v>Assisted Living</v>
          </cell>
          <cell r="E2891" t="str">
            <v>Level 2 Assisted Living Apartment Double</v>
          </cell>
          <cell r="F2891" t="str">
            <v>T2031SP99U4U2U1</v>
          </cell>
        </row>
        <row r="2892">
          <cell r="A2892" t="str">
            <v>1115 Waiver</v>
          </cell>
          <cell r="C2892" t="str">
            <v>STAR+PLUS HCBS</v>
          </cell>
          <cell r="D2892" t="str">
            <v>Assisted Living</v>
          </cell>
          <cell r="E2892" t="str">
            <v>Level 2 Assisted Living Apartment Double</v>
          </cell>
          <cell r="F2892" t="str">
            <v>T2031MP99U4U2U1</v>
          </cell>
        </row>
        <row r="2893">
          <cell r="A2893" t="str">
            <v>1115 Waiver</v>
          </cell>
          <cell r="C2893" t="str">
            <v>STAR+PLUS HCBS</v>
          </cell>
          <cell r="D2893" t="str">
            <v>Assisted Living</v>
          </cell>
          <cell r="E2893" t="str">
            <v>Level 2 Assisted Living Apartment Single</v>
          </cell>
          <cell r="F2893" t="str">
            <v>T2031SP99U4U1U1</v>
          </cell>
        </row>
        <row r="2894">
          <cell r="A2894" t="str">
            <v>1115 Waiver</v>
          </cell>
          <cell r="C2894" t="str">
            <v>STAR+PLUS HCBS</v>
          </cell>
          <cell r="D2894" t="str">
            <v>Assisted Living</v>
          </cell>
          <cell r="E2894" t="str">
            <v>Level 2 Assisted Living Apartment Single</v>
          </cell>
          <cell r="F2894" t="str">
            <v>T2031MP99U4U1U1</v>
          </cell>
        </row>
        <row r="2895">
          <cell r="A2895" t="str">
            <v>1115 Waiver</v>
          </cell>
          <cell r="C2895" t="str">
            <v>STAR+PLUS HCBS</v>
          </cell>
          <cell r="D2895" t="str">
            <v>Assisted Living</v>
          </cell>
          <cell r="E2895" t="str">
            <v>Level 2 Assisted Living Non-Apartment</v>
          </cell>
          <cell r="F2895" t="str">
            <v>T2031SP99U4U2U2</v>
          </cell>
        </row>
        <row r="2896">
          <cell r="A2896" t="str">
            <v>1115 Waiver</v>
          </cell>
          <cell r="C2896" t="str">
            <v>STAR+PLUS HCBS</v>
          </cell>
          <cell r="D2896" t="str">
            <v>Assisted Living</v>
          </cell>
          <cell r="E2896" t="str">
            <v>Level 2 Assisted Living Non-Apartment</v>
          </cell>
          <cell r="F2896" t="str">
            <v>T2031MP99U4U2U2</v>
          </cell>
        </row>
        <row r="2897">
          <cell r="A2897" t="str">
            <v>1115 Waiver</v>
          </cell>
          <cell r="C2897" t="str">
            <v>STAR+PLUS HCBS</v>
          </cell>
          <cell r="D2897" t="str">
            <v>Assisted Living</v>
          </cell>
          <cell r="E2897" t="str">
            <v>Level 3 Assisted Living Apartment Double</v>
          </cell>
          <cell r="F2897" t="str">
            <v>T2031SP99U5U2U1</v>
          </cell>
        </row>
        <row r="2898">
          <cell r="A2898" t="str">
            <v>1115 Waiver</v>
          </cell>
          <cell r="C2898" t="str">
            <v>STAR+PLUS HCBS</v>
          </cell>
          <cell r="D2898" t="str">
            <v>Assisted Living</v>
          </cell>
          <cell r="E2898" t="str">
            <v>Level 3 Assisted Living Apartment Double</v>
          </cell>
          <cell r="F2898" t="str">
            <v>T2031MP99U5U2U1</v>
          </cell>
        </row>
        <row r="2899">
          <cell r="A2899" t="str">
            <v>1115 Waiver</v>
          </cell>
          <cell r="C2899" t="str">
            <v>STAR+PLUS HCBS</v>
          </cell>
          <cell r="D2899" t="str">
            <v>Assisted Living</v>
          </cell>
          <cell r="E2899" t="str">
            <v>Level 3 Assisted Living Apartment Single</v>
          </cell>
          <cell r="F2899" t="str">
            <v>T2031SP99U5U1U1</v>
          </cell>
        </row>
        <row r="2900">
          <cell r="A2900" t="str">
            <v>1115 Waiver</v>
          </cell>
          <cell r="C2900" t="str">
            <v>STAR+PLUS HCBS</v>
          </cell>
          <cell r="D2900" t="str">
            <v>Assisted Living</v>
          </cell>
          <cell r="E2900" t="str">
            <v>Level 3 Assisted Living Apartment Single</v>
          </cell>
          <cell r="F2900" t="str">
            <v>T2031MP99U5U1U1</v>
          </cell>
        </row>
        <row r="2901">
          <cell r="A2901" t="str">
            <v>1115 Waiver</v>
          </cell>
          <cell r="C2901" t="str">
            <v>STAR+PLUS HCBS</v>
          </cell>
          <cell r="D2901" t="str">
            <v>Assisted Living</v>
          </cell>
          <cell r="E2901" t="str">
            <v>Level 3 Assisted Living Non-Apartment</v>
          </cell>
          <cell r="F2901" t="str">
            <v>T2031SP99U5U2U2</v>
          </cell>
        </row>
        <row r="2902">
          <cell r="A2902" t="str">
            <v>1115 Waiver</v>
          </cell>
          <cell r="C2902" t="str">
            <v>STAR+PLUS HCBS</v>
          </cell>
          <cell r="D2902" t="str">
            <v>Assisted Living</v>
          </cell>
          <cell r="E2902" t="str">
            <v>Level 3 Assisted Living Non-Apartment</v>
          </cell>
          <cell r="F2902" t="str">
            <v>T2031MP99U5U2U2</v>
          </cell>
        </row>
        <row r="2903">
          <cell r="A2903" t="str">
            <v>1115 Waiver</v>
          </cell>
          <cell r="C2903" t="str">
            <v>STAR+PLUS HCBS</v>
          </cell>
          <cell r="D2903" t="str">
            <v>Assisted Living</v>
          </cell>
          <cell r="E2903" t="str">
            <v>Level 4 Assisted Living Apartment Double</v>
          </cell>
          <cell r="F2903" t="str">
            <v>T2031SP99U6U2U1</v>
          </cell>
        </row>
        <row r="2904">
          <cell r="A2904" t="str">
            <v>1115 Waiver</v>
          </cell>
          <cell r="C2904" t="str">
            <v>STAR+PLUS HCBS</v>
          </cell>
          <cell r="D2904" t="str">
            <v>Assisted Living</v>
          </cell>
          <cell r="E2904" t="str">
            <v>Level 4 Assisted Living Apartment Double</v>
          </cell>
          <cell r="F2904" t="str">
            <v>T2031MP99U6U2U1</v>
          </cell>
        </row>
        <row r="2905">
          <cell r="A2905" t="str">
            <v>1115 Waiver</v>
          </cell>
          <cell r="C2905" t="str">
            <v>STAR+PLUS HCBS</v>
          </cell>
          <cell r="D2905" t="str">
            <v>Assisted Living</v>
          </cell>
          <cell r="E2905" t="str">
            <v>Level 4 Assisted Living Apartment Single</v>
          </cell>
          <cell r="F2905" t="str">
            <v>T2031SP99U6U1U1</v>
          </cell>
        </row>
        <row r="2906">
          <cell r="A2906" t="str">
            <v>1115 Waiver</v>
          </cell>
          <cell r="C2906" t="str">
            <v>STAR+PLUS HCBS</v>
          </cell>
          <cell r="D2906" t="str">
            <v>Assisted Living</v>
          </cell>
          <cell r="E2906" t="str">
            <v>Level 4 Assisted Living Apartment Single</v>
          </cell>
          <cell r="F2906" t="str">
            <v>T2031MP99U6U1U1</v>
          </cell>
        </row>
        <row r="2907">
          <cell r="A2907" t="str">
            <v>1115 Waiver</v>
          </cell>
          <cell r="C2907" t="str">
            <v>STAR+PLUS HCBS</v>
          </cell>
          <cell r="D2907" t="str">
            <v>Assisted Living</v>
          </cell>
          <cell r="E2907" t="str">
            <v>Level 4 Assisted Living Non-Apartment</v>
          </cell>
          <cell r="F2907" t="str">
            <v>T2031SP99U6U2U2</v>
          </cell>
        </row>
        <row r="2908">
          <cell r="A2908" t="str">
            <v>1115 Waiver</v>
          </cell>
          <cell r="C2908" t="str">
            <v>STAR+PLUS HCBS</v>
          </cell>
          <cell r="D2908" t="str">
            <v>Assisted Living</v>
          </cell>
          <cell r="E2908" t="str">
            <v>Level 4 Assisted Living Non-Apartment</v>
          </cell>
          <cell r="F2908" t="str">
            <v>T2031MP99U6U2U2</v>
          </cell>
        </row>
        <row r="2909">
          <cell r="A2909" t="str">
            <v>1115 Waiver</v>
          </cell>
          <cell r="C2909" t="str">
            <v>STAR+PLUS HCBS</v>
          </cell>
          <cell r="D2909" t="str">
            <v>Assisted Living</v>
          </cell>
          <cell r="E2909" t="str">
            <v>Level 5 Assisted Living Apartment Double</v>
          </cell>
          <cell r="F2909" t="str">
            <v>T2031SP99U7U2U1</v>
          </cell>
        </row>
        <row r="2910">
          <cell r="A2910" t="str">
            <v>1115 Waiver</v>
          </cell>
          <cell r="C2910" t="str">
            <v>STAR+PLUS HCBS</v>
          </cell>
          <cell r="D2910" t="str">
            <v>Assisted Living</v>
          </cell>
          <cell r="E2910" t="str">
            <v>Level 5 Assisted Living Apartment Double</v>
          </cell>
          <cell r="F2910" t="str">
            <v>T2031MP99U7U2U1</v>
          </cell>
        </row>
        <row r="2911">
          <cell r="A2911" t="str">
            <v>1115 Waiver</v>
          </cell>
          <cell r="C2911" t="str">
            <v>STAR+PLUS HCBS</v>
          </cell>
          <cell r="D2911" t="str">
            <v>Assisted Living</v>
          </cell>
          <cell r="E2911" t="str">
            <v>Level 5 Assisted Living Apartment Single</v>
          </cell>
          <cell r="F2911" t="str">
            <v>T2031SP99U7U1U1</v>
          </cell>
        </row>
        <row r="2912">
          <cell r="A2912" t="str">
            <v>1115 Waiver</v>
          </cell>
          <cell r="C2912" t="str">
            <v>STAR+PLUS HCBS</v>
          </cell>
          <cell r="D2912" t="str">
            <v>Assisted Living</v>
          </cell>
          <cell r="E2912" t="str">
            <v>Level 5 Assisted Living Apartment Single</v>
          </cell>
          <cell r="F2912" t="str">
            <v>T2031MP99U7U1U1</v>
          </cell>
        </row>
        <row r="2913">
          <cell r="A2913" t="str">
            <v>1115 Waiver</v>
          </cell>
          <cell r="C2913" t="str">
            <v>STAR+PLUS HCBS</v>
          </cell>
          <cell r="D2913" t="str">
            <v>Assisted Living</v>
          </cell>
          <cell r="E2913" t="str">
            <v>Level 5 Assisted Living Non-Apartment</v>
          </cell>
          <cell r="F2913" t="str">
            <v>T2031SP99U7U2U2</v>
          </cell>
        </row>
        <row r="2914">
          <cell r="A2914" t="str">
            <v>1115 Waiver</v>
          </cell>
          <cell r="C2914" t="str">
            <v>STAR+PLUS HCBS</v>
          </cell>
          <cell r="D2914" t="str">
            <v>Assisted Living</v>
          </cell>
          <cell r="E2914" t="str">
            <v>Level 5 Assisted Living Non-Apartment</v>
          </cell>
          <cell r="F2914" t="str">
            <v>T2031MP99U7U2U2</v>
          </cell>
        </row>
        <row r="2915">
          <cell r="A2915" t="str">
            <v>1115 Waiver</v>
          </cell>
          <cell r="C2915" t="str">
            <v>STAR+PLUS HCBS</v>
          </cell>
          <cell r="D2915" t="str">
            <v>Assisted Living</v>
          </cell>
          <cell r="E2915" t="str">
            <v>Level 6 Assisted Living Apartment Double</v>
          </cell>
          <cell r="F2915" t="str">
            <v>T2031SP99U8U2U1</v>
          </cell>
        </row>
        <row r="2916">
          <cell r="A2916" t="str">
            <v>1115 Waiver</v>
          </cell>
          <cell r="C2916" t="str">
            <v>STAR+PLUS HCBS</v>
          </cell>
          <cell r="D2916" t="str">
            <v>Assisted Living</v>
          </cell>
          <cell r="E2916" t="str">
            <v>Level 6 Assisted Living Apartment Double</v>
          </cell>
          <cell r="F2916" t="str">
            <v>T2031MP99U8U2U1</v>
          </cell>
        </row>
        <row r="2917">
          <cell r="A2917" t="str">
            <v>1115 Waiver</v>
          </cell>
          <cell r="C2917" t="str">
            <v>STAR+PLUS HCBS</v>
          </cell>
          <cell r="D2917" t="str">
            <v>Assisted Living</v>
          </cell>
          <cell r="E2917" t="str">
            <v>Level 6 Assisted Living Apartment Single</v>
          </cell>
          <cell r="F2917" t="str">
            <v>T2031SP99U8U1U1</v>
          </cell>
        </row>
        <row r="2918">
          <cell r="A2918" t="str">
            <v>1115 Waiver</v>
          </cell>
          <cell r="C2918" t="str">
            <v>STAR+PLUS HCBS</v>
          </cell>
          <cell r="D2918" t="str">
            <v>Assisted Living</v>
          </cell>
          <cell r="E2918" t="str">
            <v>Level 6 Assisted Living Apartment Single</v>
          </cell>
          <cell r="F2918" t="str">
            <v>T2031MP99U8U1U1</v>
          </cell>
        </row>
        <row r="2919">
          <cell r="A2919" t="str">
            <v>1115 Waiver</v>
          </cell>
          <cell r="C2919" t="str">
            <v>STAR+PLUS HCBS</v>
          </cell>
          <cell r="D2919" t="str">
            <v>Assisted Living</v>
          </cell>
          <cell r="E2919" t="str">
            <v>Level 6 Assisted Living Non-Apartment</v>
          </cell>
          <cell r="F2919" t="str">
            <v>T2031SP99U8U2U2</v>
          </cell>
        </row>
        <row r="2920">
          <cell r="A2920" t="str">
            <v>1115 Waiver</v>
          </cell>
          <cell r="C2920" t="str">
            <v>STAR+PLUS HCBS</v>
          </cell>
          <cell r="D2920" t="str">
            <v>Assisted Living</v>
          </cell>
          <cell r="E2920" t="str">
            <v>Level 6 Assisted Living Non-Apartment</v>
          </cell>
          <cell r="F2920" t="str">
            <v>T2031MP99U8U2U2</v>
          </cell>
        </row>
        <row r="2921">
          <cell r="A2921" t="str">
            <v>1115 Waiver</v>
          </cell>
          <cell r="C2921" t="str">
            <v>STAR+PLUS HCBS</v>
          </cell>
          <cell r="D2921" t="str">
            <v>CRT</v>
          </cell>
          <cell r="E2921" t="str">
            <v>Cognitive Rehabilitation Therapy (AO)</v>
          </cell>
          <cell r="F2921" t="str">
            <v>97129SPU3</v>
          </cell>
        </row>
        <row r="2922">
          <cell r="A2922" t="str">
            <v>1115 Waiver</v>
          </cell>
          <cell r="C2922" t="str">
            <v>STAR+PLUS HCBS</v>
          </cell>
          <cell r="D2922" t="str">
            <v>CRT</v>
          </cell>
          <cell r="E2922" t="str">
            <v>Cognitive Rehabilitation Therapy (AO)</v>
          </cell>
          <cell r="F2922" t="str">
            <v>97130SPU3</v>
          </cell>
        </row>
        <row r="2923">
          <cell r="A2923" t="str">
            <v>1115 Waiver</v>
          </cell>
          <cell r="C2923" t="str">
            <v>STAR+PLUS HCBS</v>
          </cell>
          <cell r="D2923" t="str">
            <v>CRT</v>
          </cell>
          <cell r="E2923" t="str">
            <v>Cognitive Rehabilitation Therapy (AO)</v>
          </cell>
          <cell r="F2923" t="str">
            <v>97129MPU3</v>
          </cell>
        </row>
        <row r="2924">
          <cell r="A2924" t="str">
            <v>1115 Waiver</v>
          </cell>
          <cell r="C2924" t="str">
            <v>STAR+PLUS HCBS</v>
          </cell>
          <cell r="D2924" t="str">
            <v>CRT</v>
          </cell>
          <cell r="E2924" t="str">
            <v>Cognitive Rehabilitation Therapy (AO)</v>
          </cell>
          <cell r="F2924" t="str">
            <v>97130MPU3</v>
          </cell>
        </row>
        <row r="2925">
          <cell r="A2925" t="str">
            <v>1115 Waiver</v>
          </cell>
          <cell r="C2925" t="str">
            <v>STAR+PLUS HCBS</v>
          </cell>
          <cell r="D2925" t="str">
            <v>CRT</v>
          </cell>
          <cell r="E2925" t="str">
            <v xml:space="preserve">Cognitive Rehabilitation Therapy (CDS) </v>
          </cell>
          <cell r="F2925" t="str">
            <v>97129SPU3UC</v>
          </cell>
        </row>
        <row r="2926">
          <cell r="A2926" t="str">
            <v>1115 Waiver</v>
          </cell>
          <cell r="C2926" t="str">
            <v>STAR+PLUS HCBS</v>
          </cell>
          <cell r="D2926" t="str">
            <v>CRT</v>
          </cell>
          <cell r="E2926" t="str">
            <v xml:space="preserve">Cognitive Rehabilitation Therapy (CDS) </v>
          </cell>
          <cell r="F2926" t="str">
            <v>97130SPU3UC</v>
          </cell>
        </row>
        <row r="2927">
          <cell r="A2927" t="str">
            <v>1115 Waiver</v>
          </cell>
          <cell r="C2927" t="str">
            <v>STAR+PLUS HCBS</v>
          </cell>
          <cell r="D2927" t="str">
            <v>CRT</v>
          </cell>
          <cell r="E2927" t="str">
            <v xml:space="preserve">Cognitive Rehabilitation Therapy (CDS) </v>
          </cell>
          <cell r="F2927" t="str">
            <v>97129MPU3UC</v>
          </cell>
        </row>
        <row r="2928">
          <cell r="A2928" t="str">
            <v>1115 Waiver</v>
          </cell>
          <cell r="C2928" t="str">
            <v>STAR+PLUS HCBS</v>
          </cell>
          <cell r="D2928" t="str">
            <v>CRT</v>
          </cell>
          <cell r="E2928" t="str">
            <v xml:space="preserve">Cognitive Rehabilitation Therapy (CDS) </v>
          </cell>
          <cell r="F2928" t="str">
            <v>97130MPU3UC</v>
          </cell>
        </row>
        <row r="2929">
          <cell r="A2929" t="str">
            <v>1115 Waiver</v>
          </cell>
          <cell r="C2929" t="str">
            <v>STAR+PLUS HCBS</v>
          </cell>
          <cell r="D2929" t="str">
            <v>CRT</v>
          </cell>
          <cell r="E2929" t="str">
            <v xml:space="preserve">Cognitive Rehabilitation Therapy (CDS) (HCBS) </v>
          </cell>
          <cell r="F2929" t="str">
            <v>97532SPU39999UC</v>
          </cell>
        </row>
        <row r="2930">
          <cell r="A2930" t="str">
            <v>1115 Waiver</v>
          </cell>
          <cell r="C2930" t="str">
            <v>STAR+PLUS HCBS</v>
          </cell>
          <cell r="D2930" t="str">
            <v>CRT</v>
          </cell>
          <cell r="E2930" t="str">
            <v xml:space="preserve">Cognitive Rehabilitation Therapy (CDS) (HCBS) </v>
          </cell>
          <cell r="F2930" t="str">
            <v>97532MPU39999UC</v>
          </cell>
        </row>
        <row r="2931">
          <cell r="A2931" t="str">
            <v>1115 Waiver</v>
          </cell>
          <cell r="C2931" t="str">
            <v>STAR+PLUS HCBS</v>
          </cell>
          <cell r="D2931" t="str">
            <v>CRT</v>
          </cell>
          <cell r="E2931" t="str">
            <v>Cognitive Rehabilitation Therapy (HCBS) (AO)</v>
          </cell>
          <cell r="F2931" t="str">
            <v>97532SPU3U3</v>
          </cell>
        </row>
        <row r="2932">
          <cell r="A2932" t="str">
            <v>1115 Waiver</v>
          </cell>
          <cell r="C2932" t="str">
            <v>STAR+PLUS HCBS</v>
          </cell>
          <cell r="D2932" t="str">
            <v>CRT</v>
          </cell>
          <cell r="E2932" t="str">
            <v>Cognitive Rehabilitation Therapy (HCBS) (AO)</v>
          </cell>
          <cell r="F2932" t="str">
            <v>97532MPU3U3</v>
          </cell>
        </row>
        <row r="2933">
          <cell r="A2933" t="str">
            <v>1115 Waiver</v>
          </cell>
          <cell r="C2933" t="str">
            <v>STAR+PLUS HCBS</v>
          </cell>
          <cell r="D2933" t="str">
            <v>CRT</v>
          </cell>
          <cell r="E2933" t="str">
            <v xml:space="preserve">Cognitive Rehabilitation Therapy (SRO) </v>
          </cell>
          <cell r="F2933" t="str">
            <v>97129SPU3UD</v>
          </cell>
        </row>
        <row r="2934">
          <cell r="A2934" t="str">
            <v>1115 Waiver</v>
          </cell>
          <cell r="C2934" t="str">
            <v>STAR+PLUS HCBS</v>
          </cell>
          <cell r="D2934" t="str">
            <v>CRT</v>
          </cell>
          <cell r="E2934" t="str">
            <v xml:space="preserve">Cognitive Rehabilitation Therapy (SRO) </v>
          </cell>
          <cell r="F2934" t="str">
            <v>97130SPU3UD</v>
          </cell>
        </row>
        <row r="2935">
          <cell r="A2935" t="str">
            <v>1115 Waiver</v>
          </cell>
          <cell r="C2935" t="str">
            <v>STAR+PLUS HCBS</v>
          </cell>
          <cell r="D2935" t="str">
            <v>CRT</v>
          </cell>
          <cell r="E2935" t="str">
            <v xml:space="preserve">Cognitive Rehabilitation Therapy (SRO) </v>
          </cell>
          <cell r="F2935" t="str">
            <v>97129MPU3UD</v>
          </cell>
        </row>
        <row r="2936">
          <cell r="A2936" t="str">
            <v>1115 Waiver</v>
          </cell>
          <cell r="C2936" t="str">
            <v>STAR+PLUS HCBS</v>
          </cell>
          <cell r="D2936" t="str">
            <v>CRT</v>
          </cell>
          <cell r="E2936" t="str">
            <v xml:space="preserve">Cognitive Rehabilitation Therapy (SRO) </v>
          </cell>
          <cell r="F2936" t="str">
            <v>97130MPU3UD</v>
          </cell>
        </row>
        <row r="2937">
          <cell r="A2937" t="str">
            <v>1115 Waiver</v>
          </cell>
          <cell r="C2937" t="str">
            <v>STAR+PLUS HCBS</v>
          </cell>
          <cell r="D2937" t="str">
            <v>CRT</v>
          </cell>
          <cell r="E2937" t="str">
            <v xml:space="preserve">Cognitive Rehabilitation Therapy (SRO) (HCBS) </v>
          </cell>
          <cell r="F2937" t="str">
            <v>97532SPU39999US</v>
          </cell>
        </row>
        <row r="2938">
          <cell r="A2938" t="str">
            <v>1115 Waiver</v>
          </cell>
          <cell r="C2938" t="str">
            <v>STAR+PLUS HCBS</v>
          </cell>
          <cell r="D2938" t="str">
            <v>CRT</v>
          </cell>
          <cell r="E2938" t="str">
            <v xml:space="preserve">Cognitive Rehabilitation Therapy (SRO) (HCBS) </v>
          </cell>
          <cell r="F2938" t="str">
            <v>97532MPU39999US</v>
          </cell>
        </row>
        <row r="2939">
          <cell r="A2939" t="str">
            <v>1115 Waiver</v>
          </cell>
          <cell r="C2939" t="str">
            <v>STAR+PLUS HCBS</v>
          </cell>
          <cell r="D2939" t="str">
            <v>CRT</v>
          </cell>
          <cell r="E2939" t="str">
            <v>Community/Work Reintegration CRT (AO)</v>
          </cell>
          <cell r="F2939" t="str">
            <v>97537SPU3</v>
          </cell>
        </row>
        <row r="2940">
          <cell r="A2940" t="str">
            <v>1115 Waiver</v>
          </cell>
          <cell r="C2940" t="str">
            <v>STAR+PLUS HCBS</v>
          </cell>
          <cell r="D2940" t="str">
            <v>CRT</v>
          </cell>
          <cell r="E2940" t="str">
            <v>Community/Work Reintegration CRT (AO)</v>
          </cell>
          <cell r="F2940" t="str">
            <v>97537MPU3</v>
          </cell>
        </row>
        <row r="2941">
          <cell r="A2941" t="str">
            <v>1115 Waiver</v>
          </cell>
          <cell r="C2941" t="str">
            <v>STAR+PLUS HCBS</v>
          </cell>
          <cell r="D2941" t="str">
            <v>CRT</v>
          </cell>
          <cell r="E2941" t="str">
            <v xml:space="preserve">Community/Work Reintegration CRT (CDS) </v>
          </cell>
          <cell r="F2941" t="str">
            <v>97537SPU3UC</v>
          </cell>
        </row>
        <row r="2942">
          <cell r="A2942" t="str">
            <v>1115 Waiver</v>
          </cell>
          <cell r="C2942" t="str">
            <v>STAR+PLUS HCBS</v>
          </cell>
          <cell r="D2942" t="str">
            <v>CRT</v>
          </cell>
          <cell r="E2942" t="str">
            <v xml:space="preserve">Community/Work Reintegration CRT (CDS) </v>
          </cell>
          <cell r="F2942" t="str">
            <v>97537MPU3UC</v>
          </cell>
        </row>
        <row r="2943">
          <cell r="A2943" t="str">
            <v>1115 Waiver</v>
          </cell>
          <cell r="C2943" t="str">
            <v>STAR+PLUS HCBS</v>
          </cell>
          <cell r="D2943" t="str">
            <v>CRT</v>
          </cell>
          <cell r="E2943" t="str">
            <v xml:space="preserve">Community/Work Reintegration CRT (CDS) (HCBS) </v>
          </cell>
          <cell r="F2943" t="str">
            <v>97537SPU39999UC</v>
          </cell>
        </row>
        <row r="2944">
          <cell r="A2944" t="str">
            <v>1115 Waiver</v>
          </cell>
          <cell r="C2944" t="str">
            <v>STAR+PLUS HCBS</v>
          </cell>
          <cell r="D2944" t="str">
            <v>CRT</v>
          </cell>
          <cell r="E2944" t="str">
            <v xml:space="preserve">Community/Work Reintegration CRT (CDS) (HCBS) </v>
          </cell>
          <cell r="F2944" t="str">
            <v>97537MPU39999UC</v>
          </cell>
        </row>
        <row r="2945">
          <cell r="A2945" t="str">
            <v>1115 Waiver</v>
          </cell>
          <cell r="C2945" t="str">
            <v>STAR+PLUS HCBS</v>
          </cell>
          <cell r="D2945" t="str">
            <v>CRT</v>
          </cell>
          <cell r="E2945" t="str">
            <v>Community/Work Reintegration CRT (HCBS) (AO)</v>
          </cell>
          <cell r="F2945" t="str">
            <v>97537SPU3U3</v>
          </cell>
        </row>
        <row r="2946">
          <cell r="A2946" t="str">
            <v>1115 Waiver</v>
          </cell>
          <cell r="C2946" t="str">
            <v>STAR+PLUS HCBS</v>
          </cell>
          <cell r="D2946" t="str">
            <v>CRT</v>
          </cell>
          <cell r="E2946" t="str">
            <v>Community/Work Reintegration CRT (HCBS) (AO)</v>
          </cell>
          <cell r="F2946" t="str">
            <v>97537MPU3U3</v>
          </cell>
        </row>
        <row r="2947">
          <cell r="A2947" t="str">
            <v>1115 Waiver</v>
          </cell>
          <cell r="C2947" t="str">
            <v>STAR+PLUS HCBS</v>
          </cell>
          <cell r="D2947" t="str">
            <v>CRT</v>
          </cell>
          <cell r="E2947" t="str">
            <v xml:space="preserve">Community/Work Reintegration CRT (SRO) </v>
          </cell>
          <cell r="F2947" t="str">
            <v>97537SPU3UD</v>
          </cell>
        </row>
        <row r="2948">
          <cell r="A2948" t="str">
            <v>1115 Waiver</v>
          </cell>
          <cell r="C2948" t="str">
            <v>STAR+PLUS HCBS</v>
          </cell>
          <cell r="D2948" t="str">
            <v>CRT</v>
          </cell>
          <cell r="E2948" t="str">
            <v xml:space="preserve">Community/Work Reintegration CRT (SRO) </v>
          </cell>
          <cell r="F2948" t="str">
            <v>97537MPU3UD</v>
          </cell>
        </row>
        <row r="2949">
          <cell r="A2949" t="str">
            <v>1115 Waiver</v>
          </cell>
          <cell r="C2949" t="str">
            <v>STAR+PLUS HCBS</v>
          </cell>
          <cell r="D2949" t="str">
            <v>CRT</v>
          </cell>
          <cell r="E2949" t="str">
            <v xml:space="preserve">Community/Work Reintegration CRT (SRO) (HCBS) </v>
          </cell>
          <cell r="F2949" t="str">
            <v>97537SPU39999US</v>
          </cell>
        </row>
        <row r="2950">
          <cell r="A2950" t="str">
            <v>1115 Waiver</v>
          </cell>
          <cell r="C2950" t="str">
            <v>STAR+PLUS HCBS</v>
          </cell>
          <cell r="D2950" t="str">
            <v>CRT</v>
          </cell>
          <cell r="E2950" t="str">
            <v xml:space="preserve">Community/Work Reintegration CRT (SRO) (HCBS) </v>
          </cell>
          <cell r="F2950" t="str">
            <v>97537MPU39999US</v>
          </cell>
        </row>
        <row r="2951">
          <cell r="A2951" t="str">
            <v>1115 Waiver</v>
          </cell>
          <cell r="C2951" t="str">
            <v>STAR+PLUS HCBS</v>
          </cell>
          <cell r="D2951" t="str">
            <v>Employment Services</v>
          </cell>
          <cell r="E2951" t="str">
            <v>Employment Assistance (AO)</v>
          </cell>
          <cell r="F2951" t="str">
            <v>H2025SPU3</v>
          </cell>
        </row>
        <row r="2952">
          <cell r="A2952" t="str">
            <v>1115 Waiver</v>
          </cell>
          <cell r="C2952" t="str">
            <v>STAR+PLUS HCBS</v>
          </cell>
          <cell r="D2952" t="str">
            <v>Employment Services</v>
          </cell>
          <cell r="E2952" t="str">
            <v>Employment Assistance (AO)</v>
          </cell>
          <cell r="F2952" t="str">
            <v>H2025MPU3</v>
          </cell>
        </row>
        <row r="2953">
          <cell r="A2953" t="str">
            <v>1115 Waiver</v>
          </cell>
          <cell r="C2953" t="str">
            <v>STAR+PLUS HCBS</v>
          </cell>
          <cell r="D2953" t="str">
            <v>Employment Services</v>
          </cell>
          <cell r="E2953" t="str">
            <v xml:space="preserve">Employment Assistance (CDS) </v>
          </cell>
          <cell r="F2953" t="str">
            <v>H2025SPU3UC</v>
          </cell>
        </row>
        <row r="2954">
          <cell r="A2954" t="str">
            <v>1115 Waiver</v>
          </cell>
          <cell r="C2954" t="str">
            <v>STAR+PLUS HCBS</v>
          </cell>
          <cell r="D2954" t="str">
            <v>Employment Services</v>
          </cell>
          <cell r="E2954" t="str">
            <v xml:space="preserve">Employment Assistance (CDS) </v>
          </cell>
          <cell r="F2954" t="str">
            <v>H2025MPU3UC</v>
          </cell>
        </row>
        <row r="2955">
          <cell r="A2955" t="str">
            <v>1115 Waiver</v>
          </cell>
          <cell r="C2955" t="str">
            <v>STAR+PLUS HCBS</v>
          </cell>
          <cell r="D2955" t="str">
            <v>Employment Services</v>
          </cell>
          <cell r="E2955" t="str">
            <v xml:space="preserve">Employment Assistance (CDS) (HCBS) </v>
          </cell>
          <cell r="F2955" t="str">
            <v>H2023SPU39999UC</v>
          </cell>
        </row>
        <row r="2956">
          <cell r="A2956" t="str">
            <v>1115 Waiver</v>
          </cell>
          <cell r="C2956" t="str">
            <v>STAR+PLUS HCBS</v>
          </cell>
          <cell r="D2956" t="str">
            <v>Employment Services</v>
          </cell>
          <cell r="E2956" t="str">
            <v xml:space="preserve">Employment Assistance (CDS) (HCBS) </v>
          </cell>
          <cell r="F2956" t="str">
            <v>H2023MPU39999UC</v>
          </cell>
        </row>
        <row r="2957">
          <cell r="A2957" t="str">
            <v>1115 Waiver</v>
          </cell>
          <cell r="C2957" t="str">
            <v>STAR+PLUS HCBS</v>
          </cell>
          <cell r="D2957" t="str">
            <v>Employment Services</v>
          </cell>
          <cell r="E2957" t="str">
            <v>Employment Assistance (HCBS) (AO)</v>
          </cell>
          <cell r="F2957" t="str">
            <v>H2023SPU3U3</v>
          </cell>
        </row>
        <row r="2958">
          <cell r="A2958" t="str">
            <v>1115 Waiver</v>
          </cell>
          <cell r="C2958" t="str">
            <v>STAR+PLUS HCBS</v>
          </cell>
          <cell r="D2958" t="str">
            <v>Employment Services</v>
          </cell>
          <cell r="E2958" t="str">
            <v>Employment Assistance (HCBS) (AO)</v>
          </cell>
          <cell r="F2958" t="str">
            <v>H2023MPU3U3</v>
          </cell>
        </row>
        <row r="2959">
          <cell r="A2959" t="str">
            <v>1115 Waiver</v>
          </cell>
          <cell r="C2959" t="str">
            <v>STAR+PLUS HCBS</v>
          </cell>
          <cell r="D2959" t="str">
            <v>Employment Services</v>
          </cell>
          <cell r="E2959" t="str">
            <v xml:space="preserve">Employment Assistance (SRO) </v>
          </cell>
          <cell r="F2959" t="str">
            <v>H2025SPU3UD</v>
          </cell>
        </row>
        <row r="2960">
          <cell r="A2960" t="str">
            <v>1115 Waiver</v>
          </cell>
          <cell r="C2960" t="str">
            <v>STAR+PLUS HCBS</v>
          </cell>
          <cell r="D2960" t="str">
            <v>Employment Services</v>
          </cell>
          <cell r="E2960" t="str">
            <v xml:space="preserve">Employment Assistance (SRO) </v>
          </cell>
          <cell r="F2960" t="str">
            <v>H2025MPU3UD</v>
          </cell>
        </row>
        <row r="2961">
          <cell r="A2961" t="str">
            <v>1115 Waiver</v>
          </cell>
          <cell r="C2961" t="str">
            <v>STAR+PLUS HCBS</v>
          </cell>
          <cell r="D2961" t="str">
            <v>Employment Services</v>
          </cell>
          <cell r="E2961" t="str">
            <v xml:space="preserve">Employment Assistance (SRO) (HCBS) </v>
          </cell>
          <cell r="F2961" t="str">
            <v>H2023SPU39999US</v>
          </cell>
        </row>
        <row r="2962">
          <cell r="A2962" t="str">
            <v>1115 Waiver</v>
          </cell>
          <cell r="C2962" t="str">
            <v>STAR+PLUS HCBS</v>
          </cell>
          <cell r="D2962" t="str">
            <v>Employment Services</v>
          </cell>
          <cell r="E2962" t="str">
            <v xml:space="preserve">Employment Assistance (SRO) (HCBS) </v>
          </cell>
          <cell r="F2962" t="str">
            <v>H2023MPU39999US</v>
          </cell>
        </row>
        <row r="2963">
          <cell r="A2963" t="str">
            <v>1115 Waiver</v>
          </cell>
          <cell r="C2963" t="str">
            <v>STAR+PLUS HCBS</v>
          </cell>
          <cell r="D2963" t="str">
            <v>Employment Services</v>
          </cell>
          <cell r="E2963" t="str">
            <v>Supported Employment (AO)</v>
          </cell>
          <cell r="F2963" t="str">
            <v>H2023SPU3</v>
          </cell>
        </row>
        <row r="2964">
          <cell r="A2964" t="str">
            <v>1115 Waiver</v>
          </cell>
          <cell r="C2964" t="str">
            <v>STAR+PLUS HCBS</v>
          </cell>
          <cell r="D2964" t="str">
            <v>Employment Services</v>
          </cell>
          <cell r="E2964" t="str">
            <v>Supported Employment (AO)</v>
          </cell>
          <cell r="F2964" t="str">
            <v>H2023MPU3</v>
          </cell>
        </row>
        <row r="2965">
          <cell r="A2965" t="str">
            <v>1115 Waiver</v>
          </cell>
          <cell r="C2965" t="str">
            <v>STAR+PLUS HCBS</v>
          </cell>
          <cell r="D2965" t="str">
            <v>Employment Services</v>
          </cell>
          <cell r="E2965" t="str">
            <v xml:space="preserve">Supported Employment (CDS) </v>
          </cell>
          <cell r="F2965" t="str">
            <v>H2023SPU3UC</v>
          </cell>
        </row>
        <row r="2966">
          <cell r="A2966" t="str">
            <v>1115 Waiver</v>
          </cell>
          <cell r="C2966" t="str">
            <v>STAR+PLUS HCBS</v>
          </cell>
          <cell r="D2966" t="str">
            <v>Employment Services</v>
          </cell>
          <cell r="E2966" t="str">
            <v xml:space="preserve">Supported Employment (CDS) </v>
          </cell>
          <cell r="F2966" t="str">
            <v>H2023MPU3UC</v>
          </cell>
        </row>
        <row r="2967">
          <cell r="A2967" t="str">
            <v>1115 Waiver</v>
          </cell>
          <cell r="C2967" t="str">
            <v>STAR+PLUS HCBS</v>
          </cell>
          <cell r="D2967" t="str">
            <v>Employment Services</v>
          </cell>
          <cell r="E2967" t="str">
            <v xml:space="preserve">Supported Employment (SRO) </v>
          </cell>
          <cell r="F2967" t="str">
            <v>H2023SPU3UD</v>
          </cell>
        </row>
        <row r="2968">
          <cell r="A2968" t="str">
            <v>1115 Waiver</v>
          </cell>
          <cell r="C2968" t="str">
            <v>STAR+PLUS HCBS</v>
          </cell>
          <cell r="D2968" t="str">
            <v>Employment Services</v>
          </cell>
          <cell r="E2968" t="str">
            <v xml:space="preserve">Supported Employment (SRO) </v>
          </cell>
          <cell r="F2968" t="str">
            <v>H2023MPU3UD</v>
          </cell>
        </row>
        <row r="2969">
          <cell r="A2969" t="str">
            <v>1115 Waiver</v>
          </cell>
          <cell r="C2969" t="str">
            <v>STAR+PLUS HCBS</v>
          </cell>
          <cell r="D2969" t="str">
            <v>Employment Services</v>
          </cell>
          <cell r="E2969" t="str">
            <v xml:space="preserve">Supportive Employment (CDS) (HCBS) </v>
          </cell>
          <cell r="F2969" t="str">
            <v>H2025SPU39999UC</v>
          </cell>
        </row>
        <row r="2970">
          <cell r="A2970" t="str">
            <v>1115 Waiver</v>
          </cell>
          <cell r="C2970" t="str">
            <v>STAR+PLUS HCBS</v>
          </cell>
          <cell r="D2970" t="str">
            <v>Employment Services</v>
          </cell>
          <cell r="E2970" t="str">
            <v xml:space="preserve">Supportive Employment (CDS) (HCBS) </v>
          </cell>
          <cell r="F2970" t="str">
            <v>H2025MPU39999UC</v>
          </cell>
        </row>
        <row r="2971">
          <cell r="A2971" t="str">
            <v>1115 Waiver</v>
          </cell>
          <cell r="C2971" t="str">
            <v>STAR+PLUS HCBS</v>
          </cell>
          <cell r="D2971" t="str">
            <v>Employment Services</v>
          </cell>
          <cell r="E2971" t="str">
            <v>Supportive Employment (HCBS) (AO)</v>
          </cell>
          <cell r="F2971" t="str">
            <v>H2025SPU3U3</v>
          </cell>
        </row>
        <row r="2972">
          <cell r="A2972" t="str">
            <v>1115 Waiver</v>
          </cell>
          <cell r="C2972" t="str">
            <v>STAR+PLUS HCBS</v>
          </cell>
          <cell r="D2972" t="str">
            <v>Employment Services</v>
          </cell>
          <cell r="E2972" t="str">
            <v>Supportive Employment (HCBS) (AO)</v>
          </cell>
          <cell r="F2972" t="str">
            <v>H2025MPU3U3</v>
          </cell>
        </row>
        <row r="2973">
          <cell r="A2973" t="str">
            <v>1115 Waiver</v>
          </cell>
          <cell r="C2973" t="str">
            <v>STAR+PLUS HCBS</v>
          </cell>
          <cell r="D2973" t="str">
            <v>Employment Services</v>
          </cell>
          <cell r="E2973" t="str">
            <v xml:space="preserve">Supportive Employment (SRO) (HCBS) </v>
          </cell>
          <cell r="F2973" t="str">
            <v>H2025SPU39999US</v>
          </cell>
        </row>
        <row r="2974">
          <cell r="A2974" t="str">
            <v>1115 Waiver</v>
          </cell>
          <cell r="C2974" t="str">
            <v>STAR+PLUS HCBS</v>
          </cell>
          <cell r="D2974" t="str">
            <v>Employment Services</v>
          </cell>
          <cell r="E2974" t="str">
            <v xml:space="preserve">Supportive Employment (SRO) (HCBS) </v>
          </cell>
          <cell r="F2974" t="str">
            <v>H2025MPU39999US</v>
          </cell>
        </row>
        <row r="2975">
          <cell r="A2975" t="str">
            <v>1115 Waiver</v>
          </cell>
          <cell r="C2975" t="str">
            <v>STAR+PLUS HCBS</v>
          </cell>
          <cell r="D2975" t="str">
            <v>ERS</v>
          </cell>
          <cell r="E2975" t="str">
            <v xml:space="preserve">Emergency Response Services (Monthly) (HCBS) </v>
          </cell>
          <cell r="F2975" t="str">
            <v>S5161SPU3</v>
          </cell>
        </row>
        <row r="2976">
          <cell r="A2976" t="str">
            <v>1115 Waiver</v>
          </cell>
          <cell r="C2976" t="str">
            <v>STAR+PLUS HCBS</v>
          </cell>
          <cell r="D2976" t="str">
            <v>ERS</v>
          </cell>
          <cell r="E2976" t="str">
            <v xml:space="preserve">Emergency Response Services (Monthly) (HCBS) </v>
          </cell>
          <cell r="F2976" t="str">
            <v>S5161MPU3</v>
          </cell>
        </row>
        <row r="2977">
          <cell r="A2977" t="str">
            <v>1115 Waiver</v>
          </cell>
          <cell r="C2977" t="str">
            <v>STAR+PLUS HCBS</v>
          </cell>
          <cell r="D2977" t="str">
            <v>ERS</v>
          </cell>
          <cell r="E2977" t="str">
            <v xml:space="preserve">Emergency Response Services (Monthly) (HCBS) </v>
          </cell>
          <cell r="F2977" t="str">
            <v>S5161SPU3U3</v>
          </cell>
        </row>
        <row r="2978">
          <cell r="A2978" t="str">
            <v>1115 Waiver</v>
          </cell>
          <cell r="C2978" t="str">
            <v>STAR+PLUS HCBS</v>
          </cell>
          <cell r="D2978" t="str">
            <v>ERS</v>
          </cell>
          <cell r="E2978" t="str">
            <v xml:space="preserve">Emergency Response Services (Monthly) (HCBS) </v>
          </cell>
          <cell r="F2978" t="str">
            <v>S5161MPU3U3</v>
          </cell>
        </row>
        <row r="2979">
          <cell r="A2979" t="str">
            <v>State Plan (Title XIX)</v>
          </cell>
          <cell r="C2979" t="str">
            <v>STAR+PLUS HCBS</v>
          </cell>
          <cell r="D2979" t="str">
            <v>ERS</v>
          </cell>
          <cell r="E2979" t="str">
            <v xml:space="preserve">Emergency Response Services (Monthly) (HCBS) (CFC) </v>
          </cell>
          <cell r="F2979" t="str">
            <v>S5161SPU3U7</v>
          </cell>
          <cell r="P2979" t="str">
            <v>CFC</v>
          </cell>
        </row>
        <row r="2980">
          <cell r="A2980" t="str">
            <v>State Plan (Title XIX)</v>
          </cell>
          <cell r="C2980" t="str">
            <v>STAR+PLUS HCBS</v>
          </cell>
          <cell r="D2980" t="str">
            <v>ERS</v>
          </cell>
          <cell r="E2980" t="str">
            <v xml:space="preserve">Emergency Response Services (Monthly) (HCBS) (CFC) </v>
          </cell>
          <cell r="F2980" t="str">
            <v>S5161MPU3U7</v>
          </cell>
          <cell r="P2980" t="str">
            <v>CFC</v>
          </cell>
        </row>
        <row r="2981">
          <cell r="A2981" t="str">
            <v>State Plan (Title XIX)</v>
          </cell>
          <cell r="C2981" t="str">
            <v>STAR+PLUS HCBS</v>
          </cell>
          <cell r="D2981" t="str">
            <v>ERS</v>
          </cell>
          <cell r="E2981" t="str">
            <v xml:space="preserve">Emergency Response Services (Monthly) (HCBS) (CFC) </v>
          </cell>
          <cell r="F2981" t="str">
            <v>S5161SPU3U3U3</v>
          </cell>
          <cell r="P2981" t="str">
            <v>CFC</v>
          </cell>
        </row>
        <row r="2982">
          <cell r="A2982" t="str">
            <v>State Plan (Title XIX)</v>
          </cell>
          <cell r="C2982" t="str">
            <v>STAR+PLUS HCBS</v>
          </cell>
          <cell r="D2982" t="str">
            <v>ERS</v>
          </cell>
          <cell r="E2982" t="str">
            <v xml:space="preserve">Emergency Response Services (Monthly) (HCBS) (CFC) </v>
          </cell>
          <cell r="F2982" t="str">
            <v>S5161MPU3U3U3</v>
          </cell>
          <cell r="P2982" t="str">
            <v>CFC</v>
          </cell>
        </row>
        <row r="2983">
          <cell r="A2983" t="str">
            <v>1115 Waiver</v>
          </cell>
          <cell r="C2983" t="str">
            <v>STAR+PLUS HCBS</v>
          </cell>
          <cell r="D2983" t="str">
            <v>FMS</v>
          </cell>
          <cell r="E2983" t="str">
            <v xml:space="preserve"> (CDS) Agency (HCBS) </v>
          </cell>
          <cell r="F2983" t="str">
            <v>T2040SPU3</v>
          </cell>
        </row>
        <row r="2984">
          <cell r="A2984" t="str">
            <v>1115 Waiver</v>
          </cell>
          <cell r="C2984" t="str">
            <v>STAR+PLUS HCBS</v>
          </cell>
          <cell r="D2984" t="str">
            <v>FMS</v>
          </cell>
          <cell r="E2984" t="str">
            <v xml:space="preserve"> (CDS) Agency (HCBS) </v>
          </cell>
          <cell r="F2984" t="str">
            <v>T2040MPU3</v>
          </cell>
        </row>
        <row r="2985">
          <cell r="A2985" t="str">
            <v>1115 Waiver</v>
          </cell>
          <cell r="C2985" t="str">
            <v>STAR+PLUS HCBS</v>
          </cell>
          <cell r="D2985" t="str">
            <v>FMS</v>
          </cell>
          <cell r="E2985" t="str">
            <v>Financial Management Service (FMS) Fee, Monthly Fee (CDS)</v>
          </cell>
          <cell r="F2985" t="str">
            <v>T2040SPU3U9</v>
          </cell>
        </row>
        <row r="2986">
          <cell r="A2986" t="str">
            <v>1115 Waiver</v>
          </cell>
          <cell r="C2986" t="str">
            <v>STAR+PLUS HCBS</v>
          </cell>
          <cell r="D2986" t="str">
            <v>FMS</v>
          </cell>
          <cell r="E2986" t="str">
            <v>Financial Management Service (FMS) Fee, Monthly Fee (CDS)</v>
          </cell>
          <cell r="F2986" t="str">
            <v>T2040MPU3U9</v>
          </cell>
        </row>
        <row r="2987">
          <cell r="A2987" t="str">
            <v>State Plan (Title XIX)</v>
          </cell>
          <cell r="C2987" t="str">
            <v>STAR+PLUS HCBS</v>
          </cell>
          <cell r="D2987" t="str">
            <v>FMS</v>
          </cell>
          <cell r="E2987" t="str">
            <v>FMS Fee, Monthly Fee (CFC) (CDS)</v>
          </cell>
          <cell r="F2987" t="str">
            <v>T2040SPU3U9U7</v>
          </cell>
          <cell r="P2987" t="str">
            <v>CFC</v>
          </cell>
        </row>
        <row r="2988">
          <cell r="A2988" t="str">
            <v>State Plan (Title XIX)</v>
          </cell>
          <cell r="C2988" t="str">
            <v>STAR+PLUS HCBS</v>
          </cell>
          <cell r="D2988" t="str">
            <v>FMS</v>
          </cell>
          <cell r="E2988" t="str">
            <v>FMS Fee, Monthly Fee (CFC) (CDS)</v>
          </cell>
          <cell r="F2988" t="str">
            <v>T2040MPU3U9U7</v>
          </cell>
          <cell r="P2988" t="str">
            <v>CFC</v>
          </cell>
        </row>
        <row r="2989">
          <cell r="A2989" t="str">
            <v>1115 Waiver</v>
          </cell>
          <cell r="C2989" t="str">
            <v>STAR+PLUS HCBS</v>
          </cell>
          <cell r="D2989" t="str">
            <v>HDM</v>
          </cell>
          <cell r="E2989" t="str">
            <v>HCBS Home Delivered Meals</v>
          </cell>
          <cell r="F2989" t="str">
            <v>S5170SPU3</v>
          </cell>
        </row>
        <row r="2990">
          <cell r="A2990" t="str">
            <v>1115 Waiver</v>
          </cell>
          <cell r="C2990" t="str">
            <v>STAR+PLUS HCBS</v>
          </cell>
          <cell r="D2990" t="str">
            <v>HDM</v>
          </cell>
          <cell r="E2990" t="str">
            <v>HCBS Home Delivered Meals</v>
          </cell>
          <cell r="F2990" t="str">
            <v>S5170MPU3</v>
          </cell>
        </row>
        <row r="2991">
          <cell r="A2991" t="str">
            <v>1115 Waiver</v>
          </cell>
          <cell r="C2991" t="str">
            <v>STAR+PLUS HCBS</v>
          </cell>
          <cell r="D2991" t="str">
            <v>HDM</v>
          </cell>
          <cell r="E2991" t="str">
            <v>Home Delivered Meals HCBS</v>
          </cell>
          <cell r="F2991" t="str">
            <v>S5170SP</v>
          </cell>
        </row>
        <row r="2992">
          <cell r="A2992" t="str">
            <v>1115 Waiver</v>
          </cell>
          <cell r="C2992" t="str">
            <v>STAR+PLUS HCBS</v>
          </cell>
          <cell r="D2992" t="str">
            <v>HDM</v>
          </cell>
          <cell r="E2992" t="str">
            <v>Home Delivered Meals HCBS</v>
          </cell>
          <cell r="F2992" t="str">
            <v>S5170MP</v>
          </cell>
        </row>
        <row r="2993">
          <cell r="A2993" t="str">
            <v>1115 Waiver</v>
          </cell>
          <cell r="C2993" t="str">
            <v>STAR+PLUS HCBS</v>
          </cell>
          <cell r="D2993" t="str">
            <v>Home Modifications</v>
          </cell>
          <cell r="E2993" t="str">
            <v>Minor Home Modifications Ramps</v>
          </cell>
          <cell r="F2993" t="str">
            <v>S5165SP</v>
          </cell>
        </row>
        <row r="2994">
          <cell r="A2994" t="str">
            <v>1115 Waiver</v>
          </cell>
          <cell r="C2994" t="str">
            <v>STAR+PLUS HCBS</v>
          </cell>
          <cell r="D2994" t="str">
            <v>Home Modifications</v>
          </cell>
          <cell r="E2994" t="str">
            <v>Minor Home Modifications Ramps</v>
          </cell>
          <cell r="F2994" t="str">
            <v>S5165MP</v>
          </cell>
        </row>
        <row r="2995">
          <cell r="A2995" t="str">
            <v>1115 Waiver</v>
          </cell>
          <cell r="C2995" t="str">
            <v>STAR+PLUS HCBS</v>
          </cell>
          <cell r="D2995" t="str">
            <v>In Home Respite</v>
          </cell>
          <cell r="E2995" t="str">
            <v xml:space="preserve">Respite Care (AO) (HCBS) </v>
          </cell>
          <cell r="F2995" t="str">
            <v>T1005SPU3</v>
          </cell>
        </row>
        <row r="2996">
          <cell r="A2996" t="str">
            <v>1115 Waiver</v>
          </cell>
          <cell r="C2996" t="str">
            <v>STAR+PLUS HCBS</v>
          </cell>
          <cell r="D2996" t="str">
            <v>In Home Respite</v>
          </cell>
          <cell r="E2996" t="str">
            <v xml:space="preserve">Respite Care (AO) (HCBS) </v>
          </cell>
          <cell r="F2996" t="str">
            <v>T1005MPU3</v>
          </cell>
        </row>
        <row r="2997">
          <cell r="A2997" t="str">
            <v>1115 Waiver</v>
          </cell>
          <cell r="C2997" t="str">
            <v>STAR+PLUS HCBS</v>
          </cell>
          <cell r="D2997" t="str">
            <v>In Home Respite</v>
          </cell>
          <cell r="E2997" t="str">
            <v xml:space="preserve">Respite Care (CDS) (HCBS) </v>
          </cell>
          <cell r="F2997" t="str">
            <v>T1005SPU3UC</v>
          </cell>
        </row>
        <row r="2998">
          <cell r="A2998" t="str">
            <v>1115 Waiver</v>
          </cell>
          <cell r="C2998" t="str">
            <v>STAR+PLUS HCBS</v>
          </cell>
          <cell r="D2998" t="str">
            <v>In Home Respite</v>
          </cell>
          <cell r="E2998" t="str">
            <v xml:space="preserve">Respite Care (CDS) (HCBS) </v>
          </cell>
          <cell r="F2998" t="str">
            <v>T1005MPU3UC</v>
          </cell>
        </row>
        <row r="2999">
          <cell r="A2999" t="str">
            <v>1115 Waiver</v>
          </cell>
          <cell r="C2999" t="str">
            <v>STAR+PLUS HCBS</v>
          </cell>
          <cell r="D2999" t="str">
            <v>In Home Respite</v>
          </cell>
          <cell r="E2999" t="str">
            <v xml:space="preserve">Respite Care (CDS) (HCBS) </v>
          </cell>
          <cell r="F2999" t="str">
            <v>S5151SPU39999UC</v>
          </cell>
        </row>
        <row r="3000">
          <cell r="A3000" t="str">
            <v>1115 Waiver</v>
          </cell>
          <cell r="C3000" t="str">
            <v>STAR+PLUS HCBS</v>
          </cell>
          <cell r="D3000" t="str">
            <v>In Home Respite</v>
          </cell>
          <cell r="E3000" t="str">
            <v xml:space="preserve">Respite Care (CDS) (HCBS) </v>
          </cell>
          <cell r="F3000" t="str">
            <v>S5151MPU39999UC</v>
          </cell>
        </row>
        <row r="3001">
          <cell r="A3001" t="str">
            <v>1115 Waiver</v>
          </cell>
          <cell r="C3001" t="str">
            <v>STAR+PLUS HCBS</v>
          </cell>
          <cell r="D3001" t="str">
            <v>In Home Respite</v>
          </cell>
          <cell r="E3001" t="str">
            <v xml:space="preserve">Respite Care (SRO) (HCBS) </v>
          </cell>
          <cell r="F3001" t="str">
            <v>T1005SPU3UD</v>
          </cell>
        </row>
        <row r="3002">
          <cell r="A3002" t="str">
            <v>1115 Waiver</v>
          </cell>
          <cell r="C3002" t="str">
            <v>STAR+PLUS HCBS</v>
          </cell>
          <cell r="D3002" t="str">
            <v>In Home Respite</v>
          </cell>
          <cell r="E3002" t="str">
            <v xml:space="preserve">Respite Care (SRO) (HCBS) </v>
          </cell>
          <cell r="F3002" t="str">
            <v>T1005MPU3UD</v>
          </cell>
        </row>
        <row r="3003">
          <cell r="A3003" t="str">
            <v>1115 Waiver</v>
          </cell>
          <cell r="C3003" t="str">
            <v>STAR+PLUS HCBS</v>
          </cell>
          <cell r="D3003" t="str">
            <v>In Home Respite</v>
          </cell>
          <cell r="E3003" t="str">
            <v xml:space="preserve">Respite Care HCBS (SRO) (SRO) (HCBS) </v>
          </cell>
          <cell r="F3003" t="str">
            <v>S5151SPU39999US</v>
          </cell>
        </row>
        <row r="3004">
          <cell r="A3004" t="str">
            <v>1115 Waiver</v>
          </cell>
          <cell r="C3004" t="str">
            <v>STAR+PLUS HCBS</v>
          </cell>
          <cell r="D3004" t="str">
            <v>In Home Respite</v>
          </cell>
          <cell r="E3004" t="str">
            <v xml:space="preserve">Respite Care HCBS (SRO) (SRO) (HCBS) </v>
          </cell>
          <cell r="F3004" t="str">
            <v>S5151MPU39999US</v>
          </cell>
        </row>
        <row r="3005">
          <cell r="A3005" t="str">
            <v>1115 Waiver</v>
          </cell>
          <cell r="C3005" t="str">
            <v>STAR+PLUS HCBS</v>
          </cell>
          <cell r="D3005" t="str">
            <v>In Home Respite</v>
          </cell>
          <cell r="E3005" t="str">
            <v>Respite Care In-Home (AO)</v>
          </cell>
          <cell r="F3005" t="str">
            <v>S5151SPU3U3</v>
          </cell>
        </row>
        <row r="3006">
          <cell r="A3006" t="str">
            <v>1115 Waiver</v>
          </cell>
          <cell r="C3006" t="str">
            <v>STAR+PLUS HCBS</v>
          </cell>
          <cell r="D3006" t="str">
            <v>In Home Respite</v>
          </cell>
          <cell r="E3006" t="str">
            <v>Respite Care In-Home (AO)</v>
          </cell>
          <cell r="F3006" t="str">
            <v>S5151MPU3U3</v>
          </cell>
        </row>
        <row r="3007">
          <cell r="A3007" t="str">
            <v>1115 Waiver</v>
          </cell>
          <cell r="C3007" t="str">
            <v>STAR+PLUS HCBS</v>
          </cell>
          <cell r="D3007" t="str">
            <v>Nursing</v>
          </cell>
          <cell r="E3007" t="str">
            <v>Nursing assessment/evaluation</v>
          </cell>
          <cell r="F3007" t="str">
            <v>T1001SP</v>
          </cell>
        </row>
        <row r="3008">
          <cell r="A3008" t="str">
            <v>1115 Waiver</v>
          </cell>
          <cell r="C3008" t="str">
            <v>STAR+PLUS HCBS</v>
          </cell>
          <cell r="D3008" t="str">
            <v>Nursing</v>
          </cell>
          <cell r="E3008" t="str">
            <v>Nursing assessment/evaluation</v>
          </cell>
          <cell r="F3008" t="str">
            <v>T1001MP</v>
          </cell>
        </row>
        <row r="3009">
          <cell r="A3009" t="str">
            <v>1115 Waiver</v>
          </cell>
          <cell r="C3009" t="str">
            <v>STAR+PLUS HCBS</v>
          </cell>
          <cell r="D3009" t="str">
            <v>Nursing</v>
          </cell>
          <cell r="E3009" t="str">
            <v xml:space="preserve">Nursing Services LVN (1 visit) Nursing Care in Home by LVN (AO) </v>
          </cell>
          <cell r="F3009" t="str">
            <v>S9124SPU3</v>
          </cell>
        </row>
        <row r="3010">
          <cell r="A3010" t="str">
            <v>1115 Waiver</v>
          </cell>
          <cell r="C3010" t="str">
            <v>STAR+PLUS HCBS</v>
          </cell>
          <cell r="D3010" t="str">
            <v>Nursing</v>
          </cell>
          <cell r="E3010" t="str">
            <v xml:space="preserve">Nursing Services LVN (1 visit) Nursing Care in Home by LVN (AO) </v>
          </cell>
          <cell r="F3010" t="str">
            <v>S9124MPU3</v>
          </cell>
        </row>
        <row r="3011">
          <cell r="A3011" t="str">
            <v>1115 Waiver</v>
          </cell>
          <cell r="C3011" t="str">
            <v>STAR+PLUS HCBS</v>
          </cell>
          <cell r="D3011" t="str">
            <v>Nursing</v>
          </cell>
          <cell r="E3011" t="str">
            <v xml:space="preserve">Nursing Services LVN (1 visit) Nursing Care in Home by LVN (AO) (HCBS) </v>
          </cell>
          <cell r="F3011" t="str">
            <v>S9124SPU3U3</v>
          </cell>
        </row>
        <row r="3012">
          <cell r="A3012" t="str">
            <v>1115 Waiver</v>
          </cell>
          <cell r="C3012" t="str">
            <v>STAR+PLUS HCBS</v>
          </cell>
          <cell r="D3012" t="str">
            <v>Nursing</v>
          </cell>
          <cell r="E3012" t="str">
            <v xml:space="preserve">Nursing Services LVN (1 visit) Nursing Care in Home by LVN (AO) (HCBS) </v>
          </cell>
          <cell r="F3012" t="str">
            <v>S9124MPU3U3</v>
          </cell>
        </row>
        <row r="3013">
          <cell r="A3013" t="str">
            <v>1115 Waiver</v>
          </cell>
          <cell r="C3013" t="str">
            <v>STAR+PLUS HCBS</v>
          </cell>
          <cell r="D3013" t="str">
            <v>Nursing</v>
          </cell>
          <cell r="E3013" t="str">
            <v xml:space="preserve">Nursing Services LVN (1 visit) Nursing Care in Home by LVN (AO) (Specialized) </v>
          </cell>
          <cell r="F3013" t="str">
            <v>S9124SPU3UA</v>
          </cell>
        </row>
        <row r="3014">
          <cell r="A3014" t="str">
            <v>1115 Waiver</v>
          </cell>
          <cell r="C3014" t="str">
            <v>STAR+PLUS HCBS</v>
          </cell>
          <cell r="D3014" t="str">
            <v>Nursing</v>
          </cell>
          <cell r="E3014" t="str">
            <v xml:space="preserve">Nursing Services LVN (1 visit) Nursing Care in Home by LVN (AO) (Specialized) </v>
          </cell>
          <cell r="F3014" t="str">
            <v>S9124MPU3UA</v>
          </cell>
        </row>
        <row r="3015">
          <cell r="A3015" t="str">
            <v>1115 Waiver</v>
          </cell>
          <cell r="C3015" t="str">
            <v>STAR+PLUS HCBS</v>
          </cell>
          <cell r="D3015" t="str">
            <v>Nursing</v>
          </cell>
          <cell r="E3015" t="str">
            <v xml:space="preserve">Nursing Services LVN (1 visit) Nursing Care in Home by LVN (CDS) </v>
          </cell>
          <cell r="F3015" t="str">
            <v>S9124SPU3UC</v>
          </cell>
        </row>
        <row r="3016">
          <cell r="A3016" t="str">
            <v>1115 Waiver</v>
          </cell>
          <cell r="C3016" t="str">
            <v>STAR+PLUS HCBS</v>
          </cell>
          <cell r="D3016" t="str">
            <v>Nursing</v>
          </cell>
          <cell r="E3016" t="str">
            <v xml:space="preserve">Nursing Services LVN (1 visit) Nursing Care in Home by LVN (CDS) </v>
          </cell>
          <cell r="F3016" t="str">
            <v>S9124MPU3UC</v>
          </cell>
        </row>
        <row r="3017">
          <cell r="A3017" t="str">
            <v>1115 Waiver</v>
          </cell>
          <cell r="C3017" t="str">
            <v>STAR+PLUS HCBS</v>
          </cell>
          <cell r="D3017" t="str">
            <v>Nursing</v>
          </cell>
          <cell r="E3017" t="str">
            <v xml:space="preserve">Nursing Services LVN (1 visit) Nursing Care in Home by LVN (CDS) (HCBS) </v>
          </cell>
          <cell r="F3017" t="str">
            <v>S9124SPU39999UC</v>
          </cell>
        </row>
        <row r="3018">
          <cell r="A3018" t="str">
            <v>1115 Waiver</v>
          </cell>
          <cell r="C3018" t="str">
            <v>STAR+PLUS HCBS</v>
          </cell>
          <cell r="D3018" t="str">
            <v>Nursing</v>
          </cell>
          <cell r="E3018" t="str">
            <v xml:space="preserve">Nursing Services LVN (1 visit) Nursing Care in Home by LVN (CDS) (HCBS) </v>
          </cell>
          <cell r="F3018" t="str">
            <v>S9124MPU39999UC</v>
          </cell>
        </row>
        <row r="3019">
          <cell r="A3019" t="str">
            <v>1115 Waiver</v>
          </cell>
          <cell r="C3019" t="str">
            <v>STAR+PLUS HCBS</v>
          </cell>
          <cell r="D3019" t="str">
            <v>Nursing</v>
          </cell>
          <cell r="E3019" t="str">
            <v xml:space="preserve">Nursing Services LVN (1 visit) Nursing Care in Home by LVN (CDS) (Specialized) </v>
          </cell>
          <cell r="F3019" t="str">
            <v>S9124SPU3UCUA</v>
          </cell>
        </row>
        <row r="3020">
          <cell r="A3020" t="str">
            <v>1115 Waiver</v>
          </cell>
          <cell r="C3020" t="str">
            <v>STAR+PLUS HCBS</v>
          </cell>
          <cell r="D3020" t="str">
            <v>Nursing</v>
          </cell>
          <cell r="E3020" t="str">
            <v xml:space="preserve">Nursing Services LVN (1 visit) Nursing Care in Home by LVN (CDS) (Specialized) </v>
          </cell>
          <cell r="F3020" t="str">
            <v>S9124MPU3UCUA</v>
          </cell>
        </row>
        <row r="3021">
          <cell r="A3021" t="str">
            <v>1115 Waiver</v>
          </cell>
          <cell r="C3021" t="str">
            <v>STAR+PLUS HCBS</v>
          </cell>
          <cell r="D3021" t="str">
            <v>Nursing</v>
          </cell>
          <cell r="E3021" t="str">
            <v xml:space="preserve">Nursing Services LVN (1 visit) Nursing Care in Home by LVN (SRO) </v>
          </cell>
          <cell r="F3021" t="str">
            <v>S9124SPU3UD</v>
          </cell>
        </row>
        <row r="3022">
          <cell r="A3022" t="str">
            <v>1115 Waiver</v>
          </cell>
          <cell r="C3022" t="str">
            <v>STAR+PLUS HCBS</v>
          </cell>
          <cell r="D3022" t="str">
            <v>Nursing</v>
          </cell>
          <cell r="E3022" t="str">
            <v xml:space="preserve">Nursing Services LVN (1 visit) Nursing Care in Home by LVN (SRO) </v>
          </cell>
          <cell r="F3022" t="str">
            <v>S9124MPU3UD</v>
          </cell>
        </row>
        <row r="3023">
          <cell r="A3023" t="str">
            <v>1115 Waiver</v>
          </cell>
          <cell r="C3023" t="str">
            <v>STAR+PLUS HCBS</v>
          </cell>
          <cell r="D3023" t="str">
            <v>Nursing</v>
          </cell>
          <cell r="E3023" t="str">
            <v xml:space="preserve">Nursing Services LVN (1 visit) Nursing Care in Home by LVN (SRO) (HCBS) </v>
          </cell>
          <cell r="F3023" t="str">
            <v>S9124SPU39999US</v>
          </cell>
        </row>
        <row r="3024">
          <cell r="A3024" t="str">
            <v>1115 Waiver</v>
          </cell>
          <cell r="C3024" t="str">
            <v>STAR+PLUS HCBS</v>
          </cell>
          <cell r="D3024" t="str">
            <v>Nursing</v>
          </cell>
          <cell r="E3024" t="str">
            <v xml:space="preserve">Nursing Services LVN (1 visit) Nursing Care in Home by LVN (SRO) (HCBS) </v>
          </cell>
          <cell r="F3024" t="str">
            <v>S9124MPU39999US</v>
          </cell>
        </row>
        <row r="3025">
          <cell r="A3025" t="str">
            <v>1115 Waiver</v>
          </cell>
          <cell r="C3025" t="str">
            <v>STAR+PLUS HCBS</v>
          </cell>
          <cell r="D3025" t="str">
            <v>Nursing</v>
          </cell>
          <cell r="E3025" t="str">
            <v xml:space="preserve">Nursing Services LVN (1 visit) Nursing Care in Home by LVN (SRO) (Specialized) </v>
          </cell>
          <cell r="F3025" t="str">
            <v>S9124SPU3UDUA</v>
          </cell>
        </row>
        <row r="3026">
          <cell r="A3026" t="str">
            <v>1115 Waiver</v>
          </cell>
          <cell r="C3026" t="str">
            <v>STAR+PLUS HCBS</v>
          </cell>
          <cell r="D3026" t="str">
            <v>Nursing</v>
          </cell>
          <cell r="E3026" t="str">
            <v xml:space="preserve">Nursing Services LVN (1 visit) Nursing Care in Home by LVN (SRO) (Specialized) </v>
          </cell>
          <cell r="F3026" t="str">
            <v>S9124MPU3UDUA</v>
          </cell>
        </row>
        <row r="3027">
          <cell r="A3027" t="str">
            <v>1115 Waiver</v>
          </cell>
          <cell r="C3027" t="str">
            <v>STAR+PLUS HCBS</v>
          </cell>
          <cell r="D3027" t="str">
            <v>Nursing</v>
          </cell>
          <cell r="E3027" t="str">
            <v xml:space="preserve">Nursing Services RN (1 visit) Nursing Care in the Home by RN (AO) </v>
          </cell>
          <cell r="F3027" t="str">
            <v>S9123SPU3</v>
          </cell>
        </row>
        <row r="3028">
          <cell r="A3028" t="str">
            <v>1115 Waiver</v>
          </cell>
          <cell r="C3028" t="str">
            <v>STAR+PLUS HCBS</v>
          </cell>
          <cell r="D3028" t="str">
            <v>Nursing</v>
          </cell>
          <cell r="E3028" t="str">
            <v xml:space="preserve">Nursing Services RN (1 visit) Nursing Care in the Home by RN (AO) </v>
          </cell>
          <cell r="F3028" t="str">
            <v>S9123MPU3</v>
          </cell>
        </row>
        <row r="3029">
          <cell r="A3029" t="str">
            <v>1115 Waiver</v>
          </cell>
          <cell r="C3029" t="str">
            <v>STAR+PLUS HCBS</v>
          </cell>
          <cell r="D3029" t="str">
            <v>Nursing</v>
          </cell>
          <cell r="E3029" t="str">
            <v xml:space="preserve">Nursing Services RN (1 visit) Nursing Care in the Home by RN (AO) (HCBS) </v>
          </cell>
          <cell r="F3029" t="str">
            <v>S9123SPU3U3</v>
          </cell>
        </row>
        <row r="3030">
          <cell r="A3030" t="str">
            <v>1115 Waiver</v>
          </cell>
          <cell r="C3030" t="str">
            <v>STAR+PLUS HCBS</v>
          </cell>
          <cell r="D3030" t="str">
            <v>Nursing</v>
          </cell>
          <cell r="E3030" t="str">
            <v xml:space="preserve">Nursing Services RN (1 visit) Nursing Care in the Home by RN (AO) (HCBS) </v>
          </cell>
          <cell r="F3030" t="str">
            <v>S9123MPU3U3</v>
          </cell>
        </row>
        <row r="3031">
          <cell r="A3031" t="str">
            <v>1115 Waiver</v>
          </cell>
          <cell r="C3031" t="str">
            <v>STAR+PLUS HCBS</v>
          </cell>
          <cell r="D3031" t="str">
            <v>Nursing</v>
          </cell>
          <cell r="E3031" t="str">
            <v xml:space="preserve">Nursing Services RN (1 visit) Nursing Care in the Home by RN (AO) (Specialized) </v>
          </cell>
          <cell r="F3031" t="str">
            <v>S9123SPU3UA</v>
          </cell>
        </row>
        <row r="3032">
          <cell r="A3032" t="str">
            <v>1115 Waiver</v>
          </cell>
          <cell r="C3032" t="str">
            <v>STAR+PLUS HCBS</v>
          </cell>
          <cell r="D3032" t="str">
            <v>Nursing</v>
          </cell>
          <cell r="E3032" t="str">
            <v xml:space="preserve">Nursing Services RN (1 visit) Nursing Care in the Home by RN (AO) (Specialized) </v>
          </cell>
          <cell r="F3032" t="str">
            <v>S9123MPU3UA</v>
          </cell>
        </row>
        <row r="3033">
          <cell r="A3033" t="str">
            <v>1115 Waiver</v>
          </cell>
          <cell r="C3033" t="str">
            <v>STAR+PLUS HCBS</v>
          </cell>
          <cell r="D3033" t="str">
            <v>Nursing</v>
          </cell>
          <cell r="E3033" t="str">
            <v xml:space="preserve">Nursing Services RN (1 visit) Nursing Care in the Home by RN (CDS) </v>
          </cell>
          <cell r="F3033" t="str">
            <v>S9123SPU3UC</v>
          </cell>
        </row>
        <row r="3034">
          <cell r="A3034" t="str">
            <v>1115 Waiver</v>
          </cell>
          <cell r="C3034" t="str">
            <v>STAR+PLUS HCBS</v>
          </cell>
          <cell r="D3034" t="str">
            <v>Nursing</v>
          </cell>
          <cell r="E3034" t="str">
            <v xml:space="preserve">Nursing Services RN (1 visit) Nursing Care in the Home by RN (CDS) </v>
          </cell>
          <cell r="F3034" t="str">
            <v>S9123MPU3UC</v>
          </cell>
        </row>
        <row r="3035">
          <cell r="A3035" t="str">
            <v>1115 Waiver</v>
          </cell>
          <cell r="C3035" t="str">
            <v>STAR+PLUS HCBS</v>
          </cell>
          <cell r="D3035" t="str">
            <v>Nursing</v>
          </cell>
          <cell r="E3035" t="str">
            <v xml:space="preserve">Nursing Services RN (1 visit) Nursing Care in the Home by RN (CDS) (HCBS) </v>
          </cell>
          <cell r="F3035" t="str">
            <v>S9123SPU39999UC</v>
          </cell>
        </row>
        <row r="3036">
          <cell r="A3036" t="str">
            <v>1115 Waiver</v>
          </cell>
          <cell r="C3036" t="str">
            <v>STAR+PLUS HCBS</v>
          </cell>
          <cell r="D3036" t="str">
            <v>Nursing</v>
          </cell>
          <cell r="E3036" t="str">
            <v xml:space="preserve">Nursing Services RN (1 visit) Nursing Care in the Home by RN (CDS) (HCBS) </v>
          </cell>
          <cell r="F3036" t="str">
            <v>S9123MPU39999UC</v>
          </cell>
        </row>
        <row r="3037">
          <cell r="A3037" t="str">
            <v>1115 Waiver</v>
          </cell>
          <cell r="C3037" t="str">
            <v>STAR+PLUS HCBS</v>
          </cell>
          <cell r="D3037" t="str">
            <v>Nursing</v>
          </cell>
          <cell r="E3037" t="str">
            <v xml:space="preserve">Nursing Services RN (1 visit) Nursing Care in the Home by RN (CDS) (Specialized) </v>
          </cell>
          <cell r="F3037" t="str">
            <v>S9123SPU3UCUA</v>
          </cell>
        </row>
        <row r="3038">
          <cell r="A3038" t="str">
            <v>1115 Waiver</v>
          </cell>
          <cell r="C3038" t="str">
            <v>STAR+PLUS HCBS</v>
          </cell>
          <cell r="D3038" t="str">
            <v>Nursing</v>
          </cell>
          <cell r="E3038" t="str">
            <v xml:space="preserve">Nursing Services RN (1 visit) Nursing Care in the Home by RN (CDS) (Specialized) </v>
          </cell>
          <cell r="F3038" t="str">
            <v>S9123MPU3UCUA</v>
          </cell>
        </row>
        <row r="3039">
          <cell r="A3039" t="str">
            <v>1115 Waiver</v>
          </cell>
          <cell r="C3039" t="str">
            <v>STAR+PLUS HCBS</v>
          </cell>
          <cell r="D3039" t="str">
            <v>Nursing</v>
          </cell>
          <cell r="E3039" t="str">
            <v xml:space="preserve">Nursing Services RN (1 visit) Nursing Care in the Home by RN (SRO) </v>
          </cell>
          <cell r="F3039" t="str">
            <v>S9123SPU3UD</v>
          </cell>
        </row>
        <row r="3040">
          <cell r="A3040" t="str">
            <v>1115 Waiver</v>
          </cell>
          <cell r="C3040" t="str">
            <v>STAR+PLUS HCBS</v>
          </cell>
          <cell r="D3040" t="str">
            <v>Nursing</v>
          </cell>
          <cell r="E3040" t="str">
            <v xml:space="preserve">Nursing Services RN (1 visit) Nursing Care in the Home by RN (SRO) </v>
          </cell>
          <cell r="F3040" t="str">
            <v>S9123MPU3UD</v>
          </cell>
        </row>
        <row r="3041">
          <cell r="A3041" t="str">
            <v>1115 Waiver</v>
          </cell>
          <cell r="C3041" t="str">
            <v>STAR+PLUS HCBS</v>
          </cell>
          <cell r="D3041" t="str">
            <v>Nursing</v>
          </cell>
          <cell r="E3041" t="str">
            <v xml:space="preserve">Nursing Services RN (1 visit) Nursing Care in the Home by RN (SRO) (HCBS) </v>
          </cell>
          <cell r="F3041" t="str">
            <v>S9123SPU39999US</v>
          </cell>
        </row>
        <row r="3042">
          <cell r="A3042" t="str">
            <v>1115 Waiver</v>
          </cell>
          <cell r="C3042" t="str">
            <v>STAR+PLUS HCBS</v>
          </cell>
          <cell r="D3042" t="str">
            <v>Nursing</v>
          </cell>
          <cell r="E3042" t="str">
            <v xml:space="preserve">Nursing Services RN (1 visit) Nursing Care in the Home by RN (SRO) (HCBS) </v>
          </cell>
          <cell r="F3042" t="str">
            <v>S9123MPU39999US</v>
          </cell>
        </row>
        <row r="3043">
          <cell r="A3043" t="str">
            <v>1115 Waiver</v>
          </cell>
          <cell r="C3043" t="str">
            <v>STAR+PLUS HCBS</v>
          </cell>
          <cell r="D3043" t="str">
            <v>Nursing</v>
          </cell>
          <cell r="E3043" t="str">
            <v xml:space="preserve">Nursing Services RN (1 visit) Nursing Care in the Home by RN (SRO) (Specialized) </v>
          </cell>
          <cell r="F3043" t="str">
            <v>S9123SPU3UDUA</v>
          </cell>
        </row>
        <row r="3044">
          <cell r="A3044" t="str">
            <v>1115 Waiver</v>
          </cell>
          <cell r="C3044" t="str">
            <v>STAR+PLUS HCBS</v>
          </cell>
          <cell r="D3044" t="str">
            <v>Nursing</v>
          </cell>
          <cell r="E3044" t="str">
            <v xml:space="preserve">Nursing Services RN (1 visit) Nursing Care in the Home by RN (SRO) (Specialized) </v>
          </cell>
          <cell r="F3044" t="str">
            <v>S9123MPU3UDUA</v>
          </cell>
        </row>
        <row r="3045">
          <cell r="A3045" t="str">
            <v>1115 Waiver</v>
          </cell>
          <cell r="C3045" t="str">
            <v>STAR+PLUS HCBS</v>
          </cell>
          <cell r="D3045" t="str">
            <v>Out of Home Respite</v>
          </cell>
          <cell r="E3045" t="str">
            <v>OHR Level 1 Assisted Living Double</v>
          </cell>
          <cell r="F3045" t="str">
            <v>S5151SPU8UBU1</v>
          </cell>
        </row>
        <row r="3046">
          <cell r="A3046" t="str">
            <v>1115 Waiver</v>
          </cell>
          <cell r="C3046" t="str">
            <v>STAR+PLUS HCBS</v>
          </cell>
          <cell r="D3046" t="str">
            <v>Out of Home Respite</v>
          </cell>
          <cell r="E3046" t="str">
            <v>OHR Level 1 Assisted Living Double</v>
          </cell>
          <cell r="F3046" t="str">
            <v>S5151MPU8UBU1</v>
          </cell>
        </row>
        <row r="3047">
          <cell r="A3047" t="str">
            <v>1115 Waiver</v>
          </cell>
          <cell r="C3047" t="str">
            <v>STAR+PLUS HCBS</v>
          </cell>
          <cell r="D3047" t="str">
            <v>Out of Home Respite</v>
          </cell>
          <cell r="E3047" t="str">
            <v>OHR Level 1 Assisted Living Double</v>
          </cell>
          <cell r="F3047" t="str">
            <v>S5151SP99U3U2U1</v>
          </cell>
        </row>
        <row r="3048">
          <cell r="A3048" t="str">
            <v>1115 Waiver</v>
          </cell>
          <cell r="C3048" t="str">
            <v>STAR+PLUS HCBS</v>
          </cell>
          <cell r="D3048" t="str">
            <v>Out of Home Respite</v>
          </cell>
          <cell r="E3048" t="str">
            <v>OHR Level 1 Assisted Living Double</v>
          </cell>
          <cell r="F3048" t="str">
            <v>S5151MP99U3U2U1</v>
          </cell>
        </row>
        <row r="3049">
          <cell r="A3049" t="str">
            <v>1115 Waiver</v>
          </cell>
          <cell r="C3049" t="str">
            <v>STAR+PLUS HCBS</v>
          </cell>
          <cell r="D3049" t="str">
            <v>Out of Home Respite</v>
          </cell>
          <cell r="E3049" t="str">
            <v>OHR Level 1 Assisted Living Non-Apartment</v>
          </cell>
          <cell r="F3049" t="str">
            <v>S5151SPU8UAU1</v>
          </cell>
        </row>
        <row r="3050">
          <cell r="A3050" t="str">
            <v>1115 Waiver</v>
          </cell>
          <cell r="C3050" t="str">
            <v>STAR+PLUS HCBS</v>
          </cell>
          <cell r="D3050" t="str">
            <v>Out of Home Respite</v>
          </cell>
          <cell r="E3050" t="str">
            <v>OHR Level 1 Assisted Living Non-Apartment</v>
          </cell>
          <cell r="F3050" t="str">
            <v>S5151MPU8UAU1</v>
          </cell>
        </row>
        <row r="3051">
          <cell r="A3051" t="str">
            <v>1115 Waiver</v>
          </cell>
          <cell r="C3051" t="str">
            <v>STAR+PLUS HCBS</v>
          </cell>
          <cell r="D3051" t="str">
            <v>Out of Home Respite</v>
          </cell>
          <cell r="E3051" t="str">
            <v>OHR Level 1 Assisted Living Non-Apartment</v>
          </cell>
          <cell r="F3051" t="str">
            <v>S5151SP99U3U2U2</v>
          </cell>
        </row>
        <row r="3052">
          <cell r="A3052" t="str">
            <v>1115 Waiver</v>
          </cell>
          <cell r="C3052" t="str">
            <v>STAR+PLUS HCBS</v>
          </cell>
          <cell r="D3052" t="str">
            <v>Out of Home Respite</v>
          </cell>
          <cell r="E3052" t="str">
            <v>OHR Level 1 Assisted Living Non-Apartment</v>
          </cell>
          <cell r="F3052" t="str">
            <v>S5151MP99U3U2U2</v>
          </cell>
        </row>
        <row r="3053">
          <cell r="A3053" t="str">
            <v>1115 Waiver</v>
          </cell>
          <cell r="C3053" t="str">
            <v>STAR+PLUS HCBS</v>
          </cell>
          <cell r="D3053" t="str">
            <v>Out of Home Respite</v>
          </cell>
          <cell r="E3053" t="str">
            <v>OHR Level 1 Assisted Living Single</v>
          </cell>
          <cell r="F3053" t="str">
            <v>S5151SPU8U9U1</v>
          </cell>
        </row>
        <row r="3054">
          <cell r="A3054" t="str">
            <v>1115 Waiver</v>
          </cell>
          <cell r="C3054" t="str">
            <v>STAR+PLUS HCBS</v>
          </cell>
          <cell r="D3054" t="str">
            <v>Out of Home Respite</v>
          </cell>
          <cell r="E3054" t="str">
            <v>OHR Level 1 Assisted Living Single</v>
          </cell>
          <cell r="F3054" t="str">
            <v>S5151MPU8U9U1</v>
          </cell>
        </row>
        <row r="3055">
          <cell r="A3055" t="str">
            <v>1115 Waiver</v>
          </cell>
          <cell r="C3055" t="str">
            <v>STAR+PLUS HCBS</v>
          </cell>
          <cell r="D3055" t="str">
            <v>Out of Home Respite</v>
          </cell>
          <cell r="E3055" t="str">
            <v>OHR Level 1 Assisted Living Single</v>
          </cell>
          <cell r="F3055" t="str">
            <v>S5151SP99U3U1U1</v>
          </cell>
        </row>
        <row r="3056">
          <cell r="A3056" t="str">
            <v>1115 Waiver</v>
          </cell>
          <cell r="C3056" t="str">
            <v>STAR+PLUS HCBS</v>
          </cell>
          <cell r="D3056" t="str">
            <v>Out of Home Respite</v>
          </cell>
          <cell r="E3056" t="str">
            <v>OHR Level 1 Assisted Living Single</v>
          </cell>
          <cell r="F3056" t="str">
            <v>S5151MP99U3U1U1</v>
          </cell>
        </row>
        <row r="3057">
          <cell r="A3057" t="str">
            <v>1115 Waiver</v>
          </cell>
          <cell r="C3057" t="str">
            <v>STAR+PLUS HCBS</v>
          </cell>
          <cell r="D3057" t="str">
            <v>Out of Home Respite</v>
          </cell>
          <cell r="E3057" t="str">
            <v>OHR Level 2 Assisted Living Double</v>
          </cell>
          <cell r="F3057" t="str">
            <v>S5151SPU8UBU2</v>
          </cell>
        </row>
        <row r="3058">
          <cell r="A3058" t="str">
            <v>1115 Waiver</v>
          </cell>
          <cell r="C3058" t="str">
            <v>STAR+PLUS HCBS</v>
          </cell>
          <cell r="D3058" t="str">
            <v>Out of Home Respite</v>
          </cell>
          <cell r="E3058" t="str">
            <v>OHR Level 2 Assisted Living Double</v>
          </cell>
          <cell r="F3058" t="str">
            <v>S5151MPU8UBU2</v>
          </cell>
        </row>
        <row r="3059">
          <cell r="A3059" t="str">
            <v>1115 Waiver</v>
          </cell>
          <cell r="C3059" t="str">
            <v>STAR+PLUS HCBS</v>
          </cell>
          <cell r="D3059" t="str">
            <v>Out of Home Respite</v>
          </cell>
          <cell r="E3059" t="str">
            <v>OHR Level 2 Assisted Living Double</v>
          </cell>
          <cell r="F3059" t="str">
            <v>S5151SP99U4U2U1</v>
          </cell>
        </row>
        <row r="3060">
          <cell r="A3060" t="str">
            <v>1115 Waiver</v>
          </cell>
          <cell r="C3060" t="str">
            <v>STAR+PLUS HCBS</v>
          </cell>
          <cell r="D3060" t="str">
            <v>Out of Home Respite</v>
          </cell>
          <cell r="E3060" t="str">
            <v>OHR Level 2 Assisted Living Double</v>
          </cell>
          <cell r="F3060" t="str">
            <v>S5151MP99U4U2U1</v>
          </cell>
        </row>
        <row r="3061">
          <cell r="A3061" t="str">
            <v>1115 Waiver</v>
          </cell>
          <cell r="C3061" t="str">
            <v>STAR+PLUS HCBS</v>
          </cell>
          <cell r="D3061" t="str">
            <v>Out of Home Respite</v>
          </cell>
          <cell r="E3061" t="str">
            <v>OHR Level 2 Assisted Living Non-Apartment</v>
          </cell>
          <cell r="F3061" t="str">
            <v>S5151SPU8UAU2</v>
          </cell>
        </row>
        <row r="3062">
          <cell r="A3062" t="str">
            <v>1115 Waiver</v>
          </cell>
          <cell r="C3062" t="str">
            <v>STAR+PLUS HCBS</v>
          </cell>
          <cell r="D3062" t="str">
            <v>Out of Home Respite</v>
          </cell>
          <cell r="E3062" t="str">
            <v>OHR Level 2 Assisted Living Non-Apartment</v>
          </cell>
          <cell r="F3062" t="str">
            <v>S5151MPU8UAU2</v>
          </cell>
        </row>
        <row r="3063">
          <cell r="A3063" t="str">
            <v>1115 Waiver</v>
          </cell>
          <cell r="C3063" t="str">
            <v>STAR+PLUS HCBS</v>
          </cell>
          <cell r="D3063" t="str">
            <v>Out of Home Respite</v>
          </cell>
          <cell r="E3063" t="str">
            <v>OHR Level 2 Assisted Living Non-Apartment</v>
          </cell>
          <cell r="F3063" t="str">
            <v>S5151SP99U4U2U2</v>
          </cell>
        </row>
        <row r="3064">
          <cell r="A3064" t="str">
            <v>1115 Waiver</v>
          </cell>
          <cell r="C3064" t="str">
            <v>STAR+PLUS HCBS</v>
          </cell>
          <cell r="D3064" t="str">
            <v>Out of Home Respite</v>
          </cell>
          <cell r="E3064" t="str">
            <v>OHR Level 2 Assisted Living Non-Apartment</v>
          </cell>
          <cell r="F3064" t="str">
            <v>S5151MP99U4U2U2</v>
          </cell>
        </row>
        <row r="3065">
          <cell r="A3065" t="str">
            <v>1115 Waiver</v>
          </cell>
          <cell r="C3065" t="str">
            <v>STAR+PLUS HCBS</v>
          </cell>
          <cell r="D3065" t="str">
            <v>Out of Home Respite</v>
          </cell>
          <cell r="E3065" t="str">
            <v>OHR Level 2 Assisted Living Single</v>
          </cell>
          <cell r="F3065" t="str">
            <v>S5151SPU8U9U2</v>
          </cell>
        </row>
        <row r="3066">
          <cell r="A3066" t="str">
            <v>1115 Waiver</v>
          </cell>
          <cell r="C3066" t="str">
            <v>STAR+PLUS HCBS</v>
          </cell>
          <cell r="D3066" t="str">
            <v>Out of Home Respite</v>
          </cell>
          <cell r="E3066" t="str">
            <v>OHR Level 2 Assisted Living Single</v>
          </cell>
          <cell r="F3066" t="str">
            <v>S5151MPU8U9U2</v>
          </cell>
        </row>
        <row r="3067">
          <cell r="A3067" t="str">
            <v>1115 Waiver</v>
          </cell>
          <cell r="C3067" t="str">
            <v>STAR+PLUS HCBS</v>
          </cell>
          <cell r="D3067" t="str">
            <v>Out of Home Respite</v>
          </cell>
          <cell r="E3067" t="str">
            <v>OHR Level 2 Assisted Living Single</v>
          </cell>
          <cell r="F3067" t="str">
            <v>S5151SP99U4U1U1</v>
          </cell>
        </row>
        <row r="3068">
          <cell r="A3068" t="str">
            <v>1115 Waiver</v>
          </cell>
          <cell r="C3068" t="str">
            <v>STAR+PLUS HCBS</v>
          </cell>
          <cell r="D3068" t="str">
            <v>Out of Home Respite</v>
          </cell>
          <cell r="E3068" t="str">
            <v>OHR Level 2 Assisted Living Single</v>
          </cell>
          <cell r="F3068" t="str">
            <v>S5151MP99U4U1U1</v>
          </cell>
        </row>
        <row r="3069">
          <cell r="A3069" t="str">
            <v>1115 Waiver</v>
          </cell>
          <cell r="C3069" t="str">
            <v>STAR+PLUS HCBS</v>
          </cell>
          <cell r="D3069" t="str">
            <v>Out of Home Respite</v>
          </cell>
          <cell r="E3069" t="str">
            <v>OHR Level 3 Assisted Living Double</v>
          </cell>
          <cell r="F3069" t="str">
            <v>S5151SPU8UBU3</v>
          </cell>
        </row>
        <row r="3070">
          <cell r="A3070" t="str">
            <v>1115 Waiver</v>
          </cell>
          <cell r="C3070" t="str">
            <v>STAR+PLUS HCBS</v>
          </cell>
          <cell r="D3070" t="str">
            <v>Out of Home Respite</v>
          </cell>
          <cell r="E3070" t="str">
            <v>OHR Level 3 Assisted Living Double</v>
          </cell>
          <cell r="F3070" t="str">
            <v>S5151MPU8UBU3</v>
          </cell>
        </row>
        <row r="3071">
          <cell r="A3071" t="str">
            <v>1115 Waiver</v>
          </cell>
          <cell r="C3071" t="str">
            <v>STAR+PLUS HCBS</v>
          </cell>
          <cell r="D3071" t="str">
            <v>Out of Home Respite</v>
          </cell>
          <cell r="E3071" t="str">
            <v>OHR Level 3 Assisted Living Double</v>
          </cell>
          <cell r="F3071" t="str">
            <v>S5151SP99U5U2U1</v>
          </cell>
        </row>
        <row r="3072">
          <cell r="A3072" t="str">
            <v>1115 Waiver</v>
          </cell>
          <cell r="C3072" t="str">
            <v>STAR+PLUS HCBS</v>
          </cell>
          <cell r="D3072" t="str">
            <v>Out of Home Respite</v>
          </cell>
          <cell r="E3072" t="str">
            <v>OHR Level 3 Assisted Living Double</v>
          </cell>
          <cell r="F3072" t="str">
            <v>S5151MP99U5U2U1</v>
          </cell>
        </row>
        <row r="3073">
          <cell r="A3073" t="str">
            <v>1115 Waiver</v>
          </cell>
          <cell r="C3073" t="str">
            <v>STAR+PLUS HCBS</v>
          </cell>
          <cell r="D3073" t="str">
            <v>Out of Home Respite</v>
          </cell>
          <cell r="E3073" t="str">
            <v>OHR Level 3 Assisted Living Non-Apartment</v>
          </cell>
          <cell r="F3073" t="str">
            <v>S5151SPU8UAU3</v>
          </cell>
        </row>
        <row r="3074">
          <cell r="A3074" t="str">
            <v>1115 Waiver</v>
          </cell>
          <cell r="C3074" t="str">
            <v>STAR+PLUS HCBS</v>
          </cell>
          <cell r="D3074" t="str">
            <v>Out of Home Respite</v>
          </cell>
          <cell r="E3074" t="str">
            <v>OHR Level 3 Assisted Living Non-Apartment</v>
          </cell>
          <cell r="F3074" t="str">
            <v>S5151MPU8UAU3</v>
          </cell>
        </row>
        <row r="3075">
          <cell r="A3075" t="str">
            <v>1115 Waiver</v>
          </cell>
          <cell r="C3075" t="str">
            <v>STAR+PLUS HCBS</v>
          </cell>
          <cell r="D3075" t="str">
            <v>Out of Home Respite</v>
          </cell>
          <cell r="E3075" t="str">
            <v>OHR Level 3 Assisted Living Non-Apartment</v>
          </cell>
          <cell r="F3075" t="str">
            <v>S5151SP99U5U2U2</v>
          </cell>
        </row>
        <row r="3076">
          <cell r="A3076" t="str">
            <v>1115 Waiver</v>
          </cell>
          <cell r="C3076" t="str">
            <v>STAR+PLUS HCBS</v>
          </cell>
          <cell r="D3076" t="str">
            <v>Out of Home Respite</v>
          </cell>
          <cell r="E3076" t="str">
            <v>OHR Level 3 Assisted Living Non-Apartment</v>
          </cell>
          <cell r="F3076" t="str">
            <v>S5151MP99U5U2U2</v>
          </cell>
        </row>
        <row r="3077">
          <cell r="A3077" t="str">
            <v>1115 Waiver</v>
          </cell>
          <cell r="C3077" t="str">
            <v>STAR+PLUS HCBS</v>
          </cell>
          <cell r="D3077" t="str">
            <v>Out of Home Respite</v>
          </cell>
          <cell r="E3077" t="str">
            <v>OHR Level 3 Assisted Living Single</v>
          </cell>
          <cell r="F3077" t="str">
            <v>S5151SPU8U9U3</v>
          </cell>
        </row>
        <row r="3078">
          <cell r="A3078" t="str">
            <v>1115 Waiver</v>
          </cell>
          <cell r="C3078" t="str">
            <v>STAR+PLUS HCBS</v>
          </cell>
          <cell r="D3078" t="str">
            <v>Out of Home Respite</v>
          </cell>
          <cell r="E3078" t="str">
            <v>OHR Level 3 Assisted Living Single</v>
          </cell>
          <cell r="F3078" t="str">
            <v>S5151MPU8U9U3</v>
          </cell>
        </row>
        <row r="3079">
          <cell r="A3079" t="str">
            <v>1115 Waiver</v>
          </cell>
          <cell r="C3079" t="str">
            <v>STAR+PLUS HCBS</v>
          </cell>
          <cell r="D3079" t="str">
            <v>Out of Home Respite</v>
          </cell>
          <cell r="E3079" t="str">
            <v>OHR Level 3 Assisted Living Single</v>
          </cell>
          <cell r="F3079" t="str">
            <v>S5151SP99U5U1U1</v>
          </cell>
        </row>
        <row r="3080">
          <cell r="A3080" t="str">
            <v>1115 Waiver</v>
          </cell>
          <cell r="C3080" t="str">
            <v>STAR+PLUS HCBS</v>
          </cell>
          <cell r="D3080" t="str">
            <v>Out of Home Respite</v>
          </cell>
          <cell r="E3080" t="str">
            <v>OHR Level 3 Assisted Living Single</v>
          </cell>
          <cell r="F3080" t="str">
            <v>S5151MP99U5U1U1</v>
          </cell>
        </row>
        <row r="3081">
          <cell r="A3081" t="str">
            <v>1115 Waiver</v>
          </cell>
          <cell r="C3081" t="str">
            <v>STAR+PLUS HCBS</v>
          </cell>
          <cell r="D3081" t="str">
            <v>Out of Home Respite</v>
          </cell>
          <cell r="E3081" t="str">
            <v>OHR Level 4 Assisted Living Double</v>
          </cell>
          <cell r="F3081" t="str">
            <v>S5151SPU8UBU4</v>
          </cell>
        </row>
        <row r="3082">
          <cell r="A3082" t="str">
            <v>1115 Waiver</v>
          </cell>
          <cell r="C3082" t="str">
            <v>STAR+PLUS HCBS</v>
          </cell>
          <cell r="D3082" t="str">
            <v>Out of Home Respite</v>
          </cell>
          <cell r="E3082" t="str">
            <v>OHR Level 4 Assisted Living Double</v>
          </cell>
          <cell r="F3082" t="str">
            <v>S5151MPU8UBU4</v>
          </cell>
        </row>
        <row r="3083">
          <cell r="A3083" t="str">
            <v>1115 Waiver</v>
          </cell>
          <cell r="C3083" t="str">
            <v>STAR+PLUS HCBS</v>
          </cell>
          <cell r="D3083" t="str">
            <v>Out of Home Respite</v>
          </cell>
          <cell r="E3083" t="str">
            <v>OHR Level 4 Assisted Living Double</v>
          </cell>
          <cell r="F3083" t="str">
            <v>S5151SP99U6U2U1</v>
          </cell>
        </row>
        <row r="3084">
          <cell r="A3084" t="str">
            <v>1115 Waiver</v>
          </cell>
          <cell r="C3084" t="str">
            <v>STAR+PLUS HCBS</v>
          </cell>
          <cell r="D3084" t="str">
            <v>Out of Home Respite</v>
          </cell>
          <cell r="E3084" t="str">
            <v>OHR Level 4 Assisted Living Double</v>
          </cell>
          <cell r="F3084" t="str">
            <v>S5151MP99U6U2U1</v>
          </cell>
        </row>
        <row r="3085">
          <cell r="A3085" t="str">
            <v>1115 Waiver</v>
          </cell>
          <cell r="C3085" t="str">
            <v>STAR+PLUS HCBS</v>
          </cell>
          <cell r="D3085" t="str">
            <v>Out of Home Respite</v>
          </cell>
          <cell r="E3085" t="str">
            <v>OHR Level 4 Assisted Living Non-Apartment</v>
          </cell>
          <cell r="F3085" t="str">
            <v>S5151SPU8UAU4</v>
          </cell>
        </row>
        <row r="3086">
          <cell r="A3086" t="str">
            <v>1115 Waiver</v>
          </cell>
          <cell r="C3086" t="str">
            <v>STAR+PLUS HCBS</v>
          </cell>
          <cell r="D3086" t="str">
            <v>Out of Home Respite</v>
          </cell>
          <cell r="E3086" t="str">
            <v>OHR Level 4 Assisted Living Non-Apartment</v>
          </cell>
          <cell r="F3086" t="str">
            <v>S5151MPU8UAU4</v>
          </cell>
        </row>
        <row r="3087">
          <cell r="A3087" t="str">
            <v>1115 Waiver</v>
          </cell>
          <cell r="C3087" t="str">
            <v>STAR+PLUS HCBS</v>
          </cell>
          <cell r="D3087" t="str">
            <v>Out of Home Respite</v>
          </cell>
          <cell r="E3087" t="str">
            <v>OHR Level 4 Assisted Living Non-Apartment</v>
          </cell>
          <cell r="F3087" t="str">
            <v>S5151SP99U6U2U2</v>
          </cell>
        </row>
        <row r="3088">
          <cell r="A3088" t="str">
            <v>1115 Waiver</v>
          </cell>
          <cell r="C3088" t="str">
            <v>STAR+PLUS HCBS</v>
          </cell>
          <cell r="D3088" t="str">
            <v>Out of Home Respite</v>
          </cell>
          <cell r="E3088" t="str">
            <v>OHR Level 4 Assisted Living Non-Apartment</v>
          </cell>
          <cell r="F3088" t="str">
            <v>S5151MP99U6U2U2</v>
          </cell>
        </row>
        <row r="3089">
          <cell r="A3089" t="str">
            <v>1115 Waiver</v>
          </cell>
          <cell r="C3089" t="str">
            <v>STAR+PLUS HCBS</v>
          </cell>
          <cell r="D3089" t="str">
            <v>Out of Home Respite</v>
          </cell>
          <cell r="E3089" t="str">
            <v>OHR Level 4 Assisted Living Single</v>
          </cell>
          <cell r="F3089" t="str">
            <v>S5151SPU8U9U4</v>
          </cell>
        </row>
        <row r="3090">
          <cell r="A3090" t="str">
            <v>1115 Waiver</v>
          </cell>
          <cell r="C3090" t="str">
            <v>STAR+PLUS HCBS</v>
          </cell>
          <cell r="D3090" t="str">
            <v>Out of Home Respite</v>
          </cell>
          <cell r="E3090" t="str">
            <v>OHR Level 4 Assisted Living Single</v>
          </cell>
          <cell r="F3090" t="str">
            <v>S5151MPU8U9U4</v>
          </cell>
        </row>
        <row r="3091">
          <cell r="A3091" t="str">
            <v>1115 Waiver</v>
          </cell>
          <cell r="C3091" t="str">
            <v>STAR+PLUS HCBS</v>
          </cell>
          <cell r="D3091" t="str">
            <v>Out of Home Respite</v>
          </cell>
          <cell r="E3091" t="str">
            <v>OHR Level 4 Assisted Living Single</v>
          </cell>
          <cell r="F3091" t="str">
            <v>S5151SP99U6U1U1</v>
          </cell>
        </row>
        <row r="3092">
          <cell r="A3092" t="str">
            <v>1115 Waiver</v>
          </cell>
          <cell r="C3092" t="str">
            <v>STAR+PLUS HCBS</v>
          </cell>
          <cell r="D3092" t="str">
            <v>Out of Home Respite</v>
          </cell>
          <cell r="E3092" t="str">
            <v>OHR Level 4 Assisted Living Single</v>
          </cell>
          <cell r="F3092" t="str">
            <v>S5151MP99U6U1U1</v>
          </cell>
        </row>
        <row r="3093">
          <cell r="A3093" t="str">
            <v>1115 Waiver</v>
          </cell>
          <cell r="C3093" t="str">
            <v>STAR+PLUS HCBS</v>
          </cell>
          <cell r="D3093" t="str">
            <v>Out of Home Respite</v>
          </cell>
          <cell r="E3093" t="str">
            <v>OHR Level 5 Assisted Living Double</v>
          </cell>
          <cell r="F3093" t="str">
            <v>S5151SPU8UBU5</v>
          </cell>
        </row>
        <row r="3094">
          <cell r="A3094" t="str">
            <v>1115 Waiver</v>
          </cell>
          <cell r="C3094" t="str">
            <v>STAR+PLUS HCBS</v>
          </cell>
          <cell r="D3094" t="str">
            <v>Out of Home Respite</v>
          </cell>
          <cell r="E3094" t="str">
            <v>OHR Level 5 Assisted Living Double</v>
          </cell>
          <cell r="F3094" t="str">
            <v>S5151MPU8UBU5</v>
          </cell>
        </row>
        <row r="3095">
          <cell r="A3095" t="str">
            <v>1115 Waiver</v>
          </cell>
          <cell r="C3095" t="str">
            <v>STAR+PLUS HCBS</v>
          </cell>
          <cell r="D3095" t="str">
            <v>Out of Home Respite</v>
          </cell>
          <cell r="E3095" t="str">
            <v>OHR Level 5 Assisted Living Double</v>
          </cell>
          <cell r="F3095" t="str">
            <v>S5151SP99U7U2U1</v>
          </cell>
        </row>
        <row r="3096">
          <cell r="A3096" t="str">
            <v>1115 Waiver</v>
          </cell>
          <cell r="C3096" t="str">
            <v>STAR+PLUS HCBS</v>
          </cell>
          <cell r="D3096" t="str">
            <v>Out of Home Respite</v>
          </cell>
          <cell r="E3096" t="str">
            <v>OHR Level 5 Assisted Living Double</v>
          </cell>
          <cell r="F3096" t="str">
            <v>S5151MP99U7U2U1</v>
          </cell>
        </row>
        <row r="3097">
          <cell r="A3097" t="str">
            <v>1115 Waiver</v>
          </cell>
          <cell r="C3097" t="str">
            <v>STAR+PLUS HCBS</v>
          </cell>
          <cell r="D3097" t="str">
            <v>Out of Home Respite</v>
          </cell>
          <cell r="E3097" t="str">
            <v>OHR Level 5 Assisted Living Non-Apartment</v>
          </cell>
          <cell r="F3097" t="str">
            <v>S5151SPU8UAU5</v>
          </cell>
        </row>
        <row r="3098">
          <cell r="A3098" t="str">
            <v>1115 Waiver</v>
          </cell>
          <cell r="C3098" t="str">
            <v>STAR+PLUS HCBS</v>
          </cell>
          <cell r="D3098" t="str">
            <v>Out of Home Respite</v>
          </cell>
          <cell r="E3098" t="str">
            <v>OHR Level 5 Assisted Living Non-Apartment</v>
          </cell>
          <cell r="F3098" t="str">
            <v>S5151MPU8UAU5</v>
          </cell>
        </row>
        <row r="3099">
          <cell r="A3099" t="str">
            <v>1115 Waiver</v>
          </cell>
          <cell r="C3099" t="str">
            <v>STAR+PLUS HCBS</v>
          </cell>
          <cell r="D3099" t="str">
            <v>Out of Home Respite</v>
          </cell>
          <cell r="E3099" t="str">
            <v>OHR Level 5 Assisted Living Non-Apartment</v>
          </cell>
          <cell r="F3099" t="str">
            <v>S5151SP99U7U2U2</v>
          </cell>
        </row>
        <row r="3100">
          <cell r="A3100" t="str">
            <v>1115 Waiver</v>
          </cell>
          <cell r="C3100" t="str">
            <v>STAR+PLUS HCBS</v>
          </cell>
          <cell r="D3100" t="str">
            <v>Out of Home Respite</v>
          </cell>
          <cell r="E3100" t="str">
            <v>OHR Level 5 Assisted Living Non-Apartment</v>
          </cell>
          <cell r="F3100" t="str">
            <v>S5151MP99U7U2U2</v>
          </cell>
        </row>
        <row r="3101">
          <cell r="A3101" t="str">
            <v>1115 Waiver</v>
          </cell>
          <cell r="C3101" t="str">
            <v>STAR+PLUS HCBS</v>
          </cell>
          <cell r="D3101" t="str">
            <v>Out of Home Respite</v>
          </cell>
          <cell r="E3101" t="str">
            <v>OHR Level 5 Assisted Living Single</v>
          </cell>
          <cell r="F3101" t="str">
            <v>S5151SPU8U9U5</v>
          </cell>
        </row>
        <row r="3102">
          <cell r="A3102" t="str">
            <v>1115 Waiver</v>
          </cell>
          <cell r="C3102" t="str">
            <v>STAR+PLUS HCBS</v>
          </cell>
          <cell r="D3102" t="str">
            <v>Out of Home Respite</v>
          </cell>
          <cell r="E3102" t="str">
            <v>OHR Level 5 Assisted Living Single</v>
          </cell>
          <cell r="F3102" t="str">
            <v>S5151MPU8U9U5</v>
          </cell>
        </row>
        <row r="3103">
          <cell r="A3103" t="str">
            <v>1115 Waiver</v>
          </cell>
          <cell r="C3103" t="str">
            <v>STAR+PLUS HCBS</v>
          </cell>
          <cell r="D3103" t="str">
            <v>Out of Home Respite</v>
          </cell>
          <cell r="E3103" t="str">
            <v>OHR Level 5 Assisted Living Single</v>
          </cell>
          <cell r="F3103" t="str">
            <v>S5151SP99U7U1U1</v>
          </cell>
        </row>
        <row r="3104">
          <cell r="A3104" t="str">
            <v>1115 Waiver</v>
          </cell>
          <cell r="C3104" t="str">
            <v>STAR+PLUS HCBS</v>
          </cell>
          <cell r="D3104" t="str">
            <v>Out of Home Respite</v>
          </cell>
          <cell r="E3104" t="str">
            <v>OHR Level 5 Assisted Living Single</v>
          </cell>
          <cell r="F3104" t="str">
            <v>S5151MP99U7U1U1</v>
          </cell>
        </row>
        <row r="3105">
          <cell r="A3105" t="str">
            <v>1115 Waiver</v>
          </cell>
          <cell r="C3105" t="str">
            <v>STAR+PLUS HCBS</v>
          </cell>
          <cell r="D3105" t="str">
            <v>Out of Home Respite</v>
          </cell>
          <cell r="E3105" t="str">
            <v>OHR Level 6 Assisted Living Double</v>
          </cell>
          <cell r="F3105" t="str">
            <v>S5151SPU8UBU6</v>
          </cell>
        </row>
        <row r="3106">
          <cell r="A3106" t="str">
            <v>1115 Waiver</v>
          </cell>
          <cell r="C3106" t="str">
            <v>STAR+PLUS HCBS</v>
          </cell>
          <cell r="D3106" t="str">
            <v>Out of Home Respite</v>
          </cell>
          <cell r="E3106" t="str">
            <v>OHR Level 6 Assisted Living Double</v>
          </cell>
          <cell r="F3106" t="str">
            <v>S5151MPU8UBU6</v>
          </cell>
        </row>
        <row r="3107">
          <cell r="A3107" t="str">
            <v>1115 Waiver</v>
          </cell>
          <cell r="C3107" t="str">
            <v>STAR+PLUS HCBS</v>
          </cell>
          <cell r="D3107" t="str">
            <v>Out of Home Respite</v>
          </cell>
          <cell r="E3107" t="str">
            <v>OHR Level 6 Assisted Living Double</v>
          </cell>
          <cell r="F3107" t="str">
            <v>S5151SP99U8U2U1</v>
          </cell>
        </row>
        <row r="3108">
          <cell r="A3108" t="str">
            <v>1115 Waiver</v>
          </cell>
          <cell r="C3108" t="str">
            <v>STAR+PLUS HCBS</v>
          </cell>
          <cell r="D3108" t="str">
            <v>Out of Home Respite</v>
          </cell>
          <cell r="E3108" t="str">
            <v>OHR Level 6 Assisted Living Double</v>
          </cell>
          <cell r="F3108" t="str">
            <v>S5151MP99U8U2U1</v>
          </cell>
        </row>
        <row r="3109">
          <cell r="A3109" t="str">
            <v>1115 Waiver</v>
          </cell>
          <cell r="C3109" t="str">
            <v>STAR+PLUS HCBS</v>
          </cell>
          <cell r="D3109" t="str">
            <v>Out of Home Respite</v>
          </cell>
          <cell r="E3109" t="str">
            <v>OHR Level 6 Assisted Living Non-Apartment</v>
          </cell>
          <cell r="F3109" t="str">
            <v>S5151SPU8UAU6</v>
          </cell>
        </row>
        <row r="3110">
          <cell r="A3110" t="str">
            <v>1115 Waiver</v>
          </cell>
          <cell r="C3110" t="str">
            <v>STAR+PLUS HCBS</v>
          </cell>
          <cell r="D3110" t="str">
            <v>Out of Home Respite</v>
          </cell>
          <cell r="E3110" t="str">
            <v>OHR Level 6 Assisted Living Non-Apartment</v>
          </cell>
          <cell r="F3110" t="str">
            <v>S5151MPU8UAU6</v>
          </cell>
        </row>
        <row r="3111">
          <cell r="A3111" t="str">
            <v>1115 Waiver</v>
          </cell>
          <cell r="C3111" t="str">
            <v>STAR+PLUS HCBS</v>
          </cell>
          <cell r="D3111" t="str">
            <v>Out of Home Respite</v>
          </cell>
          <cell r="E3111" t="str">
            <v>OHR Level 6 Assisted Living Non-Apartment</v>
          </cell>
          <cell r="F3111" t="str">
            <v>S5151SP99U8U2U2</v>
          </cell>
        </row>
        <row r="3112">
          <cell r="A3112" t="str">
            <v>1115 Waiver</v>
          </cell>
          <cell r="C3112" t="str">
            <v>STAR+PLUS HCBS</v>
          </cell>
          <cell r="D3112" t="str">
            <v>Out of Home Respite</v>
          </cell>
          <cell r="E3112" t="str">
            <v>OHR Level 6 Assisted Living Non-Apartment</v>
          </cell>
          <cell r="F3112" t="str">
            <v>S5151MP99U8U2U2</v>
          </cell>
        </row>
        <row r="3113">
          <cell r="A3113" t="str">
            <v>1115 Waiver</v>
          </cell>
          <cell r="C3113" t="str">
            <v>STAR+PLUS HCBS</v>
          </cell>
          <cell r="D3113" t="str">
            <v>Out of Home Respite</v>
          </cell>
          <cell r="E3113" t="str">
            <v>OHR Level 6 Assisted Living Single</v>
          </cell>
          <cell r="F3113" t="str">
            <v>S5151SPU8U9U6</v>
          </cell>
        </row>
        <row r="3114">
          <cell r="A3114" t="str">
            <v>1115 Waiver</v>
          </cell>
          <cell r="C3114" t="str">
            <v>STAR+PLUS HCBS</v>
          </cell>
          <cell r="D3114" t="str">
            <v>Out of Home Respite</v>
          </cell>
          <cell r="E3114" t="str">
            <v>OHR Level 6 Assisted Living Single</v>
          </cell>
          <cell r="F3114" t="str">
            <v>S5151MPU8U9U6</v>
          </cell>
        </row>
        <row r="3115">
          <cell r="A3115" t="str">
            <v>1115 Waiver</v>
          </cell>
          <cell r="C3115" t="str">
            <v>STAR+PLUS HCBS</v>
          </cell>
          <cell r="D3115" t="str">
            <v>Out of Home Respite</v>
          </cell>
          <cell r="E3115" t="str">
            <v>OHR Level 6 Assisted Living Single</v>
          </cell>
          <cell r="F3115" t="str">
            <v>S5151SP99U8U1U1</v>
          </cell>
        </row>
        <row r="3116">
          <cell r="A3116" t="str">
            <v>1115 Waiver</v>
          </cell>
          <cell r="C3116" t="str">
            <v>STAR+PLUS HCBS</v>
          </cell>
          <cell r="D3116" t="str">
            <v>Out of Home Respite</v>
          </cell>
          <cell r="E3116" t="str">
            <v>OHR Level 6 Assisted Living Single</v>
          </cell>
          <cell r="F3116" t="str">
            <v>S5151MP99U8U1U1</v>
          </cell>
        </row>
        <row r="3117">
          <cell r="A3117" t="str">
            <v>1115 Waiver</v>
          </cell>
          <cell r="C3117" t="str">
            <v>STAR+PLUS HCBS</v>
          </cell>
          <cell r="D3117" t="str">
            <v>Out of Home Respite</v>
          </cell>
          <cell r="E3117" t="str">
            <v xml:space="preserve">Respite Care Adult Foster Care (Level 1) </v>
          </cell>
          <cell r="F3117" t="str">
            <v>S5151SPUDU1</v>
          </cell>
        </row>
        <row r="3118">
          <cell r="A3118" t="str">
            <v>1115 Waiver</v>
          </cell>
          <cell r="C3118" t="str">
            <v>STAR+PLUS HCBS</v>
          </cell>
          <cell r="D3118" t="str">
            <v>Out of Home Respite</v>
          </cell>
          <cell r="E3118" t="str">
            <v xml:space="preserve">Respite Care Adult Foster Care (Level 1) </v>
          </cell>
          <cell r="F3118" t="str">
            <v>S5151MPUDU1</v>
          </cell>
        </row>
        <row r="3119">
          <cell r="A3119" t="str">
            <v>1115 Waiver</v>
          </cell>
          <cell r="C3119" t="str">
            <v>STAR+PLUS HCBS</v>
          </cell>
          <cell r="D3119" t="str">
            <v>Out of Home Respite</v>
          </cell>
          <cell r="E3119" t="str">
            <v xml:space="preserve">Respite Care Adult Foster Care (Level 1) </v>
          </cell>
          <cell r="F3119" t="str">
            <v>S5151SP99U3</v>
          </cell>
        </row>
        <row r="3120">
          <cell r="A3120" t="str">
            <v>1115 Waiver</v>
          </cell>
          <cell r="C3120" t="str">
            <v>STAR+PLUS HCBS</v>
          </cell>
          <cell r="D3120" t="str">
            <v>Out of Home Respite</v>
          </cell>
          <cell r="E3120" t="str">
            <v xml:space="preserve">Respite Care Adult Foster Care (Level 1) </v>
          </cell>
          <cell r="F3120" t="str">
            <v>S5151MP99U3</v>
          </cell>
        </row>
        <row r="3121">
          <cell r="A3121" t="str">
            <v>1115 Waiver</v>
          </cell>
          <cell r="C3121" t="str">
            <v>STAR+PLUS HCBS</v>
          </cell>
          <cell r="D3121" t="str">
            <v>Out of Home Respite</v>
          </cell>
          <cell r="E3121" t="str">
            <v xml:space="preserve">Respite Care Adult Foster Care (Level 2) </v>
          </cell>
          <cell r="F3121" t="str">
            <v>S5151SPUDU2</v>
          </cell>
        </row>
        <row r="3122">
          <cell r="A3122" t="str">
            <v>1115 Waiver</v>
          </cell>
          <cell r="C3122" t="str">
            <v>STAR+PLUS HCBS</v>
          </cell>
          <cell r="D3122" t="str">
            <v>Out of Home Respite</v>
          </cell>
          <cell r="E3122" t="str">
            <v xml:space="preserve">Respite Care Adult Foster Care (Level 2) </v>
          </cell>
          <cell r="F3122" t="str">
            <v>S5151MPUDU2</v>
          </cell>
        </row>
        <row r="3123">
          <cell r="A3123" t="str">
            <v>1115 Waiver</v>
          </cell>
          <cell r="C3123" t="str">
            <v>STAR+PLUS HCBS</v>
          </cell>
          <cell r="D3123" t="str">
            <v>Out of Home Respite</v>
          </cell>
          <cell r="E3123" t="str">
            <v xml:space="preserve">Respite Care Adult Foster Care (Level 2) </v>
          </cell>
          <cell r="F3123" t="str">
            <v>S5151SP99U4</v>
          </cell>
        </row>
        <row r="3124">
          <cell r="A3124" t="str">
            <v>1115 Waiver</v>
          </cell>
          <cell r="C3124" t="str">
            <v>STAR+PLUS HCBS</v>
          </cell>
          <cell r="D3124" t="str">
            <v>Out of Home Respite</v>
          </cell>
          <cell r="E3124" t="str">
            <v xml:space="preserve">Respite Care Adult Foster Care (Level 2) </v>
          </cell>
          <cell r="F3124" t="str">
            <v>S5151MP99U4</v>
          </cell>
        </row>
        <row r="3125">
          <cell r="A3125" t="str">
            <v>1115 Waiver</v>
          </cell>
          <cell r="C3125" t="str">
            <v>STAR+PLUS HCBS</v>
          </cell>
          <cell r="D3125" t="str">
            <v>Out of Home Respite</v>
          </cell>
          <cell r="E3125" t="str">
            <v xml:space="preserve">Respite Care Adult Foster Care (Level 3) </v>
          </cell>
          <cell r="F3125" t="str">
            <v>S5151SPUDU3</v>
          </cell>
        </row>
        <row r="3126">
          <cell r="A3126" t="str">
            <v>1115 Waiver</v>
          </cell>
          <cell r="C3126" t="str">
            <v>STAR+PLUS HCBS</v>
          </cell>
          <cell r="D3126" t="str">
            <v>Out of Home Respite</v>
          </cell>
          <cell r="E3126" t="str">
            <v xml:space="preserve">Respite Care Adult Foster Care (Level 3) </v>
          </cell>
          <cell r="F3126" t="str">
            <v>S5151MPUDU3</v>
          </cell>
        </row>
        <row r="3127">
          <cell r="A3127" t="str">
            <v>1115 Waiver</v>
          </cell>
          <cell r="C3127" t="str">
            <v>STAR+PLUS HCBS</v>
          </cell>
          <cell r="D3127" t="str">
            <v>Out of Home Respite</v>
          </cell>
          <cell r="E3127" t="str">
            <v xml:space="preserve">Respite Care Adult Foster Care (Level 3) </v>
          </cell>
          <cell r="F3127" t="str">
            <v>S5151SP99U5</v>
          </cell>
        </row>
        <row r="3128">
          <cell r="A3128" t="str">
            <v>1115 Waiver</v>
          </cell>
          <cell r="C3128" t="str">
            <v>STAR+PLUS HCBS</v>
          </cell>
          <cell r="D3128" t="str">
            <v>Out of Home Respite</v>
          </cell>
          <cell r="E3128" t="str">
            <v xml:space="preserve">Respite Care Adult Foster Care (Level 3) </v>
          </cell>
          <cell r="F3128" t="str">
            <v>S5151MP99U5</v>
          </cell>
        </row>
        <row r="3129">
          <cell r="A3129" t="str">
            <v>1115 Waiver</v>
          </cell>
          <cell r="C3129" t="str">
            <v>STAR+PLUS HCBS</v>
          </cell>
          <cell r="D3129" t="str">
            <v>Out of Home Respite</v>
          </cell>
          <cell r="E3129" t="str">
            <v>Respite Care Nursing Facility</v>
          </cell>
          <cell r="F3129" t="str">
            <v>S5151SPUC</v>
          </cell>
        </row>
        <row r="3130">
          <cell r="A3130" t="str">
            <v>1115 Waiver</v>
          </cell>
          <cell r="C3130" t="str">
            <v>STAR+PLUS HCBS</v>
          </cell>
          <cell r="D3130" t="str">
            <v>Out of Home Respite</v>
          </cell>
          <cell r="E3130" t="str">
            <v>Respite Care Nursing Facility</v>
          </cell>
          <cell r="F3130" t="str">
            <v>S5151MPUC</v>
          </cell>
        </row>
        <row r="3131">
          <cell r="A3131" t="str">
            <v>1115 Waiver</v>
          </cell>
          <cell r="C3131" t="str">
            <v>STAR+PLUS HCBS</v>
          </cell>
          <cell r="D3131" t="str">
            <v>Out of Home Respite</v>
          </cell>
          <cell r="E3131" t="str">
            <v>Respite Care Nursing Facility</v>
          </cell>
          <cell r="F3131" t="str">
            <v>S5151SP</v>
          </cell>
        </row>
        <row r="3132">
          <cell r="A3132" t="str">
            <v>1115 Waiver</v>
          </cell>
          <cell r="C3132" t="str">
            <v>STAR+PLUS HCBS</v>
          </cell>
          <cell r="D3132" t="str">
            <v>Out of Home Respite</v>
          </cell>
          <cell r="E3132" t="str">
            <v>Respite Care Nursing Facility</v>
          </cell>
          <cell r="F3132" t="str">
            <v>S5151MP</v>
          </cell>
        </row>
        <row r="3133">
          <cell r="A3133" t="str">
            <v>State Plan (Title XIX)</v>
          </cell>
          <cell r="C3133" t="str">
            <v>STAR+PLUS HCBS</v>
          </cell>
          <cell r="D3133" t="str">
            <v>PAS/HAB</v>
          </cell>
          <cell r="E3133" t="str">
            <v xml:space="preserve">Habilitation (AO) (HCBS) (CFC) </v>
          </cell>
          <cell r="F3133" t="str">
            <v>T2017SPU3U7</v>
          </cell>
          <cell r="P3133" t="str">
            <v>CFC</v>
          </cell>
        </row>
        <row r="3134">
          <cell r="A3134" t="str">
            <v>State Plan (Title XIX)</v>
          </cell>
          <cell r="C3134" t="str">
            <v>STAR+PLUS HCBS</v>
          </cell>
          <cell r="D3134" t="str">
            <v>PAS/HAB</v>
          </cell>
          <cell r="E3134" t="str">
            <v xml:space="preserve">Habilitation (AO) (HCBS) (CFC) </v>
          </cell>
          <cell r="F3134" t="str">
            <v>T2017MPU3U7</v>
          </cell>
          <cell r="P3134" t="str">
            <v>CFC</v>
          </cell>
        </row>
        <row r="3135">
          <cell r="A3135" t="str">
            <v>State Plan (Title XIX)</v>
          </cell>
          <cell r="C3135" t="str">
            <v>STAR+PLUS HCBS</v>
          </cell>
          <cell r="D3135" t="str">
            <v>PAS/HAB</v>
          </cell>
          <cell r="E3135" t="str">
            <v xml:space="preserve">Habilitation (AO) (HCBS) (CFC) </v>
          </cell>
          <cell r="F3135" t="str">
            <v>T2021SPU3U3U3</v>
          </cell>
          <cell r="P3135" t="str">
            <v>CFC</v>
          </cell>
        </row>
        <row r="3136">
          <cell r="A3136" t="str">
            <v>State Plan (Title XIX)</v>
          </cell>
          <cell r="C3136" t="str">
            <v>STAR+PLUS HCBS</v>
          </cell>
          <cell r="D3136" t="str">
            <v>PAS/HAB</v>
          </cell>
          <cell r="E3136" t="str">
            <v xml:space="preserve">Habilitation (AO) (HCBS) (CFC) </v>
          </cell>
          <cell r="F3136" t="str">
            <v>T2021MPU3U3U3</v>
          </cell>
          <cell r="P3136" t="str">
            <v>CFC</v>
          </cell>
        </row>
        <row r="3137">
          <cell r="A3137" t="str">
            <v>State Plan (Title XIX)</v>
          </cell>
          <cell r="C3137" t="str">
            <v>STAR+PLUS HCBS</v>
          </cell>
          <cell r="D3137" t="str">
            <v>PAS/HAB</v>
          </cell>
          <cell r="E3137" t="str">
            <v xml:space="preserve">Habilitation (CDS) (CFC) </v>
          </cell>
          <cell r="F3137" t="str">
            <v>T2017SPU3U7UC</v>
          </cell>
          <cell r="P3137" t="str">
            <v>CFC</v>
          </cell>
        </row>
        <row r="3138">
          <cell r="A3138" t="str">
            <v>State Plan (Title XIX)</v>
          </cell>
          <cell r="C3138" t="str">
            <v>STAR+PLUS HCBS</v>
          </cell>
          <cell r="D3138" t="str">
            <v>PAS/HAB</v>
          </cell>
          <cell r="E3138" t="str">
            <v xml:space="preserve">Habilitation (CDS) (CFC) </v>
          </cell>
          <cell r="F3138" t="str">
            <v>T2017MPU3U7UC</v>
          </cell>
          <cell r="P3138" t="str">
            <v>CFC</v>
          </cell>
        </row>
        <row r="3139">
          <cell r="A3139" t="str">
            <v>State Plan (Title XIX)</v>
          </cell>
          <cell r="C3139" t="str">
            <v>STAR+PLUS HCBS</v>
          </cell>
          <cell r="D3139" t="str">
            <v>PAS/HAB</v>
          </cell>
          <cell r="E3139" t="str">
            <v xml:space="preserve">Habilitation (CDS) (HCBS) (CFC) </v>
          </cell>
          <cell r="F3139" t="str">
            <v>T2017SPU3UCU7</v>
          </cell>
          <cell r="P3139" t="str">
            <v>CFC</v>
          </cell>
        </row>
        <row r="3140">
          <cell r="A3140" t="str">
            <v>State Plan (Title XIX)</v>
          </cell>
          <cell r="C3140" t="str">
            <v>STAR+PLUS HCBS</v>
          </cell>
          <cell r="D3140" t="str">
            <v>PAS/HAB</v>
          </cell>
          <cell r="E3140" t="str">
            <v xml:space="preserve">Habilitation (CDS) (HCBS) (CFC) </v>
          </cell>
          <cell r="F3140" t="str">
            <v>T2017MPU3UCU7</v>
          </cell>
          <cell r="P3140" t="str">
            <v>CFC</v>
          </cell>
        </row>
        <row r="3141">
          <cell r="A3141" t="str">
            <v>State Plan (Title XIX)</v>
          </cell>
          <cell r="C3141" t="str">
            <v>STAR+PLUS HCBS</v>
          </cell>
          <cell r="D3141" t="str">
            <v>PAS/HAB</v>
          </cell>
          <cell r="E3141" t="str">
            <v xml:space="preserve">Habilitation (CDS) (HCBS) (CFC) </v>
          </cell>
          <cell r="F3141" t="str">
            <v>T2021SPU3U3U3UC</v>
          </cell>
          <cell r="P3141" t="str">
            <v>CFC</v>
          </cell>
        </row>
        <row r="3142">
          <cell r="A3142" t="str">
            <v>State Plan (Title XIX)</v>
          </cell>
          <cell r="C3142" t="str">
            <v>STAR+PLUS HCBS</v>
          </cell>
          <cell r="D3142" t="str">
            <v>PAS/HAB</v>
          </cell>
          <cell r="E3142" t="str">
            <v xml:space="preserve">Habilitation (CDS) (HCBS) (CFC) </v>
          </cell>
          <cell r="F3142" t="str">
            <v>T2021MPU3U3U3UC</v>
          </cell>
          <cell r="P3142" t="str">
            <v>CFC</v>
          </cell>
        </row>
        <row r="3143">
          <cell r="A3143" t="str">
            <v>State Plan (Title XIX)</v>
          </cell>
          <cell r="C3143" t="str">
            <v>STAR+PLUS HCBS</v>
          </cell>
          <cell r="D3143" t="str">
            <v>PAS/HAB</v>
          </cell>
          <cell r="E3143" t="str">
            <v xml:space="preserve">Habilitation (SRO) (CFC) </v>
          </cell>
          <cell r="F3143" t="str">
            <v>T2017SPU3U7UD</v>
          </cell>
          <cell r="P3143" t="str">
            <v>CFC</v>
          </cell>
        </row>
        <row r="3144">
          <cell r="A3144" t="str">
            <v>State Plan (Title XIX)</v>
          </cell>
          <cell r="C3144" t="str">
            <v>STAR+PLUS HCBS</v>
          </cell>
          <cell r="D3144" t="str">
            <v>PAS/HAB</v>
          </cell>
          <cell r="E3144" t="str">
            <v xml:space="preserve">Habilitation (SRO) (CFC) </v>
          </cell>
          <cell r="F3144" t="str">
            <v>T2017MPU3U7UD</v>
          </cell>
          <cell r="P3144" t="str">
            <v>CFC</v>
          </cell>
        </row>
        <row r="3145">
          <cell r="A3145" t="str">
            <v>State Plan (Title XIX)</v>
          </cell>
          <cell r="C3145" t="str">
            <v>STAR+PLUS HCBS</v>
          </cell>
          <cell r="D3145" t="str">
            <v>PAS/HAB</v>
          </cell>
          <cell r="E3145" t="str">
            <v xml:space="preserve">Habilitation (SRO) (HCBS) (CFC) </v>
          </cell>
          <cell r="F3145" t="str">
            <v>T2017SPU3UDU7</v>
          </cell>
          <cell r="P3145" t="str">
            <v>CFC</v>
          </cell>
        </row>
        <row r="3146">
          <cell r="A3146" t="str">
            <v>State Plan (Title XIX)</v>
          </cell>
          <cell r="C3146" t="str">
            <v>STAR+PLUS HCBS</v>
          </cell>
          <cell r="D3146" t="str">
            <v>PAS/HAB</v>
          </cell>
          <cell r="E3146" t="str">
            <v xml:space="preserve">Habilitation (SRO) (HCBS) (CFC) </v>
          </cell>
          <cell r="F3146" t="str">
            <v>T2017MPU3UDU7</v>
          </cell>
          <cell r="P3146" t="str">
            <v>CFC</v>
          </cell>
        </row>
        <row r="3147">
          <cell r="A3147" t="str">
            <v>State Plan (Title XIX)</v>
          </cell>
          <cell r="C3147" t="str">
            <v>STAR+PLUS HCBS</v>
          </cell>
          <cell r="D3147" t="str">
            <v>PAS/HAB</v>
          </cell>
          <cell r="E3147" t="str">
            <v xml:space="preserve">Habilitation (SRO) (HCBS) (CFC) </v>
          </cell>
          <cell r="F3147" t="str">
            <v>T2021SPU3U3U3US</v>
          </cell>
          <cell r="P3147" t="str">
            <v>CFC</v>
          </cell>
        </row>
        <row r="3148">
          <cell r="A3148" t="str">
            <v>State Plan (Title XIX)</v>
          </cell>
          <cell r="C3148" t="str">
            <v>STAR+PLUS HCBS</v>
          </cell>
          <cell r="D3148" t="str">
            <v>PAS/HAB</v>
          </cell>
          <cell r="E3148" t="str">
            <v xml:space="preserve">Habilitation (SRO) (HCBS) (CFC) </v>
          </cell>
          <cell r="F3148" t="str">
            <v>T2021MPU3U3U3US</v>
          </cell>
          <cell r="P3148" t="str">
            <v>CFC</v>
          </cell>
        </row>
        <row r="3149">
          <cell r="A3149" t="str">
            <v>1115 Waiver</v>
          </cell>
          <cell r="C3149" t="str">
            <v>STAR+PLUS HCBS</v>
          </cell>
          <cell r="D3149" t="str">
            <v>PAS/HAB</v>
          </cell>
          <cell r="E3149" t="str">
            <v xml:space="preserve">PAS (AO) (HCBS) </v>
          </cell>
          <cell r="F3149" t="str">
            <v>S5125SPU3</v>
          </cell>
        </row>
        <row r="3150">
          <cell r="A3150" t="str">
            <v>1115 Waiver</v>
          </cell>
          <cell r="C3150" t="str">
            <v>STAR+PLUS HCBS</v>
          </cell>
          <cell r="D3150" t="str">
            <v>PAS/HAB</v>
          </cell>
          <cell r="E3150" t="str">
            <v xml:space="preserve">PAS (AO) (HCBS) </v>
          </cell>
          <cell r="F3150" t="str">
            <v>S5125MPU3</v>
          </cell>
        </row>
        <row r="3151">
          <cell r="A3151" t="str">
            <v>1115 Waiver</v>
          </cell>
          <cell r="C3151" t="str">
            <v>STAR+PLUS HCBS</v>
          </cell>
          <cell r="D3151" t="str">
            <v>PAS/HAB</v>
          </cell>
          <cell r="E3151" t="str">
            <v xml:space="preserve">PAS (AO) (HCBS) </v>
          </cell>
          <cell r="F3151" t="str">
            <v>S5125SPU3U3</v>
          </cell>
        </row>
        <row r="3152">
          <cell r="A3152" t="str">
            <v>1115 Waiver</v>
          </cell>
          <cell r="C3152" t="str">
            <v>STAR+PLUS HCBS</v>
          </cell>
          <cell r="D3152" t="str">
            <v>PAS/HAB</v>
          </cell>
          <cell r="E3152" t="str">
            <v xml:space="preserve">PAS (AO) (HCBS) </v>
          </cell>
          <cell r="F3152" t="str">
            <v>S5125MPU3U3</v>
          </cell>
        </row>
        <row r="3153">
          <cell r="A3153" t="str">
            <v>State Plan (Title XIX)</v>
          </cell>
          <cell r="C3153" t="str">
            <v>STAR+PLUS HCBS</v>
          </cell>
          <cell r="D3153" t="str">
            <v>PAS/HAB</v>
          </cell>
          <cell r="E3153" t="str">
            <v xml:space="preserve">PAS (AO) (HCBS) (CFC) </v>
          </cell>
          <cell r="F3153" t="str">
            <v>S5125SPU3U7</v>
          </cell>
          <cell r="P3153" t="str">
            <v>CFC</v>
          </cell>
        </row>
        <row r="3154">
          <cell r="A3154" t="str">
            <v>State Plan (Title XIX)</v>
          </cell>
          <cell r="C3154" t="str">
            <v>STAR+PLUS HCBS</v>
          </cell>
          <cell r="D3154" t="str">
            <v>PAS/HAB</v>
          </cell>
          <cell r="E3154" t="str">
            <v xml:space="preserve">PAS (AO) (HCBS) (CFC) </v>
          </cell>
          <cell r="F3154" t="str">
            <v>S5125MPU3U7</v>
          </cell>
          <cell r="P3154" t="str">
            <v>CFC</v>
          </cell>
        </row>
        <row r="3155">
          <cell r="A3155" t="str">
            <v>State Plan (Title XIX)</v>
          </cell>
          <cell r="C3155" t="str">
            <v>STAR+PLUS HCBS</v>
          </cell>
          <cell r="D3155" t="str">
            <v>PAS/HAB</v>
          </cell>
          <cell r="E3155" t="str">
            <v xml:space="preserve">PAS (AO) (HCBS) (CFC) </v>
          </cell>
          <cell r="F3155" t="str">
            <v>S5125SPU3U3U3</v>
          </cell>
          <cell r="P3155" t="str">
            <v>CFC</v>
          </cell>
        </row>
        <row r="3156">
          <cell r="A3156" t="str">
            <v>State Plan (Title XIX)</v>
          </cell>
          <cell r="C3156" t="str">
            <v>STAR+PLUS HCBS</v>
          </cell>
          <cell r="D3156" t="str">
            <v>PAS/HAB</v>
          </cell>
          <cell r="E3156" t="str">
            <v xml:space="preserve">PAS (AO) (HCBS) (CFC) </v>
          </cell>
          <cell r="F3156" t="str">
            <v>S5125MPU3U3U3</v>
          </cell>
          <cell r="P3156" t="str">
            <v>CFC</v>
          </cell>
        </row>
        <row r="3157">
          <cell r="A3157" t="str">
            <v>State Plan (Title XIX)</v>
          </cell>
          <cell r="C3157" t="str">
            <v>STAR+PLUS HCBS</v>
          </cell>
          <cell r="D3157" t="str">
            <v>PAS/HAB</v>
          </cell>
          <cell r="E3157" t="str">
            <v xml:space="preserve">PAS (CDS) (CFC) </v>
          </cell>
          <cell r="F3157" t="str">
            <v>S5125SPU3U7UC</v>
          </cell>
          <cell r="P3157" t="str">
            <v>CFC</v>
          </cell>
        </row>
        <row r="3158">
          <cell r="A3158" t="str">
            <v>State Plan (Title XIX)</v>
          </cell>
          <cell r="C3158" t="str">
            <v>STAR+PLUS HCBS</v>
          </cell>
          <cell r="D3158" t="str">
            <v>PAS/HAB</v>
          </cell>
          <cell r="E3158" t="str">
            <v xml:space="preserve">PAS (CDS) (CFC) </v>
          </cell>
          <cell r="F3158" t="str">
            <v>S5125MPU3U7UC</v>
          </cell>
          <cell r="P3158" t="str">
            <v>CFC</v>
          </cell>
        </row>
        <row r="3159">
          <cell r="A3159" t="str">
            <v>1115 Waiver</v>
          </cell>
          <cell r="C3159" t="str">
            <v>STAR+PLUS HCBS</v>
          </cell>
          <cell r="D3159" t="str">
            <v>PAS/HAB</v>
          </cell>
          <cell r="E3159" t="str">
            <v xml:space="preserve">PAS (CDS) (HCBS) </v>
          </cell>
          <cell r="F3159" t="str">
            <v>S5125SPU3UC</v>
          </cell>
        </row>
        <row r="3160">
          <cell r="A3160" t="str">
            <v>1115 Waiver</v>
          </cell>
          <cell r="C3160" t="str">
            <v>STAR+PLUS HCBS</v>
          </cell>
          <cell r="D3160" t="str">
            <v>PAS/HAB</v>
          </cell>
          <cell r="E3160" t="str">
            <v xml:space="preserve">PAS (CDS) (HCBS) </v>
          </cell>
          <cell r="F3160" t="str">
            <v>S5125MPU3UC</v>
          </cell>
        </row>
        <row r="3161">
          <cell r="A3161" t="str">
            <v>1115 Waiver</v>
          </cell>
          <cell r="C3161" t="str">
            <v>STAR+PLUS HCBS</v>
          </cell>
          <cell r="D3161" t="str">
            <v>PAS/HAB</v>
          </cell>
          <cell r="E3161" t="str">
            <v xml:space="preserve">PAS (CDS) (HCBS) </v>
          </cell>
          <cell r="F3161" t="str">
            <v>S5125SPU39999UC</v>
          </cell>
        </row>
        <row r="3162">
          <cell r="A3162" t="str">
            <v>1115 Waiver</v>
          </cell>
          <cell r="C3162" t="str">
            <v>STAR+PLUS HCBS</v>
          </cell>
          <cell r="D3162" t="str">
            <v>PAS/HAB</v>
          </cell>
          <cell r="E3162" t="str">
            <v xml:space="preserve">PAS (CDS) (HCBS) </v>
          </cell>
          <cell r="F3162" t="str">
            <v>S5125MPU39999UC</v>
          </cell>
        </row>
        <row r="3163">
          <cell r="A3163" t="str">
            <v>State Plan (Title XIX)</v>
          </cell>
          <cell r="C3163" t="str">
            <v>STAR+PLUS HCBS</v>
          </cell>
          <cell r="D3163" t="str">
            <v>PAS/HAB</v>
          </cell>
          <cell r="E3163" t="str">
            <v xml:space="preserve">PAS (CDS) (HCBS) (CFC) </v>
          </cell>
          <cell r="F3163" t="str">
            <v>S5125SPU3UCU7</v>
          </cell>
          <cell r="P3163" t="str">
            <v>CFC</v>
          </cell>
        </row>
        <row r="3164">
          <cell r="A3164" t="str">
            <v>State Plan (Title XIX)</v>
          </cell>
          <cell r="C3164" t="str">
            <v>STAR+PLUS HCBS</v>
          </cell>
          <cell r="D3164" t="str">
            <v>PAS/HAB</v>
          </cell>
          <cell r="E3164" t="str">
            <v xml:space="preserve">PAS (CDS) (HCBS) (CFC) </v>
          </cell>
          <cell r="F3164" t="str">
            <v>S5125MPU3UCU7</v>
          </cell>
          <cell r="P3164" t="str">
            <v>CFC</v>
          </cell>
        </row>
        <row r="3165">
          <cell r="A3165" t="str">
            <v>State Plan (Title XIX)</v>
          </cell>
          <cell r="C3165" t="str">
            <v>STAR+PLUS HCBS</v>
          </cell>
          <cell r="D3165" t="str">
            <v>PAS/HAB</v>
          </cell>
          <cell r="E3165" t="str">
            <v xml:space="preserve">PAS (CDS) (HCBS) (CFC) </v>
          </cell>
          <cell r="F3165" t="str">
            <v>S5125SPU399U3UC</v>
          </cell>
          <cell r="P3165" t="str">
            <v>CFC</v>
          </cell>
        </row>
        <row r="3166">
          <cell r="A3166" t="str">
            <v>State Plan (Title XIX)</v>
          </cell>
          <cell r="C3166" t="str">
            <v>STAR+PLUS HCBS</v>
          </cell>
          <cell r="D3166" t="str">
            <v>PAS/HAB</v>
          </cell>
          <cell r="E3166" t="str">
            <v xml:space="preserve">PAS (CDS) (HCBS) (CFC) </v>
          </cell>
          <cell r="F3166" t="str">
            <v>S5125MPU399U3UC</v>
          </cell>
          <cell r="P3166" t="str">
            <v>CFC</v>
          </cell>
        </row>
        <row r="3167">
          <cell r="A3167" t="str">
            <v>State Plan (Title XIX)</v>
          </cell>
          <cell r="C3167" t="str">
            <v>STAR+PLUS HCBS</v>
          </cell>
          <cell r="D3167" t="str">
            <v>PAS/HAB</v>
          </cell>
          <cell r="E3167" t="str">
            <v xml:space="preserve">PAS (SRO) (CFC) </v>
          </cell>
          <cell r="F3167" t="str">
            <v>S5125SPU3U7UD</v>
          </cell>
          <cell r="P3167" t="str">
            <v>CFC</v>
          </cell>
        </row>
        <row r="3168">
          <cell r="A3168" t="str">
            <v>State Plan (Title XIX)</v>
          </cell>
          <cell r="C3168" t="str">
            <v>STAR+PLUS HCBS</v>
          </cell>
          <cell r="D3168" t="str">
            <v>PAS/HAB</v>
          </cell>
          <cell r="E3168" t="str">
            <v xml:space="preserve">PAS (SRO) (CFC) </v>
          </cell>
          <cell r="F3168" t="str">
            <v>S5125MPU3U7UD</v>
          </cell>
          <cell r="P3168" t="str">
            <v>CFC</v>
          </cell>
        </row>
        <row r="3169">
          <cell r="A3169" t="str">
            <v>1115 Waiver</v>
          </cell>
          <cell r="C3169" t="str">
            <v>STAR+PLUS HCBS</v>
          </cell>
          <cell r="D3169" t="str">
            <v>PAS/HAB</v>
          </cell>
          <cell r="E3169" t="str">
            <v xml:space="preserve">PAS (SRO) (HCBS) </v>
          </cell>
          <cell r="F3169" t="str">
            <v>S5125SPU3UD</v>
          </cell>
        </row>
        <row r="3170">
          <cell r="A3170" t="str">
            <v>1115 Waiver</v>
          </cell>
          <cell r="C3170" t="str">
            <v>STAR+PLUS HCBS</v>
          </cell>
          <cell r="D3170" t="str">
            <v>PAS/HAB</v>
          </cell>
          <cell r="E3170" t="str">
            <v xml:space="preserve">PAS (SRO) (HCBS) </v>
          </cell>
          <cell r="F3170" t="str">
            <v>S5125MPU3UD</v>
          </cell>
        </row>
        <row r="3171">
          <cell r="A3171" t="str">
            <v>1115 Waiver</v>
          </cell>
          <cell r="C3171" t="str">
            <v>STAR+PLUS HCBS</v>
          </cell>
          <cell r="D3171" t="str">
            <v>PAS/HAB</v>
          </cell>
          <cell r="E3171" t="str">
            <v xml:space="preserve">PAS (SRO) (HCBS) </v>
          </cell>
          <cell r="F3171" t="str">
            <v>S5125SPU39999US</v>
          </cell>
        </row>
        <row r="3172">
          <cell r="A3172" t="str">
            <v>1115 Waiver</v>
          </cell>
          <cell r="C3172" t="str">
            <v>STAR+PLUS HCBS</v>
          </cell>
          <cell r="D3172" t="str">
            <v>PAS/HAB</v>
          </cell>
          <cell r="E3172" t="str">
            <v xml:space="preserve">PAS (SRO) (HCBS) </v>
          </cell>
          <cell r="F3172" t="str">
            <v>S5125MPU39999US</v>
          </cell>
        </row>
        <row r="3173">
          <cell r="A3173" t="str">
            <v>State Plan (Title XIX)</v>
          </cell>
          <cell r="C3173" t="str">
            <v>STAR+PLUS HCBS</v>
          </cell>
          <cell r="D3173" t="str">
            <v>PAS/HAB</v>
          </cell>
          <cell r="E3173" t="str">
            <v xml:space="preserve">PAS (SRO) (HCBS) (CFC) </v>
          </cell>
          <cell r="F3173" t="str">
            <v>S5125SPU3UDU7</v>
          </cell>
          <cell r="P3173" t="str">
            <v>CFC</v>
          </cell>
        </row>
        <row r="3174">
          <cell r="A3174" t="str">
            <v>State Plan (Title XIX)</v>
          </cell>
          <cell r="C3174" t="str">
            <v>STAR+PLUS HCBS</v>
          </cell>
          <cell r="D3174" t="str">
            <v>PAS/HAB</v>
          </cell>
          <cell r="E3174" t="str">
            <v xml:space="preserve">PAS (SRO) (HCBS) (CFC) </v>
          </cell>
          <cell r="F3174" t="str">
            <v>S5125MPU3UDU7</v>
          </cell>
          <cell r="P3174" t="str">
            <v>CFC</v>
          </cell>
        </row>
        <row r="3175">
          <cell r="A3175" t="str">
            <v>State Plan (Title XIX)</v>
          </cell>
          <cell r="C3175" t="str">
            <v>STAR+PLUS HCBS</v>
          </cell>
          <cell r="D3175" t="str">
            <v>PAS/HAB</v>
          </cell>
          <cell r="E3175" t="str">
            <v xml:space="preserve">PAS (SRO) (HCBS) (CFC) </v>
          </cell>
          <cell r="F3175" t="str">
            <v>S5125SPU399U3US</v>
          </cell>
          <cell r="P3175" t="str">
            <v>CFC</v>
          </cell>
        </row>
        <row r="3176">
          <cell r="A3176" t="str">
            <v>State Plan (Title XIX)</v>
          </cell>
          <cell r="C3176" t="str">
            <v>STAR+PLUS HCBS</v>
          </cell>
          <cell r="D3176" t="str">
            <v>PAS/HAB</v>
          </cell>
          <cell r="E3176" t="str">
            <v xml:space="preserve">PAS (SRO) (HCBS) (CFC) </v>
          </cell>
          <cell r="F3176" t="str">
            <v>S5125MPU399U3US</v>
          </cell>
          <cell r="P3176" t="str">
            <v>CFC</v>
          </cell>
        </row>
        <row r="3177">
          <cell r="A3177" t="str">
            <v>1115 Waiver</v>
          </cell>
          <cell r="C3177" t="str">
            <v>STAR+PLUS HCBS</v>
          </cell>
          <cell r="D3177" t="str">
            <v>PAS/HAB</v>
          </cell>
          <cell r="E3177" t="str">
            <v xml:space="preserve">PAS Protective Supervision (AO) (HCBS) </v>
          </cell>
          <cell r="F3177" t="str">
            <v>S5125SPU3U1</v>
          </cell>
        </row>
        <row r="3178">
          <cell r="A3178" t="str">
            <v>1115 Waiver</v>
          </cell>
          <cell r="C3178" t="str">
            <v>STAR+PLUS HCBS</v>
          </cell>
          <cell r="D3178" t="str">
            <v>PAS/HAB</v>
          </cell>
          <cell r="E3178" t="str">
            <v xml:space="preserve">PAS Protective Supervision (AO) (HCBS) </v>
          </cell>
          <cell r="F3178" t="str">
            <v>S5125MPU3U1</v>
          </cell>
        </row>
        <row r="3179">
          <cell r="A3179" t="str">
            <v>1115 Waiver</v>
          </cell>
          <cell r="C3179" t="str">
            <v>STAR+PLUS HCBS</v>
          </cell>
          <cell r="D3179" t="str">
            <v>PAS/HAB</v>
          </cell>
          <cell r="E3179" t="str">
            <v xml:space="preserve">PAS Protective Supervision (AO) (HCBS) </v>
          </cell>
          <cell r="F3179" t="str">
            <v>S5125SPU3U5</v>
          </cell>
        </row>
        <row r="3180">
          <cell r="A3180" t="str">
            <v>1115 Waiver</v>
          </cell>
          <cell r="C3180" t="str">
            <v>STAR+PLUS HCBS</v>
          </cell>
          <cell r="D3180" t="str">
            <v>PAS/HAB</v>
          </cell>
          <cell r="E3180" t="str">
            <v xml:space="preserve">PAS Protective Supervision (AO) (HCBS) </v>
          </cell>
          <cell r="F3180" t="str">
            <v>S5125MPU3U5</v>
          </cell>
        </row>
        <row r="3181">
          <cell r="A3181" t="str">
            <v>1115 Waiver</v>
          </cell>
          <cell r="C3181" t="str">
            <v>STAR+PLUS HCBS</v>
          </cell>
          <cell r="D3181" t="str">
            <v>PAS/HAB</v>
          </cell>
          <cell r="E3181" t="str">
            <v xml:space="preserve">PAS Protective Supervision (CDS) </v>
          </cell>
          <cell r="F3181" t="str">
            <v>S5125SPU3U1UC</v>
          </cell>
        </row>
        <row r="3182">
          <cell r="A3182" t="str">
            <v>1115 Waiver</v>
          </cell>
          <cell r="C3182" t="str">
            <v>STAR+PLUS HCBS</v>
          </cell>
          <cell r="D3182" t="str">
            <v>PAS/HAB</v>
          </cell>
          <cell r="E3182" t="str">
            <v xml:space="preserve">PAS Protective Supervision (CDS) </v>
          </cell>
          <cell r="F3182" t="str">
            <v>S5125MPU3U1UC</v>
          </cell>
        </row>
        <row r="3183">
          <cell r="A3183" t="str">
            <v>1115 Waiver</v>
          </cell>
          <cell r="C3183" t="str">
            <v>STAR+PLUS HCBS</v>
          </cell>
          <cell r="D3183" t="str">
            <v>PAS/HAB</v>
          </cell>
          <cell r="E3183" t="str">
            <v xml:space="preserve">PAS Protective Supervision (CDS) </v>
          </cell>
          <cell r="F3183" t="str">
            <v>S5125MPU3UCU1</v>
          </cell>
        </row>
        <row r="3184">
          <cell r="A3184" t="str">
            <v>1115 Waiver</v>
          </cell>
          <cell r="C3184" t="str">
            <v>STAR+PLUS HCBS</v>
          </cell>
          <cell r="D3184" t="str">
            <v>PAS/HAB</v>
          </cell>
          <cell r="E3184" t="str">
            <v xml:space="preserve">PAS Protective Supervision (CDS) </v>
          </cell>
          <cell r="F3184" t="str">
            <v>S5125SPU3UCU1</v>
          </cell>
        </row>
        <row r="3185">
          <cell r="A3185" t="str">
            <v>1115 Waiver</v>
          </cell>
          <cell r="C3185" t="str">
            <v>STAR+PLUS HCBS</v>
          </cell>
          <cell r="D3185" t="str">
            <v>PAS/HAB</v>
          </cell>
          <cell r="E3185" t="str">
            <v xml:space="preserve">PAS Protective Supervision (CDS) (HCBS) </v>
          </cell>
          <cell r="F3185" t="str">
            <v>S5125SPU3U599UC</v>
          </cell>
        </row>
        <row r="3186">
          <cell r="A3186" t="str">
            <v>1115 Waiver</v>
          </cell>
          <cell r="C3186" t="str">
            <v>STAR+PLUS HCBS</v>
          </cell>
          <cell r="D3186" t="str">
            <v>PAS/HAB</v>
          </cell>
          <cell r="E3186" t="str">
            <v xml:space="preserve">PAS Protective Supervision (CDS) (HCBS) </v>
          </cell>
          <cell r="F3186" t="str">
            <v>S5125MPU3U599UC</v>
          </cell>
        </row>
        <row r="3187">
          <cell r="A3187" t="str">
            <v>1115 Waiver</v>
          </cell>
          <cell r="C3187" t="str">
            <v>STAR+PLUS HCBS</v>
          </cell>
          <cell r="D3187" t="str">
            <v>PAS/HAB</v>
          </cell>
          <cell r="E3187" t="str">
            <v xml:space="preserve">PAS Protective Supervision (SRO) </v>
          </cell>
          <cell r="F3187" t="str">
            <v>S5125SPU3U1UD</v>
          </cell>
        </row>
        <row r="3188">
          <cell r="A3188" t="str">
            <v>1115 Waiver</v>
          </cell>
          <cell r="C3188" t="str">
            <v>STAR+PLUS HCBS</v>
          </cell>
          <cell r="D3188" t="str">
            <v>PAS/HAB</v>
          </cell>
          <cell r="E3188" t="str">
            <v xml:space="preserve">PAS Protective Supervision (SRO) </v>
          </cell>
          <cell r="F3188" t="str">
            <v>S5125MPU3U1UD</v>
          </cell>
        </row>
        <row r="3189">
          <cell r="A3189" t="str">
            <v>1115 Waiver</v>
          </cell>
          <cell r="C3189" t="str">
            <v>STAR+PLUS HCBS</v>
          </cell>
          <cell r="D3189" t="str">
            <v>PAS/HAB</v>
          </cell>
          <cell r="E3189" t="str">
            <v xml:space="preserve">PAS Protective Supervision (SRO) </v>
          </cell>
          <cell r="F3189" t="str">
            <v>S5125MPU3UDU1</v>
          </cell>
        </row>
        <row r="3190">
          <cell r="A3190" t="str">
            <v>1115 Waiver</v>
          </cell>
          <cell r="C3190" t="str">
            <v>STAR+PLUS HCBS</v>
          </cell>
          <cell r="D3190" t="str">
            <v>PAS/HAB</v>
          </cell>
          <cell r="E3190" t="str">
            <v xml:space="preserve">PAS Protective Supervision (SRO) </v>
          </cell>
          <cell r="F3190" t="str">
            <v>S5125SPU3UDU1</v>
          </cell>
        </row>
        <row r="3191">
          <cell r="A3191" t="str">
            <v>1115 Waiver</v>
          </cell>
          <cell r="C3191" t="str">
            <v>STAR+PLUS HCBS</v>
          </cell>
          <cell r="D3191" t="str">
            <v>PAS/HAB</v>
          </cell>
          <cell r="E3191" t="str">
            <v xml:space="preserve">PAS Protective Supervision (SRO) (HCBS) </v>
          </cell>
          <cell r="F3191" t="str">
            <v>S5125SPU3U599US</v>
          </cell>
        </row>
        <row r="3192">
          <cell r="A3192" t="str">
            <v>1115 Waiver</v>
          </cell>
          <cell r="C3192" t="str">
            <v>STAR+PLUS HCBS</v>
          </cell>
          <cell r="D3192" t="str">
            <v>PAS/HAB</v>
          </cell>
          <cell r="E3192" t="str">
            <v xml:space="preserve">PAS Protective Supervision (SRO) (HCBS) </v>
          </cell>
          <cell r="F3192" t="str">
            <v>S5125MPU3U599US</v>
          </cell>
        </row>
        <row r="3193">
          <cell r="A3193" t="str">
            <v>1115 Waiver</v>
          </cell>
          <cell r="C3193" t="str">
            <v>STAR+PLUS HCBS</v>
          </cell>
          <cell r="D3193" t="str">
            <v>PT/OT/ST</v>
          </cell>
          <cell r="E3193" t="str">
            <v xml:space="preserve">Occupational Therapy: Home per diem (AO) </v>
          </cell>
          <cell r="F3193" t="str">
            <v>S9129SPU3</v>
          </cell>
        </row>
        <row r="3194">
          <cell r="A3194" t="str">
            <v>1115 Waiver</v>
          </cell>
          <cell r="C3194" t="str">
            <v>STAR+PLUS HCBS</v>
          </cell>
          <cell r="D3194" t="str">
            <v>PT/OT/ST</v>
          </cell>
          <cell r="E3194" t="str">
            <v xml:space="preserve">Occupational Therapy: Home per diem (AO) </v>
          </cell>
          <cell r="F3194" t="str">
            <v>S9129MPU3</v>
          </cell>
        </row>
        <row r="3195">
          <cell r="A3195" t="str">
            <v>1115 Waiver</v>
          </cell>
          <cell r="C3195" t="str">
            <v>STAR+PLUS HCBS</v>
          </cell>
          <cell r="D3195" t="str">
            <v>PT/OT/ST</v>
          </cell>
          <cell r="E3195" t="str">
            <v xml:space="preserve">Occupational Therapy: Home per diem (AO) </v>
          </cell>
          <cell r="F3195" t="str">
            <v>S9129SPU3U3</v>
          </cell>
        </row>
        <row r="3196">
          <cell r="A3196" t="str">
            <v>1115 Waiver</v>
          </cell>
          <cell r="C3196" t="str">
            <v>STAR+PLUS HCBS</v>
          </cell>
          <cell r="D3196" t="str">
            <v>PT/OT/ST</v>
          </cell>
          <cell r="E3196" t="str">
            <v xml:space="preserve">Occupational Therapy: Home per diem (AO) </v>
          </cell>
          <cell r="F3196" t="str">
            <v>S9129MPU3U3</v>
          </cell>
        </row>
        <row r="3197">
          <cell r="A3197" t="str">
            <v>1115 Waiver</v>
          </cell>
          <cell r="C3197" t="str">
            <v>STAR+PLUS HCBS</v>
          </cell>
          <cell r="D3197" t="str">
            <v>PT/OT/ST</v>
          </cell>
          <cell r="E3197" t="str">
            <v xml:space="preserve">Occupational Therapy: Home per diem (CDS) </v>
          </cell>
          <cell r="F3197" t="str">
            <v>S9129SPU3UC</v>
          </cell>
        </row>
        <row r="3198">
          <cell r="A3198" t="str">
            <v>1115 Waiver</v>
          </cell>
          <cell r="C3198" t="str">
            <v>STAR+PLUS HCBS</v>
          </cell>
          <cell r="D3198" t="str">
            <v>PT/OT/ST</v>
          </cell>
          <cell r="E3198" t="str">
            <v xml:space="preserve">Occupational Therapy: Home per diem (CDS) </v>
          </cell>
          <cell r="F3198" t="str">
            <v>S9129MPU3UC</v>
          </cell>
        </row>
        <row r="3199">
          <cell r="A3199" t="str">
            <v>1115 Waiver</v>
          </cell>
          <cell r="C3199" t="str">
            <v>STAR+PLUS HCBS</v>
          </cell>
          <cell r="D3199" t="str">
            <v>PT/OT/ST</v>
          </cell>
          <cell r="E3199" t="str">
            <v xml:space="preserve">Occupational Therapy: Home per diem (CDS) (HCBS) </v>
          </cell>
          <cell r="F3199" t="str">
            <v>S9129SPU39999UC</v>
          </cell>
        </row>
        <row r="3200">
          <cell r="A3200" t="str">
            <v>1115 Waiver</v>
          </cell>
          <cell r="C3200" t="str">
            <v>STAR+PLUS HCBS</v>
          </cell>
          <cell r="D3200" t="str">
            <v>PT/OT/ST</v>
          </cell>
          <cell r="E3200" t="str">
            <v xml:space="preserve">Occupational Therapy: Home per diem (CDS) (HCBS) </v>
          </cell>
          <cell r="F3200" t="str">
            <v>S9129MPU39999UC</v>
          </cell>
        </row>
        <row r="3201">
          <cell r="A3201" t="str">
            <v>1115 Waiver</v>
          </cell>
          <cell r="C3201" t="str">
            <v>STAR+PLUS HCBS</v>
          </cell>
          <cell r="D3201" t="str">
            <v>PT/OT/ST</v>
          </cell>
          <cell r="E3201" t="str">
            <v xml:space="preserve">Occupational Therapy: Home per diem (SRO) </v>
          </cell>
          <cell r="F3201" t="str">
            <v>S9129SPU3UD</v>
          </cell>
        </row>
        <row r="3202">
          <cell r="A3202" t="str">
            <v>1115 Waiver</v>
          </cell>
          <cell r="C3202" t="str">
            <v>STAR+PLUS HCBS</v>
          </cell>
          <cell r="D3202" t="str">
            <v>PT/OT/ST</v>
          </cell>
          <cell r="E3202" t="str">
            <v xml:space="preserve">Occupational Therapy: Home per diem (SRO) </v>
          </cell>
          <cell r="F3202" t="str">
            <v>S9129MPU3UD</v>
          </cell>
        </row>
        <row r="3203">
          <cell r="A3203" t="str">
            <v>1115 Waiver</v>
          </cell>
          <cell r="C3203" t="str">
            <v>STAR+PLUS HCBS</v>
          </cell>
          <cell r="D3203" t="str">
            <v>PT/OT/ST</v>
          </cell>
          <cell r="E3203" t="str">
            <v xml:space="preserve">Occupational Therapy: Home per diem (SRO) </v>
          </cell>
          <cell r="F3203" t="str">
            <v>S9129SPU39999US</v>
          </cell>
        </row>
        <row r="3204">
          <cell r="A3204" t="str">
            <v>1115 Waiver</v>
          </cell>
          <cell r="C3204" t="str">
            <v>STAR+PLUS HCBS</v>
          </cell>
          <cell r="D3204" t="str">
            <v>PT/OT/ST</v>
          </cell>
          <cell r="E3204" t="str">
            <v xml:space="preserve">Occupational Therapy: Home per diem (SRO) </v>
          </cell>
          <cell r="F3204" t="str">
            <v>S9129MPU39999US</v>
          </cell>
        </row>
        <row r="3205">
          <cell r="A3205" t="str">
            <v>1115 Waiver</v>
          </cell>
          <cell r="C3205" t="str">
            <v>STAR+PLUS HCBS</v>
          </cell>
          <cell r="D3205" t="str">
            <v>PT/OT/ST</v>
          </cell>
          <cell r="E3205" t="str">
            <v xml:space="preserve">Physical Therapy in the Home per diem (AO) </v>
          </cell>
          <cell r="F3205" t="str">
            <v>S9131SPU3</v>
          </cell>
        </row>
        <row r="3206">
          <cell r="A3206" t="str">
            <v>1115 Waiver</v>
          </cell>
          <cell r="C3206" t="str">
            <v>STAR+PLUS HCBS</v>
          </cell>
          <cell r="D3206" t="str">
            <v>PT/OT/ST</v>
          </cell>
          <cell r="E3206" t="str">
            <v xml:space="preserve">Physical Therapy in the Home per diem (AO) </v>
          </cell>
          <cell r="F3206" t="str">
            <v>S9131MPU3</v>
          </cell>
        </row>
        <row r="3207">
          <cell r="A3207" t="str">
            <v>1115 Waiver</v>
          </cell>
          <cell r="C3207" t="str">
            <v>STAR+PLUS HCBS</v>
          </cell>
          <cell r="D3207" t="str">
            <v>PT/OT/ST</v>
          </cell>
          <cell r="E3207" t="str">
            <v xml:space="preserve">Physical Therapy in the Home per diem (CDS) </v>
          </cell>
          <cell r="F3207" t="str">
            <v>S9131SPU3UC</v>
          </cell>
        </row>
        <row r="3208">
          <cell r="A3208" t="str">
            <v>1115 Waiver</v>
          </cell>
          <cell r="C3208" t="str">
            <v>STAR+PLUS HCBS</v>
          </cell>
          <cell r="D3208" t="str">
            <v>PT/OT/ST</v>
          </cell>
          <cell r="E3208" t="str">
            <v xml:space="preserve">Physical Therapy in the Home per diem (CDS) </v>
          </cell>
          <cell r="F3208" t="str">
            <v>S9131MPU3UC</v>
          </cell>
        </row>
        <row r="3209">
          <cell r="A3209" t="str">
            <v>1115 Waiver</v>
          </cell>
          <cell r="C3209" t="str">
            <v>STAR+PLUS HCBS</v>
          </cell>
          <cell r="D3209" t="str">
            <v>PT/OT/ST</v>
          </cell>
          <cell r="E3209" t="str">
            <v xml:space="preserve">Physical Therapy in the Home per diem (SRO) </v>
          </cell>
          <cell r="F3209" t="str">
            <v>S9131SPU3UD</v>
          </cell>
        </row>
        <row r="3210">
          <cell r="A3210" t="str">
            <v>1115 Waiver</v>
          </cell>
          <cell r="C3210" t="str">
            <v>STAR+PLUS HCBS</v>
          </cell>
          <cell r="D3210" t="str">
            <v>PT/OT/ST</v>
          </cell>
          <cell r="E3210" t="str">
            <v xml:space="preserve">Physical Therapy in the Home per diem (SRO) </v>
          </cell>
          <cell r="F3210" t="str">
            <v>S9131MPU3UD</v>
          </cell>
        </row>
        <row r="3211">
          <cell r="A3211" t="str">
            <v>1115 Waiver</v>
          </cell>
          <cell r="C3211" t="str">
            <v>STAR+PLUS HCBS</v>
          </cell>
          <cell r="D3211" t="str">
            <v>PT/OT/ST</v>
          </cell>
          <cell r="E3211" t="str">
            <v xml:space="preserve">Physical Therapy; Home per diem (AO) (HCBS) </v>
          </cell>
          <cell r="F3211" t="str">
            <v>S9131SPU3U3</v>
          </cell>
        </row>
        <row r="3212">
          <cell r="A3212" t="str">
            <v>1115 Waiver</v>
          </cell>
          <cell r="C3212" t="str">
            <v>STAR+PLUS HCBS</v>
          </cell>
          <cell r="D3212" t="str">
            <v>PT/OT/ST</v>
          </cell>
          <cell r="E3212" t="str">
            <v xml:space="preserve">Physical Therapy; Home per diem (AO) (HCBS) </v>
          </cell>
          <cell r="F3212" t="str">
            <v>S9131MPU3U3</v>
          </cell>
        </row>
        <row r="3213">
          <cell r="A3213" t="str">
            <v>1115 Waiver</v>
          </cell>
          <cell r="C3213" t="str">
            <v>STAR+PLUS HCBS</v>
          </cell>
          <cell r="D3213" t="str">
            <v>PT/OT/ST</v>
          </cell>
          <cell r="E3213" t="str">
            <v xml:space="preserve">Physical Therapy; Home per diem (CDS) (HCBS) </v>
          </cell>
          <cell r="F3213" t="str">
            <v>S9131SPU39999UC</v>
          </cell>
        </row>
        <row r="3214">
          <cell r="A3214" t="str">
            <v>1115 Waiver</v>
          </cell>
          <cell r="C3214" t="str">
            <v>STAR+PLUS HCBS</v>
          </cell>
          <cell r="D3214" t="str">
            <v>PT/OT/ST</v>
          </cell>
          <cell r="E3214" t="str">
            <v xml:space="preserve">Physical Therapy; Home per diem (CDS) (HCBS) </v>
          </cell>
          <cell r="F3214" t="str">
            <v>S9131MPU39999UC</v>
          </cell>
        </row>
        <row r="3215">
          <cell r="A3215" t="str">
            <v>1115 Waiver</v>
          </cell>
          <cell r="C3215" t="str">
            <v>STAR+PLUS HCBS</v>
          </cell>
          <cell r="D3215" t="str">
            <v>PT/OT/ST</v>
          </cell>
          <cell r="E3215" t="str">
            <v xml:space="preserve">Physical Therapy; Home per diem (SRO) (HCBS) </v>
          </cell>
          <cell r="F3215" t="str">
            <v>S9131SPU39999US</v>
          </cell>
        </row>
        <row r="3216">
          <cell r="A3216" t="str">
            <v>1115 Waiver</v>
          </cell>
          <cell r="C3216" t="str">
            <v>STAR+PLUS HCBS</v>
          </cell>
          <cell r="D3216" t="str">
            <v>PT/OT/ST</v>
          </cell>
          <cell r="E3216" t="str">
            <v xml:space="preserve">Physical Therapy; Home per diem (SRO) (HCBS) </v>
          </cell>
          <cell r="F3216" t="str">
            <v>S9131MPU39999US</v>
          </cell>
        </row>
        <row r="3217">
          <cell r="A3217" t="str">
            <v>1115 Waiver</v>
          </cell>
          <cell r="C3217" t="str">
            <v>STAR+PLUS HCBS</v>
          </cell>
          <cell r="D3217" t="str">
            <v>PT/OT/ST</v>
          </cell>
          <cell r="E3217" t="str">
            <v xml:space="preserve">Speech Therapy in the Home per diem (AO) </v>
          </cell>
          <cell r="F3217" t="str">
            <v>S9128SPU3</v>
          </cell>
        </row>
        <row r="3218">
          <cell r="A3218" t="str">
            <v>1115 Waiver</v>
          </cell>
          <cell r="C3218" t="str">
            <v>STAR+PLUS HCBS</v>
          </cell>
          <cell r="D3218" t="str">
            <v>PT/OT/ST</v>
          </cell>
          <cell r="E3218" t="str">
            <v xml:space="preserve">Speech Therapy in the Home per diem (AO) </v>
          </cell>
          <cell r="F3218" t="str">
            <v>S9128MPU3</v>
          </cell>
        </row>
        <row r="3219">
          <cell r="A3219" t="str">
            <v>1115 Waiver</v>
          </cell>
          <cell r="C3219" t="str">
            <v>STAR+PLUS HCBS</v>
          </cell>
          <cell r="D3219" t="str">
            <v>PT/OT/ST</v>
          </cell>
          <cell r="E3219" t="str">
            <v xml:space="preserve">Speech Therapy in the Home per diem (AO) (HCBS) </v>
          </cell>
          <cell r="F3219" t="str">
            <v>S9128SPU3U3</v>
          </cell>
        </row>
        <row r="3220">
          <cell r="A3220" t="str">
            <v>1115 Waiver</v>
          </cell>
          <cell r="C3220" t="str">
            <v>STAR+PLUS HCBS</v>
          </cell>
          <cell r="D3220" t="str">
            <v>PT/OT/ST</v>
          </cell>
          <cell r="E3220" t="str">
            <v xml:space="preserve">Speech Therapy in the Home per diem (AO) (HCBS) </v>
          </cell>
          <cell r="F3220" t="str">
            <v>S9128MPU3U3</v>
          </cell>
        </row>
        <row r="3221">
          <cell r="A3221" t="str">
            <v>1115 Waiver</v>
          </cell>
          <cell r="C3221" t="str">
            <v>STAR+PLUS HCBS</v>
          </cell>
          <cell r="D3221" t="str">
            <v>PT/OT/ST</v>
          </cell>
          <cell r="E3221" t="str">
            <v xml:space="preserve">Speech Therapy in the Home per diem (CDS) </v>
          </cell>
          <cell r="F3221" t="str">
            <v>S9128SPU3UC</v>
          </cell>
        </row>
        <row r="3222">
          <cell r="A3222" t="str">
            <v>1115 Waiver</v>
          </cell>
          <cell r="C3222" t="str">
            <v>STAR+PLUS HCBS</v>
          </cell>
          <cell r="D3222" t="str">
            <v>PT/OT/ST</v>
          </cell>
          <cell r="E3222" t="str">
            <v xml:space="preserve">Speech Therapy in the Home per diem (CDS) </v>
          </cell>
          <cell r="F3222" t="str">
            <v>S9128MPU3UC</v>
          </cell>
        </row>
        <row r="3223">
          <cell r="A3223" t="str">
            <v>1115 Waiver</v>
          </cell>
          <cell r="C3223" t="str">
            <v>STAR+PLUS HCBS</v>
          </cell>
          <cell r="D3223" t="str">
            <v>PT/OT/ST</v>
          </cell>
          <cell r="E3223" t="str">
            <v xml:space="preserve">Speech Therapy in the Home per diem (CDS) (HCBS) </v>
          </cell>
          <cell r="F3223" t="str">
            <v>S9128SPU39999UC</v>
          </cell>
        </row>
        <row r="3224">
          <cell r="A3224" t="str">
            <v>1115 Waiver</v>
          </cell>
          <cell r="C3224" t="str">
            <v>STAR+PLUS HCBS</v>
          </cell>
          <cell r="D3224" t="str">
            <v>PT/OT/ST</v>
          </cell>
          <cell r="E3224" t="str">
            <v xml:space="preserve">Speech Therapy in the Home per diem (CDS) (HCBS) </v>
          </cell>
          <cell r="F3224" t="str">
            <v>S9128MPU39999UC</v>
          </cell>
        </row>
        <row r="3225">
          <cell r="A3225" t="str">
            <v>1115 Waiver</v>
          </cell>
          <cell r="C3225" t="str">
            <v>STAR+PLUS HCBS</v>
          </cell>
          <cell r="D3225" t="str">
            <v>PT/OT/ST</v>
          </cell>
          <cell r="E3225" t="str">
            <v xml:space="preserve">Speech Therapy in the Home per diem (SRO) </v>
          </cell>
          <cell r="F3225" t="str">
            <v>S9128SPU3UD</v>
          </cell>
        </row>
        <row r="3226">
          <cell r="A3226" t="str">
            <v>1115 Waiver</v>
          </cell>
          <cell r="C3226" t="str">
            <v>STAR+PLUS HCBS</v>
          </cell>
          <cell r="D3226" t="str">
            <v>PT/OT/ST</v>
          </cell>
          <cell r="E3226" t="str">
            <v xml:space="preserve">Speech Therapy in the Home per diem (SRO) </v>
          </cell>
          <cell r="F3226" t="str">
            <v>S9128MPU3UD</v>
          </cell>
        </row>
        <row r="3227">
          <cell r="A3227" t="str">
            <v>1115 Waiver</v>
          </cell>
          <cell r="C3227" t="str">
            <v>STAR+PLUS HCBS</v>
          </cell>
          <cell r="D3227" t="str">
            <v>PT/OT/ST</v>
          </cell>
          <cell r="E3227" t="str">
            <v xml:space="preserve">Speech Therapy in the Home per diem (SRO) (HCBS) </v>
          </cell>
          <cell r="F3227" t="str">
            <v>S9128SPU39999US</v>
          </cell>
        </row>
        <row r="3228">
          <cell r="A3228" t="str">
            <v>1115 Waiver</v>
          </cell>
          <cell r="C3228" t="str">
            <v>STAR+PLUS HCBS</v>
          </cell>
          <cell r="D3228" t="str">
            <v>PT/OT/ST</v>
          </cell>
          <cell r="E3228" t="str">
            <v xml:space="preserve">Speech Therapy in the Home per diem (SRO) (HCBS) </v>
          </cell>
          <cell r="F3228" t="str">
            <v>S9128MPU39999US</v>
          </cell>
        </row>
        <row r="3229">
          <cell r="A3229" t="str">
            <v>1115 Waiver</v>
          </cell>
          <cell r="C3229" t="str">
            <v>STAR+PLUS HCBS</v>
          </cell>
          <cell r="D3229" t="str">
            <v>Requisition Fees</v>
          </cell>
          <cell r="E3229" t="str">
            <v>TRANSITION ASSISTANCE SERVICES (TAS) Requisition Fee</v>
          </cell>
          <cell r="F3229" t="str">
            <v>T2038SP</v>
          </cell>
        </row>
        <row r="3230">
          <cell r="A3230" t="str">
            <v>1115 Waiver</v>
          </cell>
          <cell r="C3230" t="str">
            <v>STAR+PLUS HCBS</v>
          </cell>
          <cell r="D3230" t="str">
            <v>Requisition Fees</v>
          </cell>
          <cell r="E3230" t="str">
            <v>TRANSITION ASSISTANCE SERVICES (TAS) Requisition Fee</v>
          </cell>
          <cell r="F3230" t="str">
            <v>T2038MP</v>
          </cell>
        </row>
        <row r="3231">
          <cell r="A3231" t="str">
            <v>State Plan (Title XIX)</v>
          </cell>
          <cell r="C3231" t="str">
            <v>Swing Beds</v>
          </cell>
          <cell r="D3231" t="str">
            <v>NF Daily Care</v>
          </cell>
          <cell r="E3231" t="str">
            <v>NF BA1</v>
          </cell>
          <cell r="F3231" t="str">
            <v>101RG024</v>
          </cell>
        </row>
        <row r="3232">
          <cell r="A3232" t="str">
            <v>State Plan (Title XIX)</v>
          </cell>
          <cell r="C3232" t="str">
            <v>Swing Beds</v>
          </cell>
          <cell r="D3232" t="str">
            <v>NF Daily Care</v>
          </cell>
          <cell r="E3232" t="str">
            <v>NF BA2</v>
          </cell>
          <cell r="F3232" t="str">
            <v>101RG023</v>
          </cell>
        </row>
        <row r="3233">
          <cell r="A3233" t="str">
            <v>State Plan (Title XIX)</v>
          </cell>
          <cell r="C3233" t="str">
            <v>Swing Beds</v>
          </cell>
          <cell r="D3233" t="str">
            <v>NF Daily Care</v>
          </cell>
          <cell r="E3233" t="str">
            <v>NF BB1</v>
          </cell>
          <cell r="F3233" t="str">
            <v>101RG022</v>
          </cell>
        </row>
        <row r="3234">
          <cell r="A3234" t="str">
            <v>State Plan (Title XIX)</v>
          </cell>
          <cell r="C3234" t="str">
            <v>Swing Beds</v>
          </cell>
          <cell r="D3234" t="str">
            <v>NF Daily Care</v>
          </cell>
          <cell r="E3234" t="str">
            <v>NF BB2</v>
          </cell>
          <cell r="F3234" t="str">
            <v>101RG021</v>
          </cell>
        </row>
        <row r="3235">
          <cell r="A3235" t="str">
            <v>State Plan (Title XIX)</v>
          </cell>
          <cell r="C3235" t="str">
            <v>Swing Beds</v>
          </cell>
          <cell r="D3235" t="str">
            <v>NF Daily Care</v>
          </cell>
          <cell r="E3235" t="str">
            <v>NF BC1</v>
          </cell>
          <cell r="F3235" t="str">
            <v>101RG035</v>
          </cell>
        </row>
        <row r="3236">
          <cell r="A3236" t="str">
            <v>State Plan (Title XIX)</v>
          </cell>
          <cell r="C3236" t="str">
            <v>Swing Beds</v>
          </cell>
          <cell r="D3236" t="str">
            <v>NF Daily Care</v>
          </cell>
          <cell r="E3236" t="str">
            <v>NF CA1</v>
          </cell>
          <cell r="F3236" t="str">
            <v>101RG016</v>
          </cell>
        </row>
        <row r="3237">
          <cell r="A3237" t="str">
            <v>State Plan (Title XIX)</v>
          </cell>
          <cell r="C3237" t="str">
            <v>Swing Beds</v>
          </cell>
          <cell r="D3237" t="str">
            <v>NF Daily Care</v>
          </cell>
          <cell r="E3237" t="str">
            <v>NF CA2</v>
          </cell>
          <cell r="F3237" t="str">
            <v>101RG015</v>
          </cell>
        </row>
        <row r="3238">
          <cell r="A3238" t="str">
            <v>State Plan (Title XIX)</v>
          </cell>
          <cell r="C3238" t="str">
            <v>Swing Beds</v>
          </cell>
          <cell r="D3238" t="str">
            <v>NF Daily Care</v>
          </cell>
          <cell r="E3238" t="str">
            <v>NF CB1</v>
          </cell>
          <cell r="F3238" t="str">
            <v>101RG014</v>
          </cell>
        </row>
        <row r="3239">
          <cell r="A3239" t="str">
            <v>State Plan (Title XIX)</v>
          </cell>
          <cell r="C3239" t="str">
            <v>Swing Beds</v>
          </cell>
          <cell r="D3239" t="str">
            <v>NF Daily Care</v>
          </cell>
          <cell r="E3239" t="str">
            <v>NF CB2</v>
          </cell>
          <cell r="F3239" t="str">
            <v>101RG013</v>
          </cell>
        </row>
        <row r="3240">
          <cell r="A3240" t="str">
            <v>State Plan (Title XIX)</v>
          </cell>
          <cell r="C3240" t="str">
            <v>Swing Beds</v>
          </cell>
          <cell r="D3240" t="str">
            <v>NF Daily Care</v>
          </cell>
          <cell r="E3240" t="str">
            <v>NF CC1</v>
          </cell>
          <cell r="F3240" t="str">
            <v>101RG012</v>
          </cell>
        </row>
        <row r="3241">
          <cell r="A3241" t="str">
            <v>State Plan (Title XIX)</v>
          </cell>
          <cell r="C3241" t="str">
            <v>Swing Beds</v>
          </cell>
          <cell r="D3241" t="str">
            <v>NF Daily Care</v>
          </cell>
          <cell r="E3241" t="str">
            <v>NF CC2</v>
          </cell>
          <cell r="F3241" t="str">
            <v>101RG011</v>
          </cell>
        </row>
        <row r="3242">
          <cell r="A3242" t="str">
            <v>State Plan (Title XIX)</v>
          </cell>
          <cell r="C3242" t="str">
            <v>Swing Beds</v>
          </cell>
          <cell r="D3242" t="str">
            <v>NF Daily Care</v>
          </cell>
          <cell r="E3242" t="str">
            <v>NF IA1</v>
          </cell>
          <cell r="F3242" t="str">
            <v>101RG020</v>
          </cell>
        </row>
        <row r="3243">
          <cell r="A3243" t="str">
            <v>State Plan (Title XIX)</v>
          </cell>
          <cell r="C3243" t="str">
            <v>Swing Beds</v>
          </cell>
          <cell r="D3243" t="str">
            <v>NF Daily Care</v>
          </cell>
          <cell r="E3243" t="str">
            <v>NF IA2</v>
          </cell>
          <cell r="F3243" t="str">
            <v>101RG019</v>
          </cell>
        </row>
        <row r="3244">
          <cell r="A3244" t="str">
            <v>State Plan (Title XIX)</v>
          </cell>
          <cell r="C3244" t="str">
            <v>Swing Beds</v>
          </cell>
          <cell r="D3244" t="str">
            <v>NF Daily Care</v>
          </cell>
          <cell r="E3244" t="str">
            <v>NF IB1</v>
          </cell>
          <cell r="F3244" t="str">
            <v>101RG018</v>
          </cell>
        </row>
        <row r="3245">
          <cell r="A3245" t="str">
            <v>State Plan (Title XIX)</v>
          </cell>
          <cell r="C3245" t="str">
            <v>Swing Beds</v>
          </cell>
          <cell r="D3245" t="str">
            <v>NF Daily Care</v>
          </cell>
          <cell r="E3245" t="str">
            <v>NF IB2</v>
          </cell>
          <cell r="F3245" t="str">
            <v>101RG017</v>
          </cell>
        </row>
        <row r="3246">
          <cell r="A3246" t="str">
            <v>State Plan (Title XIX)</v>
          </cell>
          <cell r="C3246" t="str">
            <v>Swing Beds</v>
          </cell>
          <cell r="D3246" t="str">
            <v>NF Daily Care</v>
          </cell>
          <cell r="E3246" t="str">
            <v>NF PA1</v>
          </cell>
          <cell r="F3246" t="str">
            <v>101RG034</v>
          </cell>
        </row>
        <row r="3247">
          <cell r="A3247" t="str">
            <v>State Plan (Title XIX)</v>
          </cell>
          <cell r="C3247" t="str">
            <v>Swing Beds</v>
          </cell>
          <cell r="D3247" t="str">
            <v>NF Daily Care</v>
          </cell>
          <cell r="E3247" t="str">
            <v>NF PA2</v>
          </cell>
          <cell r="F3247" t="str">
            <v>101RG033</v>
          </cell>
        </row>
        <row r="3248">
          <cell r="A3248" t="str">
            <v>State Plan (Title XIX)</v>
          </cell>
          <cell r="C3248" t="str">
            <v>Swing Beds</v>
          </cell>
          <cell r="D3248" t="str">
            <v>NF Daily Care</v>
          </cell>
          <cell r="E3248" t="str">
            <v>NF PB1</v>
          </cell>
          <cell r="F3248" t="str">
            <v>101RG032</v>
          </cell>
        </row>
        <row r="3249">
          <cell r="A3249" t="str">
            <v>State Plan (Title XIX)</v>
          </cell>
          <cell r="C3249" t="str">
            <v>Swing Beds</v>
          </cell>
          <cell r="D3249" t="str">
            <v>NF Daily Care</v>
          </cell>
          <cell r="E3249" t="str">
            <v>NF PB2</v>
          </cell>
          <cell r="F3249" t="str">
            <v>101RG031</v>
          </cell>
        </row>
        <row r="3250">
          <cell r="A3250" t="str">
            <v>State Plan (Title XIX)</v>
          </cell>
          <cell r="C3250" t="str">
            <v>Swing Beds</v>
          </cell>
          <cell r="D3250" t="str">
            <v>NF Daily Care</v>
          </cell>
          <cell r="E3250" t="str">
            <v>NF PC1</v>
          </cell>
          <cell r="F3250" t="str">
            <v>101RG030</v>
          </cell>
        </row>
        <row r="3251">
          <cell r="A3251" t="str">
            <v>State Plan (Title XIX)</v>
          </cell>
          <cell r="C3251" t="str">
            <v>Swing Beds</v>
          </cell>
          <cell r="D3251" t="str">
            <v>NF Daily Care</v>
          </cell>
          <cell r="E3251" t="str">
            <v>NF PC2</v>
          </cell>
          <cell r="F3251" t="str">
            <v>101RG029</v>
          </cell>
        </row>
        <row r="3252">
          <cell r="A3252" t="str">
            <v>State Plan (Title XIX)</v>
          </cell>
          <cell r="C3252" t="str">
            <v>Swing Beds</v>
          </cell>
          <cell r="D3252" t="str">
            <v>NF Daily Care</v>
          </cell>
          <cell r="E3252" t="str">
            <v>NF PCE</v>
          </cell>
          <cell r="F3252" t="str">
            <v>101RG036</v>
          </cell>
        </row>
        <row r="3253">
          <cell r="A3253" t="str">
            <v>State Plan (Title XIX)</v>
          </cell>
          <cell r="C3253" t="str">
            <v>Swing Beds</v>
          </cell>
          <cell r="D3253" t="str">
            <v>NF Daily Care</v>
          </cell>
          <cell r="E3253" t="str">
            <v>NF PD1</v>
          </cell>
          <cell r="F3253" t="str">
            <v>101RG028</v>
          </cell>
        </row>
        <row r="3254">
          <cell r="A3254" t="str">
            <v>State Plan (Title XIX)</v>
          </cell>
          <cell r="C3254" t="str">
            <v>Swing Beds</v>
          </cell>
          <cell r="D3254" t="str">
            <v>NF Daily Care</v>
          </cell>
          <cell r="E3254" t="str">
            <v>NF PD2</v>
          </cell>
          <cell r="F3254" t="str">
            <v>101RG027</v>
          </cell>
        </row>
        <row r="3255">
          <cell r="A3255" t="str">
            <v>State Plan (Title XIX)</v>
          </cell>
          <cell r="C3255" t="str">
            <v>Swing Beds</v>
          </cell>
          <cell r="D3255" t="str">
            <v>NF Daily Care</v>
          </cell>
          <cell r="E3255" t="str">
            <v>NF PE1</v>
          </cell>
          <cell r="F3255" t="str">
            <v>101RG026</v>
          </cell>
        </row>
        <row r="3256">
          <cell r="A3256" t="str">
            <v>State Plan (Title XIX)</v>
          </cell>
          <cell r="C3256" t="str">
            <v>Swing Beds</v>
          </cell>
          <cell r="D3256" t="str">
            <v>NF Daily Care</v>
          </cell>
          <cell r="E3256" t="str">
            <v>NF PE2</v>
          </cell>
          <cell r="F3256" t="str">
            <v>101RG025</v>
          </cell>
        </row>
        <row r="3257">
          <cell r="A3257" t="str">
            <v>State Plan (Title XIX)</v>
          </cell>
          <cell r="C3257" t="str">
            <v>Swing Beds</v>
          </cell>
          <cell r="D3257" t="str">
            <v>NF Daily Care</v>
          </cell>
          <cell r="E3257" t="str">
            <v>NF RAA</v>
          </cell>
          <cell r="F3257" t="str">
            <v>101RG004</v>
          </cell>
        </row>
        <row r="3258">
          <cell r="A3258" t="str">
            <v>State Plan (Title XIX)</v>
          </cell>
          <cell r="C3258" t="str">
            <v>Swing Beds</v>
          </cell>
          <cell r="D3258" t="str">
            <v>NF Daily Care</v>
          </cell>
          <cell r="E3258" t="str">
            <v>NF RAB</v>
          </cell>
          <cell r="F3258" t="str">
            <v>101RG003</v>
          </cell>
        </row>
        <row r="3259">
          <cell r="A3259" t="str">
            <v>State Plan (Title XIX)</v>
          </cell>
          <cell r="C3259" t="str">
            <v>Swing Beds</v>
          </cell>
          <cell r="D3259" t="str">
            <v>NF Daily Care</v>
          </cell>
          <cell r="E3259" t="str">
            <v>NF RAC</v>
          </cell>
          <cell r="F3259" t="str">
            <v>101RG002</v>
          </cell>
        </row>
        <row r="3260">
          <cell r="A3260" t="str">
            <v>State Plan (Title XIX)</v>
          </cell>
          <cell r="C3260" t="str">
            <v>Swing Beds</v>
          </cell>
          <cell r="D3260" t="str">
            <v>NF Daily Care</v>
          </cell>
          <cell r="E3260" t="str">
            <v>NF RAD</v>
          </cell>
          <cell r="F3260" t="str">
            <v>101RG001</v>
          </cell>
        </row>
        <row r="3261">
          <cell r="A3261" t="str">
            <v>State Plan (Title XIX)</v>
          </cell>
          <cell r="C3261" t="str">
            <v>Swing Beds</v>
          </cell>
          <cell r="D3261" t="str">
            <v>NF Daily Care</v>
          </cell>
          <cell r="E3261" t="str">
            <v>NF SB2</v>
          </cell>
          <cell r="F3261" t="str">
            <v>101RG006</v>
          </cell>
        </row>
        <row r="3262">
          <cell r="A3262" t="str">
            <v>State Plan (Title XIX)</v>
          </cell>
          <cell r="C3262" t="str">
            <v>Swing Beds</v>
          </cell>
          <cell r="D3262" t="str">
            <v>NF Daily Care</v>
          </cell>
          <cell r="E3262" t="str">
            <v>NF SE1</v>
          </cell>
          <cell r="F3262" t="str">
            <v>101RG007</v>
          </cell>
        </row>
        <row r="3263">
          <cell r="A3263" t="str">
            <v>State Plan (Title XIX)</v>
          </cell>
          <cell r="C3263" t="str">
            <v>Swing Beds</v>
          </cell>
          <cell r="D3263" t="str">
            <v>NF Daily Care</v>
          </cell>
          <cell r="E3263" t="str">
            <v>NF SE3</v>
          </cell>
          <cell r="F3263" t="str">
            <v>101RG005</v>
          </cell>
        </row>
        <row r="3264">
          <cell r="A3264" t="str">
            <v>State Plan (Title XIX)</v>
          </cell>
          <cell r="C3264" t="str">
            <v>Swing Beds</v>
          </cell>
          <cell r="D3264" t="str">
            <v>NF Daily Care</v>
          </cell>
          <cell r="E3264" t="str">
            <v>NF SSA</v>
          </cell>
          <cell r="F3264" t="str">
            <v>101RG010</v>
          </cell>
        </row>
        <row r="3265">
          <cell r="A3265" t="str">
            <v>State Plan (Title XIX)</v>
          </cell>
          <cell r="C3265" t="str">
            <v>Swing Beds</v>
          </cell>
          <cell r="D3265" t="str">
            <v>NF Daily Care</v>
          </cell>
          <cell r="E3265" t="str">
            <v>NF SSB</v>
          </cell>
          <cell r="F3265" t="str">
            <v>101RG009</v>
          </cell>
        </row>
        <row r="3266">
          <cell r="A3266" t="str">
            <v>State Plan (Title XIX)</v>
          </cell>
          <cell r="C3266" t="str">
            <v>Swing Beds</v>
          </cell>
          <cell r="D3266" t="str">
            <v>NF Daily Care</v>
          </cell>
          <cell r="E3266" t="str">
            <v>NF SSC</v>
          </cell>
          <cell r="F3266" t="str">
            <v>101RG008</v>
          </cell>
        </row>
        <row r="3267">
          <cell r="A3267" t="str">
            <v>1915(c) waiver</v>
          </cell>
          <cell r="C3267" t="str">
            <v>TxHmL</v>
          </cell>
          <cell r="D3267" t="str">
            <v xml:space="preserve">Adaptive Aids/DME </v>
          </cell>
          <cell r="E3267" t="str">
            <v>ADAPTATION TO FURNITURE</v>
          </cell>
          <cell r="F3267" t="str">
            <v>2215M0709</v>
          </cell>
        </row>
        <row r="3268">
          <cell r="A3268" t="str">
            <v>1915(c) waiver</v>
          </cell>
          <cell r="C3268" t="str">
            <v>TxHmL</v>
          </cell>
          <cell r="D3268" t="str">
            <v xml:space="preserve">Adaptive Aids/DME </v>
          </cell>
          <cell r="E3268" t="str">
            <v>ADAPTATION TO FURNITURE</v>
          </cell>
          <cell r="F3268" t="str">
            <v>2215VM0777</v>
          </cell>
        </row>
        <row r="3269">
          <cell r="A3269" t="str">
            <v>1915(c) waiver</v>
          </cell>
          <cell r="C3269" t="str">
            <v>TxHmL</v>
          </cell>
          <cell r="D3269" t="str">
            <v xml:space="preserve">Adaptive Aids/DME </v>
          </cell>
          <cell r="E3269" t="str">
            <v>ADAPTED DINNERWARE, AN EATING UTENSIL OR MEAL PREPARATION DEVICE</v>
          </cell>
          <cell r="F3269" t="str">
            <v>2215M0699</v>
          </cell>
        </row>
        <row r="3270">
          <cell r="A3270" t="str">
            <v>1915(c) waiver</v>
          </cell>
          <cell r="C3270" t="str">
            <v>TxHmL</v>
          </cell>
          <cell r="D3270" t="str">
            <v xml:space="preserve">Adaptive Aids/DME </v>
          </cell>
          <cell r="E3270" t="str">
            <v>ADAPTED DINNERWARE, AN EATING UTENSIL OR MEAL PREPARATION DEVICE</v>
          </cell>
          <cell r="F3270" t="str">
            <v>2215VM0767</v>
          </cell>
        </row>
        <row r="3271">
          <cell r="A3271" t="str">
            <v>1915(c) waiver</v>
          </cell>
          <cell r="C3271" t="str">
            <v>TxHmL</v>
          </cell>
          <cell r="D3271" t="str">
            <v xml:space="preserve">Adaptive Aids/DME </v>
          </cell>
          <cell r="E3271" t="str">
            <v>ADAPTED MEDICATION DISPENSER OR PILL CRUSHER</v>
          </cell>
          <cell r="F3271" t="str">
            <v>2215M0670</v>
          </cell>
        </row>
        <row r="3272">
          <cell r="A3272" t="str">
            <v>1915(c) waiver</v>
          </cell>
          <cell r="C3272" t="str">
            <v>TxHmL</v>
          </cell>
          <cell r="D3272" t="str">
            <v xml:space="preserve">Adaptive Aids/DME </v>
          </cell>
          <cell r="E3272" t="str">
            <v>ADAPTED MEDICATION DISPENSER OR PILL CRUSHER</v>
          </cell>
          <cell r="F3272" t="str">
            <v>2215VM0738</v>
          </cell>
        </row>
        <row r="3273">
          <cell r="A3273" t="str">
            <v>1915(c) waiver</v>
          </cell>
          <cell r="C3273" t="str">
            <v>TxHmL</v>
          </cell>
          <cell r="D3273" t="str">
            <v xml:space="preserve">Adaptive Aids/DME </v>
          </cell>
          <cell r="E3273" t="str">
            <v>ADAPTED WALL SWITCH OR OUTLET, A SPECIALIZED DOORB</v>
          </cell>
          <cell r="F3273" t="str">
            <v>2216MM1060</v>
          </cell>
        </row>
        <row r="3274">
          <cell r="A3274" t="str">
            <v>1915(c) waiver</v>
          </cell>
          <cell r="C3274" t="str">
            <v>TxHmL</v>
          </cell>
          <cell r="D3274" t="str">
            <v xml:space="preserve">Adaptive Aids/DME </v>
          </cell>
          <cell r="E3274" t="str">
            <v>ADAPTED WALL SWITCH OR OUTLET, A SPECIALIZED DOORB</v>
          </cell>
          <cell r="F3274" t="str">
            <v>2216MVM1084</v>
          </cell>
        </row>
        <row r="3275">
          <cell r="A3275" t="str">
            <v>1915(c) waiver</v>
          </cell>
          <cell r="C3275" t="str">
            <v>TxHmL</v>
          </cell>
          <cell r="D3275" t="str">
            <v xml:space="preserve">Adaptive Aids/DME </v>
          </cell>
          <cell r="E3275" t="str">
            <v>ADAPTED WALL SWITCH OR OUTLET, A SPECIALIZED DOORBELL OR DOOR SCOPE</v>
          </cell>
          <cell r="F3275" t="str">
            <v>2216M0821</v>
          </cell>
        </row>
        <row r="3276">
          <cell r="A3276" t="str">
            <v>1915(c) waiver</v>
          </cell>
          <cell r="C3276" t="str">
            <v>TxHmL</v>
          </cell>
          <cell r="D3276" t="str">
            <v xml:space="preserve">Adaptive Aids/DME </v>
          </cell>
          <cell r="E3276" t="str">
            <v>ADAPTED WALL SWITCH OR OUTLET, A SPECIALIZED DOORBELL OR DOOR SCOPE</v>
          </cell>
          <cell r="F3276" t="str">
            <v>2216VM0845</v>
          </cell>
        </row>
        <row r="3277">
          <cell r="A3277" t="str">
            <v>1915(c) waiver</v>
          </cell>
          <cell r="C3277" t="str">
            <v>TxHmL</v>
          </cell>
          <cell r="D3277" t="str">
            <v xml:space="preserve">Adaptive Aids/DME </v>
          </cell>
          <cell r="E3277" t="str">
            <v>Adaptive Aids (CDS) LOC 1</v>
          </cell>
          <cell r="F3277" t="str">
            <v>1515VM0176</v>
          </cell>
        </row>
        <row r="3278">
          <cell r="A3278" t="str">
            <v>1915(c) waiver</v>
          </cell>
          <cell r="C3278" t="str">
            <v>TxHmL</v>
          </cell>
          <cell r="D3278" t="str">
            <v xml:space="preserve">Adaptive Aids/DME </v>
          </cell>
          <cell r="E3278" t="str">
            <v>Adaptive Aids LOC 1</v>
          </cell>
          <cell r="F3278" t="str">
            <v>1515M0175</v>
          </cell>
        </row>
        <row r="3279">
          <cell r="A3279" t="str">
            <v>1915(c) waiver</v>
          </cell>
          <cell r="C3279" t="str">
            <v>TxHmL</v>
          </cell>
          <cell r="D3279" t="str">
            <v xml:space="preserve">Adaptive Aids/DME </v>
          </cell>
          <cell r="E3279" t="str">
            <v>ADAPTIVE LOCK</v>
          </cell>
          <cell r="F3279" t="str">
            <v>2215M0661</v>
          </cell>
        </row>
        <row r="3280">
          <cell r="A3280" t="str">
            <v>1915(c) waiver</v>
          </cell>
          <cell r="C3280" t="str">
            <v>TxHmL</v>
          </cell>
          <cell r="D3280" t="str">
            <v xml:space="preserve">Adaptive Aids/DME </v>
          </cell>
          <cell r="E3280" t="str">
            <v>ADAPTIVE LOCK</v>
          </cell>
          <cell r="F3280" t="str">
            <v>2215VM0729</v>
          </cell>
        </row>
        <row r="3281">
          <cell r="A3281" t="str">
            <v>1915(c) waiver</v>
          </cell>
          <cell r="C3281" t="str">
            <v>TxHmL</v>
          </cell>
          <cell r="D3281" t="str">
            <v xml:space="preserve">Adaptive Aids/DME </v>
          </cell>
          <cell r="E3281" t="str">
            <v>ADAPTIVE STROLLER OR TRAVEL SEAT</v>
          </cell>
          <cell r="F3281" t="str">
            <v>2215M0652</v>
          </cell>
        </row>
        <row r="3282">
          <cell r="A3282" t="str">
            <v>1915(c) waiver</v>
          </cell>
          <cell r="C3282" t="str">
            <v>TxHmL</v>
          </cell>
          <cell r="D3282" t="str">
            <v xml:space="preserve">Adaptive Aids/DME </v>
          </cell>
          <cell r="E3282" t="str">
            <v>ADAPTIVE STROLLER OR TRAVEL SEAT</v>
          </cell>
          <cell r="F3282" t="str">
            <v>2215VM0720</v>
          </cell>
        </row>
        <row r="3283">
          <cell r="A3283" t="str">
            <v>1915(c) waiver</v>
          </cell>
          <cell r="C3283" t="str">
            <v>TxHmL</v>
          </cell>
          <cell r="D3283" t="str">
            <v xml:space="preserve">Adaptive Aids/DME </v>
          </cell>
          <cell r="E3283" t="str">
            <v>ADAPTIVE SWITCH USED TO OPERATE ITEMS NECESSARY FOR DAILY FUNCTIONING</v>
          </cell>
          <cell r="F3283" t="str">
            <v>2215VM0728</v>
          </cell>
        </row>
        <row r="3284">
          <cell r="A3284" t="str">
            <v>1915(c) waiver</v>
          </cell>
          <cell r="C3284" t="str">
            <v>TxHmL</v>
          </cell>
          <cell r="D3284" t="str">
            <v xml:space="preserve">Adaptive Aids/DME </v>
          </cell>
          <cell r="E3284" t="str">
            <v>AIR HUMIDIFIER, PURIFIER OR SPECIALIZED AIR FILTER, OR A MEDICALLY NECESSARY PORTABLE HEATING AND/OR COOLING DEVICE TO MANAGE THE SYMPTOMS OF A SEIZURE DISORDER, RESPIRATORY OR CARDIAC CONDITION, OR INABILITY TO REGULATE BODY TEMPERATURE</v>
          </cell>
          <cell r="F3284" t="str">
            <v>2215M0671</v>
          </cell>
        </row>
        <row r="3285">
          <cell r="A3285" t="str">
            <v>1915(c) waiver</v>
          </cell>
          <cell r="C3285" t="str">
            <v>TxHmL</v>
          </cell>
          <cell r="D3285" t="str">
            <v xml:space="preserve">Adaptive Aids/DME </v>
          </cell>
          <cell r="E3285" t="str">
            <v>AIR HUMIDIFIER, PURIFIER OR SPECIALIZED AIR FILTER, OR A MEDICALLY NECESSARY PORTABLE HEATING AND/OR COOLING DEVICE TO MANAGE THE SYMPTOMS OF A SEIZURE DISORDER, RESPIRATORY OR CARDIAC CONDITION, OR INABILITY TO REGULATE BODY TEMPERATURE</v>
          </cell>
          <cell r="F3285" t="str">
            <v>2215VM0739</v>
          </cell>
        </row>
        <row r="3286">
          <cell r="A3286" t="str">
            <v>1915(c) waiver</v>
          </cell>
          <cell r="C3286" t="str">
            <v>TxHmL</v>
          </cell>
          <cell r="D3286" t="str">
            <v xml:space="preserve">Adaptive Aids/DME </v>
          </cell>
          <cell r="E3286" t="str">
            <v>AN ADAPTIVE SWITCH USED TO OPERATE ITEMS NECESSARY FOR DAILY FUNCTIONING</v>
          </cell>
          <cell r="F3286" t="str">
            <v>2215M0660</v>
          </cell>
        </row>
        <row r="3287">
          <cell r="A3287" t="str">
            <v>1915(c) waiver</v>
          </cell>
          <cell r="C3287" t="str">
            <v>TxHmL</v>
          </cell>
          <cell r="D3287" t="str">
            <v xml:space="preserve">Adaptive Aids/DME </v>
          </cell>
          <cell r="E3287" t="str">
            <v>AN EGG-CRATE, SHEEPSKIN OR OTHER MEDICALLY NECESSARY MATTRESS PAD</v>
          </cell>
          <cell r="F3287" t="str">
            <v>2215VM0747</v>
          </cell>
        </row>
        <row r="3288">
          <cell r="A3288" t="str">
            <v>1915(c) waiver</v>
          </cell>
          <cell r="C3288" t="str">
            <v>TxHmL</v>
          </cell>
          <cell r="D3288" t="str">
            <v xml:space="preserve">Adaptive Aids/DME </v>
          </cell>
          <cell r="E3288" t="str">
            <v>BATH OR SHOWER CHAIR</v>
          </cell>
          <cell r="F3288" t="str">
            <v>2215M0657</v>
          </cell>
        </row>
        <row r="3289">
          <cell r="A3289" t="str">
            <v>1915(c) waiver</v>
          </cell>
          <cell r="C3289" t="str">
            <v>TxHmL</v>
          </cell>
          <cell r="D3289" t="str">
            <v xml:space="preserve">Adaptive Aids/DME </v>
          </cell>
          <cell r="E3289" t="str">
            <v>BATH OR SHOWER CHAIR</v>
          </cell>
          <cell r="F3289" t="str">
            <v>2215VM0725</v>
          </cell>
        </row>
        <row r="3290">
          <cell r="A3290" t="str">
            <v>1915(c) waiver</v>
          </cell>
          <cell r="C3290" t="str">
            <v>TxHmL</v>
          </cell>
          <cell r="D3290" t="str">
            <v xml:space="preserve">Adaptive Aids/DME </v>
          </cell>
          <cell r="E3290" t="str">
            <v>BATHTUB ADAPTATION</v>
          </cell>
          <cell r="F3290" t="str">
            <v>2216M0805</v>
          </cell>
        </row>
        <row r="3291">
          <cell r="A3291" t="str">
            <v>1915(c) waiver</v>
          </cell>
          <cell r="C3291" t="str">
            <v>TxHmL</v>
          </cell>
          <cell r="D3291" t="str">
            <v xml:space="preserve">Adaptive Aids/DME </v>
          </cell>
          <cell r="E3291" t="str">
            <v>BATHTUB ADAPTATION</v>
          </cell>
          <cell r="F3291" t="str">
            <v>2216VM0829</v>
          </cell>
        </row>
        <row r="3292">
          <cell r="A3292" t="str">
            <v>1915(c) waiver</v>
          </cell>
          <cell r="C3292" t="str">
            <v>TxHmL</v>
          </cell>
          <cell r="D3292" t="str">
            <v xml:space="preserve">Adaptive Aids/DME </v>
          </cell>
          <cell r="E3292" t="str">
            <v xml:space="preserve">BATHTUB ADAPTATION MAINT                          </v>
          </cell>
          <cell r="F3292" t="str">
            <v>2216MM1044</v>
          </cell>
        </row>
        <row r="3293">
          <cell r="A3293" t="str">
            <v>1915(c) waiver</v>
          </cell>
          <cell r="C3293" t="str">
            <v>TxHmL</v>
          </cell>
          <cell r="D3293" t="str">
            <v xml:space="preserve">Adaptive Aids/DME </v>
          </cell>
          <cell r="E3293" t="str">
            <v xml:space="preserve">BATHTUB ADAPTATION MAINT                          </v>
          </cell>
          <cell r="F3293" t="str">
            <v>2216MVM1068</v>
          </cell>
        </row>
        <row r="3294">
          <cell r="A3294" t="str">
            <v>1915(c) waiver</v>
          </cell>
          <cell r="C3294" t="str">
            <v>TxHmL</v>
          </cell>
          <cell r="D3294" t="str">
            <v xml:space="preserve">Adaptive Aids/DME </v>
          </cell>
          <cell r="E3294" t="str">
            <v xml:space="preserve">BATTERY OR CHARGER FOR AN ELECTRIC WHEELCHAIR </v>
          </cell>
          <cell r="F3294" t="str">
            <v>2215M0650</v>
          </cell>
        </row>
        <row r="3295">
          <cell r="A3295" t="str">
            <v>1915(c) waiver</v>
          </cell>
          <cell r="C3295" t="str">
            <v>TxHmL</v>
          </cell>
          <cell r="D3295" t="str">
            <v xml:space="preserve">Adaptive Aids/DME </v>
          </cell>
          <cell r="E3295" t="str">
            <v xml:space="preserve">BATTERY OR CHARGER FOR AN ELECTRIC WHEELCHAIR </v>
          </cell>
          <cell r="F3295" t="str">
            <v>2215VM0718</v>
          </cell>
        </row>
        <row r="3296">
          <cell r="A3296" t="str">
            <v>1915(c) waiver</v>
          </cell>
          <cell r="C3296" t="str">
            <v>TxHmL</v>
          </cell>
          <cell r="D3296" t="str">
            <v xml:space="preserve">Adaptive Aids/DME </v>
          </cell>
          <cell r="E3296" t="str">
            <v>BED RAIL</v>
          </cell>
          <cell r="F3296" t="str">
            <v>2215M0706</v>
          </cell>
        </row>
        <row r="3297">
          <cell r="A3297" t="str">
            <v>1915(c) waiver</v>
          </cell>
          <cell r="C3297" t="str">
            <v>TxHmL</v>
          </cell>
          <cell r="D3297" t="str">
            <v xml:space="preserve">Adaptive Aids/DME </v>
          </cell>
          <cell r="E3297" t="str">
            <v>BED RAIL</v>
          </cell>
          <cell r="F3297" t="str">
            <v>2215VM0774</v>
          </cell>
        </row>
        <row r="3298">
          <cell r="A3298" t="str">
            <v>1915(c) waiver</v>
          </cell>
          <cell r="C3298" t="str">
            <v>TxHmL</v>
          </cell>
          <cell r="D3298" t="str">
            <v xml:space="preserve">Adaptive Aids/DME </v>
          </cell>
          <cell r="E3298" t="str">
            <v>BLOOD PRESSURE OR PULSE MONITOR FOR AN INDIVIDUAL'S USE IN SELF-MONITORING</v>
          </cell>
          <cell r="F3298" t="str">
            <v>2215M0681</v>
          </cell>
        </row>
        <row r="3299">
          <cell r="A3299" t="str">
            <v>1915(c) waiver</v>
          </cell>
          <cell r="C3299" t="str">
            <v>TxHmL</v>
          </cell>
          <cell r="D3299" t="str">
            <v xml:space="preserve">Adaptive Aids/DME </v>
          </cell>
          <cell r="E3299" t="str">
            <v>BLOOD PRESSURE OR PULSE MONITOR FOR AN INDIVIDUAL'S USE IN SELF-MONITORING</v>
          </cell>
          <cell r="F3299" t="str">
            <v>2215VM0749</v>
          </cell>
        </row>
        <row r="3300">
          <cell r="A3300" t="str">
            <v>1915(c) waiver</v>
          </cell>
          <cell r="C3300" t="str">
            <v>TxHmL</v>
          </cell>
          <cell r="D3300" t="str">
            <v xml:space="preserve">Adaptive Aids/DME </v>
          </cell>
          <cell r="E3300" t="str">
            <v>CABINETRY ADJUSTMENT</v>
          </cell>
          <cell r="F3300" t="str">
            <v>2216M0817</v>
          </cell>
        </row>
        <row r="3301">
          <cell r="A3301" t="str">
            <v>1915(c) waiver</v>
          </cell>
          <cell r="C3301" t="str">
            <v>TxHmL</v>
          </cell>
          <cell r="D3301" t="str">
            <v xml:space="preserve">Adaptive Aids/DME </v>
          </cell>
          <cell r="E3301" t="str">
            <v>CABINETRY ADJUSTMENT</v>
          </cell>
          <cell r="F3301" t="str">
            <v>2216VM0841</v>
          </cell>
        </row>
        <row r="3302">
          <cell r="A3302" t="str">
            <v>1915(c) waiver</v>
          </cell>
          <cell r="C3302" t="str">
            <v>TxHmL</v>
          </cell>
          <cell r="D3302" t="str">
            <v xml:space="preserve">Adaptive Aids/DME </v>
          </cell>
          <cell r="E3302" t="str">
            <v xml:space="preserve">CABINETRY ADJUSTMENT                              </v>
          </cell>
          <cell r="F3302" t="str">
            <v>2216MM1056</v>
          </cell>
        </row>
        <row r="3303">
          <cell r="A3303" t="str">
            <v>1915(c) waiver</v>
          </cell>
          <cell r="C3303" t="str">
            <v>TxHmL</v>
          </cell>
          <cell r="D3303" t="str">
            <v xml:space="preserve">Adaptive Aids/DME </v>
          </cell>
          <cell r="E3303" t="str">
            <v xml:space="preserve">CABINETRY ADJUSTMENT                              </v>
          </cell>
          <cell r="F3303" t="str">
            <v>2216MVM1080</v>
          </cell>
        </row>
        <row r="3304">
          <cell r="A3304" t="str">
            <v>1915(c) waiver</v>
          </cell>
          <cell r="C3304" t="str">
            <v>TxHmL</v>
          </cell>
          <cell r="D3304" t="str">
            <v xml:space="preserve">Adaptive Aids/DME </v>
          </cell>
          <cell r="E3304" t="str">
            <v xml:space="preserve">CDS MINOR HOME MODIFICATIONS MAINT ES/BENEFITS    </v>
          </cell>
          <cell r="F3304" t="str">
            <v>2216MVM1089</v>
          </cell>
        </row>
        <row r="3305">
          <cell r="A3305" t="str">
            <v>1915(c) waiver</v>
          </cell>
          <cell r="C3305" t="str">
            <v>TxHmL</v>
          </cell>
          <cell r="D3305" t="str">
            <v xml:space="preserve">Adaptive Aids/DME </v>
          </cell>
          <cell r="E3305" t="str">
            <v xml:space="preserve">CDS MINOR HOME MODIFICATIONS MAINT TAXES          </v>
          </cell>
          <cell r="F3305" t="str">
            <v>2216MVM1090</v>
          </cell>
        </row>
        <row r="3306">
          <cell r="A3306" t="str">
            <v>1915(c) waiver</v>
          </cell>
          <cell r="C3306" t="str">
            <v>TxHmL</v>
          </cell>
          <cell r="D3306" t="str">
            <v xml:space="preserve">Adaptive Aids/DME </v>
          </cell>
          <cell r="E3306" t="str">
            <v>CLEFT PALATE FEEDER</v>
          </cell>
          <cell r="F3306" t="str">
            <v>2215M0680</v>
          </cell>
        </row>
        <row r="3307">
          <cell r="A3307" t="str">
            <v>1915(c) waiver</v>
          </cell>
          <cell r="C3307" t="str">
            <v>TxHmL</v>
          </cell>
          <cell r="D3307" t="str">
            <v xml:space="preserve">Adaptive Aids/DME </v>
          </cell>
          <cell r="E3307" t="str">
            <v>CLEFT PALATE FEEDER</v>
          </cell>
          <cell r="F3307" t="str">
            <v>2215VM0748</v>
          </cell>
        </row>
        <row r="3308">
          <cell r="A3308" t="str">
            <v>1915(c) waiver</v>
          </cell>
          <cell r="C3308" t="str">
            <v>TxHmL</v>
          </cell>
          <cell r="D3308" t="str">
            <v xml:space="preserve">Adaptive Aids/DME </v>
          </cell>
          <cell r="E3308" t="str">
            <v>CLOSED-CAPTIONING DEVICE FOR AN INDIVIDUAL WITH A HEARING IMPAIRMENT</v>
          </cell>
          <cell r="F3308" t="str">
            <v>2215M0689</v>
          </cell>
        </row>
        <row r="3309">
          <cell r="A3309" t="str">
            <v>1915(c) waiver</v>
          </cell>
          <cell r="C3309" t="str">
            <v>TxHmL</v>
          </cell>
          <cell r="D3309" t="str">
            <v xml:space="preserve">Adaptive Aids/DME </v>
          </cell>
          <cell r="E3309" t="str">
            <v>CLOSED-CAPTIONING DEVICE FOR AN INDIVIDUAL WITH A HEARING IMPAIRMENT</v>
          </cell>
          <cell r="F3309" t="str">
            <v>2215VM0757</v>
          </cell>
        </row>
        <row r="3310">
          <cell r="A3310" t="str">
            <v>1915(c) waiver</v>
          </cell>
          <cell r="C3310" t="str">
            <v>TxHmL</v>
          </cell>
          <cell r="D3310" t="str">
            <v xml:space="preserve">Adaptive Aids/DME </v>
          </cell>
          <cell r="E3310" t="str">
            <v>COMMUNICATION BOARD OR BOOK</v>
          </cell>
          <cell r="F3310" t="str">
            <v>2215M0688</v>
          </cell>
        </row>
        <row r="3311">
          <cell r="A3311" t="str">
            <v>1915(c) waiver</v>
          </cell>
          <cell r="C3311" t="str">
            <v>TxHmL</v>
          </cell>
          <cell r="D3311" t="str">
            <v xml:space="preserve">Adaptive Aids/DME </v>
          </cell>
          <cell r="E3311" t="str">
            <v>COMMUNICATION BOARD OR BOOK</v>
          </cell>
          <cell r="F3311" t="str">
            <v>2215VM0756</v>
          </cell>
        </row>
        <row r="3312">
          <cell r="A3312" t="str">
            <v>1915(c) waiver</v>
          </cell>
          <cell r="C3312" t="str">
            <v>TxHmL</v>
          </cell>
          <cell r="D3312" t="str">
            <v xml:space="preserve">Adaptive Aids/DME </v>
          </cell>
          <cell r="E3312" t="str">
            <v>CRUTCH, WALKER OR CANE</v>
          </cell>
          <cell r="F3312" t="str">
            <v>2215M0645</v>
          </cell>
        </row>
        <row r="3313">
          <cell r="A3313" t="str">
            <v>1915(c) waiver</v>
          </cell>
          <cell r="C3313" t="str">
            <v>TxHmL</v>
          </cell>
          <cell r="D3313" t="str">
            <v xml:space="preserve">Adaptive Aids/DME </v>
          </cell>
          <cell r="E3313" t="str">
            <v>CRUTCH, WALKER OR CANE</v>
          </cell>
          <cell r="F3313" t="str">
            <v>2215VM0713</v>
          </cell>
        </row>
        <row r="3314">
          <cell r="A3314" t="str">
            <v>1915(c) waiver</v>
          </cell>
          <cell r="C3314" t="str">
            <v>TxHmL</v>
          </cell>
          <cell r="D3314" t="str">
            <v xml:space="preserve">Adaptive Aids/DME </v>
          </cell>
          <cell r="E3314" t="str">
            <v>DEVICE OR ITEM USED TO ENABLE AN INDIVIDUAL TO INDEPENDENTLY HOLD AND SUSTAIN CONTROL OF AN OBJECT</v>
          </cell>
          <cell r="F3314" t="str">
            <v>2215M0698</v>
          </cell>
        </row>
        <row r="3315">
          <cell r="A3315" t="str">
            <v>1915(c) waiver</v>
          </cell>
          <cell r="C3315" t="str">
            <v>TxHmL</v>
          </cell>
          <cell r="D3315" t="str">
            <v xml:space="preserve">Adaptive Aids/DME </v>
          </cell>
          <cell r="E3315" t="str">
            <v>DEVICE OR ITEM USED TO ENABLE AN INDIVIDUAL TO INDEPENDENTLY HOLD AND SUSTAIN CONTROL OF AN OBJECT</v>
          </cell>
          <cell r="F3315" t="str">
            <v>2215VM0766</v>
          </cell>
        </row>
        <row r="3316">
          <cell r="A3316" t="str">
            <v>1915(c) waiver</v>
          </cell>
          <cell r="C3316" t="str">
            <v>TxHmL</v>
          </cell>
          <cell r="D3316" t="str">
            <v xml:space="preserve">Adaptive Aids/DME </v>
          </cell>
          <cell r="E3316" t="str">
            <v>DEVICE OR ITEM USED TO ENABLE AN INDIVIDUAL TO INDEPENDENTLY PICK UP OR GRASP AN OBJECT</v>
          </cell>
          <cell r="F3316" t="str">
            <v>2215M0696</v>
          </cell>
        </row>
        <row r="3317">
          <cell r="A3317" t="str">
            <v>1915(c) waiver</v>
          </cell>
          <cell r="C3317" t="str">
            <v>TxHmL</v>
          </cell>
          <cell r="D3317" t="str">
            <v xml:space="preserve">Adaptive Aids/DME </v>
          </cell>
          <cell r="E3317" t="str">
            <v>DEVICE OR ITEM USED TO ENABLE AN INDIVIDUAL TO INDEPENDENTLY PICK UP OR GRASP AN OBJECT</v>
          </cell>
          <cell r="F3317" t="str">
            <v>2215VM0764</v>
          </cell>
        </row>
        <row r="3318">
          <cell r="A3318" t="str">
            <v>1915(c) waiver</v>
          </cell>
          <cell r="C3318" t="str">
            <v>TxHmL</v>
          </cell>
          <cell r="D3318" t="str">
            <v xml:space="preserve">Adaptive Aids/DME </v>
          </cell>
          <cell r="E3318" t="str">
            <v>DEVICE OR ITEM USED TO ENABLE AN OBJECT TO BE FIRMLY POSITIONED AND SECURE</v>
          </cell>
          <cell r="F3318" t="str">
            <v>2215M0697</v>
          </cell>
        </row>
        <row r="3319">
          <cell r="A3319" t="str">
            <v>1915(c) waiver</v>
          </cell>
          <cell r="C3319" t="str">
            <v>TxHmL</v>
          </cell>
          <cell r="D3319" t="str">
            <v xml:space="preserve">Adaptive Aids/DME </v>
          </cell>
          <cell r="E3319" t="str">
            <v>DEVICE OR ITEM USED TO ENABLE AN OBJECT TO BE FIRMLY POSITIONED AND SECURE</v>
          </cell>
          <cell r="F3319" t="str">
            <v>2215VM0765</v>
          </cell>
        </row>
        <row r="3320">
          <cell r="A3320" t="str">
            <v>1915(c) waiver</v>
          </cell>
          <cell r="C3320" t="str">
            <v>TxHmL</v>
          </cell>
          <cell r="D3320" t="str">
            <v xml:space="preserve">Adaptive Aids/DME </v>
          </cell>
          <cell r="E3320" t="str">
            <v>DIAPERS, BRIEFS, PULL-ONS, LINERS, DIAPER WIPES, DISPOSABLE UNDERPADS, REUSABLE UNDERPADS</v>
          </cell>
          <cell r="F3320" t="str">
            <v>2215M0665</v>
          </cell>
        </row>
        <row r="3321">
          <cell r="A3321" t="str">
            <v>1915(c) waiver</v>
          </cell>
          <cell r="C3321" t="str">
            <v>TxHmL</v>
          </cell>
          <cell r="D3321" t="str">
            <v xml:space="preserve">Adaptive Aids/DME </v>
          </cell>
          <cell r="E3321" t="str">
            <v>DIAPERS, BRIEFS, PULL-ONS, LINERS, DIAPER WIPES, DISPOSABLE UNDERPADS, REUSABLE UNDERPADS</v>
          </cell>
          <cell r="F3321" t="str">
            <v>2215VM0733</v>
          </cell>
        </row>
        <row r="3322">
          <cell r="A3322" t="str">
            <v>1915(c) waiver</v>
          </cell>
          <cell r="C3322" t="str">
            <v>TxHmL</v>
          </cell>
          <cell r="D3322" t="str">
            <v xml:space="preserve">Adaptive Aids/DME </v>
          </cell>
          <cell r="E3322" t="str">
            <v>DIRECT SELECTION, ALPHANUMERIC, SCANNING OR ENCODING COMMUNICATOR</v>
          </cell>
          <cell r="F3322" t="str">
            <v>2215M0684</v>
          </cell>
        </row>
        <row r="3323">
          <cell r="A3323" t="str">
            <v>1915(c) waiver</v>
          </cell>
          <cell r="C3323" t="str">
            <v>TxHmL</v>
          </cell>
          <cell r="D3323" t="str">
            <v xml:space="preserve">Adaptive Aids/DME </v>
          </cell>
          <cell r="E3323" t="str">
            <v>DIRECT SELECTION, ALPHANUMERIC, SCANNING OR ENCODING COMMUNICATOR</v>
          </cell>
          <cell r="F3323" t="str">
            <v>2215VM0752</v>
          </cell>
        </row>
        <row r="3324">
          <cell r="A3324" t="str">
            <v>1915(c) waiver</v>
          </cell>
          <cell r="C3324" t="str">
            <v>TxHmL</v>
          </cell>
          <cell r="D3324" t="str">
            <v xml:space="preserve">Adaptive Aids/DME </v>
          </cell>
          <cell r="E3324" t="str">
            <v>DOOR WIDENING OR EMERGENCY EXIT ADAPTATION</v>
          </cell>
          <cell r="F3324" t="str">
            <v>2216M0818</v>
          </cell>
        </row>
        <row r="3325">
          <cell r="A3325" t="str">
            <v>1915(c) waiver</v>
          </cell>
          <cell r="C3325" t="str">
            <v>TxHmL</v>
          </cell>
          <cell r="D3325" t="str">
            <v xml:space="preserve">Adaptive Aids/DME </v>
          </cell>
          <cell r="E3325" t="str">
            <v>DOOR WIDENING OR EMERGENCY EXIT ADAPTATION</v>
          </cell>
          <cell r="F3325" t="str">
            <v>2216VM0842</v>
          </cell>
        </row>
        <row r="3326">
          <cell r="A3326" t="str">
            <v>1915(c) waiver</v>
          </cell>
          <cell r="C3326" t="str">
            <v>TxHmL</v>
          </cell>
          <cell r="D3326" t="str">
            <v xml:space="preserve">Adaptive Aids/DME </v>
          </cell>
          <cell r="E3326" t="str">
            <v xml:space="preserve">DOOR WIDENING OR EMERGENCY EXIT ADAPTATION MAINT  </v>
          </cell>
          <cell r="F3326" t="str">
            <v>2216MM1057</v>
          </cell>
        </row>
        <row r="3327">
          <cell r="A3327" t="str">
            <v>1915(c) waiver</v>
          </cell>
          <cell r="C3327" t="str">
            <v>TxHmL</v>
          </cell>
          <cell r="D3327" t="str">
            <v xml:space="preserve">Adaptive Aids/DME </v>
          </cell>
          <cell r="E3327" t="str">
            <v xml:space="preserve">DOOR WIDENING OR EMERGENCY EXIT ADAPTATION MAINT  </v>
          </cell>
          <cell r="F3327" t="str">
            <v>2216MVM1081</v>
          </cell>
        </row>
        <row r="3328">
          <cell r="A3328" t="str">
            <v>1915(c) waiver</v>
          </cell>
          <cell r="C3328" t="str">
            <v>TxHmL</v>
          </cell>
          <cell r="D3328" t="str">
            <v xml:space="preserve">Adaptive Aids/DME </v>
          </cell>
          <cell r="E3328" t="str">
            <v>EGG-CRATE, SHEEPSKIN OR OTHER MEDICALLY NECESSARY MATTRESS PAD</v>
          </cell>
          <cell r="F3328" t="str">
            <v>2215M0679</v>
          </cell>
        </row>
        <row r="3329">
          <cell r="A3329" t="str">
            <v>1915(c) waiver</v>
          </cell>
          <cell r="C3329" t="str">
            <v>TxHmL</v>
          </cell>
          <cell r="D3329" t="str">
            <v xml:space="preserve">Adaptive Aids/DME </v>
          </cell>
          <cell r="E3329" t="str">
            <v>ELECTRIC RAZOR OR ELECTRIC TOOTHBRUSH FOR AN INDIVIDUAL WITH A MUSCULAR WEAKNESS OR LIMITED RANGE OF MOTION WHO SHAVES SELF OR BRUSHES OWN TEETH</v>
          </cell>
          <cell r="F3329" t="str">
            <v>2215M0701</v>
          </cell>
        </row>
        <row r="3330">
          <cell r="A3330" t="str">
            <v>1915(c) waiver</v>
          </cell>
          <cell r="C3330" t="str">
            <v>TxHmL</v>
          </cell>
          <cell r="D3330" t="str">
            <v xml:space="preserve">Adaptive Aids/DME </v>
          </cell>
          <cell r="E3330" t="str">
            <v>ELECTRIC RAZOR OR ELECTRIC TOOTHBRUSH FOR AN INDIVIDUAL WITH A MUSCULAR WEAKNESS OR LIMITED RANGE OF MOTION WHO SHAVES SELF OR BRUSHES OWN TEETH</v>
          </cell>
          <cell r="F3330" t="str">
            <v>2215VM0769</v>
          </cell>
        </row>
        <row r="3331">
          <cell r="A3331" t="str">
            <v>1915(c) waiver</v>
          </cell>
          <cell r="C3331" t="str">
            <v>TxHmL</v>
          </cell>
          <cell r="D3331" t="str">
            <v xml:space="preserve">Adaptive Aids/DME </v>
          </cell>
          <cell r="E3331" t="str">
            <v>ELECTRONIC CONTROL UNIT OR AUTOMATIC DOOR OPENER</v>
          </cell>
          <cell r="F3331" t="str">
            <v>2215M0662</v>
          </cell>
        </row>
        <row r="3332">
          <cell r="A3332" t="str">
            <v>1915(c) waiver</v>
          </cell>
          <cell r="C3332" t="str">
            <v>TxHmL</v>
          </cell>
          <cell r="D3332" t="str">
            <v xml:space="preserve">Adaptive Aids/DME </v>
          </cell>
          <cell r="E3332" t="str">
            <v>ELECTRONIC CONTROL UNIT OR AUTOMATIC DOOR OPENER</v>
          </cell>
          <cell r="F3332" t="str">
            <v>2215VM0730</v>
          </cell>
        </row>
        <row r="3333">
          <cell r="A3333" t="str">
            <v>1915(c) waiver</v>
          </cell>
          <cell r="C3333" t="str">
            <v>TxHmL</v>
          </cell>
          <cell r="D3333" t="str">
            <v xml:space="preserve">Adaptive Aids/DME </v>
          </cell>
          <cell r="E3333" t="str">
            <v>EMERGENCY RESPONSE SYSTEM OR SERVICE, MONITORING DEVICE (MD, NU) OR MEDICAL ALERT BRACELET</v>
          </cell>
          <cell r="F3333" t="str">
            <v>2215M0687</v>
          </cell>
        </row>
        <row r="3334">
          <cell r="A3334" t="str">
            <v>1915(c) waiver</v>
          </cell>
          <cell r="C3334" t="str">
            <v>TxHmL</v>
          </cell>
          <cell r="D3334" t="str">
            <v xml:space="preserve">Adaptive Aids/DME </v>
          </cell>
          <cell r="E3334" t="str">
            <v>EMERGENCY RESPONSE SYSTEM OR SERVICE, MONITORING DEVICE (MD, NU) OR MEDICAL ALERT BRACELET</v>
          </cell>
          <cell r="F3334" t="str">
            <v>2215VM0755</v>
          </cell>
        </row>
        <row r="3335">
          <cell r="A3335" t="str">
            <v>1915(c) waiver</v>
          </cell>
          <cell r="C3335" t="str">
            <v>TxHmL</v>
          </cell>
          <cell r="D3335" t="str">
            <v xml:space="preserve">Adaptive Aids/DME </v>
          </cell>
          <cell r="E3335" t="str">
            <v>ENTERAL FEEDING FORMULA AND SUPPLIES</v>
          </cell>
          <cell r="F3335" t="str">
            <v>2215M0667</v>
          </cell>
        </row>
        <row r="3336">
          <cell r="A3336" t="str">
            <v>1915(c) waiver</v>
          </cell>
          <cell r="C3336" t="str">
            <v>TxHmL</v>
          </cell>
          <cell r="D3336" t="str">
            <v xml:space="preserve">Adaptive Aids/DME </v>
          </cell>
          <cell r="E3336" t="str">
            <v>ENTERAL FEEDING FORMULA AND SUPPLIES</v>
          </cell>
          <cell r="F3336" t="str">
            <v>2215VM0735</v>
          </cell>
        </row>
        <row r="3337">
          <cell r="A3337" t="str">
            <v>1915(c) waiver</v>
          </cell>
          <cell r="C3337" t="str">
            <v>TxHmL</v>
          </cell>
          <cell r="D3337" t="str">
            <v xml:space="preserve">Adaptive Aids/DME </v>
          </cell>
          <cell r="E3337" t="str">
            <v>FIRE ALARM ADAPTATION MADE TO AN EXISTING SYSTEM</v>
          </cell>
          <cell r="F3337" t="str">
            <v>2216M0823</v>
          </cell>
        </row>
        <row r="3338">
          <cell r="A3338" t="str">
            <v>1915(c) waiver</v>
          </cell>
          <cell r="C3338" t="str">
            <v>TxHmL</v>
          </cell>
          <cell r="D3338" t="str">
            <v xml:space="preserve">Adaptive Aids/DME </v>
          </cell>
          <cell r="E3338" t="str">
            <v>FIRE ALARM ADAPTATION MADE TO AN EXISTING SYSTEM</v>
          </cell>
          <cell r="F3338" t="str">
            <v>2216VM0847</v>
          </cell>
        </row>
        <row r="3339">
          <cell r="A3339" t="str">
            <v>1915(c) waiver</v>
          </cell>
          <cell r="C3339" t="str">
            <v>TxHmL</v>
          </cell>
          <cell r="D3339" t="str">
            <v xml:space="preserve">Adaptive Aids/DME </v>
          </cell>
          <cell r="E3339" t="str">
            <v>FIRE ALARM ADAPTATION MADE TO AN EXISTING SYSTEM M</v>
          </cell>
          <cell r="F3339" t="str">
            <v>2216MVM1086</v>
          </cell>
        </row>
        <row r="3340">
          <cell r="A3340" t="str">
            <v>1915(c) waiver</v>
          </cell>
          <cell r="C3340" t="str">
            <v>TxHmL</v>
          </cell>
          <cell r="D3340" t="str">
            <v xml:space="preserve">Adaptive Aids/DME </v>
          </cell>
          <cell r="E3340" t="str">
            <v>FIRE ALARM ADAPTATION MAINT MADE TO AN EXISTING SY</v>
          </cell>
          <cell r="F3340" t="str">
            <v>2216MM1062</v>
          </cell>
        </row>
        <row r="3341">
          <cell r="A3341" t="str">
            <v>1915(c) waiver</v>
          </cell>
          <cell r="C3341" t="str">
            <v>TxHmL</v>
          </cell>
          <cell r="D3341" t="str">
            <v xml:space="preserve">Adaptive Aids/DME </v>
          </cell>
          <cell r="E3341" t="str">
            <v>FLOOR URINAL OR BIDET ADAPTATION</v>
          </cell>
          <cell r="F3341" t="str">
            <v>2216M0808</v>
          </cell>
        </row>
        <row r="3342">
          <cell r="A3342" t="str">
            <v>1915(c) waiver</v>
          </cell>
          <cell r="C3342" t="str">
            <v>TxHmL</v>
          </cell>
          <cell r="D3342" t="str">
            <v xml:space="preserve">Adaptive Aids/DME </v>
          </cell>
          <cell r="E3342" t="str">
            <v>FLOOR URINAL OR BIDET ADAPTATION</v>
          </cell>
          <cell r="F3342" t="str">
            <v>2216VM0832</v>
          </cell>
        </row>
        <row r="3343">
          <cell r="A3343" t="str">
            <v>1915(c) waiver</v>
          </cell>
          <cell r="C3343" t="str">
            <v>TxHmL</v>
          </cell>
          <cell r="D3343" t="str">
            <v xml:space="preserve">Adaptive Aids/DME </v>
          </cell>
          <cell r="E3343" t="str">
            <v xml:space="preserve">FLOOR URINAL OR BIDET ADAPTATION MAINT            </v>
          </cell>
          <cell r="F3343" t="str">
            <v>2216MM1047</v>
          </cell>
        </row>
        <row r="3344">
          <cell r="A3344" t="str">
            <v>1915(c) waiver</v>
          </cell>
          <cell r="C3344" t="str">
            <v>TxHmL</v>
          </cell>
          <cell r="D3344" t="str">
            <v xml:space="preserve">Adaptive Aids/DME </v>
          </cell>
          <cell r="E3344" t="str">
            <v xml:space="preserve">FLOOR URINAL OR BIDET ADAPTATION MAINT            </v>
          </cell>
          <cell r="F3344" t="str">
            <v>2216MVM1071</v>
          </cell>
        </row>
        <row r="3345">
          <cell r="A3345" t="str">
            <v>1915(c) waiver</v>
          </cell>
          <cell r="C3345" t="str">
            <v>TxHmL</v>
          </cell>
          <cell r="D3345" t="str">
            <v xml:space="preserve">Adaptive Aids/DME </v>
          </cell>
          <cell r="E3345" t="str">
            <v>FLOORING ADAPTATION FOR WHEELCHAIR ACCESSIBILITY</v>
          </cell>
          <cell r="F3345" t="str">
            <v>2216M0819</v>
          </cell>
        </row>
        <row r="3346">
          <cell r="A3346" t="str">
            <v>1915(c) waiver</v>
          </cell>
          <cell r="C3346" t="str">
            <v>TxHmL</v>
          </cell>
          <cell r="D3346" t="str">
            <v xml:space="preserve">Adaptive Aids/DME </v>
          </cell>
          <cell r="E3346" t="str">
            <v>FLOORING ADAPTATION FOR WHEELCHAIR ACCESSIBILITY</v>
          </cell>
          <cell r="F3346" t="str">
            <v>2216VM0843</v>
          </cell>
        </row>
        <row r="3347">
          <cell r="A3347" t="str">
            <v>1915(c) waiver</v>
          </cell>
          <cell r="C3347" t="str">
            <v>TxHmL</v>
          </cell>
          <cell r="D3347" t="str">
            <v xml:space="preserve">Adaptive Aids/DME </v>
          </cell>
          <cell r="E3347" t="str">
            <v>FLOORING ADAPTATION FOR WHEELCHAIR ACCESSIBILITY M</v>
          </cell>
          <cell r="F3347" t="str">
            <v>2216MM1058</v>
          </cell>
        </row>
        <row r="3348">
          <cell r="A3348" t="str">
            <v>1915(c) waiver</v>
          </cell>
          <cell r="C3348" t="str">
            <v>TxHmL</v>
          </cell>
          <cell r="D3348" t="str">
            <v xml:space="preserve">Adaptive Aids/DME </v>
          </cell>
          <cell r="E3348" t="str">
            <v>FLOORING ADAPTATION FOR WHEELCHAIR ACCESSIBILITY M</v>
          </cell>
          <cell r="F3348" t="str">
            <v>2216MVM1082</v>
          </cell>
        </row>
        <row r="3349">
          <cell r="A3349" t="str">
            <v>1915(c) waiver</v>
          </cell>
          <cell r="C3349" t="str">
            <v>TxHmL</v>
          </cell>
          <cell r="D3349" t="str">
            <v xml:space="preserve">Adaptive Aids/DME </v>
          </cell>
          <cell r="E3349" t="str">
            <v xml:space="preserve">FOREARM PLATFORM ATTACHMENT FOR A WALKER </v>
          </cell>
          <cell r="F3349" t="str">
            <v>2215M0648</v>
          </cell>
        </row>
        <row r="3350">
          <cell r="A3350" t="str">
            <v>1915(c) waiver</v>
          </cell>
          <cell r="C3350" t="str">
            <v>TxHmL</v>
          </cell>
          <cell r="D3350" t="str">
            <v xml:space="preserve">Adaptive Aids/DME </v>
          </cell>
          <cell r="E3350" t="str">
            <v xml:space="preserve">FOREARM PLATFORM ATTACHMENT FOR A WALKER </v>
          </cell>
          <cell r="F3350" t="str">
            <v>2215VM0716</v>
          </cell>
        </row>
        <row r="3351">
          <cell r="A3351" t="str">
            <v>1915(c) waiver</v>
          </cell>
          <cell r="C3351" t="str">
            <v>TxHmL</v>
          </cell>
          <cell r="D3351" t="str">
            <v xml:space="preserve">Adaptive Aids/DME </v>
          </cell>
          <cell r="E3351" t="str">
            <v>GAIT TRAINER OR GAIT BELT</v>
          </cell>
          <cell r="F3351" t="str">
            <v>2215M0651</v>
          </cell>
        </row>
        <row r="3352">
          <cell r="A3352" t="str">
            <v>1915(c) waiver</v>
          </cell>
          <cell r="C3352" t="str">
            <v>TxHmL</v>
          </cell>
          <cell r="D3352" t="str">
            <v xml:space="preserve">Adaptive Aids/DME </v>
          </cell>
          <cell r="E3352" t="str">
            <v>GAIT TRAINER OR GAIT BELT</v>
          </cell>
          <cell r="F3352" t="str">
            <v>2215VM0719</v>
          </cell>
        </row>
        <row r="3353">
          <cell r="A3353" t="str">
            <v>1915(c) waiver</v>
          </cell>
          <cell r="C3353" t="str">
            <v>TxHmL</v>
          </cell>
          <cell r="D3353" t="str">
            <v xml:space="preserve">Adaptive Aids/DME </v>
          </cell>
          <cell r="E3353" t="str">
            <v>GLUCOSE MONITOR</v>
          </cell>
          <cell r="F3353" t="str">
            <v>2215M0669</v>
          </cell>
        </row>
        <row r="3354">
          <cell r="A3354" t="str">
            <v>1915(c) waiver</v>
          </cell>
          <cell r="C3354" t="str">
            <v>TxHmL</v>
          </cell>
          <cell r="D3354" t="str">
            <v xml:space="preserve">Adaptive Aids/DME </v>
          </cell>
          <cell r="E3354" t="str">
            <v>GLUCOSE MONITOR</v>
          </cell>
          <cell r="F3354" t="str">
            <v>2215VM0737</v>
          </cell>
        </row>
        <row r="3355">
          <cell r="A3355" t="str">
            <v>1915(c) waiver</v>
          </cell>
          <cell r="C3355" t="str">
            <v>TxHmL</v>
          </cell>
          <cell r="D3355" t="str">
            <v xml:space="preserve">Adaptive Aids/DME </v>
          </cell>
          <cell r="E3355" t="str">
            <v>HAND-HELD SHOWER DEVICE</v>
          </cell>
          <cell r="F3355" t="str">
            <v>2215M0704</v>
          </cell>
        </row>
        <row r="3356">
          <cell r="A3356" t="str">
            <v>1915(c) waiver</v>
          </cell>
          <cell r="C3356" t="str">
            <v>TxHmL</v>
          </cell>
          <cell r="D3356" t="str">
            <v xml:space="preserve">Adaptive Aids/DME </v>
          </cell>
          <cell r="E3356" t="str">
            <v>HAND-HELD SHOWER DEVICE</v>
          </cell>
          <cell r="F3356" t="str">
            <v>2215VM0772</v>
          </cell>
        </row>
        <row r="3357">
          <cell r="A3357" t="str">
            <v>1915(c) waiver</v>
          </cell>
          <cell r="C3357" t="str">
            <v>TxHmL</v>
          </cell>
          <cell r="D3357" t="str">
            <v xml:space="preserve">Adaptive Aids/DME </v>
          </cell>
          <cell r="E3357" t="str">
            <v>HANDRAIL OR SAFETY BAR PERMANENTLY ATTACHED TO A W</v>
          </cell>
          <cell r="F3357" t="str">
            <v>2216MM1059</v>
          </cell>
        </row>
        <row r="3358">
          <cell r="A3358" t="str">
            <v>1915(c) waiver</v>
          </cell>
          <cell r="C3358" t="str">
            <v>TxHmL</v>
          </cell>
          <cell r="D3358" t="str">
            <v xml:space="preserve">Adaptive Aids/DME </v>
          </cell>
          <cell r="E3358" t="str">
            <v>HANDRAIL OR SAFETY BAR PERMANENTLY ATTACHED TO A W</v>
          </cell>
          <cell r="F3358" t="str">
            <v>2216MVM1083</v>
          </cell>
        </row>
        <row r="3359">
          <cell r="A3359" t="str">
            <v>1915(c) waiver</v>
          </cell>
          <cell r="C3359" t="str">
            <v>TxHmL</v>
          </cell>
          <cell r="D3359" t="str">
            <v xml:space="preserve">Adaptive Aids/DME </v>
          </cell>
          <cell r="E3359" t="str">
            <v xml:space="preserve">HANDRAIL OR SAFETY BAR PERMANENTLY ATTACHED TO A WALL, FLOOR AND/OR CEILING </v>
          </cell>
          <cell r="F3359" t="str">
            <v>2216M0820</v>
          </cell>
        </row>
        <row r="3360">
          <cell r="A3360" t="str">
            <v>1915(c) waiver</v>
          </cell>
          <cell r="C3360" t="str">
            <v>TxHmL</v>
          </cell>
          <cell r="D3360" t="str">
            <v xml:space="preserve">Adaptive Aids/DME </v>
          </cell>
          <cell r="E3360" t="str">
            <v xml:space="preserve">HANDRAIL OR SAFETY BAR PERMANENTLY ATTACHED TO A WALL, FLOOR AND/OR CEILING </v>
          </cell>
          <cell r="F3360" t="str">
            <v>2216VM0844</v>
          </cell>
        </row>
        <row r="3361">
          <cell r="A3361" t="str">
            <v>1915(c) waiver</v>
          </cell>
          <cell r="C3361" t="str">
            <v>TxHmL</v>
          </cell>
          <cell r="D3361" t="str">
            <v xml:space="preserve">Adaptive Aids/DME </v>
          </cell>
          <cell r="E3361" t="str">
            <v>HEARING AID OR BATTERY</v>
          </cell>
          <cell r="F3361" t="str">
            <v>2215M0694</v>
          </cell>
        </row>
        <row r="3362">
          <cell r="A3362" t="str">
            <v>1915(c) waiver</v>
          </cell>
          <cell r="C3362" t="str">
            <v>TxHmL</v>
          </cell>
          <cell r="D3362" t="str">
            <v xml:space="preserve">Adaptive Aids/DME </v>
          </cell>
          <cell r="E3362" t="str">
            <v>HEARING AID OR BATTERY</v>
          </cell>
          <cell r="F3362" t="str">
            <v>2215VM0762</v>
          </cell>
        </row>
        <row r="3363">
          <cell r="A3363" t="str">
            <v>1915(c) waiver</v>
          </cell>
          <cell r="C3363" t="str">
            <v>TxHmL</v>
          </cell>
          <cell r="D3363" t="str">
            <v xml:space="preserve">Adaptive Aids/DME </v>
          </cell>
          <cell r="E3363" t="str">
            <v>HELMET USED DUE TO A SEIZURE DISORDER OR OTHER MEDICAL CONDITION</v>
          </cell>
          <cell r="F3363" t="str">
            <v>2215M0708</v>
          </cell>
        </row>
        <row r="3364">
          <cell r="A3364" t="str">
            <v>1915(c) waiver</v>
          </cell>
          <cell r="C3364" t="str">
            <v>TxHmL</v>
          </cell>
          <cell r="D3364" t="str">
            <v xml:space="preserve">Adaptive Aids/DME </v>
          </cell>
          <cell r="E3364" t="str">
            <v>HELMET USED DUE TO A SEIZURE DISORDER OR OTHER MEDICAL CONDITION</v>
          </cell>
          <cell r="F3364" t="str">
            <v>2215VM0776</v>
          </cell>
        </row>
        <row r="3365">
          <cell r="A3365" t="str">
            <v>1915(c) waiver</v>
          </cell>
          <cell r="C3365" t="str">
            <v>TxHmL</v>
          </cell>
          <cell r="D3365" t="str">
            <v xml:space="preserve">Adaptive Aids/DME </v>
          </cell>
          <cell r="E3365" t="str">
            <v>HOSPITAL BED OR CRIB</v>
          </cell>
          <cell r="F3365" t="str">
            <v>2215M0653</v>
          </cell>
        </row>
        <row r="3366">
          <cell r="A3366" t="str">
            <v>1915(c) waiver</v>
          </cell>
          <cell r="C3366" t="str">
            <v>TxHmL</v>
          </cell>
          <cell r="D3366" t="str">
            <v xml:space="preserve">Adaptive Aids/DME </v>
          </cell>
          <cell r="E3366" t="str">
            <v>HOSPITAL BED OR CRIB</v>
          </cell>
          <cell r="F3366" t="str">
            <v>2215VM0721</v>
          </cell>
        </row>
        <row r="3367">
          <cell r="A3367" t="str">
            <v>1915(c) waiver</v>
          </cell>
          <cell r="C3367" t="str">
            <v>TxHmL</v>
          </cell>
          <cell r="D3367" t="str">
            <v xml:space="preserve">Adaptive Aids/DME </v>
          </cell>
          <cell r="E3367" t="str">
            <v>HYDRAULIC, MANUAL OR ELECTRONIC LIFT, REPLACEMENT SLING, BARRIER-FREE (CEILING OR WALL MOUNTED) LIFT SYSTEM INCLUDING INSTALLATION OF THE LIFT, PORCH LIFT OR STAIR LIFT</v>
          </cell>
          <cell r="F3367" t="str">
            <v>2215M0643</v>
          </cell>
        </row>
        <row r="3368">
          <cell r="A3368" t="str">
            <v>1915(c) waiver</v>
          </cell>
          <cell r="C3368" t="str">
            <v>TxHmL</v>
          </cell>
          <cell r="D3368" t="str">
            <v xml:space="preserve">Adaptive Aids/DME </v>
          </cell>
          <cell r="E3368" t="str">
            <v>HYDRAULIC, MANUAL OR ELECTRONIC LIFT, REPLACEMENT SLING, BARRIER-FREE (CEILING OR WALL MOUNTED) LIFT SYSTEM INCLUDING INSTALLATION OF THE LIFT, PORCH LIFT OR STAIR LIFT</v>
          </cell>
          <cell r="F3368" t="str">
            <v>2215VM0711</v>
          </cell>
        </row>
        <row r="3369">
          <cell r="A3369" t="str">
            <v>1915(c) waiver</v>
          </cell>
          <cell r="C3369" t="str">
            <v>TxHmL</v>
          </cell>
          <cell r="D3369" t="str">
            <v xml:space="preserve">Adaptive Aids/DME </v>
          </cell>
          <cell r="E3369" t="str">
            <v>LEVER DOOR HANDLE</v>
          </cell>
          <cell r="F3369" t="str">
            <v>2215M0695</v>
          </cell>
        </row>
        <row r="3370">
          <cell r="A3370" t="str">
            <v>1915(c) waiver</v>
          </cell>
          <cell r="C3370" t="str">
            <v>TxHmL</v>
          </cell>
          <cell r="D3370" t="str">
            <v xml:space="preserve">Adaptive Aids/DME </v>
          </cell>
          <cell r="E3370" t="str">
            <v>LEVER DOOR HANDLE</v>
          </cell>
          <cell r="F3370" t="str">
            <v>2216M0824</v>
          </cell>
        </row>
        <row r="3371">
          <cell r="A3371" t="str">
            <v>1915(c) waiver</v>
          </cell>
          <cell r="C3371" t="str">
            <v>TxHmL</v>
          </cell>
          <cell r="D3371" t="str">
            <v xml:space="preserve">Adaptive Aids/DME </v>
          </cell>
          <cell r="E3371" t="str">
            <v>LEVER DOOR HANDLE</v>
          </cell>
          <cell r="F3371" t="str">
            <v>2215VM0763</v>
          </cell>
        </row>
        <row r="3372">
          <cell r="A3372" t="str">
            <v>1915(c) waiver</v>
          </cell>
          <cell r="C3372" t="str">
            <v>TxHmL</v>
          </cell>
          <cell r="D3372" t="str">
            <v xml:space="preserve">Adaptive Aids/DME </v>
          </cell>
          <cell r="E3372" t="str">
            <v>LEVER DOOR HANDLE</v>
          </cell>
          <cell r="F3372" t="str">
            <v>2216VM0848</v>
          </cell>
        </row>
        <row r="3373">
          <cell r="A3373" t="str">
            <v>1915(c) waiver</v>
          </cell>
          <cell r="C3373" t="str">
            <v>TxHmL</v>
          </cell>
          <cell r="D3373" t="str">
            <v xml:space="preserve">Adaptive Aids/DME </v>
          </cell>
          <cell r="E3373" t="str">
            <v xml:space="preserve">LEVER DOOR HANDLE MAINT                           </v>
          </cell>
          <cell r="F3373" t="str">
            <v>2216MM1063</v>
          </cell>
        </row>
        <row r="3374">
          <cell r="A3374" t="str">
            <v>1915(c) waiver</v>
          </cell>
          <cell r="C3374" t="str">
            <v>TxHmL</v>
          </cell>
          <cell r="D3374" t="str">
            <v xml:space="preserve">Adaptive Aids/DME </v>
          </cell>
          <cell r="E3374" t="str">
            <v xml:space="preserve">LEVER DOOR HANDLE MAINT                           </v>
          </cell>
          <cell r="F3374" t="str">
            <v>2216MVM1087</v>
          </cell>
        </row>
        <row r="3375">
          <cell r="A3375" t="str">
            <v>1915(c) waiver</v>
          </cell>
          <cell r="C3375" t="str">
            <v>TxHmL</v>
          </cell>
          <cell r="D3375" t="str">
            <v xml:space="preserve">Adaptive Aids/DME </v>
          </cell>
          <cell r="E3375" t="str">
            <v>LIFT CHAIR, BUT NOT THE LIFT MECHANISM IF IT IS REIMBURSABLE THROUGH MEDICARE</v>
          </cell>
          <cell r="F3375" t="str">
            <v>2215M0656</v>
          </cell>
        </row>
        <row r="3376">
          <cell r="A3376" t="str">
            <v>1915(c) waiver</v>
          </cell>
          <cell r="C3376" t="str">
            <v>TxHmL</v>
          </cell>
          <cell r="D3376" t="str">
            <v xml:space="preserve">Adaptive Aids/DME </v>
          </cell>
          <cell r="E3376" t="str">
            <v>LIFT CHAIR, BUT NOT THE LIFT MECHANISM IF IT IS REIMBURSABLE THROUGH MEDICARE</v>
          </cell>
          <cell r="F3376" t="str">
            <v>2215VM0724</v>
          </cell>
        </row>
        <row r="3377">
          <cell r="A3377" t="str">
            <v>1915(c) waiver</v>
          </cell>
          <cell r="C3377" t="str">
            <v>TxHmL</v>
          </cell>
          <cell r="D3377" t="str">
            <v xml:space="preserve">Adaptive Aids/DME </v>
          </cell>
          <cell r="E3377" t="str">
            <v>MANUAL OR ELECTRIC WHEELCHAIR OR A NECESSARY ACCESSORY</v>
          </cell>
          <cell r="F3377" t="str">
            <v>2215M0647</v>
          </cell>
        </row>
        <row r="3378">
          <cell r="A3378" t="str">
            <v>1915(c) waiver</v>
          </cell>
          <cell r="C3378" t="str">
            <v>TxHmL</v>
          </cell>
          <cell r="D3378" t="str">
            <v xml:space="preserve">Adaptive Aids/DME </v>
          </cell>
          <cell r="E3378" t="str">
            <v>MANUAL OR ELECTRIC WHEELCHAIR OR A NECESSARY ACCESSORY</v>
          </cell>
          <cell r="F3378" t="str">
            <v>2215VM0715</v>
          </cell>
        </row>
        <row r="3379">
          <cell r="A3379" t="str">
            <v>1915(c) waiver</v>
          </cell>
          <cell r="C3379" t="str">
            <v>TxHmL</v>
          </cell>
          <cell r="D3379" t="str">
            <v xml:space="preserve">Adaptive Aids/DME </v>
          </cell>
          <cell r="E3379" t="str">
            <v>MEDICAL SUPPORT HOSE</v>
          </cell>
          <cell r="F3379" t="str">
            <v>2215M0676</v>
          </cell>
        </row>
        <row r="3380">
          <cell r="A3380" t="str">
            <v>1915(c) waiver</v>
          </cell>
          <cell r="C3380" t="str">
            <v>TxHmL</v>
          </cell>
          <cell r="D3380" t="str">
            <v xml:space="preserve">Adaptive Aids/DME </v>
          </cell>
          <cell r="E3380" t="str">
            <v>MEDICAL SUPPORT HOSE</v>
          </cell>
          <cell r="F3380" t="str">
            <v>2215VM0744</v>
          </cell>
        </row>
        <row r="3381">
          <cell r="A3381" t="str">
            <v>1915(c) waiver</v>
          </cell>
          <cell r="C3381" t="str">
            <v>TxHmL</v>
          </cell>
          <cell r="D3381" t="str">
            <v xml:space="preserve">Adaptive Aids/DME </v>
          </cell>
          <cell r="E3381" t="str">
            <v>MEDICALLY NECESSARY SUPPLIES FOR TRACHEOTOMY CARE, DECUBITUS CARE, OSTOMY CARE, RESPIRATOR/VENTILATOR CARE OR CATHETERIZATION</v>
          </cell>
          <cell r="F3381" t="str">
            <v>2215M0668</v>
          </cell>
        </row>
        <row r="3382">
          <cell r="A3382" t="str">
            <v>1915(c) waiver</v>
          </cell>
          <cell r="C3382" t="str">
            <v>TxHmL</v>
          </cell>
          <cell r="D3382" t="str">
            <v xml:space="preserve">Adaptive Aids/DME </v>
          </cell>
          <cell r="E3382" t="str">
            <v>MEDICALLY NECESSARY SUPPLIES FOR TRACHEOTOMY CARE, DECUBITUS CARE, OSTOMY CARE, RESPIRATOR/VENTILATOR CARE OR CATHETERIZATION</v>
          </cell>
          <cell r="F3382" t="str">
            <v>2215VM0736</v>
          </cell>
        </row>
        <row r="3383">
          <cell r="A3383" t="str">
            <v>1915(c) waiver</v>
          </cell>
          <cell r="C3383" t="str">
            <v>TxHmL</v>
          </cell>
          <cell r="D3383" t="str">
            <v xml:space="preserve">Adaptive Aids/DME </v>
          </cell>
          <cell r="E3383" t="str">
            <v>MICROWAVE OVEN, IF USE OF A CONVENTIONAL OVEN PRESENTS A SAFETY HAZARD TO THE INDIVIDUAL</v>
          </cell>
          <cell r="F3383" t="str">
            <v>2215M0703</v>
          </cell>
        </row>
        <row r="3384">
          <cell r="A3384" t="str">
            <v>1915(c) waiver</v>
          </cell>
          <cell r="C3384" t="str">
            <v>TxHmL</v>
          </cell>
          <cell r="D3384" t="str">
            <v xml:space="preserve">Adaptive Aids/DME </v>
          </cell>
          <cell r="E3384" t="str">
            <v>MICROWAVE OVEN, IF USE OF A CONVENTIONAL OVEN PRESENTS A SAFETY HAZARD TO THE INDIVIDUAL</v>
          </cell>
          <cell r="F3384" t="str">
            <v>2215VM0771</v>
          </cell>
        </row>
        <row r="3385">
          <cell r="A3385" t="str">
            <v>1915(c) waiver</v>
          </cell>
          <cell r="C3385" t="str">
            <v>TxHmL</v>
          </cell>
          <cell r="D3385" t="str">
            <v xml:space="preserve">Adaptive Aids/DME </v>
          </cell>
          <cell r="E3385" t="str">
            <v>MULTIVITAMIN PRODUCT WITH A PRESCRIPTION, A NUTRITIONAL SUPPLEMENT LISTED IN THE TEXAS MEDICAID PROVIDER PROCEDURES MANUAL</v>
          </cell>
          <cell r="F3385" t="str">
            <v>2215M0666</v>
          </cell>
        </row>
        <row r="3386">
          <cell r="A3386" t="str">
            <v>1915(c) waiver</v>
          </cell>
          <cell r="C3386" t="str">
            <v>TxHmL</v>
          </cell>
          <cell r="D3386" t="str">
            <v xml:space="preserve">Adaptive Aids/DME </v>
          </cell>
          <cell r="E3386" t="str">
            <v>MULTIVITAMIN PRODUCT WITH A PRESCRIPTION, A NUTRITIONAL SUPPLEMENT LISTED IN THE TEXAS MEDICAID PROVIDER PROCEDURES MANUAL</v>
          </cell>
          <cell r="F3386" t="str">
            <v>2215VM0734</v>
          </cell>
        </row>
        <row r="3387">
          <cell r="A3387" t="str">
            <v>1915(c) waiver</v>
          </cell>
          <cell r="C3387" t="str">
            <v>TxHmL</v>
          </cell>
          <cell r="D3387" t="str">
            <v xml:space="preserve">Adaptive Aids/DME </v>
          </cell>
          <cell r="E3387" t="str">
            <v>MUSCLE STIMULATOR</v>
          </cell>
          <cell r="F3387" t="str">
            <v>2215M0672</v>
          </cell>
        </row>
        <row r="3388">
          <cell r="A3388" t="str">
            <v>1915(c) waiver</v>
          </cell>
          <cell r="C3388" t="str">
            <v>TxHmL</v>
          </cell>
          <cell r="D3388" t="str">
            <v xml:space="preserve">Adaptive Aids/DME </v>
          </cell>
          <cell r="E3388" t="str">
            <v>MUSCLE STIMULATOR</v>
          </cell>
          <cell r="F3388" t="str">
            <v>2215VM0740</v>
          </cell>
        </row>
        <row r="3389">
          <cell r="A3389" t="str">
            <v>1915(c) waiver</v>
          </cell>
          <cell r="C3389" t="str">
            <v>TxHmL</v>
          </cell>
          <cell r="D3389" t="str">
            <v xml:space="preserve">Adaptive Aids/DME </v>
          </cell>
          <cell r="E3389" t="str">
            <v>NON-STERILE DISPOSABLE GLOVES FOR INDIVIDUALS WHO REQUIRE CATHETERIZATION, HAVE SKIN BREAKDOWN OR REQUIRE WOUND CARE, OR HAVE A DOCUMENTED DISEASE THAT MAY BE TRANSMITTED THROUGH URINE OR STOOL AND THE CARE OF THE INDIVIDUAL IS PROVIDED BY A NON-PAID CAREGIVER</v>
          </cell>
          <cell r="F3389" t="str">
            <v>2215M0683</v>
          </cell>
        </row>
        <row r="3390">
          <cell r="A3390" t="str">
            <v>1915(c) waiver</v>
          </cell>
          <cell r="C3390" t="str">
            <v>TxHmL</v>
          </cell>
          <cell r="D3390" t="str">
            <v xml:space="preserve">Adaptive Aids/DME </v>
          </cell>
          <cell r="E3390" t="str">
            <v>NON-STERILE DISPOSABLE GLOVES FOR INDIVIDUALS WHO REQUIRE CATHETERIZATION, HAVE SKIN BREAKDOWN OR REQUIRE WOUND CARE, OR HAVE A DOCUMENTED DISEASE THAT MAY BE TRANSMITTED THROUGH URINE OR STOOL AND THE CARE OF THE INDIVIDUAL IS PROVIDED BY A NON-PAID CAREGIVER</v>
          </cell>
          <cell r="F3390" t="str">
            <v>2215VM0751</v>
          </cell>
        </row>
        <row r="3391">
          <cell r="A3391" t="str">
            <v>1915(c) waiver</v>
          </cell>
          <cell r="C3391" t="str">
            <v>TxHmL</v>
          </cell>
          <cell r="D3391" t="str">
            <v xml:space="preserve">Adaptive Aids/DME </v>
          </cell>
          <cell r="E3391" t="str">
            <v>ORTHOTIC DEVICE, ORTHOPEDIC SHOES OR A BRACE WHICH IS CUSTOM FABRICATED SPECIFICALLY FOR AN INDIVIDUAL</v>
          </cell>
          <cell r="F3391" t="str">
            <v>2215M0646</v>
          </cell>
        </row>
        <row r="3392">
          <cell r="A3392" t="str">
            <v>1915(c) waiver</v>
          </cell>
          <cell r="C3392" t="str">
            <v>TxHmL</v>
          </cell>
          <cell r="D3392" t="str">
            <v xml:space="preserve">Adaptive Aids/DME </v>
          </cell>
          <cell r="E3392" t="str">
            <v>ORTHOTIC DEVICE, ORTHOPEDIC SHOES OR A BRACE WHICH IS CUSTOM FABRICATED SPECIFICALLY FOR AN INDIVIDUAL</v>
          </cell>
          <cell r="F3392" t="str">
            <v>2215VM0714</v>
          </cell>
        </row>
        <row r="3393">
          <cell r="A3393" t="str">
            <v>1915(c) waiver</v>
          </cell>
          <cell r="C3393" t="str">
            <v>TxHmL</v>
          </cell>
          <cell r="D3393" t="str">
            <v xml:space="preserve">Adaptive Aids/DME </v>
          </cell>
          <cell r="E3393" t="str">
            <v>PERSONAL COMPUTER OR ACCESSORY NECESSARY FOR THE INDIVIDUAL TO COMMUNICATE INDEPENDENTLY</v>
          </cell>
          <cell r="F3393" t="str">
            <v>2215M0692</v>
          </cell>
        </row>
        <row r="3394">
          <cell r="A3394" t="str">
            <v>1915(c) waiver</v>
          </cell>
          <cell r="C3394" t="str">
            <v>TxHmL</v>
          </cell>
          <cell r="D3394" t="str">
            <v xml:space="preserve">Adaptive Aids/DME </v>
          </cell>
          <cell r="E3394" t="str">
            <v>PERSONAL COMPUTER OR ACCESSORY NECESSARY FOR THE INDIVIDUAL TO COMMUNICATE INDEPENDENTLY</v>
          </cell>
          <cell r="F3394" t="str">
            <v>2215VM0760</v>
          </cell>
        </row>
        <row r="3395">
          <cell r="A3395" t="str">
            <v>1915(c) waiver</v>
          </cell>
          <cell r="C3395" t="str">
            <v>TxHmL</v>
          </cell>
          <cell r="D3395" t="str">
            <v xml:space="preserve">Adaptive Aids/DME </v>
          </cell>
          <cell r="E3395" t="str">
            <v>PLUMBING ADAPTATION</v>
          </cell>
          <cell r="F3395" t="str">
            <v>2216M0809</v>
          </cell>
        </row>
        <row r="3396">
          <cell r="A3396" t="str">
            <v>1915(c) waiver</v>
          </cell>
          <cell r="C3396" t="str">
            <v>TxHmL</v>
          </cell>
          <cell r="D3396" t="str">
            <v xml:space="preserve">Adaptive Aids/DME </v>
          </cell>
          <cell r="E3396" t="str">
            <v>PLUMBING ADAPTATION</v>
          </cell>
          <cell r="F3396" t="str">
            <v>2216M0815</v>
          </cell>
        </row>
        <row r="3397">
          <cell r="A3397" t="str">
            <v>1915(c) waiver</v>
          </cell>
          <cell r="C3397" t="str">
            <v>TxHmL</v>
          </cell>
          <cell r="D3397" t="str">
            <v xml:space="preserve">Adaptive Aids/DME </v>
          </cell>
          <cell r="E3397" t="str">
            <v>PLUMBING ADAPTATION</v>
          </cell>
          <cell r="F3397" t="str">
            <v>2216VM0833</v>
          </cell>
        </row>
        <row r="3398">
          <cell r="A3398" t="str">
            <v>1915(c) waiver</v>
          </cell>
          <cell r="C3398" t="str">
            <v>TxHmL</v>
          </cell>
          <cell r="D3398" t="str">
            <v xml:space="preserve">Adaptive Aids/DME </v>
          </cell>
          <cell r="E3398" t="str">
            <v>PLUMBING ADAPTATION</v>
          </cell>
          <cell r="F3398" t="str">
            <v>2216VM0839</v>
          </cell>
        </row>
        <row r="3399">
          <cell r="A3399" t="str">
            <v>1915(c) waiver</v>
          </cell>
          <cell r="C3399" t="str">
            <v>TxHmL</v>
          </cell>
          <cell r="D3399" t="str">
            <v xml:space="preserve">Adaptive Aids/DME </v>
          </cell>
          <cell r="E3399" t="str">
            <v xml:space="preserve">PLUMBING ADAPTATION MAINT                         </v>
          </cell>
          <cell r="F3399" t="str">
            <v>2216MM1048</v>
          </cell>
        </row>
        <row r="3400">
          <cell r="A3400" t="str">
            <v>1915(c) waiver</v>
          </cell>
          <cell r="C3400" t="str">
            <v>TxHmL</v>
          </cell>
          <cell r="D3400" t="str">
            <v xml:space="preserve">Adaptive Aids/DME </v>
          </cell>
          <cell r="E3400" t="str">
            <v xml:space="preserve">PLUMBING ADAPTATION MAINT                         </v>
          </cell>
          <cell r="F3400" t="str">
            <v>2216MM1054</v>
          </cell>
        </row>
        <row r="3401">
          <cell r="A3401" t="str">
            <v>1915(c) waiver</v>
          </cell>
          <cell r="C3401" t="str">
            <v>TxHmL</v>
          </cell>
          <cell r="D3401" t="str">
            <v xml:space="preserve">Adaptive Aids/DME </v>
          </cell>
          <cell r="E3401" t="str">
            <v xml:space="preserve">PLUMBING ADAPTATION MAINT                         </v>
          </cell>
          <cell r="F3401" t="str">
            <v>2216MVM1072</v>
          </cell>
        </row>
        <row r="3402">
          <cell r="A3402" t="str">
            <v>1915(c) waiver</v>
          </cell>
          <cell r="C3402" t="str">
            <v>TxHmL</v>
          </cell>
          <cell r="D3402" t="str">
            <v xml:space="preserve">Adaptive Aids/DME </v>
          </cell>
          <cell r="E3402" t="str">
            <v xml:space="preserve">PLUMBING ADAPTATION MAINT                         </v>
          </cell>
          <cell r="F3402" t="str">
            <v>2216MVM1078</v>
          </cell>
        </row>
        <row r="3403">
          <cell r="A3403" t="str">
            <v>1915(c) waiver</v>
          </cell>
          <cell r="C3403" t="str">
            <v>TxHmL</v>
          </cell>
          <cell r="D3403" t="str">
            <v xml:space="preserve">Adaptive Aids/DME </v>
          </cell>
          <cell r="E3403" t="str">
            <v xml:space="preserve">PORTABLE WHEELCHAIR RAMP </v>
          </cell>
          <cell r="F3403" t="str">
            <v>2215M0649</v>
          </cell>
        </row>
        <row r="3404">
          <cell r="A3404" t="str">
            <v>1915(c) waiver</v>
          </cell>
          <cell r="C3404" t="str">
            <v>TxHmL</v>
          </cell>
          <cell r="D3404" t="str">
            <v xml:space="preserve">Adaptive Aids/DME </v>
          </cell>
          <cell r="E3404" t="str">
            <v xml:space="preserve">PORTABLE WHEELCHAIR RAMP </v>
          </cell>
          <cell r="F3404" t="str">
            <v>2215VM0717</v>
          </cell>
        </row>
        <row r="3405">
          <cell r="A3405" t="str">
            <v>1915(c) waiver</v>
          </cell>
          <cell r="C3405" t="str">
            <v>TxHmL</v>
          </cell>
          <cell r="D3405" t="str">
            <v xml:space="preserve">Adaptive Aids/DME </v>
          </cell>
          <cell r="E3405" t="str">
            <v>PRESCRIPTION EYEGLASSES BEYOND MEDICAID LIMIT</v>
          </cell>
          <cell r="F3405" t="str">
            <v>2215M0682</v>
          </cell>
        </row>
        <row r="3406">
          <cell r="A3406" t="str">
            <v>1915(c) waiver</v>
          </cell>
          <cell r="C3406" t="str">
            <v>TxHmL</v>
          </cell>
          <cell r="D3406" t="str">
            <v xml:space="preserve">Adaptive Aids/DME </v>
          </cell>
          <cell r="E3406" t="str">
            <v>PRESCRIPTION EYEGLASSES BEYOND MEDICAID LIMIT</v>
          </cell>
          <cell r="F3406" t="str">
            <v>2215VM0750</v>
          </cell>
        </row>
        <row r="3407">
          <cell r="A3407" t="str">
            <v>1915(c) waiver</v>
          </cell>
          <cell r="C3407" t="str">
            <v>TxHmL</v>
          </cell>
          <cell r="D3407" t="str">
            <v xml:space="preserve">Adaptive Aids/DME </v>
          </cell>
          <cell r="E3407" t="str">
            <v>SAFETY GLASS, FILM OR PADDING ADAPTATION</v>
          </cell>
          <cell r="F3407" t="str">
            <v>2216M0825</v>
          </cell>
        </row>
        <row r="3408">
          <cell r="A3408" t="str">
            <v>1915(c) waiver</v>
          </cell>
          <cell r="C3408" t="str">
            <v>TxHmL</v>
          </cell>
          <cell r="D3408" t="str">
            <v xml:space="preserve">Adaptive Aids/DME </v>
          </cell>
          <cell r="E3408" t="str">
            <v>SAFETY GLASS, FILM OR PADDING ADAPTATION</v>
          </cell>
          <cell r="F3408" t="str">
            <v>2216VM0849</v>
          </cell>
        </row>
        <row r="3409">
          <cell r="A3409" t="str">
            <v>1915(c) waiver</v>
          </cell>
          <cell r="C3409" t="str">
            <v>TxHmL</v>
          </cell>
          <cell r="D3409" t="str">
            <v xml:space="preserve">Adaptive Aids/DME </v>
          </cell>
          <cell r="E3409" t="str">
            <v xml:space="preserve">SAFETY GLASS, FILM OR PADDING ADAPTATION MAINT    </v>
          </cell>
          <cell r="F3409" t="str">
            <v>2216MM1064</v>
          </cell>
        </row>
        <row r="3410">
          <cell r="A3410" t="str">
            <v>1915(c) waiver</v>
          </cell>
          <cell r="C3410" t="str">
            <v>TxHmL</v>
          </cell>
          <cell r="D3410" t="str">
            <v xml:space="preserve">Adaptive Aids/DME </v>
          </cell>
          <cell r="E3410" t="str">
            <v xml:space="preserve">SAFETY GLASS, FILM OR PADDING ADAPTATION MAINT    </v>
          </cell>
          <cell r="F3410" t="str">
            <v>2216MVM1088</v>
          </cell>
        </row>
        <row r="3411">
          <cell r="A3411" t="str">
            <v>1915(c) waiver</v>
          </cell>
          <cell r="C3411" t="str">
            <v>TxHmL</v>
          </cell>
          <cell r="D3411" t="str">
            <v xml:space="preserve">Adaptive Aids/DME </v>
          </cell>
          <cell r="E3411" t="str">
            <v>SAFETY PADDING</v>
          </cell>
          <cell r="F3411" t="str">
            <v>2215M0707</v>
          </cell>
        </row>
        <row r="3412">
          <cell r="A3412" t="str">
            <v>1915(c) waiver</v>
          </cell>
          <cell r="C3412" t="str">
            <v>TxHmL</v>
          </cell>
          <cell r="D3412" t="str">
            <v xml:space="preserve">Adaptive Aids/DME </v>
          </cell>
          <cell r="E3412" t="str">
            <v>SAFETY PADDING</v>
          </cell>
          <cell r="F3412" t="str">
            <v>2215VM0775</v>
          </cell>
        </row>
        <row r="3413">
          <cell r="A3413" t="str">
            <v>1915(c) waiver</v>
          </cell>
          <cell r="C3413" t="str">
            <v>TxHmL</v>
          </cell>
          <cell r="D3413" t="str">
            <v xml:space="preserve">Adaptive Aids/DME </v>
          </cell>
          <cell r="E3413" t="str">
            <v>SAFETY RESTRAINT OR WHEELCHAIR TIE DOWN</v>
          </cell>
          <cell r="F3413" t="str">
            <v>2215M0705</v>
          </cell>
        </row>
        <row r="3414">
          <cell r="A3414" t="str">
            <v>1915(c) waiver</v>
          </cell>
          <cell r="C3414" t="str">
            <v>TxHmL</v>
          </cell>
          <cell r="D3414" t="str">
            <v xml:space="preserve">Adaptive Aids/DME </v>
          </cell>
          <cell r="E3414" t="str">
            <v>SAFETY RESTRAINT OR WHEELCHAIR TIE DOWN</v>
          </cell>
          <cell r="F3414" t="str">
            <v>2215VM0773</v>
          </cell>
        </row>
        <row r="3415">
          <cell r="A3415" t="str">
            <v>1915(c) waiver</v>
          </cell>
          <cell r="C3415" t="str">
            <v>TxHmL</v>
          </cell>
          <cell r="D3415" t="str">
            <v xml:space="preserve">Adaptive Aids/DME </v>
          </cell>
          <cell r="E3415" t="str">
            <v>SHOWER ADAPTATION</v>
          </cell>
          <cell r="F3415" t="str">
            <v>2216M0803</v>
          </cell>
        </row>
        <row r="3416">
          <cell r="A3416" t="str">
            <v>1915(c) waiver</v>
          </cell>
          <cell r="C3416" t="str">
            <v>TxHmL</v>
          </cell>
          <cell r="D3416" t="str">
            <v xml:space="preserve">Adaptive Aids/DME </v>
          </cell>
          <cell r="E3416" t="str">
            <v>SHOWER ADAPTATION</v>
          </cell>
          <cell r="F3416" t="str">
            <v>2216VM0827</v>
          </cell>
        </row>
        <row r="3417">
          <cell r="A3417" t="str">
            <v>1915(c) waiver</v>
          </cell>
          <cell r="C3417" t="str">
            <v>TxHmL</v>
          </cell>
          <cell r="D3417" t="str">
            <v xml:space="preserve">Adaptive Aids/DME </v>
          </cell>
          <cell r="E3417" t="str">
            <v xml:space="preserve">SHOWER ADAPTATION MAINT                           </v>
          </cell>
          <cell r="F3417" t="str">
            <v>2216MM1042</v>
          </cell>
        </row>
        <row r="3418">
          <cell r="A3418" t="str">
            <v>1915(c) waiver</v>
          </cell>
          <cell r="C3418" t="str">
            <v>TxHmL</v>
          </cell>
          <cell r="D3418" t="str">
            <v xml:space="preserve">Adaptive Aids/DME </v>
          </cell>
          <cell r="E3418" t="str">
            <v xml:space="preserve">SHOWER ADAPTATION MAINT                           </v>
          </cell>
          <cell r="F3418" t="str">
            <v>2216MVM1066</v>
          </cell>
        </row>
        <row r="3419">
          <cell r="A3419" t="str">
            <v>1915(c) waiver</v>
          </cell>
          <cell r="C3419" t="str">
            <v>TxHmL</v>
          </cell>
          <cell r="D3419" t="str">
            <v xml:space="preserve">Adaptive Aids/DME </v>
          </cell>
          <cell r="E3419" t="str">
            <v>SIGN LANGUAGE INTERPRETER SERVICE FOR NON-ROUTINE COMMUNICATIONS, SUCH AS IDT MEETINGS, OR MEDICAL/PROFESSIONAL APPOINTMENTS</v>
          </cell>
          <cell r="F3419" t="str">
            <v>2215M0686</v>
          </cell>
        </row>
        <row r="3420">
          <cell r="A3420" t="str">
            <v>1915(c) waiver</v>
          </cell>
          <cell r="C3420" t="str">
            <v>TxHmL</v>
          </cell>
          <cell r="D3420" t="str">
            <v xml:space="preserve">Adaptive Aids/DME </v>
          </cell>
          <cell r="E3420" t="str">
            <v>SIGN LANGUAGE INTERPRETER SERVICE FOR NON-ROUTINE COMMUNICATIONS, SUCH AS IDT MEETINGS, OR MEDICAL/PROFESSIONAL APPOINTMENTS</v>
          </cell>
          <cell r="F3420" t="str">
            <v>2215VM0754</v>
          </cell>
        </row>
        <row r="3421">
          <cell r="A3421" t="str">
            <v>1915(c) waiver</v>
          </cell>
          <cell r="C3421" t="str">
            <v>TxHmL</v>
          </cell>
          <cell r="D3421" t="str">
            <v xml:space="preserve">Adaptive Aids/DME </v>
          </cell>
          <cell r="E3421" t="str">
            <v>SIGNATURE GUIDE FOR AN INDIVIDUAL WITH A VISUAL OR PHYSICAL IMPAIRMENT, MUSCULAR WEAKNESS OR LIMITED RANGE OF MOTION</v>
          </cell>
          <cell r="F3421" t="str">
            <v>2215M0691</v>
          </cell>
        </row>
        <row r="3422">
          <cell r="A3422" t="str">
            <v>1915(c) waiver</v>
          </cell>
          <cell r="C3422" t="str">
            <v>TxHmL</v>
          </cell>
          <cell r="D3422" t="str">
            <v xml:space="preserve">Adaptive Aids/DME </v>
          </cell>
          <cell r="E3422" t="str">
            <v>SIGNATURE GUIDE FOR AN INDIVIDUAL WITH A VISUAL OR PHYSICAL IMPAIRMENT, MUSCULAR WEAKNESS OR LIMITED RANGE OF MOTION</v>
          </cell>
          <cell r="F3422" t="str">
            <v>2215VM0759</v>
          </cell>
        </row>
        <row r="3423">
          <cell r="A3423" t="str">
            <v>1915(c) waiver</v>
          </cell>
          <cell r="C3423" t="str">
            <v>TxHmL</v>
          </cell>
          <cell r="D3423" t="str">
            <v xml:space="preserve">Adaptive Aids/DME </v>
          </cell>
          <cell r="E3423" t="str">
            <v>SIGNATURE STAMP FOR AN INDIVIDUAL WITH A VISUAL OR PHYSICAL IMPAIRMENT, MUSCULAR WEAKNESS OR LIMITED RANGE OF MOTION</v>
          </cell>
          <cell r="F3423" t="str">
            <v>2215M0690</v>
          </cell>
        </row>
        <row r="3424">
          <cell r="A3424" t="str">
            <v>1915(c) waiver</v>
          </cell>
          <cell r="C3424" t="str">
            <v>TxHmL</v>
          </cell>
          <cell r="D3424" t="str">
            <v xml:space="preserve">Adaptive Aids/DME </v>
          </cell>
          <cell r="E3424" t="str">
            <v>SIGNATURE STAMP FOR AN INDIVIDUAL WITH A VISUAL OR PHYSICAL IMPAIRMENT, MUSCULAR WEAKNESS OR LIMITED RANGE OF MOTION</v>
          </cell>
          <cell r="F3424" t="str">
            <v>2215VM0758</v>
          </cell>
        </row>
        <row r="3425">
          <cell r="A3425" t="str">
            <v>1915(c) waiver</v>
          </cell>
          <cell r="C3425" t="str">
            <v>TxHmL</v>
          </cell>
          <cell r="D3425" t="str">
            <v xml:space="preserve">Adaptive Aids/DME </v>
          </cell>
          <cell r="E3425" t="str">
            <v>SINK ADAPTATION</v>
          </cell>
          <cell r="F3425" t="str">
            <v>2216M0804</v>
          </cell>
        </row>
        <row r="3426">
          <cell r="A3426" t="str">
            <v>1915(c) waiver</v>
          </cell>
          <cell r="C3426" t="str">
            <v>TxHmL</v>
          </cell>
          <cell r="D3426" t="str">
            <v xml:space="preserve">Adaptive Aids/DME </v>
          </cell>
          <cell r="E3426" t="str">
            <v>SINK ADAPTATION</v>
          </cell>
          <cell r="F3426" t="str">
            <v>2216M0811</v>
          </cell>
        </row>
        <row r="3427">
          <cell r="A3427" t="str">
            <v>1915(c) waiver</v>
          </cell>
          <cell r="C3427" t="str">
            <v>TxHmL</v>
          </cell>
          <cell r="D3427" t="str">
            <v xml:space="preserve">Adaptive Aids/DME </v>
          </cell>
          <cell r="E3427" t="str">
            <v>SINK ADAPTATION</v>
          </cell>
          <cell r="F3427" t="str">
            <v>2216VM0828</v>
          </cell>
        </row>
        <row r="3428">
          <cell r="A3428" t="str">
            <v>1915(c) waiver</v>
          </cell>
          <cell r="C3428" t="str">
            <v>TxHmL</v>
          </cell>
          <cell r="D3428" t="str">
            <v xml:space="preserve">Adaptive Aids/DME </v>
          </cell>
          <cell r="E3428" t="str">
            <v>SINK ADAPTATION</v>
          </cell>
          <cell r="F3428" t="str">
            <v>2216VM0835</v>
          </cell>
        </row>
        <row r="3429">
          <cell r="A3429" t="str">
            <v>1915(c) waiver</v>
          </cell>
          <cell r="C3429" t="str">
            <v>TxHmL</v>
          </cell>
          <cell r="D3429" t="str">
            <v xml:space="preserve">Adaptive Aids/DME </v>
          </cell>
          <cell r="E3429" t="str">
            <v xml:space="preserve">SINK ADAPTATION MAINT                             </v>
          </cell>
          <cell r="F3429" t="str">
            <v>2216MM1043</v>
          </cell>
        </row>
        <row r="3430">
          <cell r="A3430" t="str">
            <v>1915(c) waiver</v>
          </cell>
          <cell r="C3430" t="str">
            <v>TxHmL</v>
          </cell>
          <cell r="D3430" t="str">
            <v xml:space="preserve">Adaptive Aids/DME </v>
          </cell>
          <cell r="E3430" t="str">
            <v xml:space="preserve">SINK ADAPTATION MAINT                             </v>
          </cell>
          <cell r="F3430" t="str">
            <v>2216MM1050</v>
          </cell>
        </row>
        <row r="3431">
          <cell r="A3431" t="str">
            <v>1915(c) waiver</v>
          </cell>
          <cell r="C3431" t="str">
            <v>TxHmL</v>
          </cell>
          <cell r="D3431" t="str">
            <v xml:space="preserve">Adaptive Aids/DME </v>
          </cell>
          <cell r="E3431" t="str">
            <v xml:space="preserve">SINK ADAPTATION MAINT                             </v>
          </cell>
          <cell r="F3431" t="str">
            <v>2216MVM1067</v>
          </cell>
        </row>
        <row r="3432">
          <cell r="A3432" t="str">
            <v>1915(c) waiver</v>
          </cell>
          <cell r="C3432" t="str">
            <v>TxHmL</v>
          </cell>
          <cell r="D3432" t="str">
            <v xml:space="preserve">Adaptive Aids/DME </v>
          </cell>
          <cell r="E3432" t="str">
            <v xml:space="preserve">SINK ADAPTATION MAINT                             </v>
          </cell>
          <cell r="F3432" t="str">
            <v>2216MVM1074</v>
          </cell>
        </row>
        <row r="3433">
          <cell r="A3433" t="str">
            <v>1915(c) waiver</v>
          </cell>
          <cell r="C3433" t="str">
            <v>TxHmL</v>
          </cell>
          <cell r="D3433" t="str">
            <v xml:space="preserve">Adaptive Aids/DME </v>
          </cell>
          <cell r="E3433" t="str">
            <v>SINK CUT-OUT</v>
          </cell>
          <cell r="F3433" t="str">
            <v>2216M0812</v>
          </cell>
        </row>
        <row r="3434">
          <cell r="A3434" t="str">
            <v>1915(c) waiver</v>
          </cell>
          <cell r="C3434" t="str">
            <v>TxHmL</v>
          </cell>
          <cell r="D3434" t="str">
            <v xml:space="preserve">Adaptive Aids/DME </v>
          </cell>
          <cell r="E3434" t="str">
            <v>SINK CUT-OUT</v>
          </cell>
          <cell r="F3434" t="str">
            <v>2216VM0836</v>
          </cell>
        </row>
        <row r="3435">
          <cell r="A3435" t="str">
            <v>1915(c) waiver</v>
          </cell>
          <cell r="C3435" t="str">
            <v>TxHmL</v>
          </cell>
          <cell r="D3435" t="str">
            <v xml:space="preserve">Adaptive Aids/DME </v>
          </cell>
          <cell r="E3435" t="str">
            <v xml:space="preserve">SINK CUT-OUT MAINT                                </v>
          </cell>
          <cell r="F3435" t="str">
            <v>2216MM1051</v>
          </cell>
        </row>
        <row r="3436">
          <cell r="A3436" t="str">
            <v>1915(c) waiver</v>
          </cell>
          <cell r="C3436" t="str">
            <v>TxHmL</v>
          </cell>
          <cell r="D3436" t="str">
            <v xml:space="preserve">Adaptive Aids/DME </v>
          </cell>
          <cell r="E3436" t="str">
            <v xml:space="preserve">SINK CUT-OUT MAINT                                </v>
          </cell>
          <cell r="F3436" t="str">
            <v>2216MVM1075</v>
          </cell>
        </row>
        <row r="3437">
          <cell r="A3437" t="str">
            <v>1915(c) waiver</v>
          </cell>
          <cell r="C3437" t="str">
            <v>TxHmL</v>
          </cell>
          <cell r="D3437" t="str">
            <v xml:space="preserve">Adaptive Aids/DME </v>
          </cell>
          <cell r="E3437" t="str">
            <v>SIP AND PUFF CONTROL</v>
          </cell>
          <cell r="F3437" t="str">
            <v>2215M0659</v>
          </cell>
        </row>
        <row r="3438">
          <cell r="A3438" t="str">
            <v>1915(c) waiver</v>
          </cell>
          <cell r="C3438" t="str">
            <v>TxHmL</v>
          </cell>
          <cell r="D3438" t="str">
            <v xml:space="preserve">Adaptive Aids/DME </v>
          </cell>
          <cell r="E3438" t="str">
            <v>SIP AND PUFF CONTROL</v>
          </cell>
          <cell r="F3438" t="str">
            <v>2215VM0727</v>
          </cell>
        </row>
        <row r="3439">
          <cell r="A3439" t="str">
            <v>1915(c) waiver</v>
          </cell>
          <cell r="C3439" t="str">
            <v>TxHmL</v>
          </cell>
          <cell r="D3439" t="str">
            <v xml:space="preserve">Adaptive Aids/DME </v>
          </cell>
          <cell r="E3439" t="str">
            <v>SPEAKER, LARGE BUTTON OR BRAILLE TELEPHONE FOR AN INDIVIDUAL WHO IS VERBAL BUT CANNOT USE A CONVENTIONAL TELEPHONE</v>
          </cell>
          <cell r="F3439" t="str">
            <v>2215M0702</v>
          </cell>
        </row>
        <row r="3440">
          <cell r="A3440" t="str">
            <v>1915(c) waiver</v>
          </cell>
          <cell r="C3440" t="str">
            <v>TxHmL</v>
          </cell>
          <cell r="D3440" t="str">
            <v xml:space="preserve">Adaptive Aids/DME </v>
          </cell>
          <cell r="E3440" t="str">
            <v>SPEAKER, LARGE BUTTON OR BRAILLE TELEPHONE FOR AN INDIVIDUAL WHO IS VERBAL BUT CANNOT USE A CONVENTIONAL TELEPHONE</v>
          </cell>
          <cell r="F3440" t="str">
            <v>2215VM0770</v>
          </cell>
        </row>
        <row r="3441">
          <cell r="A3441" t="str">
            <v>1915(c) waiver</v>
          </cell>
          <cell r="C3441" t="str">
            <v>TxHmL</v>
          </cell>
          <cell r="D3441" t="str">
            <v xml:space="preserve">Adaptive Aids/DME </v>
          </cell>
          <cell r="E3441" t="str">
            <v>SPECIALIZED CLOCK OR WRISTWATCH FOR AN INDIVIDUAL WITH A VISUAL OR HEARING IMPAIRMENT</v>
          </cell>
          <cell r="F3441" t="str">
            <v>2215M0700</v>
          </cell>
        </row>
        <row r="3442">
          <cell r="A3442" t="str">
            <v>1915(c) waiver</v>
          </cell>
          <cell r="C3442" t="str">
            <v>TxHmL</v>
          </cell>
          <cell r="D3442" t="str">
            <v xml:space="preserve">Adaptive Aids/DME </v>
          </cell>
          <cell r="E3442" t="str">
            <v>SPECIALIZED CLOCK OR WRISTWATCH FOR AN INDIVIDUAL WITH A VISUAL OR HEARING IMPAIRMENT</v>
          </cell>
          <cell r="F3442" t="str">
            <v>2215VM0768</v>
          </cell>
        </row>
        <row r="3443">
          <cell r="A3443" t="str">
            <v>1915(c) waiver</v>
          </cell>
          <cell r="C3443" t="str">
            <v>TxHmL</v>
          </cell>
          <cell r="D3443" t="str">
            <v xml:space="preserve">Adaptive Aids/DME </v>
          </cell>
          <cell r="E3443" t="str">
            <v>SPECIALIZED CLOTHING, A DRESSING AID OR BIB</v>
          </cell>
          <cell r="F3443" t="str">
            <v>2215M0677</v>
          </cell>
        </row>
        <row r="3444">
          <cell r="A3444" t="str">
            <v>1915(c) waiver</v>
          </cell>
          <cell r="C3444" t="str">
            <v>TxHmL</v>
          </cell>
          <cell r="D3444" t="str">
            <v xml:space="preserve">Adaptive Aids/DME </v>
          </cell>
          <cell r="E3444" t="str">
            <v>SPECIALIZED CLOTHING, A DRESSING AID OR BIB</v>
          </cell>
          <cell r="F3444" t="str">
            <v>2215VM0745</v>
          </cell>
        </row>
        <row r="3445">
          <cell r="A3445" t="str">
            <v>1915(c) waiver</v>
          </cell>
          <cell r="C3445" t="str">
            <v>TxHmL</v>
          </cell>
          <cell r="D3445" t="str">
            <v xml:space="preserve">Adaptive Aids/DME </v>
          </cell>
          <cell r="E3445" t="str">
            <v>SPECIALIZED OR TREATED MATTRESS OR MATTRESS COVER</v>
          </cell>
          <cell r="F3445" t="str">
            <v>2215M0678</v>
          </cell>
        </row>
        <row r="3446">
          <cell r="A3446" t="str">
            <v>1915(c) waiver</v>
          </cell>
          <cell r="C3446" t="str">
            <v>TxHmL</v>
          </cell>
          <cell r="D3446" t="str">
            <v xml:space="preserve">Adaptive Aids/DME </v>
          </cell>
          <cell r="E3446" t="str">
            <v>SPECIALIZED OR TREATED MATTRESS OR MATTRESS COVER</v>
          </cell>
          <cell r="F3446" t="str">
            <v>2215VM0746</v>
          </cell>
        </row>
        <row r="3447">
          <cell r="A3447" t="str">
            <v>1915(c) waiver</v>
          </cell>
          <cell r="C3447" t="str">
            <v>TxHmL</v>
          </cell>
          <cell r="D3447" t="str">
            <v xml:space="preserve">Adaptive Aids/DME </v>
          </cell>
          <cell r="E3447" t="str">
            <v>SPECIALIZED SCALE</v>
          </cell>
          <cell r="F3447" t="str">
            <v>2215M0675</v>
          </cell>
        </row>
        <row r="3448">
          <cell r="A3448" t="str">
            <v>1915(c) waiver</v>
          </cell>
          <cell r="C3448" t="str">
            <v>TxHmL</v>
          </cell>
          <cell r="D3448" t="str">
            <v xml:space="preserve">Adaptive Aids/DME </v>
          </cell>
          <cell r="E3448" t="str">
            <v>SPECIALIZED SCALE</v>
          </cell>
          <cell r="F3448" t="str">
            <v>2215VM0743</v>
          </cell>
        </row>
        <row r="3449">
          <cell r="A3449" t="str">
            <v>1915(c) waiver</v>
          </cell>
          <cell r="C3449" t="str">
            <v>TxHmL</v>
          </cell>
          <cell r="D3449" t="str">
            <v xml:space="preserve">Adaptive Aids/DME </v>
          </cell>
          <cell r="E3449" t="str">
            <v>SPECIALIZED THERMOMETER</v>
          </cell>
          <cell r="F3449" t="str">
            <v>2215M0674</v>
          </cell>
        </row>
        <row r="3450">
          <cell r="A3450" t="str">
            <v>1915(c) waiver</v>
          </cell>
          <cell r="C3450" t="str">
            <v>TxHmL</v>
          </cell>
          <cell r="D3450" t="str">
            <v xml:space="preserve">Adaptive Aids/DME </v>
          </cell>
          <cell r="E3450" t="str">
            <v>SPECIALIZED THERMOMETER</v>
          </cell>
          <cell r="F3450" t="str">
            <v>2215VM0742</v>
          </cell>
        </row>
        <row r="3451">
          <cell r="A3451" t="str">
            <v>1915(c) waiver</v>
          </cell>
          <cell r="C3451" t="str">
            <v>TxHmL</v>
          </cell>
          <cell r="D3451" t="str">
            <v xml:space="preserve">Adaptive Aids/DME </v>
          </cell>
          <cell r="E3451" t="str">
            <v>SPECIALIZED TRAINING FOR AUGMENTATIVE COMMUNICATION SOFTWARE, NOT TO EXCEED $1,000 PER INDIVIDUAL, PER IPC YEAR</v>
          </cell>
          <cell r="F3451" t="str">
            <v>2215M0693</v>
          </cell>
        </row>
        <row r="3452">
          <cell r="A3452" t="str">
            <v>1915(c) waiver</v>
          </cell>
          <cell r="C3452" t="str">
            <v>TxHmL</v>
          </cell>
          <cell r="D3452" t="str">
            <v xml:space="preserve">Adaptive Aids/DME </v>
          </cell>
          <cell r="E3452" t="str">
            <v>SPECIALIZED TRAINING FOR AUGMENTATIVE COMMUNICATION SOFTWARE, NOT TO EXCEED $1,000 PER INDIVIDUAL, PER IPC YEAR</v>
          </cell>
          <cell r="F3452" t="str">
            <v>2215VM0761</v>
          </cell>
        </row>
        <row r="3453">
          <cell r="A3453" t="str">
            <v>1915(c) waiver</v>
          </cell>
          <cell r="C3453" t="str">
            <v>TxHmL</v>
          </cell>
          <cell r="D3453" t="str">
            <v xml:space="preserve">Adaptive Aids/DME </v>
          </cell>
          <cell r="E3453" t="str">
            <v>SPEECH AMPLIFIER OR AUGMENTATIVE COMMUNICATION DEVICE</v>
          </cell>
          <cell r="F3453" t="str">
            <v>2215M0685</v>
          </cell>
        </row>
        <row r="3454">
          <cell r="A3454" t="str">
            <v>1915(c) waiver</v>
          </cell>
          <cell r="C3454" t="str">
            <v>TxHmL</v>
          </cell>
          <cell r="D3454" t="str">
            <v xml:space="preserve">Adaptive Aids/DME </v>
          </cell>
          <cell r="E3454" t="str">
            <v>SPEECH AMPLIFIER OR AUGMENTATIVE COMMUNICATION DEVICE</v>
          </cell>
          <cell r="F3454" t="str">
            <v>2215VM0753</v>
          </cell>
        </row>
        <row r="3455">
          <cell r="A3455" t="str">
            <v>1915(c) waiver</v>
          </cell>
          <cell r="C3455" t="str">
            <v>TxHmL</v>
          </cell>
          <cell r="D3455" t="str">
            <v xml:space="preserve">Adaptive Aids/DME </v>
          </cell>
          <cell r="E3455" t="str">
            <v xml:space="preserve">STANDING BOARD OR FRAME, POSITIONING CHAIR, OR WEDGE </v>
          </cell>
          <cell r="F3455" t="str">
            <v>2215M0654</v>
          </cell>
        </row>
        <row r="3456">
          <cell r="A3456" t="str">
            <v>1915(c) waiver</v>
          </cell>
          <cell r="C3456" t="str">
            <v>TxHmL</v>
          </cell>
          <cell r="D3456" t="str">
            <v xml:space="preserve">Adaptive Aids/DME </v>
          </cell>
          <cell r="E3456" t="str">
            <v xml:space="preserve">STANDING BOARD OR FRAME, POSITIONING CHAIR, OR WEDGE </v>
          </cell>
          <cell r="F3456" t="str">
            <v>2215VM0722</v>
          </cell>
        </row>
        <row r="3457">
          <cell r="A3457" t="str">
            <v>1915(c) waiver</v>
          </cell>
          <cell r="C3457" t="str">
            <v>TxHmL</v>
          </cell>
          <cell r="D3457" t="str">
            <v xml:space="preserve">Adaptive Aids/DME </v>
          </cell>
          <cell r="E3457" t="str">
            <v>TEMPORARY RENTAL OF A BILLABLE ADAPTIVE AID TO ALLOW FOR THE REPAIR, PURCHASE OR REPLACEMENT OF THE ADAPTIVE AID</v>
          </cell>
          <cell r="F3457" t="str">
            <v>2215M0664</v>
          </cell>
        </row>
        <row r="3458">
          <cell r="A3458" t="str">
            <v>1915(c) waiver</v>
          </cell>
          <cell r="C3458" t="str">
            <v>TxHmL</v>
          </cell>
          <cell r="D3458" t="str">
            <v xml:space="preserve">Adaptive Aids/DME </v>
          </cell>
          <cell r="E3458" t="str">
            <v>TEMPORARY RENTAL OF A BILLABLE ADAPTIVE AID TO ALLOW FOR THE REPAIR, PURCHASE OR REPLACEMENT OF THE ADAPTIVE AID</v>
          </cell>
          <cell r="F3458" t="str">
            <v>2215VM0732</v>
          </cell>
        </row>
        <row r="3459">
          <cell r="A3459" t="str">
            <v>1915(c) waiver</v>
          </cell>
          <cell r="C3459" t="str">
            <v>TxHmL</v>
          </cell>
          <cell r="D3459" t="str">
            <v xml:space="preserve">Adaptive Aids/DME </v>
          </cell>
          <cell r="E3459" t="str">
            <v>TOILET ADAPTATION</v>
          </cell>
          <cell r="F3459" t="str">
            <v>2216M0806</v>
          </cell>
        </row>
        <row r="3460">
          <cell r="A3460" t="str">
            <v>1915(c) waiver</v>
          </cell>
          <cell r="C3460" t="str">
            <v>TxHmL</v>
          </cell>
          <cell r="D3460" t="str">
            <v xml:space="preserve">Adaptive Aids/DME </v>
          </cell>
          <cell r="E3460" t="str">
            <v>TOILET ADAPTATION</v>
          </cell>
          <cell r="F3460" t="str">
            <v>2216VM0830</v>
          </cell>
        </row>
        <row r="3461">
          <cell r="A3461" t="str">
            <v>1915(c) waiver</v>
          </cell>
          <cell r="C3461" t="str">
            <v>TxHmL</v>
          </cell>
          <cell r="D3461" t="str">
            <v xml:space="preserve">Adaptive Aids/DME </v>
          </cell>
          <cell r="E3461" t="str">
            <v xml:space="preserve">TOILET ADAPTATION MAINT                           </v>
          </cell>
          <cell r="F3461" t="str">
            <v>2216MM1045</v>
          </cell>
        </row>
        <row r="3462">
          <cell r="A3462" t="str">
            <v>1915(c) waiver</v>
          </cell>
          <cell r="C3462" t="str">
            <v>TxHmL</v>
          </cell>
          <cell r="D3462" t="str">
            <v xml:space="preserve">Adaptive Aids/DME </v>
          </cell>
          <cell r="E3462" t="str">
            <v xml:space="preserve">TOILET ADAPTATION MAINT                           </v>
          </cell>
          <cell r="F3462" t="str">
            <v>2216MVM1069</v>
          </cell>
        </row>
        <row r="3463">
          <cell r="A3463" t="str">
            <v>1915(c) waiver</v>
          </cell>
          <cell r="C3463" t="str">
            <v>TxHmL</v>
          </cell>
          <cell r="D3463" t="str">
            <v xml:space="preserve">Adaptive Aids/DME </v>
          </cell>
          <cell r="E3463" t="str">
            <v>TOILETING CHAIR</v>
          </cell>
          <cell r="F3463" t="str">
            <v>2215M0658</v>
          </cell>
        </row>
        <row r="3464">
          <cell r="A3464" t="str">
            <v>1915(c) waiver</v>
          </cell>
          <cell r="C3464" t="str">
            <v>TxHmL</v>
          </cell>
          <cell r="D3464" t="str">
            <v xml:space="preserve">Adaptive Aids/DME </v>
          </cell>
          <cell r="E3464" t="str">
            <v>TOILETING CHAIR</v>
          </cell>
          <cell r="F3464" t="str">
            <v>2215VM0726</v>
          </cell>
        </row>
        <row r="3465">
          <cell r="A3465" t="str">
            <v>1915(c) waiver</v>
          </cell>
          <cell r="C3465" t="str">
            <v>TxHmL</v>
          </cell>
          <cell r="D3465" t="str">
            <v xml:space="preserve">Adaptive Aids/DME </v>
          </cell>
          <cell r="E3465" t="str">
            <v>TRANSFER BENCH</v>
          </cell>
          <cell r="F3465" t="str">
            <v>2215M0644</v>
          </cell>
        </row>
        <row r="3466">
          <cell r="A3466" t="str">
            <v>1915(c) waiver</v>
          </cell>
          <cell r="C3466" t="str">
            <v>TxHmL</v>
          </cell>
          <cell r="D3466" t="str">
            <v xml:space="preserve">Adaptive Aids/DME </v>
          </cell>
          <cell r="E3466" t="str">
            <v>TRANSFER BENCH</v>
          </cell>
          <cell r="F3466" t="str">
            <v>2215VM0712</v>
          </cell>
        </row>
        <row r="3467">
          <cell r="A3467" t="str">
            <v>1915(c) waiver</v>
          </cell>
          <cell r="C3467" t="str">
            <v>TxHmL</v>
          </cell>
          <cell r="D3467" t="str">
            <v xml:space="preserve">Adaptive Aids/DME </v>
          </cell>
          <cell r="E3467" t="str">
            <v xml:space="preserve">TRAPEZE BAR </v>
          </cell>
          <cell r="F3467" t="str">
            <v>2215M0655</v>
          </cell>
        </row>
        <row r="3468">
          <cell r="A3468" t="str">
            <v>1915(c) waiver</v>
          </cell>
          <cell r="C3468" t="str">
            <v>TxHmL</v>
          </cell>
          <cell r="D3468" t="str">
            <v xml:space="preserve">Adaptive Aids/DME </v>
          </cell>
          <cell r="E3468" t="str">
            <v xml:space="preserve">TRAPEZE BAR </v>
          </cell>
          <cell r="F3468" t="str">
            <v>2215VM0723</v>
          </cell>
        </row>
        <row r="3469">
          <cell r="A3469" t="str">
            <v>1915(c) waiver</v>
          </cell>
          <cell r="C3469" t="str">
            <v>TxHmL</v>
          </cell>
          <cell r="D3469" t="str">
            <v xml:space="preserve">Adaptive Aids/DME </v>
          </cell>
          <cell r="E3469" t="str">
            <v>TURNAROUND SPACE ADAPTATION</v>
          </cell>
          <cell r="F3469" t="str">
            <v>2216M0810</v>
          </cell>
        </row>
        <row r="3470">
          <cell r="A3470" t="str">
            <v>1915(c) waiver</v>
          </cell>
          <cell r="C3470" t="str">
            <v>TxHmL</v>
          </cell>
          <cell r="D3470" t="str">
            <v xml:space="preserve">Adaptive Aids/DME </v>
          </cell>
          <cell r="E3470" t="str">
            <v>TURNAROUND SPACE ADAPTATION</v>
          </cell>
          <cell r="F3470" t="str">
            <v>2216M0813</v>
          </cell>
        </row>
        <row r="3471">
          <cell r="A3471" t="str">
            <v>1915(c) waiver</v>
          </cell>
          <cell r="C3471" t="str">
            <v>TxHmL</v>
          </cell>
          <cell r="D3471" t="str">
            <v xml:space="preserve">Adaptive Aids/DME </v>
          </cell>
          <cell r="E3471" t="str">
            <v>TURNAROUND SPACE ADAPTATION</v>
          </cell>
          <cell r="F3471" t="str">
            <v>2216VM0834</v>
          </cell>
        </row>
        <row r="3472">
          <cell r="A3472" t="str">
            <v>1915(c) waiver</v>
          </cell>
          <cell r="C3472" t="str">
            <v>TxHmL</v>
          </cell>
          <cell r="D3472" t="str">
            <v xml:space="preserve">Adaptive Aids/DME </v>
          </cell>
          <cell r="E3472" t="str">
            <v>TURNAROUND SPACE ADAPTATION</v>
          </cell>
          <cell r="F3472" t="str">
            <v>2216VM0837</v>
          </cell>
        </row>
        <row r="3473">
          <cell r="A3473" t="str">
            <v>1915(c) waiver</v>
          </cell>
          <cell r="C3473" t="str">
            <v>TxHmL</v>
          </cell>
          <cell r="D3473" t="str">
            <v xml:space="preserve">Adaptive Aids/DME </v>
          </cell>
          <cell r="E3473" t="str">
            <v xml:space="preserve">TURNAROUND SPACE ADAPTATION                       </v>
          </cell>
          <cell r="F3473" t="str">
            <v>2216MM1049</v>
          </cell>
        </row>
        <row r="3474">
          <cell r="A3474" t="str">
            <v>1915(c) waiver</v>
          </cell>
          <cell r="C3474" t="str">
            <v>TxHmL</v>
          </cell>
          <cell r="D3474" t="str">
            <v xml:space="preserve">Adaptive Aids/DME </v>
          </cell>
          <cell r="E3474" t="str">
            <v xml:space="preserve">TURNAROUND SPACE ADAPTATION MAINT                 </v>
          </cell>
          <cell r="F3474" t="str">
            <v>2216MM1052</v>
          </cell>
        </row>
        <row r="3475">
          <cell r="A3475" t="str">
            <v>1915(c) waiver</v>
          </cell>
          <cell r="C3475" t="str">
            <v>TxHmL</v>
          </cell>
          <cell r="D3475" t="str">
            <v xml:space="preserve">Adaptive Aids/DME </v>
          </cell>
          <cell r="E3475" t="str">
            <v xml:space="preserve">TURNAROUND SPACE ADAPTATION MAINT                 </v>
          </cell>
          <cell r="F3475" t="str">
            <v>2216MVM1073</v>
          </cell>
        </row>
        <row r="3476">
          <cell r="A3476" t="str">
            <v>1915(c) waiver</v>
          </cell>
          <cell r="C3476" t="str">
            <v>TxHmL</v>
          </cell>
          <cell r="D3476" t="str">
            <v xml:space="preserve">Adaptive Aids/DME </v>
          </cell>
          <cell r="E3476" t="str">
            <v xml:space="preserve">TURNAROUND SPACE ADAPTATION MAINT                 </v>
          </cell>
          <cell r="F3476" t="str">
            <v>2216MVM1076</v>
          </cell>
        </row>
        <row r="3477">
          <cell r="A3477" t="str">
            <v>1915(c) waiver</v>
          </cell>
          <cell r="C3477" t="str">
            <v>TxHmL</v>
          </cell>
          <cell r="D3477" t="str">
            <v xml:space="preserve">Adaptive Aids/DME </v>
          </cell>
          <cell r="E3477" t="str">
            <v>URINAL</v>
          </cell>
          <cell r="F3477" t="str">
            <v>2215M0673</v>
          </cell>
        </row>
        <row r="3478">
          <cell r="A3478" t="str">
            <v>1915(c) waiver</v>
          </cell>
          <cell r="C3478" t="str">
            <v>TxHmL</v>
          </cell>
          <cell r="D3478" t="str">
            <v xml:space="preserve">Adaptive Aids/DME </v>
          </cell>
          <cell r="E3478" t="str">
            <v>URINAL</v>
          </cell>
          <cell r="F3478" t="str">
            <v>2215VM0741</v>
          </cell>
        </row>
        <row r="3479">
          <cell r="A3479" t="str">
            <v>1915(c) waiver</v>
          </cell>
          <cell r="C3479" t="str">
            <v>TxHmL</v>
          </cell>
          <cell r="D3479" t="str">
            <v xml:space="preserve">Adaptive Aids/DME </v>
          </cell>
          <cell r="E3479" t="str">
            <v>VEHICLE LIFT ADAPTATION FOR A VEHICLE OWNED BY AN INDIVIDUAL, AN INDIVIDUAL'S FAMILY MEMBER OR HOST HOME/COMPANION CARE PROVIDER</v>
          </cell>
          <cell r="F3479" t="str">
            <v>2215M0642</v>
          </cell>
        </row>
        <row r="3480">
          <cell r="A3480" t="str">
            <v>1915(c) waiver</v>
          </cell>
          <cell r="C3480" t="str">
            <v>TxHmL</v>
          </cell>
          <cell r="D3480" t="str">
            <v xml:space="preserve">Adaptive Aids/DME </v>
          </cell>
          <cell r="E3480" t="str">
            <v>VEHICLE LIFT ADAPTATION FOR A VEHICLE OWNED BY AN INDIVIDUAL, AN INDIVIDUAL'S FAMILY MEMBER OR HOST HOME/COMPANION CARE PROVIDER</v>
          </cell>
          <cell r="F3480" t="str">
            <v>2215VM0710</v>
          </cell>
        </row>
        <row r="3481">
          <cell r="A3481" t="str">
            <v>1915(c) waiver</v>
          </cell>
          <cell r="C3481" t="str">
            <v>TxHmL</v>
          </cell>
          <cell r="D3481" t="str">
            <v xml:space="preserve">Adaptive Aids/DME </v>
          </cell>
          <cell r="E3481" t="str">
            <v>VOICE, LIGHT, MOTION ACTIVATED OR ELECTRONIC DEVIC</v>
          </cell>
          <cell r="F3481" t="str">
            <v>2216MM1061</v>
          </cell>
        </row>
        <row r="3482">
          <cell r="A3482" t="str">
            <v>1915(c) waiver</v>
          </cell>
          <cell r="C3482" t="str">
            <v>TxHmL</v>
          </cell>
          <cell r="D3482" t="str">
            <v xml:space="preserve">Adaptive Aids/DME </v>
          </cell>
          <cell r="E3482" t="str">
            <v>VOICE, LIGHT, MOTION ACTIVATED OR ELECTRONIC DEVIC</v>
          </cell>
          <cell r="F3482" t="str">
            <v>2216MVM1085</v>
          </cell>
        </row>
        <row r="3483">
          <cell r="A3483" t="str">
            <v>1915(c) waiver</v>
          </cell>
          <cell r="C3483" t="str">
            <v>TxHmL</v>
          </cell>
          <cell r="D3483" t="str">
            <v xml:space="preserve">Adaptive Aids/DME </v>
          </cell>
          <cell r="E3483" t="str">
            <v>VOICE, LIGHT, MOTION ACTIVATED OR ELECTRONIC DEVICE HARD WIRED IN THE INDIVIDUAL'S RESIDENCE</v>
          </cell>
          <cell r="F3483" t="str">
            <v>2216M0822</v>
          </cell>
        </row>
        <row r="3484">
          <cell r="A3484" t="str">
            <v>1915(c) waiver</v>
          </cell>
          <cell r="C3484" t="str">
            <v>TxHmL</v>
          </cell>
          <cell r="D3484" t="str">
            <v xml:space="preserve">Adaptive Aids/DME </v>
          </cell>
          <cell r="E3484" t="str">
            <v>VOICE, LIGHT, MOTION ACTIVATED OR ELECTRONIC DEVICE HARD WIRED IN THE INDIVIDUAL'S RESIDENCE</v>
          </cell>
          <cell r="F3484" t="str">
            <v>2216VM0846</v>
          </cell>
        </row>
        <row r="3485">
          <cell r="A3485" t="str">
            <v>1915(c) waiver</v>
          </cell>
          <cell r="C3485" t="str">
            <v>TxHmL</v>
          </cell>
          <cell r="D3485" t="str">
            <v xml:space="preserve">Adaptive Aids/DME </v>
          </cell>
          <cell r="E3485" t="str">
            <v>VOICE, LIGHT, SMOKE OR MOTION ACTIVATED DEVICE</v>
          </cell>
          <cell r="F3485" t="str">
            <v>2215M0663</v>
          </cell>
        </row>
        <row r="3486">
          <cell r="A3486" t="str">
            <v>1915(c) waiver</v>
          </cell>
          <cell r="C3486" t="str">
            <v>TxHmL</v>
          </cell>
          <cell r="D3486" t="str">
            <v xml:space="preserve">Adaptive Aids/DME </v>
          </cell>
          <cell r="E3486" t="str">
            <v>VOICE, LIGHT, SMOKE OR MOTION ACTIVATED DEVICE</v>
          </cell>
          <cell r="F3486" t="str">
            <v>2215VM0731</v>
          </cell>
        </row>
        <row r="3487">
          <cell r="A3487" t="str">
            <v>1915(c) waiver</v>
          </cell>
          <cell r="C3487" t="str">
            <v>TxHmL</v>
          </cell>
          <cell r="D3487" t="str">
            <v xml:space="preserve">Adaptive Aids/DME </v>
          </cell>
          <cell r="E3487" t="str">
            <v>WATER FAUCET CONTROL ADAPTATION</v>
          </cell>
          <cell r="F3487" t="str">
            <v>2216M0807</v>
          </cell>
        </row>
        <row r="3488">
          <cell r="A3488" t="str">
            <v>1915(c) waiver</v>
          </cell>
          <cell r="C3488" t="str">
            <v>TxHmL</v>
          </cell>
          <cell r="D3488" t="str">
            <v xml:space="preserve">Adaptive Aids/DME </v>
          </cell>
          <cell r="E3488" t="str">
            <v>WATER FAUCET CONTROL ADAPTATION</v>
          </cell>
          <cell r="F3488" t="str">
            <v>2216M0814</v>
          </cell>
        </row>
        <row r="3489">
          <cell r="A3489" t="str">
            <v>1915(c) waiver</v>
          </cell>
          <cell r="C3489" t="str">
            <v>TxHmL</v>
          </cell>
          <cell r="D3489" t="str">
            <v xml:space="preserve">Adaptive Aids/DME </v>
          </cell>
          <cell r="E3489" t="str">
            <v>WATER FAUCET CONTROL ADAPTATION</v>
          </cell>
          <cell r="F3489" t="str">
            <v>2216VM0831</v>
          </cell>
        </row>
        <row r="3490">
          <cell r="A3490" t="str">
            <v>1915(c) waiver</v>
          </cell>
          <cell r="C3490" t="str">
            <v>TxHmL</v>
          </cell>
          <cell r="D3490" t="str">
            <v xml:space="preserve">Adaptive Aids/DME </v>
          </cell>
          <cell r="E3490" t="str">
            <v>WATER FAUCET CONTROL ADAPTATION</v>
          </cell>
          <cell r="F3490" t="str">
            <v>2216VM0838</v>
          </cell>
        </row>
        <row r="3491">
          <cell r="A3491" t="str">
            <v>1915(c) waiver</v>
          </cell>
          <cell r="C3491" t="str">
            <v>TxHmL</v>
          </cell>
          <cell r="D3491" t="str">
            <v xml:space="preserve">Adaptive Aids/DME </v>
          </cell>
          <cell r="E3491" t="str">
            <v xml:space="preserve">WATER FAUCET CONTROL ADAPTATION MAINT             </v>
          </cell>
          <cell r="F3491" t="str">
            <v>2216MM1046</v>
          </cell>
        </row>
        <row r="3492">
          <cell r="A3492" t="str">
            <v>1915(c) waiver</v>
          </cell>
          <cell r="C3492" t="str">
            <v>TxHmL</v>
          </cell>
          <cell r="D3492" t="str">
            <v xml:space="preserve">Adaptive Aids/DME </v>
          </cell>
          <cell r="E3492" t="str">
            <v xml:space="preserve">WATER FAUCET CONTROL ADAPTATION MAINT             </v>
          </cell>
          <cell r="F3492" t="str">
            <v>2216MM1053</v>
          </cell>
        </row>
        <row r="3493">
          <cell r="A3493" t="str">
            <v>1915(c) waiver</v>
          </cell>
          <cell r="C3493" t="str">
            <v>TxHmL</v>
          </cell>
          <cell r="D3493" t="str">
            <v xml:space="preserve">Adaptive Aids/DME </v>
          </cell>
          <cell r="E3493" t="str">
            <v xml:space="preserve">WATER FAUCET CONTROL ADAPTATION MAINT             </v>
          </cell>
          <cell r="F3493" t="str">
            <v>2216MVM1070</v>
          </cell>
        </row>
        <row r="3494">
          <cell r="A3494" t="str">
            <v>1915(c) waiver</v>
          </cell>
          <cell r="C3494" t="str">
            <v>TxHmL</v>
          </cell>
          <cell r="D3494" t="str">
            <v xml:space="preserve">Adaptive Aids/DME </v>
          </cell>
          <cell r="E3494" t="str">
            <v xml:space="preserve">WATER FAUCET CONTROL ADAPTATION MAINT             </v>
          </cell>
          <cell r="F3494" t="str">
            <v>2216MVM1077</v>
          </cell>
        </row>
        <row r="3495">
          <cell r="A3495" t="str">
            <v>1915(c) waiver</v>
          </cell>
          <cell r="C3495" t="str">
            <v>TxHmL</v>
          </cell>
          <cell r="D3495" t="str">
            <v xml:space="preserve">Adaptive Aids/DME </v>
          </cell>
          <cell r="E3495" t="str">
            <v xml:space="preserve">WHEELCHAIR RAMP OR LANDING MAINT                  </v>
          </cell>
          <cell r="F3495" t="str">
            <v>2216MM1041</v>
          </cell>
        </row>
        <row r="3496">
          <cell r="A3496" t="str">
            <v>1915(c) waiver</v>
          </cell>
          <cell r="C3496" t="str">
            <v>TxHmL</v>
          </cell>
          <cell r="D3496" t="str">
            <v xml:space="preserve">Adaptive Aids/DME </v>
          </cell>
          <cell r="E3496" t="str">
            <v xml:space="preserve">WHEELCHAIR RAMP OR LANDING MAINT                  </v>
          </cell>
          <cell r="F3496" t="str">
            <v>2216MVM1065</v>
          </cell>
        </row>
        <row r="3497">
          <cell r="A3497" t="str">
            <v>1915(c) waiver</v>
          </cell>
          <cell r="C3497" t="str">
            <v>TxHmL</v>
          </cell>
          <cell r="D3497" t="str">
            <v xml:space="preserve">Adaptive Aids/DME </v>
          </cell>
          <cell r="E3497" t="str">
            <v>WHEELCHAIR RAMP OR LANDING THAT MEETS THE REQUIREMENTS IN §4.8 OF THE AMERICANS WITH DISABILITIES ACT ACCESSIBILITY GUIDELINES (ADAAG) FOUND AT WWW.ADA.GOV</v>
          </cell>
          <cell r="F3497" t="str">
            <v>2216M0802</v>
          </cell>
        </row>
        <row r="3498">
          <cell r="A3498" t="str">
            <v>1915(c) waiver</v>
          </cell>
          <cell r="C3498" t="str">
            <v>TxHmL</v>
          </cell>
          <cell r="D3498" t="str">
            <v xml:space="preserve">Adaptive Aids/DME </v>
          </cell>
          <cell r="E3498" t="str">
            <v>WHEELCHAIR RAMP OR LANDING THAT MEETS THE REQUIREMENTS IN §4.8 OF THE AMERICANS WITH DISABILITIES ACT ACCESSIBILITY GUIDELINES (ADAAG) FOUND AT WWW.ADA.GOV</v>
          </cell>
          <cell r="F3498" t="str">
            <v>2216VM0826</v>
          </cell>
        </row>
        <row r="3499">
          <cell r="A3499" t="str">
            <v>1915(c) waiver</v>
          </cell>
          <cell r="C3499" t="str">
            <v>TxHmL</v>
          </cell>
          <cell r="D3499" t="str">
            <v xml:space="preserve">Adaptive Aids/DME </v>
          </cell>
          <cell r="E3499" t="str">
            <v>WORKTABLE OR WORK SURFACE ADJUSTMENT</v>
          </cell>
          <cell r="F3499" t="str">
            <v>2216M0816</v>
          </cell>
        </row>
        <row r="3500">
          <cell r="A3500" t="str">
            <v>1915(c) waiver</v>
          </cell>
          <cell r="C3500" t="str">
            <v>TxHmL</v>
          </cell>
          <cell r="D3500" t="str">
            <v xml:space="preserve">Adaptive Aids/DME </v>
          </cell>
          <cell r="E3500" t="str">
            <v>WORKTABLE OR WORK SURFACE ADJUSTMENT</v>
          </cell>
          <cell r="F3500" t="str">
            <v>2216VM0840</v>
          </cell>
        </row>
        <row r="3501">
          <cell r="A3501" t="str">
            <v>1915(c) waiver</v>
          </cell>
          <cell r="C3501" t="str">
            <v>TxHmL</v>
          </cell>
          <cell r="D3501" t="str">
            <v xml:space="preserve">Adaptive Aids/DME </v>
          </cell>
          <cell r="E3501" t="str">
            <v xml:space="preserve">WORKTABLE OR WORK SURFACE ADJUSTMENT MAINT        </v>
          </cell>
          <cell r="F3501" t="str">
            <v>2216MM1055</v>
          </cell>
        </row>
        <row r="3502">
          <cell r="A3502" t="str">
            <v>1915(c) waiver</v>
          </cell>
          <cell r="C3502" t="str">
            <v>TxHmL</v>
          </cell>
          <cell r="D3502" t="str">
            <v xml:space="preserve">Adaptive Aids/DME </v>
          </cell>
          <cell r="E3502" t="str">
            <v xml:space="preserve">WORKTABLE OR WORK SURFACE ADJUSTMENT MAINT        </v>
          </cell>
          <cell r="F3502" t="str">
            <v>2216MVM1079</v>
          </cell>
        </row>
        <row r="3503">
          <cell r="A3503" t="str">
            <v>1915(c) waiver</v>
          </cell>
          <cell r="C3503" t="str">
            <v>TxHmL</v>
          </cell>
          <cell r="D3503" t="str">
            <v>Audiology</v>
          </cell>
          <cell r="E3503" t="str">
            <v>Audiology (CDS) LOC 1</v>
          </cell>
          <cell r="F3503" t="str">
            <v>1535VM0190</v>
          </cell>
        </row>
        <row r="3504">
          <cell r="A3504" t="str">
            <v>1915(c) waiver</v>
          </cell>
          <cell r="C3504" t="str">
            <v>TxHmL</v>
          </cell>
          <cell r="D3504" t="str">
            <v>Audiology</v>
          </cell>
          <cell r="E3504" t="str">
            <v>AUDIOLOGY LOC 1 (AO)</v>
          </cell>
          <cell r="F3504" t="str">
            <v>2235M0189</v>
          </cell>
        </row>
        <row r="3505">
          <cell r="A3505" t="str">
            <v>1915(c) waiver</v>
          </cell>
          <cell r="C3505" t="str">
            <v>TxHmL</v>
          </cell>
          <cell r="D3505" t="str">
            <v>Audiology</v>
          </cell>
          <cell r="E3505" t="str">
            <v>Audiology LOC 1 (AO)</v>
          </cell>
          <cell r="F3505" t="str">
            <v>1535M0189</v>
          </cell>
        </row>
        <row r="3506">
          <cell r="A3506" t="str">
            <v>1915(c) waiver</v>
          </cell>
          <cell r="C3506" t="str">
            <v>TxHmL</v>
          </cell>
          <cell r="D3506" t="str">
            <v>Audiology</v>
          </cell>
          <cell r="E3506" t="str">
            <v xml:space="preserve">AUDIOLOGY LOC 1 (CDS) </v>
          </cell>
          <cell r="F3506" t="str">
            <v>2235VM0190</v>
          </cell>
        </row>
        <row r="3507">
          <cell r="A3507" t="str">
            <v>1915(c) waiver</v>
          </cell>
          <cell r="C3507" t="str">
            <v>TxHmL</v>
          </cell>
          <cell r="D3507" t="str">
            <v>Behavioral</v>
          </cell>
          <cell r="E3507" t="str">
            <v>Behavioral Support (CDS) LOC 1</v>
          </cell>
          <cell r="F3507" t="str">
            <v>1543AVM0193</v>
          </cell>
        </row>
        <row r="3508">
          <cell r="A3508" t="str">
            <v>1915(c) waiver</v>
          </cell>
          <cell r="C3508" t="str">
            <v>TxHmL</v>
          </cell>
          <cell r="D3508" t="str">
            <v>Behavioral</v>
          </cell>
          <cell r="E3508" t="str">
            <v>BEHAVIORAL SUPPORT LOC 1 (AO)</v>
          </cell>
          <cell r="F3508" t="str">
            <v>2243AM0192</v>
          </cell>
        </row>
        <row r="3509">
          <cell r="A3509" t="str">
            <v>1915(c) waiver</v>
          </cell>
          <cell r="C3509" t="str">
            <v>TxHmL</v>
          </cell>
          <cell r="D3509" t="str">
            <v>Behavioral</v>
          </cell>
          <cell r="E3509" t="str">
            <v>Behavioral Support LOC 1 (AO)</v>
          </cell>
          <cell r="F3509" t="str">
            <v>1543AM0192</v>
          </cell>
        </row>
        <row r="3510">
          <cell r="A3510" t="str">
            <v>1915(c) waiver</v>
          </cell>
          <cell r="C3510" t="str">
            <v>TxHmL</v>
          </cell>
          <cell r="D3510" t="str">
            <v>Behavioral</v>
          </cell>
          <cell r="E3510" t="str">
            <v xml:space="preserve">BEHAVIORAL SUPPORT LOC 1 (CDS) </v>
          </cell>
          <cell r="F3510" t="str">
            <v>2243AVM0193</v>
          </cell>
        </row>
        <row r="3511">
          <cell r="A3511" t="str">
            <v>1915(c) waiver</v>
          </cell>
          <cell r="C3511" t="str">
            <v>TxHmL</v>
          </cell>
          <cell r="D3511" t="str">
            <v>Day Habilitation</v>
          </cell>
          <cell r="E3511" t="str">
            <v>Day Habilitation (CDS) LOC 1</v>
          </cell>
          <cell r="F3511" t="str">
            <v>1510CVM0202</v>
          </cell>
        </row>
        <row r="3512">
          <cell r="A3512" t="str">
            <v>1915(c) waiver</v>
          </cell>
          <cell r="C3512" t="str">
            <v>TxHmL</v>
          </cell>
          <cell r="D3512" t="str">
            <v>Day Habilitation</v>
          </cell>
          <cell r="E3512" t="str">
            <v>Day habilitation LOC 1 (AO)</v>
          </cell>
          <cell r="F3512" t="str">
            <v>1510CM0201</v>
          </cell>
        </row>
        <row r="3513">
          <cell r="A3513" t="str">
            <v>1915(c) waiver</v>
          </cell>
          <cell r="C3513" t="str">
            <v>TxHmL</v>
          </cell>
          <cell r="D3513" t="str">
            <v>Day Habilitation</v>
          </cell>
          <cell r="E3513" t="str">
            <v>DAY HABILITATION LOC 1 IN-HOME</v>
          </cell>
          <cell r="F3513" t="str">
            <v>2210CM0201</v>
          </cell>
        </row>
        <row r="3514">
          <cell r="A3514" t="str">
            <v>1915(c) waiver</v>
          </cell>
          <cell r="C3514" t="str">
            <v>TxHmL</v>
          </cell>
          <cell r="D3514" t="str">
            <v>Day Habilitation</v>
          </cell>
          <cell r="E3514" t="str">
            <v xml:space="preserve">DAY HABILITATION LOC 1 IN-HOME (CDS) </v>
          </cell>
          <cell r="F3514" t="str">
            <v>2210CVM0202</v>
          </cell>
        </row>
        <row r="3515">
          <cell r="A3515" t="str">
            <v>1915(c) waiver</v>
          </cell>
          <cell r="C3515" t="str">
            <v>TxHmL</v>
          </cell>
          <cell r="D3515" t="str">
            <v>Day Habilitation</v>
          </cell>
          <cell r="E3515" t="str">
            <v>DAY HABILITATION LOC 1 OUT-OF-HOME</v>
          </cell>
          <cell r="F3515" t="str">
            <v>2210CM0460</v>
          </cell>
        </row>
        <row r="3516">
          <cell r="A3516" t="str">
            <v>1915(c) waiver</v>
          </cell>
          <cell r="C3516" t="str">
            <v>TxHmL</v>
          </cell>
          <cell r="D3516" t="str">
            <v>Day Habilitation</v>
          </cell>
          <cell r="E3516" t="str">
            <v xml:space="preserve">DAY HABILITATION LOC 1 OUT-OF-HOME (CDS) </v>
          </cell>
          <cell r="F3516" t="str">
            <v>2210CVM0461</v>
          </cell>
        </row>
        <row r="3517">
          <cell r="A3517" t="str">
            <v>1915(c) waiver</v>
          </cell>
          <cell r="C3517" t="str">
            <v>TxHmL</v>
          </cell>
          <cell r="D3517" t="str">
            <v>Dental</v>
          </cell>
          <cell r="E3517" t="str">
            <v>Dental</v>
          </cell>
          <cell r="F3517" t="str">
            <v>155AM0198</v>
          </cell>
        </row>
        <row r="3518">
          <cell r="A3518" t="str">
            <v>1915(c) waiver</v>
          </cell>
          <cell r="C3518" t="str">
            <v>TxHmL</v>
          </cell>
          <cell r="D3518" t="str">
            <v>Dental</v>
          </cell>
          <cell r="E3518" t="str">
            <v>Dental</v>
          </cell>
          <cell r="F3518" t="str">
            <v>155AVM0199</v>
          </cell>
        </row>
        <row r="3519">
          <cell r="A3519" t="str">
            <v>1915(c) waiver</v>
          </cell>
          <cell r="C3519" t="str">
            <v>TxHmL</v>
          </cell>
          <cell r="D3519" t="str">
            <v>Dental</v>
          </cell>
          <cell r="E3519" t="str">
            <v xml:space="preserve">DENTAL SEDATION/GENERAL ANESTHESIA LOC 1 </v>
          </cell>
          <cell r="F3519" t="str">
            <v>225AM0571</v>
          </cell>
        </row>
        <row r="3520">
          <cell r="A3520" t="str">
            <v>1915(c) waiver</v>
          </cell>
          <cell r="C3520" t="str">
            <v>TxHmL</v>
          </cell>
          <cell r="D3520" t="str">
            <v>Dental</v>
          </cell>
          <cell r="E3520" t="str">
            <v xml:space="preserve">DENTAL SEDATION/GENERAL ANESTHESIA LOC 1 </v>
          </cell>
          <cell r="F3520" t="str">
            <v>225AVM0570</v>
          </cell>
        </row>
        <row r="3521">
          <cell r="A3521" t="str">
            <v>1915(c) waiver</v>
          </cell>
          <cell r="C3521" t="str">
            <v>TxHmL</v>
          </cell>
          <cell r="D3521" t="str">
            <v>Dental</v>
          </cell>
          <cell r="E3521" t="str">
            <v>DENTAL SERVICE</v>
          </cell>
          <cell r="F3521" t="str">
            <v>225AM0198</v>
          </cell>
        </row>
        <row r="3522">
          <cell r="A3522" t="str">
            <v>1915(c) waiver</v>
          </cell>
          <cell r="C3522" t="str">
            <v>TxHmL</v>
          </cell>
          <cell r="D3522" t="str">
            <v>Dental</v>
          </cell>
          <cell r="E3522" t="str">
            <v xml:space="preserve">DENTAL TREATMENT (CDS) </v>
          </cell>
          <cell r="F3522" t="str">
            <v>225AVM0199</v>
          </cell>
        </row>
        <row r="3523">
          <cell r="A3523" t="str">
            <v>1915(c) waiver</v>
          </cell>
          <cell r="C3523" t="str">
            <v>TxHmL</v>
          </cell>
          <cell r="D3523" t="str">
            <v>Dietary</v>
          </cell>
          <cell r="E3523" t="str">
            <v>Dietary (CDS) LOC 1</v>
          </cell>
          <cell r="F3523" t="str">
            <v>1534VM0205</v>
          </cell>
        </row>
        <row r="3524">
          <cell r="A3524" t="str">
            <v>1915(c) waiver</v>
          </cell>
          <cell r="C3524" t="str">
            <v>TxHmL</v>
          </cell>
          <cell r="D3524" t="str">
            <v>Dietary</v>
          </cell>
          <cell r="E3524" t="str">
            <v>DIETARY LOC 1</v>
          </cell>
          <cell r="F3524" t="str">
            <v>2234M0204</v>
          </cell>
        </row>
        <row r="3525">
          <cell r="A3525" t="str">
            <v>1915(c) waiver</v>
          </cell>
          <cell r="C3525" t="str">
            <v>TxHmL</v>
          </cell>
          <cell r="D3525" t="str">
            <v>Dietary</v>
          </cell>
          <cell r="E3525" t="str">
            <v>Dietary LOC 1 (AO)</v>
          </cell>
          <cell r="F3525" t="str">
            <v>1534M0204</v>
          </cell>
        </row>
        <row r="3526">
          <cell r="A3526" t="str">
            <v>1915(c) waiver</v>
          </cell>
          <cell r="C3526" t="str">
            <v>TxHmL</v>
          </cell>
          <cell r="D3526" t="str">
            <v>Dietary</v>
          </cell>
          <cell r="E3526" t="str">
            <v xml:space="preserve">DIETARY LOC 1 (CDS) </v>
          </cell>
          <cell r="F3526" t="str">
            <v>2234VM0205</v>
          </cell>
        </row>
        <row r="3527">
          <cell r="A3527" t="str">
            <v>1915(c) waiver</v>
          </cell>
          <cell r="C3527" t="str">
            <v>TxHmL</v>
          </cell>
          <cell r="D3527" t="str">
            <v>Employment Services</v>
          </cell>
          <cell r="E3527" t="str">
            <v>Employment Assistance (CDS) LOC 1</v>
          </cell>
          <cell r="F3527" t="str">
            <v>1554VM0208</v>
          </cell>
        </row>
        <row r="3528">
          <cell r="A3528" t="str">
            <v>1915(c) waiver</v>
          </cell>
          <cell r="C3528" t="str">
            <v>TxHmL</v>
          </cell>
          <cell r="D3528" t="str">
            <v>Employment Services</v>
          </cell>
          <cell r="E3528" t="str">
            <v xml:space="preserve">EMPLOYMENT ASSISTANCE (CDS) LOC 1 </v>
          </cell>
          <cell r="F3528" t="str">
            <v>2254VM0208</v>
          </cell>
        </row>
        <row r="3529">
          <cell r="A3529" t="str">
            <v>1915(c) waiver</v>
          </cell>
          <cell r="C3529" t="str">
            <v>TxHmL</v>
          </cell>
          <cell r="D3529" t="str">
            <v>Employment Services</v>
          </cell>
          <cell r="E3529" t="str">
            <v>EMPLOYMENT ASSISTANCE LOC 1 (AO)</v>
          </cell>
          <cell r="F3529" t="str">
            <v>2254M0207</v>
          </cell>
        </row>
        <row r="3530">
          <cell r="A3530" t="str">
            <v>1915(c) waiver</v>
          </cell>
          <cell r="C3530" t="str">
            <v>TxHmL</v>
          </cell>
          <cell r="D3530" t="str">
            <v>Employment Services</v>
          </cell>
          <cell r="E3530" t="str">
            <v>Employment assistance LOC 1 (AO)</v>
          </cell>
          <cell r="F3530" t="str">
            <v>1554M0207</v>
          </cell>
        </row>
        <row r="3531">
          <cell r="A3531" t="str">
            <v>1915(c) waiver</v>
          </cell>
          <cell r="C3531" t="str">
            <v>TxHmL</v>
          </cell>
          <cell r="D3531" t="str">
            <v>Employment Services</v>
          </cell>
          <cell r="E3531" t="str">
            <v>Supported Employment (CDS) LOC 1</v>
          </cell>
          <cell r="F3531" t="str">
            <v>1537VM0244</v>
          </cell>
        </row>
        <row r="3532">
          <cell r="A3532" t="str">
            <v>1915(c) waiver</v>
          </cell>
          <cell r="C3532" t="str">
            <v>TxHmL</v>
          </cell>
          <cell r="D3532" t="str">
            <v>Employment Services</v>
          </cell>
          <cell r="E3532" t="str">
            <v xml:space="preserve">SUPPORTED EMPLOYMENT (CDS) LOC 1 </v>
          </cell>
          <cell r="F3532" t="str">
            <v>2237VM0244</v>
          </cell>
        </row>
        <row r="3533">
          <cell r="A3533" t="str">
            <v>1915(c) waiver</v>
          </cell>
          <cell r="C3533" t="str">
            <v>TxHmL</v>
          </cell>
          <cell r="D3533" t="str">
            <v>Employment Services</v>
          </cell>
          <cell r="E3533" t="str">
            <v>SUPPORTED EMPLOYMENT LOC 1 (AO)</v>
          </cell>
          <cell r="F3533" t="str">
            <v>2237M0243</v>
          </cell>
        </row>
        <row r="3534">
          <cell r="A3534" t="str">
            <v>1915(c) waiver</v>
          </cell>
          <cell r="C3534" t="str">
            <v>TxHmL</v>
          </cell>
          <cell r="D3534" t="str">
            <v>Employment Services</v>
          </cell>
          <cell r="E3534" t="str">
            <v>Supported employment LOC 1 (AO)</v>
          </cell>
          <cell r="F3534" t="str">
            <v>1537M0243</v>
          </cell>
        </row>
        <row r="3535">
          <cell r="A3535" t="str">
            <v>State Plan (Title XIX)</v>
          </cell>
          <cell r="C3535" t="str">
            <v>TxHmL</v>
          </cell>
          <cell r="D3535" t="str">
            <v>ERS</v>
          </cell>
          <cell r="E3535" t="str">
            <v>CFC ERS ONGOING MONTHLY</v>
          </cell>
          <cell r="F3535" t="str">
            <v>2220CFCM0364</v>
          </cell>
          <cell r="P3535" t="str">
            <v>CFC</v>
          </cell>
        </row>
        <row r="3536">
          <cell r="A3536" t="str">
            <v>State Plan (Title XIX)</v>
          </cell>
          <cell r="C3536" t="str">
            <v>TxHmL</v>
          </cell>
          <cell r="D3536" t="str">
            <v>ERS</v>
          </cell>
          <cell r="E3536" t="str">
            <v>CFC ERS Ongoing Monthly</v>
          </cell>
          <cell r="F3536" t="str">
            <v>1520CFCM0364</v>
          </cell>
          <cell r="P3536" t="str">
            <v>CFC</v>
          </cell>
        </row>
        <row r="3537">
          <cell r="A3537" t="str">
            <v>State Plan (Title XIX)</v>
          </cell>
          <cell r="C3537" t="str">
            <v>TxHmL</v>
          </cell>
          <cell r="D3537" t="str">
            <v>FMS</v>
          </cell>
          <cell r="E3537" t="str">
            <v>CFC FINANCIAL MANAGEMENT SERVICES (CDS)</v>
          </cell>
          <cell r="F3537" t="str">
            <v>2263CFVM0365</v>
          </cell>
          <cell r="P3537" t="str">
            <v>CFC</v>
          </cell>
        </row>
        <row r="3538">
          <cell r="A3538" t="str">
            <v>State Plan (Title XIX)</v>
          </cell>
          <cell r="C3538" t="str">
            <v>TxHmL</v>
          </cell>
          <cell r="D3538" t="str">
            <v>FMS</v>
          </cell>
          <cell r="E3538" t="str">
            <v>CFC Financial Management Services (CDS)</v>
          </cell>
          <cell r="F3538" t="str">
            <v>1563CFVM0365</v>
          </cell>
          <cell r="P3538" t="str">
            <v>CFC</v>
          </cell>
        </row>
        <row r="3539">
          <cell r="A3539" t="str">
            <v>1915(c) waiver</v>
          </cell>
          <cell r="C3539" t="str">
            <v>TxHmL</v>
          </cell>
          <cell r="D3539" t="str">
            <v>FMS</v>
          </cell>
          <cell r="E3539" t="str">
            <v>FINANCIAL MANAGEMENT MONTHLY FEE (CDS)</v>
          </cell>
          <cell r="F3539" t="str">
            <v>2263VM0209</v>
          </cell>
        </row>
        <row r="3540">
          <cell r="A3540" t="str">
            <v>1915(c) waiver</v>
          </cell>
          <cell r="C3540" t="str">
            <v>TxHmL</v>
          </cell>
          <cell r="D3540" t="str">
            <v>FMS</v>
          </cell>
          <cell r="E3540" t="str">
            <v>Financial Management Monthly Fee (CDS)</v>
          </cell>
          <cell r="F3540" t="str">
            <v>1563VM0209</v>
          </cell>
        </row>
        <row r="3541">
          <cell r="A3541" t="str">
            <v>1915(c) waiver</v>
          </cell>
          <cell r="C3541" t="str">
            <v>TxHmL</v>
          </cell>
          <cell r="D3541" t="str">
            <v>Home Modifications</v>
          </cell>
          <cell r="E3541" t="str">
            <v>Minor Home Modifications (CDS) LOC 1</v>
          </cell>
          <cell r="F3541" t="str">
            <v>1516VM0211</v>
          </cell>
        </row>
        <row r="3542">
          <cell r="A3542" t="str">
            <v>1915(c) waiver</v>
          </cell>
          <cell r="C3542" t="str">
            <v>TxHmL</v>
          </cell>
          <cell r="D3542" t="str">
            <v>Home Modifications</v>
          </cell>
          <cell r="E3542" t="str">
            <v>Minor Home Modifications LOC 1</v>
          </cell>
          <cell r="F3542" t="str">
            <v>1516M0210</v>
          </cell>
        </row>
        <row r="3543">
          <cell r="A3543" t="str">
            <v>1915(c) waiver</v>
          </cell>
          <cell r="C3543" t="str">
            <v>TxHmL</v>
          </cell>
          <cell r="D3543" t="str">
            <v>In Home Respite</v>
          </cell>
          <cell r="E3543" t="str">
            <v>Hourly Respite (CDS) LOC 1</v>
          </cell>
          <cell r="F3543" t="str">
            <v>1511XVM0241</v>
          </cell>
        </row>
        <row r="3544">
          <cell r="A3544" t="str">
            <v>1915(c) waiver</v>
          </cell>
          <cell r="C3544" t="str">
            <v>TxHmL</v>
          </cell>
          <cell r="D3544" t="str">
            <v>In Home Respite</v>
          </cell>
          <cell r="E3544" t="str">
            <v>Hourly Respite LOC 1</v>
          </cell>
          <cell r="F3544" t="str">
            <v>1511XM0240</v>
          </cell>
        </row>
        <row r="3545">
          <cell r="A3545" t="str">
            <v>1915(c) waiver</v>
          </cell>
          <cell r="C3545" t="str">
            <v>TxHmL</v>
          </cell>
          <cell r="D3545" t="str">
            <v>In Home Respite</v>
          </cell>
          <cell r="E3545" t="str">
            <v>HOURLY RESPITE LOC 1 IN-HOME</v>
          </cell>
          <cell r="F3545" t="str">
            <v>2211XM0240</v>
          </cell>
        </row>
        <row r="3546">
          <cell r="A3546" t="str">
            <v>1915(c) waiver</v>
          </cell>
          <cell r="C3546" t="str">
            <v>TxHmL</v>
          </cell>
          <cell r="D3546" t="str">
            <v>In Home Respite</v>
          </cell>
          <cell r="E3546" t="str">
            <v xml:space="preserve">HOURLY RESPITE LOC 1 -IN-HOME (CDS) </v>
          </cell>
          <cell r="F3546" t="str">
            <v>2211XVM0241</v>
          </cell>
        </row>
        <row r="3547">
          <cell r="A3547" t="str">
            <v>1915(c) waiver</v>
          </cell>
          <cell r="C3547" t="str">
            <v>TxHmL</v>
          </cell>
          <cell r="D3547" t="str">
            <v>In Home Respite</v>
          </cell>
          <cell r="E3547" t="str">
            <v>HOURLY RESPITE WHERE HH/CC IS PROVIDED</v>
          </cell>
          <cell r="F3547" t="str">
            <v>2211XM0904</v>
          </cell>
        </row>
        <row r="3548">
          <cell r="A3548" t="str">
            <v>1915(c) waiver</v>
          </cell>
          <cell r="C3548" t="str">
            <v>TxHmL</v>
          </cell>
          <cell r="D3548" t="str">
            <v>In Home Respite</v>
          </cell>
          <cell r="E3548" t="str">
            <v xml:space="preserve">HOURLY RESPITE WHERE HH/CC IS PROVIDED (CDS) </v>
          </cell>
          <cell r="F3548" t="str">
            <v>2211XVM0908</v>
          </cell>
        </row>
        <row r="3549">
          <cell r="A3549" t="str">
            <v>1915(c) waiver</v>
          </cell>
          <cell r="C3549" t="str">
            <v>TxHmL</v>
          </cell>
          <cell r="D3549" t="str">
            <v>In Home Respite</v>
          </cell>
          <cell r="E3549" t="str">
            <v>HOURLY RESPITE WHERE SL OR RSS IS PROVIDED</v>
          </cell>
          <cell r="F3549" t="str">
            <v>2211XM0905</v>
          </cell>
        </row>
        <row r="3550">
          <cell r="A3550" t="str">
            <v>1915(c) waiver</v>
          </cell>
          <cell r="C3550" t="str">
            <v>TxHmL</v>
          </cell>
          <cell r="D3550" t="str">
            <v>In Home Respite</v>
          </cell>
          <cell r="E3550" t="str">
            <v xml:space="preserve">HOURLY RESPITE WHERE SL OR RSS IS PROVIDED (CDS) </v>
          </cell>
          <cell r="F3550" t="str">
            <v>2211XVM0909</v>
          </cell>
        </row>
        <row r="3551">
          <cell r="A3551" t="str">
            <v>1915(c) waiver</v>
          </cell>
          <cell r="C3551" t="str">
            <v>TxHmL</v>
          </cell>
          <cell r="D3551" t="str">
            <v>ISS</v>
          </cell>
          <cell r="E3551" t="str">
            <v>Individualized Skills and Socialization (ISS) LON 1 In-Home EVV OHFH</v>
          </cell>
          <cell r="F3551" t="str">
            <v>2223M1008</v>
          </cell>
        </row>
        <row r="3552">
          <cell r="A3552" t="str">
            <v>1915(c) waiver</v>
          </cell>
          <cell r="C3552" t="str">
            <v>TxHmL</v>
          </cell>
          <cell r="D3552" t="str">
            <v>ISS</v>
          </cell>
          <cell r="E3552" t="str">
            <v xml:space="preserve">Individualized Skills and Socialization (ISS) LON 1 In-Home EVV OHFH (CDS) </v>
          </cell>
          <cell r="F3552" t="str">
            <v>2223VM1012</v>
          </cell>
        </row>
        <row r="3553">
          <cell r="A3553" t="str">
            <v>1915(c) waiver</v>
          </cell>
          <cell r="C3553" t="str">
            <v>TxHmL</v>
          </cell>
          <cell r="D3553" t="str">
            <v>ISS</v>
          </cell>
          <cell r="E3553" t="str">
            <v>Individualized Skills and Socialization (ISS) LON 1 Off-Site</v>
          </cell>
          <cell r="F3553" t="str">
            <v>2223M1006</v>
          </cell>
        </row>
        <row r="3554">
          <cell r="A3554" t="str">
            <v>1915(c) waiver</v>
          </cell>
          <cell r="C3554" t="str">
            <v>TxHmL</v>
          </cell>
          <cell r="D3554" t="str">
            <v>ISS</v>
          </cell>
          <cell r="E3554" t="str">
            <v xml:space="preserve">Individualized Skills and Socialization (ISS) LON 1 Off-Site (CDS) </v>
          </cell>
          <cell r="F3554" t="str">
            <v>2223VM1010</v>
          </cell>
        </row>
        <row r="3555">
          <cell r="A3555" t="str">
            <v>1915(c) waiver</v>
          </cell>
          <cell r="C3555" t="str">
            <v>TxHmL</v>
          </cell>
          <cell r="D3555" t="str">
            <v>ISS</v>
          </cell>
          <cell r="E3555" t="str">
            <v>Individualized Skills and Socialization (ISS) LON 1 Off-Site (Enhanced) LVL 1</v>
          </cell>
          <cell r="F3555" t="str">
            <v>2223M1007</v>
          </cell>
        </row>
        <row r="3556">
          <cell r="A3556" t="str">
            <v>1915(c) waiver</v>
          </cell>
          <cell r="C3556" t="str">
            <v>TxHmL</v>
          </cell>
          <cell r="D3556" t="str">
            <v>ISS</v>
          </cell>
          <cell r="E3556" t="str">
            <v xml:space="preserve">Individualized Skills and Socialization (ISS) LON 1 Off-Site (Enhanced) LVL 1 (CDS) </v>
          </cell>
          <cell r="F3556" t="str">
            <v>2223VM1123</v>
          </cell>
        </row>
        <row r="3557">
          <cell r="A3557" t="str">
            <v>1915(c) waiver</v>
          </cell>
          <cell r="C3557" t="str">
            <v>TxHmL</v>
          </cell>
          <cell r="D3557" t="str">
            <v>ISS</v>
          </cell>
          <cell r="E3557" t="str">
            <v>Individualized Skills and Socialization (ISS) LON 1 Off-Site (Enhanced) LVL 2</v>
          </cell>
          <cell r="F3557" t="str">
            <v>2223M1116</v>
          </cell>
        </row>
        <row r="3558">
          <cell r="A3558" t="str">
            <v>1915(c) waiver</v>
          </cell>
          <cell r="C3558" t="str">
            <v>TxHmL</v>
          </cell>
          <cell r="D3558" t="str">
            <v>ISS</v>
          </cell>
          <cell r="E3558" t="str">
            <v xml:space="preserve">Individualized Skills and Socialization (ISS) LON 1 Off-Site (Enhanced) LVL 2 (CDS) </v>
          </cell>
          <cell r="F3558" t="str">
            <v>2223VM1011</v>
          </cell>
        </row>
        <row r="3559">
          <cell r="A3559" t="str">
            <v>1915(c) waiver</v>
          </cell>
          <cell r="C3559" t="str">
            <v>TxHmL</v>
          </cell>
          <cell r="D3559" t="str">
            <v>ISS</v>
          </cell>
          <cell r="E3559" t="str">
            <v>Individualized Skills and Socialization (ISS) LON 1 On-Site</v>
          </cell>
          <cell r="F3559" t="str">
            <v>2223M1005</v>
          </cell>
        </row>
        <row r="3560">
          <cell r="A3560" t="str">
            <v>1915(c) waiver</v>
          </cell>
          <cell r="C3560" t="str">
            <v>TxHmL</v>
          </cell>
          <cell r="D3560" t="str">
            <v>ISS</v>
          </cell>
          <cell r="E3560" t="str">
            <v xml:space="preserve">Individualized Skills and Socialization (ISS) LON 1 On-Site (CDS) </v>
          </cell>
          <cell r="F3560" t="str">
            <v>2223VM1009</v>
          </cell>
        </row>
        <row r="3561">
          <cell r="A3561" t="str">
            <v>1915(c) waiver</v>
          </cell>
          <cell r="C3561" t="str">
            <v>TxHmL</v>
          </cell>
          <cell r="D3561" t="str">
            <v>ISS</v>
          </cell>
          <cell r="E3561" t="str">
            <v>Individualized Skills and Socialization (ISS) LON 5 In-Home EVV OHFH</v>
          </cell>
          <cell r="F3561" t="str">
            <v>2223M1103</v>
          </cell>
        </row>
        <row r="3562">
          <cell r="A3562" t="str">
            <v>1915(c) waiver</v>
          </cell>
          <cell r="C3562" t="str">
            <v>TxHmL</v>
          </cell>
          <cell r="D3562" t="str">
            <v>ISS</v>
          </cell>
          <cell r="E3562" t="str">
            <v xml:space="preserve">Individualized Skills and Socialization (ISS) LON 5 In-Home EVV OHFH (CDS) </v>
          </cell>
          <cell r="F3562" t="str">
            <v>2223VM1133</v>
          </cell>
        </row>
        <row r="3563">
          <cell r="A3563" t="str">
            <v>1915(c) waiver</v>
          </cell>
          <cell r="C3563" t="str">
            <v>TxHmL</v>
          </cell>
          <cell r="D3563" t="str">
            <v>ISS</v>
          </cell>
          <cell r="E3563" t="str">
            <v>Individualized Skills and Socialization (ISS) LON 5 Off-Site</v>
          </cell>
          <cell r="F3563" t="str">
            <v>2223M1101</v>
          </cell>
        </row>
        <row r="3564">
          <cell r="A3564" t="str">
            <v>1915(c) waiver</v>
          </cell>
          <cell r="C3564" t="str">
            <v>TxHmL</v>
          </cell>
          <cell r="D3564" t="str">
            <v>ISS</v>
          </cell>
          <cell r="E3564" t="str">
            <v xml:space="preserve">Individualized Skills and Socialization (ISS) LON 5 Off-Site (CDS) </v>
          </cell>
          <cell r="F3564" t="str">
            <v>2223VM1125</v>
          </cell>
        </row>
        <row r="3565">
          <cell r="A3565" t="str">
            <v>1915(c) waiver</v>
          </cell>
          <cell r="C3565" t="str">
            <v>TxHmL</v>
          </cell>
          <cell r="D3565" t="str">
            <v>ISS</v>
          </cell>
          <cell r="E3565" t="str">
            <v>Individualized Skills and Socialization (ISS) LON 5 Off-Site (Enhanced) LVL 1</v>
          </cell>
          <cell r="F3565" t="str">
            <v>2223M1102</v>
          </cell>
        </row>
        <row r="3566">
          <cell r="A3566" t="str">
            <v>1915(c) waiver</v>
          </cell>
          <cell r="C3566" t="str">
            <v>TxHmL</v>
          </cell>
          <cell r="D3566" t="str">
            <v>ISS</v>
          </cell>
          <cell r="E3566" t="str">
            <v xml:space="preserve">Individualized Skills and Socialization (ISS) LON 5 Off-Site (Enhanced) LVL 1 (CDS) </v>
          </cell>
          <cell r="F3566" t="str">
            <v>2223VM1124</v>
          </cell>
        </row>
        <row r="3567">
          <cell r="A3567" t="str">
            <v>1915(c) waiver</v>
          </cell>
          <cell r="C3567" t="str">
            <v>TxHmL</v>
          </cell>
          <cell r="D3567" t="str">
            <v>ISS</v>
          </cell>
          <cell r="E3567" t="str">
            <v>Individualized Skills and Socialization (ISS) LON 5 Off-Site (Enhanced) LVL 2</v>
          </cell>
          <cell r="F3567" t="str">
            <v>2223M1117</v>
          </cell>
        </row>
        <row r="3568">
          <cell r="A3568" t="str">
            <v>1915(c) waiver</v>
          </cell>
          <cell r="C3568" t="str">
            <v>TxHmL</v>
          </cell>
          <cell r="D3568" t="str">
            <v>ISS</v>
          </cell>
          <cell r="E3568" t="str">
            <v xml:space="preserve">Individualized Skills and Socialization (ISS) LON 5 Off-Site (Enhanced) LVL 2 (CDS) </v>
          </cell>
          <cell r="F3568" t="str">
            <v>2223VM1120</v>
          </cell>
        </row>
        <row r="3569">
          <cell r="A3569" t="str">
            <v>1915(c) waiver</v>
          </cell>
          <cell r="C3569" t="str">
            <v>TxHmL</v>
          </cell>
          <cell r="D3569" t="str">
            <v>ISS</v>
          </cell>
          <cell r="E3569" t="str">
            <v>Individualized Skills and Socialization (ISS) LON 5 On-Site</v>
          </cell>
          <cell r="F3569" t="str">
            <v>2223M1100</v>
          </cell>
        </row>
        <row r="3570">
          <cell r="A3570" t="str">
            <v>1915(c) waiver</v>
          </cell>
          <cell r="C3570" t="str">
            <v>TxHmL</v>
          </cell>
          <cell r="D3570" t="str">
            <v>ISS</v>
          </cell>
          <cell r="E3570" t="str">
            <v xml:space="preserve">Individualized Skills and Socialization (ISS) LON 5 On-Site (CDS) </v>
          </cell>
          <cell r="F3570" t="str">
            <v>2223VM1129</v>
          </cell>
        </row>
        <row r="3571">
          <cell r="A3571" t="str">
            <v>1915(c) waiver</v>
          </cell>
          <cell r="C3571" t="str">
            <v>TxHmL</v>
          </cell>
          <cell r="D3571" t="str">
            <v>ISS</v>
          </cell>
          <cell r="E3571" t="str">
            <v>Individualized Skills and Socialization (ISS) LON 6 In-Home EVV OHFH</v>
          </cell>
          <cell r="F3571" t="str">
            <v>2223M1107</v>
          </cell>
        </row>
        <row r="3572">
          <cell r="A3572" t="str">
            <v>1915(c) waiver</v>
          </cell>
          <cell r="C3572" t="str">
            <v>TxHmL</v>
          </cell>
          <cell r="D3572" t="str">
            <v>ISS</v>
          </cell>
          <cell r="E3572" t="str">
            <v>Individualized Skills and Socialization (ISS) LON 6 In-Home EVV OHFH (CDS)</v>
          </cell>
          <cell r="F3572" t="str">
            <v>2223VM1134</v>
          </cell>
        </row>
        <row r="3573">
          <cell r="A3573" t="str">
            <v>1915(c) waiver</v>
          </cell>
          <cell r="C3573" t="str">
            <v>TxHmL</v>
          </cell>
          <cell r="D3573" t="str">
            <v>ISS</v>
          </cell>
          <cell r="E3573" t="str">
            <v>Individualized Skills and Socialization (ISS) LON 6 Off-Site</v>
          </cell>
          <cell r="F3573" t="str">
            <v>2223M1105</v>
          </cell>
        </row>
        <row r="3574">
          <cell r="A3574" t="str">
            <v>1915(c) waiver</v>
          </cell>
          <cell r="C3574" t="str">
            <v>TxHmL</v>
          </cell>
          <cell r="D3574" t="str">
            <v>ISS</v>
          </cell>
          <cell r="E3574" t="str">
            <v xml:space="preserve">Individualized Skills and Socialization (ISS) LON 6 Off-Site (CDS) </v>
          </cell>
          <cell r="F3574" t="str">
            <v>2223VM1126</v>
          </cell>
        </row>
        <row r="3575">
          <cell r="A3575" t="str">
            <v>1915(c) waiver</v>
          </cell>
          <cell r="C3575" t="str">
            <v>TxHmL</v>
          </cell>
          <cell r="D3575" t="str">
            <v>ISS</v>
          </cell>
          <cell r="E3575" t="str">
            <v>Individualized Skills and Socialization (ISS) LON 6 Off-Site (Enhanced) LVL 2</v>
          </cell>
          <cell r="F3575" t="str">
            <v>2223M1106</v>
          </cell>
        </row>
        <row r="3576">
          <cell r="A3576" t="str">
            <v>1915(c) waiver</v>
          </cell>
          <cell r="C3576" t="str">
            <v>TxHmL</v>
          </cell>
          <cell r="D3576" t="str">
            <v>ISS</v>
          </cell>
          <cell r="E3576" t="str">
            <v xml:space="preserve">Individualized Skills and Socialization (ISS) LON 6 Off-Site (Enhanced) LVL 2 (CDS) </v>
          </cell>
          <cell r="F3576" t="str">
            <v>2223VM1121</v>
          </cell>
        </row>
        <row r="3577">
          <cell r="A3577" t="str">
            <v>1915(c) waiver</v>
          </cell>
          <cell r="C3577" t="str">
            <v>TxHmL</v>
          </cell>
          <cell r="D3577" t="str">
            <v>ISS</v>
          </cell>
          <cell r="E3577" t="str">
            <v>Individualized Skills and Socialization (ISS) LON 6 On-Site</v>
          </cell>
          <cell r="F3577" t="str">
            <v>2223M1104</v>
          </cell>
        </row>
        <row r="3578">
          <cell r="A3578" t="str">
            <v>1915(c) waiver</v>
          </cell>
          <cell r="C3578" t="str">
            <v>TxHmL</v>
          </cell>
          <cell r="D3578" t="str">
            <v>ISS</v>
          </cell>
          <cell r="E3578" t="str">
            <v xml:space="preserve">Individualized Skills and Socialization (ISS) LON 6 On-Site (CDS) </v>
          </cell>
          <cell r="F3578" t="str">
            <v>2223VM1130</v>
          </cell>
        </row>
        <row r="3579">
          <cell r="A3579" t="str">
            <v>1915(c) waiver</v>
          </cell>
          <cell r="C3579" t="str">
            <v>TxHmL</v>
          </cell>
          <cell r="D3579" t="str">
            <v>ISS</v>
          </cell>
          <cell r="E3579" t="str">
            <v>Individualized Skills and Socialization (ISS) LON 8 In-Home EVV OHFH</v>
          </cell>
          <cell r="F3579" t="str">
            <v>2223M1111</v>
          </cell>
        </row>
        <row r="3580">
          <cell r="A3580" t="str">
            <v>1915(c) waiver</v>
          </cell>
          <cell r="C3580" t="str">
            <v>TxHmL</v>
          </cell>
          <cell r="D3580" t="str">
            <v>ISS</v>
          </cell>
          <cell r="E3580" t="str">
            <v xml:space="preserve">Individualized Skills and Socialization (ISS) LON 8 In-Home EVV OHFH (CDS) </v>
          </cell>
          <cell r="F3580" t="str">
            <v>2223VM1135</v>
          </cell>
        </row>
        <row r="3581">
          <cell r="A3581" t="str">
            <v>1915(c) waiver</v>
          </cell>
          <cell r="C3581" t="str">
            <v>TxHmL</v>
          </cell>
          <cell r="D3581" t="str">
            <v>ISS</v>
          </cell>
          <cell r="E3581" t="str">
            <v>Individualized Skills and Socialization (ISS) LON 8 Off-Site</v>
          </cell>
          <cell r="F3581" t="str">
            <v>2223M1109</v>
          </cell>
        </row>
        <row r="3582">
          <cell r="A3582" t="str">
            <v>1915(c) waiver</v>
          </cell>
          <cell r="C3582" t="str">
            <v>TxHmL</v>
          </cell>
          <cell r="D3582" t="str">
            <v>ISS</v>
          </cell>
          <cell r="E3582" t="str">
            <v xml:space="preserve">Individualized Skills and Socialization (ISS) LON 8 Off-Site (CDS) </v>
          </cell>
          <cell r="F3582" t="str">
            <v>2223VM1127</v>
          </cell>
        </row>
        <row r="3583">
          <cell r="A3583" t="str">
            <v>1915(c) waiver</v>
          </cell>
          <cell r="C3583" t="str">
            <v>TxHmL</v>
          </cell>
          <cell r="D3583" t="str">
            <v>ISS</v>
          </cell>
          <cell r="E3583" t="str">
            <v>Individualized Skills and Socialization (ISS) LON 8 Off-Site (Enhanced) LVL 2</v>
          </cell>
          <cell r="F3583" t="str">
            <v>2223M1110</v>
          </cell>
        </row>
        <row r="3584">
          <cell r="A3584" t="str">
            <v>1915(c) waiver</v>
          </cell>
          <cell r="C3584" t="str">
            <v>TxHmL</v>
          </cell>
          <cell r="D3584" t="str">
            <v>ISS</v>
          </cell>
          <cell r="E3584" t="str">
            <v xml:space="preserve">Individualized Skills and Socialization (ISS) LON 8 Off-Site (Enhanced) LVL 2 (CDS) </v>
          </cell>
          <cell r="F3584" t="str">
            <v>2223VM1122</v>
          </cell>
        </row>
        <row r="3585">
          <cell r="A3585" t="str">
            <v>1915(c) waiver</v>
          </cell>
          <cell r="C3585" t="str">
            <v>TxHmL</v>
          </cell>
          <cell r="D3585" t="str">
            <v>ISS</v>
          </cell>
          <cell r="E3585" t="str">
            <v>Individualized Skills and Socialization (ISS) LON 8 On-Site</v>
          </cell>
          <cell r="F3585" t="str">
            <v>2223M1108</v>
          </cell>
        </row>
        <row r="3586">
          <cell r="A3586" t="str">
            <v>1915(c) waiver</v>
          </cell>
          <cell r="C3586" t="str">
            <v>TxHmL</v>
          </cell>
          <cell r="D3586" t="str">
            <v>ISS</v>
          </cell>
          <cell r="E3586" t="str">
            <v xml:space="preserve">Individualized Skills and Socialization (ISS) LON 8 On-Site (CDS) </v>
          </cell>
          <cell r="F3586" t="str">
            <v>2223VM1131</v>
          </cell>
        </row>
        <row r="3587">
          <cell r="A3587" t="str">
            <v>1915(c) waiver</v>
          </cell>
          <cell r="C3587" t="str">
            <v>TxHmL</v>
          </cell>
          <cell r="D3587" t="str">
            <v>ISS</v>
          </cell>
          <cell r="E3587" t="str">
            <v>Individualized Skills and Socialization (ISS) LON 9 In-Home EVV OHFH</v>
          </cell>
          <cell r="F3587" t="str">
            <v>2223M1115</v>
          </cell>
        </row>
        <row r="3588">
          <cell r="A3588" t="str">
            <v>1915(c) waiver</v>
          </cell>
          <cell r="C3588" t="str">
            <v>TxHmL</v>
          </cell>
          <cell r="D3588" t="str">
            <v>ISS</v>
          </cell>
          <cell r="E3588" t="str">
            <v>Individualized Skills and Socialization (ISS) LON 9 In-Home EVV OHFH (CDS)</v>
          </cell>
          <cell r="F3588" t="str">
            <v>2223VM1136</v>
          </cell>
        </row>
        <row r="3589">
          <cell r="A3589" t="str">
            <v>1915(c) waiver</v>
          </cell>
          <cell r="C3589" t="str">
            <v>TxHmL</v>
          </cell>
          <cell r="D3589" t="str">
            <v>ISS</v>
          </cell>
          <cell r="E3589" t="str">
            <v>Individualized Skills and Socialization (ISS) LON 9 Off-Site</v>
          </cell>
          <cell r="F3589" t="str">
            <v>2223M1113</v>
          </cell>
        </row>
        <row r="3590">
          <cell r="A3590" t="str">
            <v>1915(c) waiver</v>
          </cell>
          <cell r="C3590" t="str">
            <v>TxHmL</v>
          </cell>
          <cell r="D3590" t="str">
            <v>ISS</v>
          </cell>
          <cell r="E3590" t="str">
            <v xml:space="preserve">Individualized Skills and Socialization (ISS) LON 9 Off-Site (CDS) </v>
          </cell>
          <cell r="F3590" t="str">
            <v>2223VM1128</v>
          </cell>
        </row>
        <row r="3591">
          <cell r="A3591" t="str">
            <v>1915(c) waiver</v>
          </cell>
          <cell r="C3591" t="str">
            <v>TxHmL</v>
          </cell>
          <cell r="D3591" t="str">
            <v>ISS</v>
          </cell>
          <cell r="E3591" t="str">
            <v>Individualized Skills and Socialization (ISS) LON 9 On-Site</v>
          </cell>
          <cell r="F3591" t="str">
            <v>2223M1112</v>
          </cell>
        </row>
        <row r="3592">
          <cell r="A3592" t="str">
            <v>1915(c) waiver</v>
          </cell>
          <cell r="C3592" t="str">
            <v>TxHmL</v>
          </cell>
          <cell r="D3592" t="str">
            <v>ISS</v>
          </cell>
          <cell r="E3592" t="str">
            <v xml:space="preserve">Individualized Skills and Socialization (ISS) LON 9 On-Site (CDS) </v>
          </cell>
          <cell r="F3592" t="str">
            <v>2223VM1132</v>
          </cell>
        </row>
        <row r="3593">
          <cell r="A3593" t="str">
            <v>1915(c) waiver</v>
          </cell>
          <cell r="C3593" t="str">
            <v>TxHmL</v>
          </cell>
          <cell r="D3593" t="str">
            <v>Nursing</v>
          </cell>
          <cell r="E3593" t="str">
            <v>CDS NURSING SERVICES - RN - LOC 1 - Out-of-Home</v>
          </cell>
          <cell r="F3593" t="str">
            <v>2213BVG2323</v>
          </cell>
          <cell r="P3593"/>
        </row>
        <row r="3594">
          <cell r="A3594" t="str">
            <v>1915(c) waiver</v>
          </cell>
          <cell r="C3594" t="str">
            <v>TxHmL</v>
          </cell>
          <cell r="D3594" t="str">
            <v>Nursing</v>
          </cell>
          <cell r="E3594" t="str">
            <v>CDS NURSING SERVICES LVN - LC 1 - Out-of-Home</v>
          </cell>
          <cell r="F3594" t="str">
            <v>2213AVG2321</v>
          </cell>
          <cell r="P3594"/>
        </row>
        <row r="3595">
          <cell r="A3595" t="str">
            <v>1915(c) waiver</v>
          </cell>
          <cell r="C3595" t="str">
            <v>TxHmL</v>
          </cell>
          <cell r="D3595" t="str">
            <v>Nursing</v>
          </cell>
          <cell r="E3595" t="str">
            <v>CDS NURSING SERVICES SPECIALIZED - LVN - LOC 1 - Out-of-Home</v>
          </cell>
          <cell r="F3595" t="str">
            <v>2213DVG2327</v>
          </cell>
          <cell r="P3595"/>
        </row>
        <row r="3596">
          <cell r="A3596" t="str">
            <v>1915(c) waiver</v>
          </cell>
          <cell r="C3596" t="str">
            <v>TxHmL</v>
          </cell>
          <cell r="D3596" t="str">
            <v>Nursing</v>
          </cell>
          <cell r="E3596" t="str">
            <v>CDS NURSING SERVICES SPECIALIZED - RN - LOC 1 - Out-of-Home</v>
          </cell>
          <cell r="F3596" t="str">
            <v>2213CVG2325</v>
          </cell>
          <cell r="P3596"/>
        </row>
        <row r="3597">
          <cell r="A3597" t="str">
            <v>1915(c) waiver</v>
          </cell>
          <cell r="C3597" t="str">
            <v>TxHmL</v>
          </cell>
          <cell r="D3597" t="str">
            <v>Nursing</v>
          </cell>
          <cell r="E3597" t="str">
            <v>In-Home CDS NURSING SERVICES - RN - LOC 1 - EVV OHFH</v>
          </cell>
          <cell r="F3597" t="str">
            <v>2213BVG2279</v>
          </cell>
          <cell r="P3597"/>
        </row>
        <row r="3598">
          <cell r="A3598" t="str">
            <v>1915(c) waiver</v>
          </cell>
          <cell r="C3598" t="str">
            <v>TxHmL</v>
          </cell>
          <cell r="D3598" t="str">
            <v>Nursing</v>
          </cell>
          <cell r="E3598" t="str">
            <v>In-Home CDS NURSING SERVICES LVN - LC 1 - EVV OHFH</v>
          </cell>
          <cell r="F3598" t="str">
            <v>2213AVG2277</v>
          </cell>
          <cell r="P3598"/>
        </row>
        <row r="3599">
          <cell r="A3599" t="str">
            <v>1915(c) waiver</v>
          </cell>
          <cell r="C3599" t="str">
            <v>TxHmL</v>
          </cell>
          <cell r="D3599" t="str">
            <v>Nursing</v>
          </cell>
          <cell r="E3599" t="str">
            <v>In-Home CDS NURSING SERVICES SPECIALIZED - LVN - LOC 1 - EVV OHFH</v>
          </cell>
          <cell r="F3599" t="str">
            <v>2213DVG2283</v>
          </cell>
          <cell r="P3599"/>
        </row>
        <row r="3600">
          <cell r="A3600" t="str">
            <v>1915(c) waiver</v>
          </cell>
          <cell r="C3600" t="str">
            <v>TxHmL</v>
          </cell>
          <cell r="D3600" t="str">
            <v>Nursing</v>
          </cell>
          <cell r="E3600" t="str">
            <v>In-Home CDS NURSING SERVICES SPECIALIZED - RN - LOC 1 - EVV OHFH</v>
          </cell>
          <cell r="F3600" t="str">
            <v>2213CVG2281</v>
          </cell>
          <cell r="P3600"/>
        </row>
        <row r="3601">
          <cell r="A3601" t="str">
            <v>1915(c) waiver</v>
          </cell>
          <cell r="C3601" t="str">
            <v>TxHmL</v>
          </cell>
          <cell r="D3601" t="str">
            <v>Nursing</v>
          </cell>
          <cell r="E3601" t="str">
            <v>In-Home NURSING SERVICES LVN - LC 1 - EVV OHFH</v>
          </cell>
          <cell r="F3601" t="str">
            <v>2213AG2276</v>
          </cell>
          <cell r="P3601"/>
        </row>
        <row r="3602">
          <cell r="A3602" t="str">
            <v>1915(c) waiver</v>
          </cell>
          <cell r="C3602" t="str">
            <v>TxHmL</v>
          </cell>
          <cell r="D3602" t="str">
            <v>Nursing</v>
          </cell>
          <cell r="E3602" t="str">
            <v>In-Home NURSING SERVICES RN - LC 1 - EVV OHFH</v>
          </cell>
          <cell r="F3602" t="str">
            <v>2213BG2278</v>
          </cell>
          <cell r="P3602"/>
        </row>
        <row r="3603">
          <cell r="A3603" t="str">
            <v>1915(c) waiver</v>
          </cell>
          <cell r="C3603" t="str">
            <v>TxHmL</v>
          </cell>
          <cell r="D3603" t="str">
            <v>Nursing</v>
          </cell>
          <cell r="E3603" t="str">
            <v>In-Home NURSING SERVICES SPECIALIZED LVN - LC 1 - EVV OHFH</v>
          </cell>
          <cell r="F3603" t="str">
            <v>2213DG2282</v>
          </cell>
          <cell r="P3603"/>
        </row>
        <row r="3604">
          <cell r="A3604" t="str">
            <v>1915(c) waiver</v>
          </cell>
          <cell r="C3604" t="str">
            <v>TxHmL</v>
          </cell>
          <cell r="D3604" t="str">
            <v>Nursing</v>
          </cell>
          <cell r="E3604" t="str">
            <v>In-Home NURSING SERVICES SPECIALIZED RN - LC 1 - EVV OHFH</v>
          </cell>
          <cell r="F3604" t="str">
            <v>2213CG2280</v>
          </cell>
          <cell r="P3604"/>
        </row>
        <row r="3605">
          <cell r="A3605" t="str">
            <v>1915(c) waiver</v>
          </cell>
          <cell r="C3605" t="str">
            <v>TxHmL</v>
          </cell>
          <cell r="D3605" t="str">
            <v>Nursing</v>
          </cell>
          <cell r="E3605" t="str">
            <v>NURSING SERVICES LVN - LC 1 - Out-of-Home</v>
          </cell>
          <cell r="F3605" t="str">
            <v>2213AG2320</v>
          </cell>
          <cell r="P3605"/>
        </row>
        <row r="3606">
          <cell r="A3606" t="str">
            <v>1915(c) waiver</v>
          </cell>
          <cell r="C3606" t="str">
            <v>TxHmL</v>
          </cell>
          <cell r="D3606" t="str">
            <v>Nursing</v>
          </cell>
          <cell r="E3606" t="str">
            <v>NURSING SERVICES LVN LOC 1</v>
          </cell>
          <cell r="F3606" t="str">
            <v>2213AM0306</v>
          </cell>
        </row>
        <row r="3607">
          <cell r="A3607" t="str">
            <v>1915(c) waiver</v>
          </cell>
          <cell r="C3607" t="str">
            <v>TxHmL</v>
          </cell>
          <cell r="D3607" t="str">
            <v>Nursing</v>
          </cell>
          <cell r="E3607" t="str">
            <v>Nursing Services LVN LOC 1</v>
          </cell>
          <cell r="F3607" t="str">
            <v>1513AM0306</v>
          </cell>
        </row>
        <row r="3608">
          <cell r="A3608" t="str">
            <v>1915(c) waiver</v>
          </cell>
          <cell r="C3608" t="str">
            <v>TxHmL</v>
          </cell>
          <cell r="D3608" t="str">
            <v>Nursing</v>
          </cell>
          <cell r="E3608" t="str">
            <v>Nursing Services LVN LOC 1 (CDS)</v>
          </cell>
          <cell r="F3608" t="str">
            <v>1513AVM0310</v>
          </cell>
        </row>
        <row r="3609">
          <cell r="A3609" t="str">
            <v>1915(c) waiver</v>
          </cell>
          <cell r="C3609" t="str">
            <v>TxHmL</v>
          </cell>
          <cell r="D3609" t="str">
            <v>Nursing</v>
          </cell>
          <cell r="E3609" t="str">
            <v xml:space="preserve">NURSING SERVICES LVN LOC 1 (CDS) </v>
          </cell>
          <cell r="F3609" t="str">
            <v>2213AVM0310</v>
          </cell>
        </row>
        <row r="3610">
          <cell r="A3610" t="str">
            <v>1915(c) waiver</v>
          </cell>
          <cell r="C3610" t="str">
            <v>TxHmL</v>
          </cell>
          <cell r="D3610" t="str">
            <v>Nursing</v>
          </cell>
          <cell r="E3610" t="str">
            <v>NURSING SERVICES RN - LC 1 - Out-of-Home</v>
          </cell>
          <cell r="F3610" t="str">
            <v>2213BG2322</v>
          </cell>
          <cell r="P3610"/>
        </row>
        <row r="3611">
          <cell r="A3611" t="str">
            <v>1915(c) waiver</v>
          </cell>
          <cell r="C3611" t="str">
            <v>TxHmL</v>
          </cell>
          <cell r="D3611" t="str">
            <v>Nursing</v>
          </cell>
          <cell r="E3611" t="str">
            <v>NURSING SERVICES RN LOC 1</v>
          </cell>
          <cell r="F3611" t="str">
            <v>2213BM0307</v>
          </cell>
        </row>
        <row r="3612">
          <cell r="A3612" t="str">
            <v>1915(c) waiver</v>
          </cell>
          <cell r="C3612" t="str">
            <v>TxHmL</v>
          </cell>
          <cell r="D3612" t="str">
            <v>Nursing</v>
          </cell>
          <cell r="E3612" t="str">
            <v>Nursing Services RN LOC 1</v>
          </cell>
          <cell r="F3612" t="str">
            <v>1513BM0307</v>
          </cell>
        </row>
        <row r="3613">
          <cell r="A3613" t="str">
            <v>1915(c) waiver</v>
          </cell>
          <cell r="C3613" t="str">
            <v>TxHmL</v>
          </cell>
          <cell r="D3613" t="str">
            <v>Nursing</v>
          </cell>
          <cell r="E3613" t="str">
            <v>Nursing Services RN LOC 1 (CDS)</v>
          </cell>
          <cell r="F3613" t="str">
            <v>1513BVM0311</v>
          </cell>
        </row>
        <row r="3614">
          <cell r="A3614" t="str">
            <v>1915(c) waiver</v>
          </cell>
          <cell r="C3614" t="str">
            <v>TxHmL</v>
          </cell>
          <cell r="D3614" t="str">
            <v>Nursing</v>
          </cell>
          <cell r="E3614" t="str">
            <v xml:space="preserve">NURSING SERVICES RN LOC 1 (CDS) </v>
          </cell>
          <cell r="F3614" t="str">
            <v>2213BVM0311</v>
          </cell>
        </row>
        <row r="3615">
          <cell r="A3615" t="str">
            <v>1915(c) waiver</v>
          </cell>
          <cell r="C3615" t="str">
            <v>TxHmL</v>
          </cell>
          <cell r="D3615" t="str">
            <v>Nursing</v>
          </cell>
          <cell r="E3615" t="str">
            <v>NURSING SERVICES SPECIALIZED LVN - LC 1 - Out-of-Home</v>
          </cell>
          <cell r="F3615" t="str">
            <v>2213DG2326</v>
          </cell>
          <cell r="P3615"/>
        </row>
        <row r="3616">
          <cell r="A3616" t="str">
            <v>1915(c) waiver</v>
          </cell>
          <cell r="C3616" t="str">
            <v>TxHmL</v>
          </cell>
          <cell r="D3616" t="str">
            <v>Nursing</v>
          </cell>
          <cell r="E3616" t="str">
            <v>NURSING SERVICES SPECIALIZED LVN LOC 1</v>
          </cell>
          <cell r="F3616" t="str">
            <v>2213DM0308</v>
          </cell>
        </row>
        <row r="3617">
          <cell r="A3617" t="str">
            <v>1915(c) waiver</v>
          </cell>
          <cell r="C3617" t="str">
            <v>TxHmL</v>
          </cell>
          <cell r="D3617" t="str">
            <v>Nursing</v>
          </cell>
          <cell r="E3617" t="str">
            <v>Nursing Services Specialized- LVN LOC 1</v>
          </cell>
          <cell r="F3617" t="str">
            <v>1513DM0308</v>
          </cell>
        </row>
        <row r="3618">
          <cell r="A3618" t="str">
            <v>1915(c) waiver</v>
          </cell>
          <cell r="C3618" t="str">
            <v>TxHmL</v>
          </cell>
          <cell r="D3618" t="str">
            <v>Nursing</v>
          </cell>
          <cell r="E3618" t="str">
            <v>Nursing Services Specialized LVN LOC 1 (CDS)</v>
          </cell>
          <cell r="F3618" t="str">
            <v>1513DVM0312</v>
          </cell>
        </row>
        <row r="3619">
          <cell r="A3619" t="str">
            <v>1915(c) waiver</v>
          </cell>
          <cell r="C3619" t="str">
            <v>TxHmL</v>
          </cell>
          <cell r="D3619" t="str">
            <v>Nursing</v>
          </cell>
          <cell r="E3619" t="str">
            <v xml:space="preserve">NURSING SERVICES SPECIALIZED LVN LOC 1 (CDS) </v>
          </cell>
          <cell r="F3619" t="str">
            <v>2213DVM0312</v>
          </cell>
        </row>
        <row r="3620">
          <cell r="A3620" t="str">
            <v>1915(c) waiver</v>
          </cell>
          <cell r="C3620" t="str">
            <v>TxHmL</v>
          </cell>
          <cell r="D3620" t="str">
            <v>Nursing</v>
          </cell>
          <cell r="E3620" t="str">
            <v>NURSING SERVICES SPECIALIZED RN - LC 1 - Out-of-Home</v>
          </cell>
          <cell r="F3620" t="str">
            <v>2213CG2324</v>
          </cell>
          <cell r="P3620"/>
        </row>
        <row r="3621">
          <cell r="A3621" t="str">
            <v>1915(c) waiver</v>
          </cell>
          <cell r="C3621" t="str">
            <v>TxHmL</v>
          </cell>
          <cell r="D3621" t="str">
            <v>Nursing</v>
          </cell>
          <cell r="E3621" t="str">
            <v>NURSING SERVICES SPECIALIZED RN LOC 1</v>
          </cell>
          <cell r="F3621" t="str">
            <v>2213CM0309</v>
          </cell>
        </row>
        <row r="3622">
          <cell r="A3622" t="str">
            <v>1915(c) waiver</v>
          </cell>
          <cell r="C3622" t="str">
            <v>TxHmL</v>
          </cell>
          <cell r="D3622" t="str">
            <v>Nursing</v>
          </cell>
          <cell r="E3622" t="str">
            <v>Nursing Services Specialized RN LOC 1</v>
          </cell>
          <cell r="F3622" t="str">
            <v>1513CM0309</v>
          </cell>
        </row>
        <row r="3623">
          <cell r="A3623" t="str">
            <v>1915(c) waiver</v>
          </cell>
          <cell r="C3623" t="str">
            <v>TxHmL</v>
          </cell>
          <cell r="D3623" t="str">
            <v>Nursing</v>
          </cell>
          <cell r="E3623" t="str">
            <v>Nursing Services Specialized RN LOC 1 (CDS)</v>
          </cell>
          <cell r="F3623" t="str">
            <v>1513CVM0313</v>
          </cell>
        </row>
        <row r="3624">
          <cell r="A3624" t="str">
            <v>1915(c) waiver</v>
          </cell>
          <cell r="C3624" t="str">
            <v>TxHmL</v>
          </cell>
          <cell r="D3624" t="str">
            <v>Nursing</v>
          </cell>
          <cell r="E3624" t="str">
            <v xml:space="preserve">NURSING SERVICES SPECIALIZED RN LOC 1 (CDS) </v>
          </cell>
          <cell r="F3624" t="str">
            <v>2213CVM0313</v>
          </cell>
        </row>
        <row r="3625">
          <cell r="A3625" t="str">
            <v>1915(c) waiver</v>
          </cell>
          <cell r="C3625" t="str">
            <v>TxHmL</v>
          </cell>
          <cell r="D3625" t="str">
            <v>Out of Home Respite</v>
          </cell>
          <cell r="E3625" t="str">
            <v>HOURLY RESPITE IN A DH FACILITY</v>
          </cell>
          <cell r="F3625" t="str">
            <v>2211XM0903</v>
          </cell>
        </row>
        <row r="3626">
          <cell r="A3626" t="str">
            <v>1915(c) waiver</v>
          </cell>
          <cell r="C3626" t="str">
            <v>TxHmL</v>
          </cell>
          <cell r="D3626" t="str">
            <v>Out of Home Respite</v>
          </cell>
          <cell r="E3626" t="str">
            <v xml:space="preserve">HOURLY RESPITE IN A DH FACILITY (CDS) </v>
          </cell>
          <cell r="F3626" t="str">
            <v>2211XVM0907</v>
          </cell>
        </row>
        <row r="3627">
          <cell r="A3627" t="str">
            <v>1915(c) waiver</v>
          </cell>
          <cell r="C3627" t="str">
            <v>TxHmL</v>
          </cell>
          <cell r="D3627" t="str">
            <v>Out of Home Respite</v>
          </cell>
          <cell r="E3627" t="str">
            <v xml:space="preserve">HOURLY RESPITE IN A SETTING NOT LISTED </v>
          </cell>
          <cell r="F3627" t="str">
            <v>2211XM0906</v>
          </cell>
        </row>
        <row r="3628">
          <cell r="A3628" t="str">
            <v>1915(c) waiver</v>
          </cell>
          <cell r="C3628" t="str">
            <v>TxHmL</v>
          </cell>
          <cell r="D3628" t="str">
            <v>Out of Home Respite</v>
          </cell>
          <cell r="E3628" t="str">
            <v xml:space="preserve">HOURLY RESPITE IN A SETTING NOT LISTED (CDS) </v>
          </cell>
          <cell r="F3628" t="str">
            <v>2211XVM0910</v>
          </cell>
        </row>
        <row r="3629">
          <cell r="A3629" t="str">
            <v>1915(c) waiver</v>
          </cell>
          <cell r="C3629" t="str">
            <v>TxHmL</v>
          </cell>
          <cell r="D3629" t="str">
            <v>Out of Home Respite</v>
          </cell>
          <cell r="E3629" t="str">
            <v>HOURLY RESPITE LOC 1 IN-CAMP</v>
          </cell>
          <cell r="F3629" t="str">
            <v>2211XM1093</v>
          </cell>
        </row>
        <row r="3630">
          <cell r="A3630" t="str">
            <v>1915(c) waiver</v>
          </cell>
          <cell r="C3630" t="str">
            <v>TxHmL</v>
          </cell>
          <cell r="D3630" t="str">
            <v>Out of Home Respite</v>
          </cell>
          <cell r="E3630" t="str">
            <v xml:space="preserve">HOURLY RESPITE LOC 1 IN-CAMP (CDS) </v>
          </cell>
          <cell r="F3630" t="str">
            <v>2211XVM1094</v>
          </cell>
        </row>
        <row r="3631">
          <cell r="A3631" t="str">
            <v>State Plan (Title XIX)</v>
          </cell>
          <cell r="C3631" t="str">
            <v>TxHmL</v>
          </cell>
          <cell r="D3631" t="str">
            <v>PAS/HAB</v>
          </cell>
          <cell r="E3631" t="str">
            <v>CFC PAS/HAB</v>
          </cell>
          <cell r="F3631" t="str">
            <v>2210CFCM0360</v>
          </cell>
          <cell r="P3631" t="str">
            <v>CFC</v>
          </cell>
        </row>
        <row r="3632">
          <cell r="A3632" t="str">
            <v>State Plan (Title XIX)</v>
          </cell>
          <cell r="C3632" t="str">
            <v>TxHmL</v>
          </cell>
          <cell r="D3632" t="str">
            <v>PAS/HAB</v>
          </cell>
          <cell r="E3632" t="str">
            <v>CFC PAS/HAB</v>
          </cell>
          <cell r="F3632" t="str">
            <v>1510CFCM0360</v>
          </cell>
          <cell r="P3632" t="str">
            <v>CFC</v>
          </cell>
        </row>
        <row r="3633">
          <cell r="A3633" t="str">
            <v>State Plan (Title XIX)</v>
          </cell>
          <cell r="C3633" t="str">
            <v>TxHmL</v>
          </cell>
          <cell r="D3633" t="str">
            <v>PAS/HAB</v>
          </cell>
          <cell r="E3633" t="str">
            <v xml:space="preserve">CFC PAS/HAB (CDS) </v>
          </cell>
          <cell r="F3633" t="str">
            <v>2210CFVM0361</v>
          </cell>
          <cell r="P3633" t="str">
            <v>CFC</v>
          </cell>
        </row>
        <row r="3634">
          <cell r="A3634" t="str">
            <v>State Plan (Title XIX)</v>
          </cell>
          <cell r="C3634" t="str">
            <v>TxHmL</v>
          </cell>
          <cell r="D3634" t="str">
            <v>PAS/HAB</v>
          </cell>
          <cell r="E3634" t="str">
            <v xml:space="preserve">CFC PAS/HAB (CDS) </v>
          </cell>
          <cell r="F3634" t="str">
            <v>1510CFVM0361</v>
          </cell>
          <cell r="P3634" t="str">
            <v>CFC</v>
          </cell>
        </row>
        <row r="3635">
          <cell r="A3635" t="str">
            <v>1915(c) waiver</v>
          </cell>
          <cell r="C3635" t="str">
            <v>TxHmL</v>
          </cell>
          <cell r="D3635" t="str">
            <v>PAS/HAB</v>
          </cell>
          <cell r="E3635" t="str">
            <v>Community Support (CDS) Transportation LOC 1</v>
          </cell>
          <cell r="F3635" t="str">
            <v>1552VM0196</v>
          </cell>
        </row>
        <row r="3636">
          <cell r="A3636" t="str">
            <v>1915(c) waiver</v>
          </cell>
          <cell r="C3636" t="str">
            <v>TxHmL</v>
          </cell>
          <cell r="D3636" t="str">
            <v>PAS/HAB</v>
          </cell>
          <cell r="E3636" t="str">
            <v>Community Support Transportation LOC 1</v>
          </cell>
          <cell r="F3636" t="str">
            <v>1552M0195</v>
          </cell>
        </row>
        <row r="3637">
          <cell r="A3637" t="str">
            <v>1915(c) waiver</v>
          </cell>
          <cell r="C3637" t="str">
            <v>TxHmL</v>
          </cell>
          <cell r="D3637" t="str">
            <v>PAS/HAB</v>
          </cell>
          <cell r="E3637" t="str">
            <v>TRANSPORTATION (CDS) COMMUNITY SUPPORT</v>
          </cell>
          <cell r="F3637" t="str">
            <v>2248VM0420</v>
          </cell>
        </row>
        <row r="3638">
          <cell r="A3638" t="str">
            <v>1915(c) waiver</v>
          </cell>
          <cell r="C3638" t="str">
            <v>TxHmL</v>
          </cell>
          <cell r="D3638" t="str">
            <v>PAS/HAB</v>
          </cell>
          <cell r="E3638" t="str">
            <v>Transportation (CDS) Community Support</v>
          </cell>
          <cell r="F3638" t="str">
            <v>1548VM0420</v>
          </cell>
        </row>
        <row r="3639">
          <cell r="A3639" t="str">
            <v>1915(c) waiver</v>
          </cell>
          <cell r="C3639" t="str">
            <v>TxHmL</v>
          </cell>
          <cell r="D3639" t="str">
            <v>PAS/HAB</v>
          </cell>
          <cell r="E3639" t="str">
            <v>TRANSPORTATION COMMUNITY SUPPORT</v>
          </cell>
          <cell r="F3639" t="str">
            <v>2248M0419</v>
          </cell>
        </row>
        <row r="3640">
          <cell r="A3640" t="str">
            <v>1915(c) waiver</v>
          </cell>
          <cell r="C3640" t="str">
            <v>TxHmL</v>
          </cell>
          <cell r="D3640" t="str">
            <v>PAS/HAB</v>
          </cell>
          <cell r="E3640" t="str">
            <v>Transportation Community Support</v>
          </cell>
          <cell r="F3640" t="str">
            <v>1548M0419</v>
          </cell>
        </row>
        <row r="3641">
          <cell r="A3641" t="str">
            <v>1915(c) waiver</v>
          </cell>
          <cell r="C3641" t="str">
            <v>TxHmL</v>
          </cell>
          <cell r="D3641" t="str">
            <v>PT/OT/ST</v>
          </cell>
          <cell r="E3641" t="str">
            <v>CDS OCCUPATIONAL THERAPY - LC 1 - Out-of-Home</v>
          </cell>
          <cell r="F3641" t="str">
            <v>227VG2328</v>
          </cell>
          <cell r="P3641"/>
        </row>
        <row r="3642">
          <cell r="A3642" t="str">
            <v>1915(c) waiver</v>
          </cell>
          <cell r="C3642" t="str">
            <v>TxHmL</v>
          </cell>
          <cell r="D3642" t="str">
            <v>PT/OT/ST</v>
          </cell>
          <cell r="E3642" t="str">
            <v>CDS PHYSICAL THERAPY - LC 1 - Out-of-Home</v>
          </cell>
          <cell r="F3642" t="str">
            <v>228VG2329</v>
          </cell>
          <cell r="P3642"/>
        </row>
        <row r="3643">
          <cell r="A3643" t="str">
            <v>1915(c) waiver</v>
          </cell>
          <cell r="C3643" t="str">
            <v>TxHmL</v>
          </cell>
          <cell r="D3643" t="str">
            <v>PT/OT/ST</v>
          </cell>
          <cell r="E3643" t="str">
            <v>In-Home CDS OCCUPATIONAL THERAPY - LC 1 - EVV OHFH</v>
          </cell>
          <cell r="F3643" t="str">
            <v>227VG2284</v>
          </cell>
          <cell r="P3643"/>
        </row>
        <row r="3644">
          <cell r="A3644" t="str">
            <v>1915(c) waiver</v>
          </cell>
          <cell r="C3644" t="str">
            <v>TxHmL</v>
          </cell>
          <cell r="D3644" t="str">
            <v>PT/OT/ST</v>
          </cell>
          <cell r="E3644" t="str">
            <v>In-Home CDS PHYSICAL THERAPY - LC 1 - EVV OHFH</v>
          </cell>
          <cell r="F3644" t="str">
            <v>228VG2285</v>
          </cell>
          <cell r="P3644"/>
        </row>
        <row r="3645">
          <cell r="A3645" t="str">
            <v>1915(c) waiver</v>
          </cell>
          <cell r="C3645" t="str">
            <v>TxHmL</v>
          </cell>
          <cell r="D3645" t="str">
            <v>PT/OT/ST</v>
          </cell>
          <cell r="E3645" t="str">
            <v>In-Home OCCUPATIONAL THERAPY - LC 1 - EVV OHFH</v>
          </cell>
          <cell r="F3645" t="str">
            <v>227G2274</v>
          </cell>
          <cell r="P3645"/>
        </row>
        <row r="3646">
          <cell r="A3646" t="str">
            <v>1915(c) waiver</v>
          </cell>
          <cell r="C3646" t="str">
            <v>TxHmL</v>
          </cell>
          <cell r="D3646" t="str">
            <v>PT/OT/ST</v>
          </cell>
          <cell r="E3646" t="str">
            <v>In-Home PHYSICAL THERAPY - LC 1 - EVV OHFH</v>
          </cell>
          <cell r="F3646" t="str">
            <v>228G2275</v>
          </cell>
          <cell r="P3646"/>
        </row>
        <row r="3647">
          <cell r="A3647" t="str">
            <v>1915(c) waiver</v>
          </cell>
          <cell r="C3647" t="str">
            <v>TxHmL</v>
          </cell>
          <cell r="D3647" t="str">
            <v>PT/OT/ST</v>
          </cell>
          <cell r="E3647" t="str">
            <v>OCCUPATIONAL THERAPY - LC 1 - Out-of-Home</v>
          </cell>
          <cell r="F3647" t="str">
            <v>227G2318</v>
          </cell>
          <cell r="P3647"/>
        </row>
        <row r="3648">
          <cell r="A3648" t="str">
            <v>1915(c) waiver</v>
          </cell>
          <cell r="C3648" t="str">
            <v>TxHmL</v>
          </cell>
          <cell r="D3648" t="str">
            <v>PT/OT/ST</v>
          </cell>
          <cell r="E3648" t="str">
            <v>Occupational therapy (CDS) LOC 1</v>
          </cell>
          <cell r="F3648" t="str">
            <v>157VM0232</v>
          </cell>
        </row>
        <row r="3649">
          <cell r="A3649" t="str">
            <v>1915(c) waiver</v>
          </cell>
          <cell r="C3649" t="str">
            <v>TxHmL</v>
          </cell>
          <cell r="D3649" t="str">
            <v>PT/OT/ST</v>
          </cell>
          <cell r="E3649" t="str">
            <v>OCCUPATIONAL THERAPY LOC 1</v>
          </cell>
          <cell r="F3649" t="str">
            <v>227M0231</v>
          </cell>
        </row>
        <row r="3650">
          <cell r="A3650" t="str">
            <v>1915(c) waiver</v>
          </cell>
          <cell r="C3650" t="str">
            <v>TxHmL</v>
          </cell>
          <cell r="D3650" t="str">
            <v>PT/OT/ST</v>
          </cell>
          <cell r="E3650" t="str">
            <v>Occupational therapy LOC 1</v>
          </cell>
          <cell r="F3650" t="str">
            <v>157M0231</v>
          </cell>
        </row>
        <row r="3651">
          <cell r="A3651" t="str">
            <v>1915(c) waiver</v>
          </cell>
          <cell r="C3651" t="str">
            <v>TxHmL</v>
          </cell>
          <cell r="D3651" t="str">
            <v>PT/OT/ST</v>
          </cell>
          <cell r="E3651" t="str">
            <v xml:space="preserve">OCCUPATIONAL THERAPY LOC 1 (CDS) </v>
          </cell>
          <cell r="F3651" t="str">
            <v>227VM0232</v>
          </cell>
        </row>
        <row r="3652">
          <cell r="A3652" t="str">
            <v>1915(c) waiver</v>
          </cell>
          <cell r="C3652" t="str">
            <v>TxHmL</v>
          </cell>
          <cell r="D3652" t="str">
            <v>PT/OT/ST</v>
          </cell>
          <cell r="E3652" t="str">
            <v>OCCUPATIONAL THERAPY LOC 1 Telehealth</v>
          </cell>
          <cell r="F3652" t="str">
            <v>227M0231</v>
          </cell>
        </row>
        <row r="3653">
          <cell r="A3653" t="str">
            <v>1915(c) waiver</v>
          </cell>
          <cell r="C3653" t="str">
            <v>TxHmL</v>
          </cell>
          <cell r="D3653" t="str">
            <v>PT/OT/ST</v>
          </cell>
          <cell r="E3653" t="str">
            <v xml:space="preserve">OCCUPATIONAL THERAPY LOC 1 Telehealth (CDS) </v>
          </cell>
          <cell r="F3653" t="str">
            <v>227VM0950</v>
          </cell>
        </row>
        <row r="3654">
          <cell r="A3654" t="str">
            <v>1915(c) waiver</v>
          </cell>
          <cell r="C3654" t="str">
            <v>TxHmL</v>
          </cell>
          <cell r="D3654" t="str">
            <v>PT/OT/ST</v>
          </cell>
          <cell r="E3654" t="str">
            <v>PHYSICAL THERAPY - LC 1 - Out-of-Home</v>
          </cell>
          <cell r="F3654" t="str">
            <v>228G2319</v>
          </cell>
          <cell r="P3654"/>
        </row>
        <row r="3655">
          <cell r="A3655" t="str">
            <v>1915(c) waiver</v>
          </cell>
          <cell r="C3655" t="str">
            <v>TxHmL</v>
          </cell>
          <cell r="D3655" t="str">
            <v>PT/OT/ST</v>
          </cell>
          <cell r="E3655" t="str">
            <v>Physical Therapy (CDS) LOC 1</v>
          </cell>
          <cell r="F3655" t="str">
            <v>158VM0235</v>
          </cell>
        </row>
        <row r="3656">
          <cell r="A3656" t="str">
            <v>1915(c) waiver</v>
          </cell>
          <cell r="C3656" t="str">
            <v>TxHmL</v>
          </cell>
          <cell r="D3656" t="str">
            <v>PT/OT/ST</v>
          </cell>
          <cell r="E3656" t="str">
            <v>PHYSICAL THERAPY LOC 1</v>
          </cell>
          <cell r="F3656" t="str">
            <v>228M0234</v>
          </cell>
        </row>
        <row r="3657">
          <cell r="A3657" t="str">
            <v>1915(c) waiver</v>
          </cell>
          <cell r="C3657" t="str">
            <v>TxHmL</v>
          </cell>
          <cell r="D3657" t="str">
            <v>PT/OT/ST</v>
          </cell>
          <cell r="E3657" t="str">
            <v>Physical therapy LOC 1</v>
          </cell>
          <cell r="F3657" t="str">
            <v>158M0234</v>
          </cell>
        </row>
        <row r="3658">
          <cell r="A3658" t="str">
            <v>1915(c) waiver</v>
          </cell>
          <cell r="C3658" t="str">
            <v>TxHmL</v>
          </cell>
          <cell r="D3658" t="str">
            <v>PT/OT/ST</v>
          </cell>
          <cell r="E3658" t="str">
            <v xml:space="preserve">PHYSICAL THERAPY LOC 1 (CDS) </v>
          </cell>
          <cell r="F3658" t="str">
            <v>228VM0235</v>
          </cell>
        </row>
        <row r="3659">
          <cell r="A3659" t="str">
            <v>1915(c) waiver</v>
          </cell>
          <cell r="C3659" t="str">
            <v>TxHmL</v>
          </cell>
          <cell r="D3659" t="str">
            <v>PT/OT/ST</v>
          </cell>
          <cell r="E3659" t="str">
            <v>PHYSICAL THERAPY LOC 1 Telehealth</v>
          </cell>
          <cell r="F3659" t="str">
            <v>228M0234</v>
          </cell>
        </row>
        <row r="3660">
          <cell r="A3660" t="str">
            <v>1915(c) waiver</v>
          </cell>
          <cell r="C3660" t="str">
            <v>TxHmL</v>
          </cell>
          <cell r="D3660" t="str">
            <v>PT/OT/ST</v>
          </cell>
          <cell r="E3660" t="str">
            <v xml:space="preserve">PHYSICAL THERAPY LOC 1 Telehealth (CDS) </v>
          </cell>
          <cell r="F3660" t="str">
            <v>228VM0951</v>
          </cell>
        </row>
        <row r="3661">
          <cell r="A3661" t="str">
            <v>1915(c) waiver</v>
          </cell>
          <cell r="C3661" t="str">
            <v>TxHmL</v>
          </cell>
          <cell r="D3661" t="str">
            <v>PT/OT/ST</v>
          </cell>
          <cell r="E3661" t="str">
            <v>Speech/Language Pathology Therapy (CDS) LOC 1</v>
          </cell>
          <cell r="F3661" t="str">
            <v>159VM0247</v>
          </cell>
        </row>
        <row r="3662">
          <cell r="A3662" t="str">
            <v>1915(c) waiver</v>
          </cell>
          <cell r="C3662" t="str">
            <v>TxHmL</v>
          </cell>
          <cell r="D3662" t="str">
            <v>PT/OT/ST</v>
          </cell>
          <cell r="E3662" t="str">
            <v>Speech/Language Pathology Therapy LOC 1</v>
          </cell>
          <cell r="F3662" t="str">
            <v>159M0246</v>
          </cell>
        </row>
        <row r="3663">
          <cell r="A3663" t="str">
            <v>1915(c) waiver</v>
          </cell>
          <cell r="C3663" t="str">
            <v>TxHmL</v>
          </cell>
          <cell r="D3663" t="str">
            <v>PT/OT/ST</v>
          </cell>
          <cell r="E3663" t="str">
            <v>SPEECH/LANGUAGE/PATHOLOGY THERAPY LOC 1</v>
          </cell>
          <cell r="F3663" t="str">
            <v>229M0246</v>
          </cell>
        </row>
        <row r="3664">
          <cell r="A3664" t="str">
            <v>1915(c) waiver</v>
          </cell>
          <cell r="C3664" t="str">
            <v>TxHmL</v>
          </cell>
          <cell r="D3664" t="str">
            <v>PT/OT/ST</v>
          </cell>
          <cell r="E3664" t="str">
            <v xml:space="preserve">SPEECH/LANGUAGE/PATHOLOGY THERAPY LOC 1 (CDS) </v>
          </cell>
          <cell r="F3664" t="str">
            <v>229VM0247</v>
          </cell>
        </row>
        <row r="3665">
          <cell r="A3665" t="str">
            <v>1915(c) waiver</v>
          </cell>
          <cell r="C3665" t="str">
            <v>TxHmL</v>
          </cell>
          <cell r="D3665" t="str">
            <v>PT/OT/ST</v>
          </cell>
          <cell r="E3665" t="str">
            <v>SPEECH/LANGUAGE/PATHOLOGY THERAPY LOC 1 Telehealth</v>
          </cell>
          <cell r="F3665" t="str">
            <v>229M0246</v>
          </cell>
        </row>
        <row r="3666">
          <cell r="A3666" t="str">
            <v>1915(c) waiver</v>
          </cell>
          <cell r="C3666" t="str">
            <v>TxHmL</v>
          </cell>
          <cell r="D3666" t="str">
            <v>PT/OT/ST</v>
          </cell>
          <cell r="E3666" t="str">
            <v xml:space="preserve">SPEECH/LANGUAGE/PATHOLOGY THERAPY LOC 1 Telehealth (CDS) </v>
          </cell>
          <cell r="F3666" t="str">
            <v>229VM0952</v>
          </cell>
        </row>
        <row r="3667">
          <cell r="A3667" t="str">
            <v>1915(c) waiver</v>
          </cell>
          <cell r="C3667" t="str">
            <v>TxHmL</v>
          </cell>
          <cell r="D3667" t="str">
            <v>Requisition Fees</v>
          </cell>
          <cell r="E3667" t="str">
            <v>REQUISITION FEE AA $0-499.99</v>
          </cell>
          <cell r="F3667" t="str">
            <v>2241M0178</v>
          </cell>
        </row>
        <row r="3668">
          <cell r="A3668" t="str">
            <v>1915(c) waiver</v>
          </cell>
          <cell r="C3668" t="str">
            <v>TxHmL</v>
          </cell>
          <cell r="D3668" t="str">
            <v>Requisition Fees</v>
          </cell>
          <cell r="E3668" t="str">
            <v>Requisition Fee AA $0-499.99</v>
          </cell>
          <cell r="F3668" t="str">
            <v>1541M0178</v>
          </cell>
        </row>
        <row r="3669">
          <cell r="A3669" t="str">
            <v>1915(c) waiver</v>
          </cell>
          <cell r="C3669" t="str">
            <v>TxHmL</v>
          </cell>
          <cell r="D3669" t="str">
            <v>Requisition Fees</v>
          </cell>
          <cell r="E3669" t="str">
            <v>REQUISITION FEE AA $1000.00-1499.99</v>
          </cell>
          <cell r="F3669" t="str">
            <v>2241M0180</v>
          </cell>
        </row>
        <row r="3670">
          <cell r="A3670" t="str">
            <v>1915(c) waiver</v>
          </cell>
          <cell r="C3670" t="str">
            <v>TxHmL</v>
          </cell>
          <cell r="D3670" t="str">
            <v>Requisition Fees</v>
          </cell>
          <cell r="E3670" t="str">
            <v>Requisition Fee AA $1000.00-1499.99</v>
          </cell>
          <cell r="F3670" t="str">
            <v>1541M0180</v>
          </cell>
        </row>
        <row r="3671">
          <cell r="A3671" t="str">
            <v>1915(c) waiver</v>
          </cell>
          <cell r="C3671" t="str">
            <v>TxHmL</v>
          </cell>
          <cell r="D3671" t="str">
            <v>Requisition Fees</v>
          </cell>
          <cell r="E3671" t="str">
            <v>REQUISITION FEE AA $1500.00-1999.99</v>
          </cell>
          <cell r="F3671" t="str">
            <v>2241M0181</v>
          </cell>
        </row>
        <row r="3672">
          <cell r="A3672" t="str">
            <v>1915(c) waiver</v>
          </cell>
          <cell r="C3672" t="str">
            <v>TxHmL</v>
          </cell>
          <cell r="D3672" t="str">
            <v>Requisition Fees</v>
          </cell>
          <cell r="E3672" t="str">
            <v>Requisition Fee AA $1500.00-1999.99</v>
          </cell>
          <cell r="F3672" t="str">
            <v>1541M0181</v>
          </cell>
        </row>
        <row r="3673">
          <cell r="A3673" t="str">
            <v>1915(c) waiver</v>
          </cell>
          <cell r="C3673" t="str">
            <v>TxHmL</v>
          </cell>
          <cell r="D3673" t="str">
            <v>Requisition Fees</v>
          </cell>
          <cell r="E3673" t="str">
            <v>REQUISITION FEE AA $2000.00-2499.99</v>
          </cell>
          <cell r="F3673" t="str">
            <v>2241M0182</v>
          </cell>
        </row>
        <row r="3674">
          <cell r="A3674" t="str">
            <v>1915(c) waiver</v>
          </cell>
          <cell r="C3674" t="str">
            <v>TxHmL</v>
          </cell>
          <cell r="D3674" t="str">
            <v>Requisition Fees</v>
          </cell>
          <cell r="E3674" t="str">
            <v>Requisition Fee AA $2000.00-2499.99</v>
          </cell>
          <cell r="F3674" t="str">
            <v>1541M0182</v>
          </cell>
        </row>
        <row r="3675">
          <cell r="A3675" t="str">
            <v>1915(c) waiver</v>
          </cell>
          <cell r="C3675" t="str">
            <v>TxHmL</v>
          </cell>
          <cell r="D3675" t="str">
            <v>Requisition Fees</v>
          </cell>
          <cell r="E3675" t="str">
            <v>REQUISITION FEE AA $2500.00-2999.99</v>
          </cell>
          <cell r="F3675" t="str">
            <v>2241M0183</v>
          </cell>
        </row>
        <row r="3676">
          <cell r="A3676" t="str">
            <v>1915(c) waiver</v>
          </cell>
          <cell r="C3676" t="str">
            <v>TxHmL</v>
          </cell>
          <cell r="D3676" t="str">
            <v>Requisition Fees</v>
          </cell>
          <cell r="E3676" t="str">
            <v>Requisition Fee AA $2500.00-2999.99</v>
          </cell>
          <cell r="F3676" t="str">
            <v>1541M0183</v>
          </cell>
        </row>
        <row r="3677">
          <cell r="A3677" t="str">
            <v>1915(c) waiver</v>
          </cell>
          <cell r="C3677" t="str">
            <v>TxHmL</v>
          </cell>
          <cell r="D3677" t="str">
            <v>Requisition Fees</v>
          </cell>
          <cell r="E3677" t="str">
            <v>REQUISITION FEE AA $3000.00-3499.99</v>
          </cell>
          <cell r="F3677" t="str">
            <v>2241M0184</v>
          </cell>
        </row>
        <row r="3678">
          <cell r="A3678" t="str">
            <v>1915(c) waiver</v>
          </cell>
          <cell r="C3678" t="str">
            <v>TxHmL</v>
          </cell>
          <cell r="D3678" t="str">
            <v>Requisition Fees</v>
          </cell>
          <cell r="E3678" t="str">
            <v>Requisition Fee AA $3000.00-3499.99</v>
          </cell>
          <cell r="F3678" t="str">
            <v>1541M0184</v>
          </cell>
        </row>
        <row r="3679">
          <cell r="A3679" t="str">
            <v>1915(c) waiver</v>
          </cell>
          <cell r="C3679" t="str">
            <v>TxHmL</v>
          </cell>
          <cell r="D3679" t="str">
            <v>Requisition Fees</v>
          </cell>
          <cell r="E3679" t="str">
            <v>REQUISITION FEE AA $3500.00-3999.99</v>
          </cell>
          <cell r="F3679" t="str">
            <v>2241M0185</v>
          </cell>
        </row>
        <row r="3680">
          <cell r="A3680" t="str">
            <v>1915(c) waiver</v>
          </cell>
          <cell r="C3680" t="str">
            <v>TxHmL</v>
          </cell>
          <cell r="D3680" t="str">
            <v>Requisition Fees</v>
          </cell>
          <cell r="E3680" t="str">
            <v>Requisition Fee AA $3500.00-3999.99</v>
          </cell>
          <cell r="F3680" t="str">
            <v>1541M0185</v>
          </cell>
        </row>
        <row r="3681">
          <cell r="A3681" t="str">
            <v>1915(c) waiver</v>
          </cell>
          <cell r="C3681" t="str">
            <v>TxHmL</v>
          </cell>
          <cell r="D3681" t="str">
            <v>Requisition Fees</v>
          </cell>
          <cell r="E3681" t="str">
            <v>REQUISITION FEE AA $4000.00-4499.99</v>
          </cell>
          <cell r="F3681" t="str">
            <v>2241M0186</v>
          </cell>
        </row>
        <row r="3682">
          <cell r="A3682" t="str">
            <v>1915(c) waiver</v>
          </cell>
          <cell r="C3682" t="str">
            <v>TxHmL</v>
          </cell>
          <cell r="D3682" t="str">
            <v>Requisition Fees</v>
          </cell>
          <cell r="E3682" t="str">
            <v>Requisition Fee AA $4000.00-4499.99</v>
          </cell>
          <cell r="F3682" t="str">
            <v>1541M0186</v>
          </cell>
        </row>
        <row r="3683">
          <cell r="A3683" t="str">
            <v>1915(c) waiver</v>
          </cell>
          <cell r="C3683" t="str">
            <v>TxHmL</v>
          </cell>
          <cell r="D3683" t="str">
            <v>Requisition Fees</v>
          </cell>
          <cell r="E3683" t="str">
            <v>REQUISITION FEE AA $4500.00-4999.99</v>
          </cell>
          <cell r="F3683" t="str">
            <v>2241M0187</v>
          </cell>
        </row>
        <row r="3684">
          <cell r="A3684" t="str">
            <v>1915(c) waiver</v>
          </cell>
          <cell r="C3684" t="str">
            <v>TxHmL</v>
          </cell>
          <cell r="D3684" t="str">
            <v>Requisition Fees</v>
          </cell>
          <cell r="E3684" t="str">
            <v>Requisition Fee AA $4500.00-4999.99</v>
          </cell>
          <cell r="F3684" t="str">
            <v>1541M0187</v>
          </cell>
        </row>
        <row r="3685">
          <cell r="A3685" t="str">
            <v>1915(c) waiver</v>
          </cell>
          <cell r="C3685" t="str">
            <v>TxHmL</v>
          </cell>
          <cell r="D3685" t="str">
            <v>Requisition Fees</v>
          </cell>
          <cell r="E3685" t="str">
            <v>REQUISITION FEE AA $500.00-999.99</v>
          </cell>
          <cell r="F3685" t="str">
            <v>2241M0179</v>
          </cell>
        </row>
        <row r="3686">
          <cell r="A3686" t="str">
            <v>1915(c) waiver</v>
          </cell>
          <cell r="C3686" t="str">
            <v>TxHmL</v>
          </cell>
          <cell r="D3686" t="str">
            <v>Requisition Fees</v>
          </cell>
          <cell r="E3686" t="str">
            <v>Requisition Fee AA $500.00-999.99</v>
          </cell>
          <cell r="F3686" t="str">
            <v>1541M0179</v>
          </cell>
        </row>
        <row r="3687">
          <cell r="A3687" t="str">
            <v>1915(c) waiver</v>
          </cell>
          <cell r="C3687" t="str">
            <v>TxHmL</v>
          </cell>
          <cell r="D3687" t="str">
            <v>Requisition Fees</v>
          </cell>
          <cell r="E3687" t="str">
            <v>Requisition Fee AA $5000.00 +</v>
          </cell>
          <cell r="F3687" t="str">
            <v>1541M0188</v>
          </cell>
        </row>
        <row r="3688">
          <cell r="A3688" t="str">
            <v>1915(c) waiver</v>
          </cell>
          <cell r="C3688" t="str">
            <v>TxHmL</v>
          </cell>
          <cell r="D3688" t="str">
            <v>Requisition Fees</v>
          </cell>
          <cell r="E3688" t="str">
            <v>REQUISITION FEE AA $5000.00+</v>
          </cell>
          <cell r="F3688" t="str">
            <v>2241M0188</v>
          </cell>
        </row>
        <row r="3689">
          <cell r="A3689" t="str">
            <v>1915(c) waiver</v>
          </cell>
          <cell r="C3689" t="str">
            <v>TxHmL</v>
          </cell>
          <cell r="D3689" t="str">
            <v>Requisition Fees</v>
          </cell>
          <cell r="E3689" t="str">
            <v>Requisition Fee DE $0-499.99</v>
          </cell>
          <cell r="F3689" t="str">
            <v>1541EM0321</v>
          </cell>
        </row>
        <row r="3690">
          <cell r="A3690" t="str">
            <v>1915(c) waiver</v>
          </cell>
          <cell r="C3690" t="str">
            <v>TxHmL</v>
          </cell>
          <cell r="D3690" t="str">
            <v>Requisition Fees</v>
          </cell>
          <cell r="E3690" t="str">
            <v>Requisition Fee DE $1000.00</v>
          </cell>
          <cell r="F3690" t="str">
            <v>1541EM0323</v>
          </cell>
        </row>
        <row r="3691">
          <cell r="A3691" t="str">
            <v>1915(c) waiver</v>
          </cell>
          <cell r="C3691" t="str">
            <v>TxHmL</v>
          </cell>
          <cell r="D3691" t="str">
            <v>Requisition Fees</v>
          </cell>
          <cell r="E3691" t="str">
            <v>Requisition Fee DE $500.00-999.99</v>
          </cell>
          <cell r="F3691" t="str">
            <v>1541EM0322</v>
          </cell>
        </row>
        <row r="3692">
          <cell r="A3692" t="str">
            <v>1915(c) waiver</v>
          </cell>
          <cell r="C3692" t="str">
            <v>TxHmL</v>
          </cell>
          <cell r="D3692" t="str">
            <v>Requisition Fees</v>
          </cell>
          <cell r="E3692" t="str">
            <v>Requisition Fee L125 MHM $6500 +</v>
          </cell>
          <cell r="F3692" t="str">
            <v>1541DM0226</v>
          </cell>
        </row>
        <row r="3693">
          <cell r="A3693" t="str">
            <v>1915(c) waiver</v>
          </cell>
          <cell r="C3693" t="str">
            <v>TxHmL</v>
          </cell>
          <cell r="D3693" t="str">
            <v>Requisition Fees</v>
          </cell>
          <cell r="E3693" t="str">
            <v>REQUISITION FEE MHM $0-499.99</v>
          </cell>
          <cell r="F3693" t="str">
            <v>2241BM0464</v>
          </cell>
        </row>
        <row r="3694">
          <cell r="A3694" t="str">
            <v>1915(c) waiver</v>
          </cell>
          <cell r="C3694" t="str">
            <v>TxHmL</v>
          </cell>
          <cell r="D3694" t="str">
            <v>Requisition Fees</v>
          </cell>
          <cell r="E3694" t="str">
            <v>Requisition Fee MHM $0-499.99</v>
          </cell>
          <cell r="F3694" t="str">
            <v>1541DM0213</v>
          </cell>
        </row>
        <row r="3695">
          <cell r="A3695" t="str">
            <v>1915(c) waiver</v>
          </cell>
          <cell r="C3695" t="str">
            <v>TxHmL</v>
          </cell>
          <cell r="D3695" t="str">
            <v>Requisition Fees</v>
          </cell>
          <cell r="E3695" t="str">
            <v>REQUISITION FEE MHM $1000.00-1499.99</v>
          </cell>
          <cell r="F3695" t="str">
            <v>2241BM0466</v>
          </cell>
        </row>
        <row r="3696">
          <cell r="A3696" t="str">
            <v>1915(c) waiver</v>
          </cell>
          <cell r="C3696" t="str">
            <v>TxHmL</v>
          </cell>
          <cell r="D3696" t="str">
            <v>Requisition Fees</v>
          </cell>
          <cell r="E3696" t="str">
            <v>Requisition Fee MHM $1000.00-1499.99</v>
          </cell>
          <cell r="F3696" t="str">
            <v>1541DM0215</v>
          </cell>
        </row>
        <row r="3697">
          <cell r="A3697" t="str">
            <v>1915(c) waiver</v>
          </cell>
          <cell r="C3697" t="str">
            <v>TxHmL</v>
          </cell>
          <cell r="D3697" t="str">
            <v>Requisition Fees</v>
          </cell>
          <cell r="E3697" t="str">
            <v>REQUISITION FEE MHM $1500.00-1999.99</v>
          </cell>
          <cell r="F3697" t="str">
            <v>2241BM0467</v>
          </cell>
        </row>
        <row r="3698">
          <cell r="A3698" t="str">
            <v>1915(c) waiver</v>
          </cell>
          <cell r="C3698" t="str">
            <v>TxHmL</v>
          </cell>
          <cell r="D3698" t="str">
            <v>Requisition Fees</v>
          </cell>
          <cell r="E3698" t="str">
            <v>Requisition Fee MHM $1500.00-1999.99</v>
          </cell>
          <cell r="F3698" t="str">
            <v>1541DM0216</v>
          </cell>
        </row>
        <row r="3699">
          <cell r="A3699" t="str">
            <v>1915(c) waiver</v>
          </cell>
          <cell r="C3699" t="str">
            <v>TxHmL</v>
          </cell>
          <cell r="D3699" t="str">
            <v>Requisition Fees</v>
          </cell>
          <cell r="E3699" t="str">
            <v>REQUISITION FEE MHM $2000.00-2499.99</v>
          </cell>
          <cell r="F3699" t="str">
            <v>2241BM0468</v>
          </cell>
        </row>
        <row r="3700">
          <cell r="A3700" t="str">
            <v>1915(c) waiver</v>
          </cell>
          <cell r="C3700" t="str">
            <v>TxHmL</v>
          </cell>
          <cell r="D3700" t="str">
            <v>Requisition Fees</v>
          </cell>
          <cell r="E3700" t="str">
            <v>Requisition Fee MHM $2000.00-2499.99</v>
          </cell>
          <cell r="F3700" t="str">
            <v>1541DM0217</v>
          </cell>
        </row>
        <row r="3701">
          <cell r="A3701" t="str">
            <v>1915(c) waiver</v>
          </cell>
          <cell r="C3701" t="str">
            <v>TxHmL</v>
          </cell>
          <cell r="D3701" t="str">
            <v>Requisition Fees</v>
          </cell>
          <cell r="E3701" t="str">
            <v>REQUISITION FEE MHM $2500.00-2999.99</v>
          </cell>
          <cell r="F3701" t="str">
            <v>2241BM0469</v>
          </cell>
        </row>
        <row r="3702">
          <cell r="A3702" t="str">
            <v>1915(c) waiver</v>
          </cell>
          <cell r="C3702" t="str">
            <v>TxHmL</v>
          </cell>
          <cell r="D3702" t="str">
            <v>Requisition Fees</v>
          </cell>
          <cell r="E3702" t="str">
            <v>Requisition Fee MHM $2500.00-2999.99</v>
          </cell>
          <cell r="F3702" t="str">
            <v>1541DM0218</v>
          </cell>
        </row>
        <row r="3703">
          <cell r="A3703" t="str">
            <v>1915(c) waiver</v>
          </cell>
          <cell r="C3703" t="str">
            <v>TxHmL</v>
          </cell>
          <cell r="D3703" t="str">
            <v>Requisition Fees</v>
          </cell>
          <cell r="E3703" t="str">
            <v>REQUISITION FEE MHM $3000.00-3499.99</v>
          </cell>
          <cell r="F3703" t="str">
            <v>2241BM0470</v>
          </cell>
        </row>
        <row r="3704">
          <cell r="A3704" t="str">
            <v>1915(c) waiver</v>
          </cell>
          <cell r="C3704" t="str">
            <v>TxHmL</v>
          </cell>
          <cell r="D3704" t="str">
            <v>Requisition Fees</v>
          </cell>
          <cell r="E3704" t="str">
            <v>Requisition Fee MHM $3000.00-3499.99</v>
          </cell>
          <cell r="F3704" t="str">
            <v>1541DM0219</v>
          </cell>
        </row>
        <row r="3705">
          <cell r="A3705" t="str">
            <v>1915(c) waiver</v>
          </cell>
          <cell r="C3705" t="str">
            <v>TxHmL</v>
          </cell>
          <cell r="D3705" t="str">
            <v>Requisition Fees</v>
          </cell>
          <cell r="E3705" t="str">
            <v>REQUISITION FEE MHM $3500.00-3999.99</v>
          </cell>
          <cell r="F3705" t="str">
            <v>2241BM0471</v>
          </cell>
        </row>
        <row r="3706">
          <cell r="A3706" t="str">
            <v>1915(c) waiver</v>
          </cell>
          <cell r="C3706" t="str">
            <v>TxHmL</v>
          </cell>
          <cell r="D3706" t="str">
            <v>Requisition Fees</v>
          </cell>
          <cell r="E3706" t="str">
            <v>Requisition Fee MHM $3500.00-3999.99</v>
          </cell>
          <cell r="F3706" t="str">
            <v>1541DM0220</v>
          </cell>
        </row>
        <row r="3707">
          <cell r="A3707" t="str">
            <v>1915(c) waiver</v>
          </cell>
          <cell r="C3707" t="str">
            <v>TxHmL</v>
          </cell>
          <cell r="D3707" t="str">
            <v>Requisition Fees</v>
          </cell>
          <cell r="E3707" t="str">
            <v>REQUISITION FEE MHM $4000.00-4499.99</v>
          </cell>
          <cell r="F3707" t="str">
            <v>2241BM0472</v>
          </cell>
        </row>
        <row r="3708">
          <cell r="A3708" t="str">
            <v>1915(c) waiver</v>
          </cell>
          <cell r="C3708" t="str">
            <v>TxHmL</v>
          </cell>
          <cell r="D3708" t="str">
            <v>Requisition Fees</v>
          </cell>
          <cell r="E3708" t="str">
            <v>Requisition Fee MHM $4000.00-4499.99</v>
          </cell>
          <cell r="F3708" t="str">
            <v>1541DM0221</v>
          </cell>
        </row>
        <row r="3709">
          <cell r="A3709" t="str">
            <v>1915(c) waiver</v>
          </cell>
          <cell r="C3709" t="str">
            <v>TxHmL</v>
          </cell>
          <cell r="D3709" t="str">
            <v>Requisition Fees</v>
          </cell>
          <cell r="E3709" t="str">
            <v>REQUISITION FEE MHM $4500.00-4999.99</v>
          </cell>
          <cell r="F3709" t="str">
            <v>2241BM0473</v>
          </cell>
        </row>
        <row r="3710">
          <cell r="A3710" t="str">
            <v>1915(c) waiver</v>
          </cell>
          <cell r="C3710" t="str">
            <v>TxHmL</v>
          </cell>
          <cell r="D3710" t="str">
            <v>Requisition Fees</v>
          </cell>
          <cell r="E3710" t="str">
            <v>Requisition Fee MHM $4500.00-4999.99</v>
          </cell>
          <cell r="F3710" t="str">
            <v>1541DM0222</v>
          </cell>
        </row>
        <row r="3711">
          <cell r="A3711" t="str">
            <v>1915(c) waiver</v>
          </cell>
          <cell r="C3711" t="str">
            <v>TxHmL</v>
          </cell>
          <cell r="D3711" t="str">
            <v>Requisition Fees</v>
          </cell>
          <cell r="E3711" t="str">
            <v>REQUISITION FEE MHM $500.00-999.99</v>
          </cell>
          <cell r="F3711" t="str">
            <v>2241BM0465</v>
          </cell>
        </row>
        <row r="3712">
          <cell r="A3712" t="str">
            <v>1915(c) waiver</v>
          </cell>
          <cell r="C3712" t="str">
            <v>TxHmL</v>
          </cell>
          <cell r="D3712" t="str">
            <v>Requisition Fees</v>
          </cell>
          <cell r="E3712" t="str">
            <v>Requisition Fee MHM $500.00-999.99</v>
          </cell>
          <cell r="F3712" t="str">
            <v>1541DM0214</v>
          </cell>
        </row>
        <row r="3713">
          <cell r="A3713" t="str">
            <v>1915(c) waiver</v>
          </cell>
          <cell r="C3713" t="str">
            <v>TxHmL</v>
          </cell>
          <cell r="D3713" t="str">
            <v>Requisition Fees</v>
          </cell>
          <cell r="E3713" t="str">
            <v>REQUISITION FEE MHM $5000.00-5499.99</v>
          </cell>
          <cell r="F3713" t="str">
            <v>2241BM0474</v>
          </cell>
        </row>
        <row r="3714">
          <cell r="A3714" t="str">
            <v>1915(c) waiver</v>
          </cell>
          <cell r="C3714" t="str">
            <v>TxHmL</v>
          </cell>
          <cell r="D3714" t="str">
            <v>Requisition Fees</v>
          </cell>
          <cell r="E3714" t="str">
            <v>Requisition Fee MHM $5000.00-5499.99</v>
          </cell>
          <cell r="F3714" t="str">
            <v>1541DM0223</v>
          </cell>
        </row>
        <row r="3715">
          <cell r="A3715" t="str">
            <v>1915(c) waiver</v>
          </cell>
          <cell r="C3715" t="str">
            <v>TxHmL</v>
          </cell>
          <cell r="D3715" t="str">
            <v>Requisition Fees</v>
          </cell>
          <cell r="E3715" t="str">
            <v>REQUISITION FEE MHM $5500.00-5999.99</v>
          </cell>
          <cell r="F3715" t="str">
            <v>2241BM0475</v>
          </cell>
        </row>
        <row r="3716">
          <cell r="A3716" t="str">
            <v>1915(c) waiver</v>
          </cell>
          <cell r="C3716" t="str">
            <v>TxHmL</v>
          </cell>
          <cell r="D3716" t="str">
            <v>Requisition Fees</v>
          </cell>
          <cell r="E3716" t="str">
            <v>Requisition Fee MHM $5500.00-5999.99</v>
          </cell>
          <cell r="F3716" t="str">
            <v>1541DM0224</v>
          </cell>
        </row>
        <row r="3717">
          <cell r="A3717" t="str">
            <v>1915(c) waiver</v>
          </cell>
          <cell r="C3717" t="str">
            <v>TxHmL</v>
          </cell>
          <cell r="D3717" t="str">
            <v>Requisition Fees</v>
          </cell>
          <cell r="E3717" t="str">
            <v>REQUISITION FEE MHM $6000.00-6499.99</v>
          </cell>
          <cell r="F3717" t="str">
            <v>2241BM0476</v>
          </cell>
        </row>
        <row r="3718">
          <cell r="A3718" t="str">
            <v>1915(c) waiver</v>
          </cell>
          <cell r="C3718" t="str">
            <v>TxHmL</v>
          </cell>
          <cell r="D3718" t="str">
            <v>Requisition Fees</v>
          </cell>
          <cell r="E3718" t="str">
            <v>Requisition Fee MHM $6000.00-6499.99</v>
          </cell>
          <cell r="F3718" t="str">
            <v>1541DM0225</v>
          </cell>
        </row>
        <row r="3719">
          <cell r="A3719" t="str">
            <v>1915(c) waiver</v>
          </cell>
          <cell r="C3719" t="str">
            <v>TxHmL</v>
          </cell>
          <cell r="D3719" t="str">
            <v>Requisition Fees</v>
          </cell>
          <cell r="E3719" t="str">
            <v>REQUISITION FEE MHM $6500.00+</v>
          </cell>
          <cell r="F3719" t="str">
            <v>2241BM0477</v>
          </cell>
        </row>
        <row r="3720">
          <cell r="A3720" t="str">
            <v>1915(c) waiver</v>
          </cell>
          <cell r="C3720" t="str">
            <v>TxHmL</v>
          </cell>
          <cell r="D3720" t="str">
            <v>Requisition Fees</v>
          </cell>
          <cell r="E3720" t="str">
            <v>REQUISITION FEES DENTAL 0.00 499.99</v>
          </cell>
          <cell r="F3720" t="str">
            <v>2241EM0321</v>
          </cell>
        </row>
        <row r="3721">
          <cell r="A3721" t="str">
            <v>1915(c) waiver</v>
          </cell>
          <cell r="C3721" t="str">
            <v>TxHmL</v>
          </cell>
          <cell r="D3721" t="str">
            <v>Requisition Fees</v>
          </cell>
          <cell r="E3721" t="str">
            <v>REQUISITION FEES DENTAL 1000.00-1499.99</v>
          </cell>
          <cell r="F3721" t="str">
            <v>2241EM0323</v>
          </cell>
        </row>
        <row r="3722">
          <cell r="A3722" t="str">
            <v>1915(c) waiver</v>
          </cell>
          <cell r="C3722" t="str">
            <v>TxHmL</v>
          </cell>
          <cell r="D3722" t="str">
            <v>Requisition Fees</v>
          </cell>
          <cell r="E3722" t="str">
            <v>REQUISITION FEES DENTAL 1500.00-1999.99</v>
          </cell>
          <cell r="F3722" t="str">
            <v>2241EM0969</v>
          </cell>
        </row>
        <row r="3723">
          <cell r="A3723" t="str">
            <v>1915(c) waiver</v>
          </cell>
          <cell r="C3723" t="str">
            <v>TxHmL</v>
          </cell>
          <cell r="D3723" t="str">
            <v>Requisition Fees</v>
          </cell>
          <cell r="E3723" t="str">
            <v>REQUISITION FEES DENTAL 2000.00-2499.99</v>
          </cell>
          <cell r="F3723" t="str">
            <v>2241EM0970</v>
          </cell>
        </row>
        <row r="3724">
          <cell r="A3724" t="str">
            <v>1915(c) waiver</v>
          </cell>
          <cell r="C3724" t="str">
            <v>TxHmL</v>
          </cell>
          <cell r="D3724" t="str">
            <v>Requisition Fees</v>
          </cell>
          <cell r="E3724" t="str">
            <v>REQUISITION FEES DENTAL 2500.00-2999.99</v>
          </cell>
          <cell r="F3724" t="str">
            <v>2241EM0971</v>
          </cell>
        </row>
        <row r="3725">
          <cell r="A3725" t="str">
            <v>1915(c) waiver</v>
          </cell>
          <cell r="C3725" t="str">
            <v>TxHmL</v>
          </cell>
          <cell r="D3725" t="str">
            <v>Requisition Fees</v>
          </cell>
          <cell r="E3725" t="str">
            <v>REQUISITION FEES DENTAL 3000.00-3499.99</v>
          </cell>
          <cell r="F3725" t="str">
            <v>2241EM0972</v>
          </cell>
        </row>
        <row r="3726">
          <cell r="A3726" t="str">
            <v>1915(c) waiver</v>
          </cell>
          <cell r="C3726" t="str">
            <v>TxHmL</v>
          </cell>
          <cell r="D3726" t="str">
            <v>Requisition Fees</v>
          </cell>
          <cell r="E3726" t="str">
            <v>REQUISITION FEES DENTAL 3500.00-3999.99</v>
          </cell>
          <cell r="F3726" t="str">
            <v>2241EM0973</v>
          </cell>
        </row>
        <row r="3727">
          <cell r="A3727" t="str">
            <v>1915(c) waiver</v>
          </cell>
          <cell r="C3727" t="str">
            <v>TxHmL</v>
          </cell>
          <cell r="D3727" t="str">
            <v>Requisition Fees</v>
          </cell>
          <cell r="E3727" t="str">
            <v>REQUISITION FEES DENTAL 4000.00-4499.99</v>
          </cell>
          <cell r="F3727" t="str">
            <v>2241EM0974</v>
          </cell>
        </row>
        <row r="3728">
          <cell r="A3728" t="str">
            <v>1915(c) waiver</v>
          </cell>
          <cell r="C3728" t="str">
            <v>TxHmL</v>
          </cell>
          <cell r="D3728" t="str">
            <v>Requisition Fees</v>
          </cell>
          <cell r="E3728" t="str">
            <v>REQUISITION FEES DENTAL 4500.00-4999.99</v>
          </cell>
          <cell r="F3728" t="str">
            <v>2241EM0975</v>
          </cell>
        </row>
        <row r="3729">
          <cell r="A3729" t="str">
            <v>1915(c) waiver</v>
          </cell>
          <cell r="C3729" t="str">
            <v>TxHmL</v>
          </cell>
          <cell r="D3729" t="str">
            <v>Requisition Fees</v>
          </cell>
          <cell r="E3729" t="str">
            <v>REQUISITION FEES DENTAL 500.00 999.99</v>
          </cell>
          <cell r="F3729" t="str">
            <v>2241EM0322</v>
          </cell>
        </row>
        <row r="3730">
          <cell r="A3730" t="str">
            <v>1915(c) waiver</v>
          </cell>
          <cell r="C3730" t="str">
            <v>TxHmL</v>
          </cell>
          <cell r="D3730" t="str">
            <v>Requisition Fees</v>
          </cell>
          <cell r="E3730" t="str">
            <v>REQUISITION FEES DENTAL 5000.00 and over</v>
          </cell>
          <cell r="F3730" t="str">
            <v>2241EM0976</v>
          </cell>
        </row>
        <row r="3731">
          <cell r="A3731" t="str">
            <v>State Plan (Title XIX)</v>
          </cell>
          <cell r="C3731" t="str">
            <v>TxHmL</v>
          </cell>
          <cell r="D3731" t="str">
            <v>Support Consultation</v>
          </cell>
          <cell r="E3731" t="str">
            <v xml:space="preserve">CFC SUPPORT CONSULTATION (CDS) </v>
          </cell>
          <cell r="F3731" t="str">
            <v>2257CFVM0413</v>
          </cell>
          <cell r="P3731" t="str">
            <v>CFC</v>
          </cell>
        </row>
        <row r="3732">
          <cell r="A3732" t="str">
            <v>State Plan (Title XIX)</v>
          </cell>
          <cell r="C3732" t="str">
            <v>TxHmL</v>
          </cell>
          <cell r="D3732" t="str">
            <v>Support Consultation</v>
          </cell>
          <cell r="E3732" t="str">
            <v xml:space="preserve">CFC Support Consultation (CDS) </v>
          </cell>
          <cell r="F3732" t="str">
            <v>1557CFVM0413</v>
          </cell>
          <cell r="P3732" t="str">
            <v>CFC</v>
          </cell>
        </row>
        <row r="3733">
          <cell r="A3733" t="str">
            <v>1915(c) waiver</v>
          </cell>
          <cell r="C3733" t="str">
            <v>TxHmL</v>
          </cell>
          <cell r="D3733" t="str">
            <v>Support Consultation</v>
          </cell>
          <cell r="E3733" t="str">
            <v>Support Consultation (CDS) LOC 1</v>
          </cell>
          <cell r="F3733" t="str">
            <v>1557VM0314</v>
          </cell>
        </row>
        <row r="3734">
          <cell r="A3734" t="str">
            <v>1915(c) waiver</v>
          </cell>
          <cell r="C3734" t="str">
            <v>TxHmL</v>
          </cell>
          <cell r="D3734" t="str">
            <v>Support Consultation</v>
          </cell>
          <cell r="E3734" t="str">
            <v xml:space="preserve">SUPPORT CONSULTATION LOC 1 (CDS) </v>
          </cell>
          <cell r="F3734" t="str">
            <v>2257VM0314</v>
          </cell>
        </row>
        <row r="3735">
          <cell r="A3735" t="str">
            <v>1915(c) waiver</v>
          </cell>
          <cell r="C3735" t="str">
            <v>TxHmL</v>
          </cell>
          <cell r="D3735" t="str">
            <v>Taxes/Benefits</v>
          </cell>
          <cell r="E3735" t="str">
            <v>(CDS) ES/BENEFITS Individualized Skills and Socialization</v>
          </cell>
          <cell r="F3735" t="str">
            <v>2223VM1014</v>
          </cell>
        </row>
        <row r="3736">
          <cell r="A3736" t="str">
            <v>1915(c) waiver</v>
          </cell>
          <cell r="C3736" t="str">
            <v>TxHmL</v>
          </cell>
          <cell r="D3736" t="str">
            <v>Taxes/Benefits</v>
          </cell>
          <cell r="E3736" t="str">
            <v>(CDS) TAXES Individualized Skills and Socialization</v>
          </cell>
          <cell r="F3736" t="str">
            <v>2223VM1013</v>
          </cell>
        </row>
        <row r="3737">
          <cell r="A3737" t="str">
            <v>1915(c) waiver</v>
          </cell>
          <cell r="C3737" t="str">
            <v>TxHmL</v>
          </cell>
          <cell r="D3737" t="str">
            <v>Taxes/Benefits</v>
          </cell>
          <cell r="E3737" t="str">
            <v>ADAPTIVE AIDS (CDS) ES/BENEFITS</v>
          </cell>
          <cell r="F3737" t="str">
            <v>2215VM0524</v>
          </cell>
        </row>
        <row r="3738">
          <cell r="A3738" t="str">
            <v>1915(c) waiver</v>
          </cell>
          <cell r="C3738" t="str">
            <v>TxHmL</v>
          </cell>
          <cell r="D3738" t="str">
            <v>Taxes/Benefits</v>
          </cell>
          <cell r="E3738" t="str">
            <v>ADAPTIVE AIDS (CDS) TAXES</v>
          </cell>
          <cell r="F3738" t="str">
            <v>2215VM0525</v>
          </cell>
        </row>
        <row r="3739">
          <cell r="A3739" t="str">
            <v>1915(c) waiver</v>
          </cell>
          <cell r="C3739" t="str">
            <v>TxHmL</v>
          </cell>
          <cell r="D3739" t="str">
            <v>Taxes/Benefits</v>
          </cell>
          <cell r="E3739" t="str">
            <v>AUDIOLOGY (CDS) ES/BENEFITS</v>
          </cell>
          <cell r="F3739" t="str">
            <v>2235VM0530</v>
          </cell>
        </row>
        <row r="3740">
          <cell r="A3740" t="str">
            <v>1915(c) waiver</v>
          </cell>
          <cell r="C3740" t="str">
            <v>TxHmL</v>
          </cell>
          <cell r="D3740" t="str">
            <v>Taxes/Benefits</v>
          </cell>
          <cell r="E3740" t="str">
            <v>AUDIOLOGY (CDS) TAXES</v>
          </cell>
          <cell r="F3740" t="str">
            <v>2235VM0531</v>
          </cell>
        </row>
        <row r="3741">
          <cell r="A3741" t="str">
            <v>1915(c) waiver</v>
          </cell>
          <cell r="C3741" t="str">
            <v>TxHmL</v>
          </cell>
          <cell r="D3741" t="str">
            <v>Taxes/Benefits</v>
          </cell>
          <cell r="E3741" t="str">
            <v>BEHAVIORAL SUPPORT (CDS) ES/BENEFITS</v>
          </cell>
          <cell r="F3741" t="str">
            <v>2243AVM0536</v>
          </cell>
        </row>
        <row r="3742">
          <cell r="A3742" t="str">
            <v>1915(c) waiver</v>
          </cell>
          <cell r="C3742" t="str">
            <v>TxHmL</v>
          </cell>
          <cell r="D3742" t="str">
            <v>Taxes/Benefits</v>
          </cell>
          <cell r="E3742" t="str">
            <v>BEHAVIORAL SUPPORT (CDS) TAXES</v>
          </cell>
          <cell r="F3742" t="str">
            <v>2243AVM0537</v>
          </cell>
        </row>
        <row r="3743">
          <cell r="A3743" t="str">
            <v>State Plan (Title XIX)</v>
          </cell>
          <cell r="C3743" t="str">
            <v>TxHmL</v>
          </cell>
          <cell r="D3743" t="str">
            <v>Taxes/Benefits</v>
          </cell>
          <cell r="E3743" t="str">
            <v>CFC PAS/HAB (CDS) ES/BENEFITS</v>
          </cell>
          <cell r="F3743" t="str">
            <v>2210CFVM0494</v>
          </cell>
          <cell r="P3743" t="str">
            <v>CFC</v>
          </cell>
        </row>
        <row r="3744">
          <cell r="A3744" t="str">
            <v>State Plan (Title XIX)</v>
          </cell>
          <cell r="C3744" t="str">
            <v>TxHmL</v>
          </cell>
          <cell r="D3744" t="str">
            <v>Taxes/Benefits</v>
          </cell>
          <cell r="E3744" t="str">
            <v>CFC PAS/HAB (CDS) TAXES</v>
          </cell>
          <cell r="F3744" t="str">
            <v>2210CFVM0495</v>
          </cell>
          <cell r="P3744" t="str">
            <v>CFC</v>
          </cell>
        </row>
        <row r="3745">
          <cell r="A3745" t="str">
            <v>State Plan (Title XIX)</v>
          </cell>
          <cell r="C3745" t="str">
            <v>TxHmL</v>
          </cell>
          <cell r="D3745" t="str">
            <v>Taxes/Benefits</v>
          </cell>
          <cell r="E3745" t="str">
            <v>CFC SUPPORT CONSULTATION (CDS) ES/BENEFITS</v>
          </cell>
          <cell r="F3745" t="str">
            <v>2257CFVM0550</v>
          </cell>
          <cell r="P3745" t="str">
            <v>CFC</v>
          </cell>
        </row>
        <row r="3746">
          <cell r="A3746" t="str">
            <v>State Plan (Title XIX)</v>
          </cell>
          <cell r="C3746" t="str">
            <v>TxHmL</v>
          </cell>
          <cell r="D3746" t="str">
            <v>Taxes/Benefits</v>
          </cell>
          <cell r="E3746" t="str">
            <v>CFC SUPPORT CONSULTATION (CDS) TAXES</v>
          </cell>
          <cell r="F3746" t="str">
            <v>2257CFVM0551</v>
          </cell>
          <cell r="P3746" t="str">
            <v>CFC</v>
          </cell>
        </row>
        <row r="3747">
          <cell r="A3747" t="str">
            <v>1915(c) waiver</v>
          </cell>
          <cell r="C3747" t="str">
            <v>TxHmL</v>
          </cell>
          <cell r="D3747" t="str">
            <v>Taxes/Benefits</v>
          </cell>
          <cell r="E3747" t="str">
            <v xml:space="preserve">DAY HABILITATION (CDS) ES/BENEFITS </v>
          </cell>
          <cell r="F3747" t="str">
            <v>2210CVM0498</v>
          </cell>
        </row>
        <row r="3748">
          <cell r="A3748" t="str">
            <v>1915(c) waiver</v>
          </cell>
          <cell r="C3748" t="str">
            <v>TxHmL</v>
          </cell>
          <cell r="D3748" t="str">
            <v>Taxes/Benefits</v>
          </cell>
          <cell r="E3748" t="str">
            <v xml:space="preserve">DAY HABILITATION (CDS) TAXES </v>
          </cell>
          <cell r="F3748" t="str">
            <v>2210CVM0499</v>
          </cell>
        </row>
        <row r="3749">
          <cell r="A3749" t="str">
            <v>1915(c) waiver</v>
          </cell>
          <cell r="C3749" t="str">
            <v>TxHmL</v>
          </cell>
          <cell r="D3749" t="str">
            <v>Taxes/Benefits</v>
          </cell>
          <cell r="E3749" t="str">
            <v>DIETARY (CDS) ES/BENEFITS</v>
          </cell>
          <cell r="F3749" t="str">
            <v>2234VM0528</v>
          </cell>
        </row>
        <row r="3750">
          <cell r="A3750" t="str">
            <v>1915(c) waiver</v>
          </cell>
          <cell r="C3750" t="str">
            <v>TxHmL</v>
          </cell>
          <cell r="D3750" t="str">
            <v>Taxes/Benefits</v>
          </cell>
          <cell r="E3750" t="str">
            <v>DIETARY (CDS) TAXES</v>
          </cell>
          <cell r="F3750" t="str">
            <v>2234VM0529</v>
          </cell>
        </row>
        <row r="3751">
          <cell r="A3751" t="str">
            <v>1915(c) waiver</v>
          </cell>
          <cell r="C3751" t="str">
            <v>TxHmL</v>
          </cell>
          <cell r="D3751" t="str">
            <v>Taxes/Benefits</v>
          </cell>
          <cell r="E3751" t="str">
            <v>EMPLOYMENT ASSISTANCE (CDS) ES/BENEFITS</v>
          </cell>
          <cell r="F3751" t="str">
            <v>2254VM0546</v>
          </cell>
        </row>
        <row r="3752">
          <cell r="A3752" t="str">
            <v>1915(c) waiver</v>
          </cell>
          <cell r="C3752" t="str">
            <v>TxHmL</v>
          </cell>
          <cell r="D3752" t="str">
            <v>Taxes/Benefits</v>
          </cell>
          <cell r="E3752" t="str">
            <v>EMPLOYMENT ASSISTANCE (CDS) TAXES</v>
          </cell>
          <cell r="F3752" t="str">
            <v>2254VM0547</v>
          </cell>
        </row>
        <row r="3753">
          <cell r="A3753" t="str">
            <v>1915(c) waiver</v>
          </cell>
          <cell r="C3753" t="str">
            <v>TxHmL</v>
          </cell>
          <cell r="D3753" t="str">
            <v>Taxes/Benefits</v>
          </cell>
          <cell r="E3753" t="str">
            <v>HOURLY RESPITE (CDS) ES/BENEFITS</v>
          </cell>
          <cell r="F3753" t="str">
            <v>2211XVM0506</v>
          </cell>
        </row>
        <row r="3754">
          <cell r="A3754" t="str">
            <v>1915(c) waiver</v>
          </cell>
          <cell r="C3754" t="str">
            <v>TxHmL</v>
          </cell>
          <cell r="D3754" t="str">
            <v>Taxes/Benefits</v>
          </cell>
          <cell r="E3754" t="str">
            <v xml:space="preserve">HOURLY RESPITE (CDS) TAXES </v>
          </cell>
          <cell r="F3754" t="str">
            <v>2211XVM0507</v>
          </cell>
        </row>
        <row r="3755">
          <cell r="A3755" t="str">
            <v>1915(c) waiver</v>
          </cell>
          <cell r="C3755" t="str">
            <v>TxHmL</v>
          </cell>
          <cell r="D3755" t="str">
            <v>Taxes/Benefits</v>
          </cell>
          <cell r="E3755" t="str">
            <v>MINOR HOME MODIFICATIONS (CDS) ES/BENEFITS</v>
          </cell>
          <cell r="F3755" t="str">
            <v>2216VM0526</v>
          </cell>
        </row>
        <row r="3756">
          <cell r="A3756" t="str">
            <v>1915(c) waiver</v>
          </cell>
          <cell r="C3756" t="str">
            <v>TxHmL</v>
          </cell>
          <cell r="D3756" t="str">
            <v>Taxes/Benefits</v>
          </cell>
          <cell r="E3756" t="str">
            <v>MINOR HOME MODIFICATIONS (CDS) TAXES</v>
          </cell>
          <cell r="F3756" t="str">
            <v>2216VM0527</v>
          </cell>
        </row>
        <row r="3757">
          <cell r="A3757" t="str">
            <v>1915(c) waiver</v>
          </cell>
          <cell r="C3757" t="str">
            <v>TxHmL</v>
          </cell>
          <cell r="D3757" t="str">
            <v>Taxes/Benefits</v>
          </cell>
          <cell r="E3757" t="str">
            <v>NURSING SERVICES LVN (CDS) ES/BENEFITS</v>
          </cell>
          <cell r="F3757" t="str">
            <v>2213AVM0511</v>
          </cell>
        </row>
        <row r="3758">
          <cell r="A3758" t="str">
            <v>1915(c) waiver</v>
          </cell>
          <cell r="C3758" t="str">
            <v>TxHmL</v>
          </cell>
          <cell r="D3758" t="str">
            <v>Taxes/Benefits</v>
          </cell>
          <cell r="E3758" t="str">
            <v>NURSING SERVICES LVN (CDS) TAXES</v>
          </cell>
          <cell r="F3758" t="str">
            <v>2213AVM0510</v>
          </cell>
        </row>
        <row r="3759">
          <cell r="A3759" t="str">
            <v>1915(c) waiver</v>
          </cell>
          <cell r="C3759" t="str">
            <v>TxHmL</v>
          </cell>
          <cell r="D3759" t="str">
            <v>Taxes/Benefits</v>
          </cell>
          <cell r="E3759" t="str">
            <v>NURSING SERVICES RN (CDS) ES/BENEFITS</v>
          </cell>
          <cell r="F3759" t="str">
            <v>2213BVM0514</v>
          </cell>
        </row>
        <row r="3760">
          <cell r="A3760" t="str">
            <v>1915(c) waiver</v>
          </cell>
          <cell r="C3760" t="str">
            <v>TxHmL</v>
          </cell>
          <cell r="D3760" t="str">
            <v>Taxes/Benefits</v>
          </cell>
          <cell r="E3760" t="str">
            <v>NURSING SERVICES RN (CDS) TAXES</v>
          </cell>
          <cell r="F3760" t="str">
            <v>2213BVM0515</v>
          </cell>
        </row>
        <row r="3761">
          <cell r="A3761" t="str">
            <v>1915(c) waiver</v>
          </cell>
          <cell r="C3761" t="str">
            <v>TxHmL</v>
          </cell>
          <cell r="D3761" t="str">
            <v>Taxes/Benefits</v>
          </cell>
          <cell r="E3761" t="str">
            <v>NURSING SERVICES SPECIALIZED LVN (CDS) ES/BENEFITS</v>
          </cell>
          <cell r="F3761" t="str">
            <v>2213DVM0522</v>
          </cell>
        </row>
        <row r="3762">
          <cell r="A3762" t="str">
            <v>1915(c) waiver</v>
          </cell>
          <cell r="C3762" t="str">
            <v>TxHmL</v>
          </cell>
          <cell r="D3762" t="str">
            <v>Taxes/Benefits</v>
          </cell>
          <cell r="E3762" t="str">
            <v>NURSING SERVICES SPECIALIZED LVN (CDS) TAXES</v>
          </cell>
          <cell r="F3762" t="str">
            <v>2213DVM0523</v>
          </cell>
        </row>
        <row r="3763">
          <cell r="A3763" t="str">
            <v>1915(c) waiver</v>
          </cell>
          <cell r="C3763" t="str">
            <v>TxHmL</v>
          </cell>
          <cell r="D3763" t="str">
            <v>Taxes/Benefits</v>
          </cell>
          <cell r="E3763" t="str">
            <v>NURSING SERVICES SPECIALIZED RN (CDS) ES/BENEFITS</v>
          </cell>
          <cell r="F3763" t="str">
            <v>2213CVM0518</v>
          </cell>
        </row>
        <row r="3764">
          <cell r="A3764" t="str">
            <v>1915(c) waiver</v>
          </cell>
          <cell r="C3764" t="str">
            <v>TxHmL</v>
          </cell>
          <cell r="D3764" t="str">
            <v>Taxes/Benefits</v>
          </cell>
          <cell r="E3764" t="str">
            <v>NURSING SERVICES SPECIALIZED RN (CDS) TAXES</v>
          </cell>
          <cell r="F3764" t="str">
            <v>2213CVM0519</v>
          </cell>
        </row>
        <row r="3765">
          <cell r="A3765" t="str">
            <v>1915(c) waiver</v>
          </cell>
          <cell r="C3765" t="str">
            <v>TxHmL</v>
          </cell>
          <cell r="D3765" t="str">
            <v>Taxes/Benefits</v>
          </cell>
          <cell r="E3765" t="str">
            <v>OCCUPATIONAL THERAPY (CDS) ES/BENEFITS</v>
          </cell>
          <cell r="F3765" t="str">
            <v>227VM0558</v>
          </cell>
        </row>
        <row r="3766">
          <cell r="A3766" t="str">
            <v>1915(c) waiver</v>
          </cell>
          <cell r="C3766" t="str">
            <v>TxHmL</v>
          </cell>
          <cell r="D3766" t="str">
            <v>Taxes/Benefits</v>
          </cell>
          <cell r="E3766" t="str">
            <v>OCCUPATIONAL THERAPY (CDS) TAXES</v>
          </cell>
          <cell r="F3766" t="str">
            <v>227VM0559</v>
          </cell>
        </row>
        <row r="3767">
          <cell r="A3767" t="str">
            <v>1915(c) waiver</v>
          </cell>
          <cell r="C3767" t="str">
            <v>TxHmL</v>
          </cell>
          <cell r="D3767" t="str">
            <v>Taxes/Benefits</v>
          </cell>
          <cell r="E3767" t="str">
            <v>PHYSICAL THERAPY (CDS) ES/BENEFITS</v>
          </cell>
          <cell r="F3767" t="str">
            <v>228VM0560</v>
          </cell>
        </row>
        <row r="3768">
          <cell r="A3768" t="str">
            <v>1915(c) waiver</v>
          </cell>
          <cell r="C3768" t="str">
            <v>TxHmL</v>
          </cell>
          <cell r="D3768" t="str">
            <v>Taxes/Benefits</v>
          </cell>
          <cell r="E3768" t="str">
            <v>PHYSICAL THERAPY (CDS) TAXES</v>
          </cell>
          <cell r="F3768" t="str">
            <v>228VM0561</v>
          </cell>
        </row>
        <row r="3769">
          <cell r="A3769" t="str">
            <v>1915(c) waiver</v>
          </cell>
          <cell r="C3769" t="str">
            <v>TxHmL</v>
          </cell>
          <cell r="D3769" t="str">
            <v>Taxes/Benefits</v>
          </cell>
          <cell r="E3769" t="str">
            <v>SPEECH/LANGUAGE/PATHOLOGY THERAPY (CDS) ES/BENEFITS</v>
          </cell>
          <cell r="F3769" t="str">
            <v>229VM0562</v>
          </cell>
        </row>
        <row r="3770">
          <cell r="A3770" t="str">
            <v>1915(c) waiver</v>
          </cell>
          <cell r="C3770" t="str">
            <v>TxHmL</v>
          </cell>
          <cell r="D3770" t="str">
            <v>Taxes/Benefits</v>
          </cell>
          <cell r="E3770" t="str">
            <v>SPEECH/LANGUAGE/PATHOLOGY THERAPY (CDS) TAXES</v>
          </cell>
          <cell r="F3770" t="str">
            <v>229VM0563</v>
          </cell>
        </row>
        <row r="3771">
          <cell r="A3771" t="str">
            <v>1915(c) waiver</v>
          </cell>
          <cell r="C3771" t="str">
            <v>TxHmL</v>
          </cell>
          <cell r="D3771" t="str">
            <v>Taxes/Benefits</v>
          </cell>
          <cell r="E3771" t="str">
            <v>SUPPORT CONSULTATION (CDS) ES/BENEFITS</v>
          </cell>
          <cell r="F3771" t="str">
            <v>2257VM0554</v>
          </cell>
        </row>
        <row r="3772">
          <cell r="A3772" t="str">
            <v>1915(c) waiver</v>
          </cell>
          <cell r="C3772" t="str">
            <v>TxHmL</v>
          </cell>
          <cell r="D3772" t="str">
            <v>Taxes/Benefits</v>
          </cell>
          <cell r="E3772" t="str">
            <v>SUPPORT CONSULTATION (CDS) TAXES</v>
          </cell>
          <cell r="F3772" t="str">
            <v>2257VM0555</v>
          </cell>
        </row>
        <row r="3773">
          <cell r="A3773" t="str">
            <v>1915(c) waiver</v>
          </cell>
          <cell r="C3773" t="str">
            <v>TxHmL</v>
          </cell>
          <cell r="D3773" t="str">
            <v>Taxes/Benefits</v>
          </cell>
          <cell r="E3773" t="str">
            <v>SUPPORTED EMPLOYMENT (CDS) ES/BENEFITS</v>
          </cell>
          <cell r="F3773" t="str">
            <v>2237VM0534</v>
          </cell>
        </row>
        <row r="3774">
          <cell r="A3774" t="str">
            <v>1915(c) waiver</v>
          </cell>
          <cell r="C3774" t="str">
            <v>TxHmL</v>
          </cell>
          <cell r="D3774" t="str">
            <v>Taxes/Benefits</v>
          </cell>
          <cell r="E3774" t="str">
            <v>SUPPORTED EMPLOYMENT (CDS) TAXES</v>
          </cell>
          <cell r="F3774" t="str">
            <v>2237VM0535</v>
          </cell>
        </row>
        <row r="3775">
          <cell r="A3775" t="str">
            <v>1915(c) waiver</v>
          </cell>
          <cell r="C3775" t="str">
            <v>TxHmL</v>
          </cell>
          <cell r="D3775" t="str">
            <v>Taxes/Benefits</v>
          </cell>
          <cell r="E3775" t="str">
            <v>TRANSPORTATION (CDS) COMM SUPPORT ES/BENEFITS</v>
          </cell>
          <cell r="F3775" t="str">
            <v>2248VM0540</v>
          </cell>
        </row>
        <row r="3776">
          <cell r="A3776" t="str">
            <v>1915(c) waiver</v>
          </cell>
          <cell r="C3776" t="str">
            <v>TxHmL</v>
          </cell>
          <cell r="D3776" t="str">
            <v>Taxes/Benefits</v>
          </cell>
          <cell r="E3776" t="str">
            <v>TRANSPORTATION (CDS) COMMUNITY SUPPORT TAXES</v>
          </cell>
          <cell r="F3776" t="str">
            <v>2248VM0541</v>
          </cell>
        </row>
        <row r="3777">
          <cell r="A3777" t="str">
            <v>1915(c) waiver</v>
          </cell>
          <cell r="C3777" t="str">
            <v>YES</v>
          </cell>
          <cell r="D3777" t="str">
            <v xml:space="preserve">Adaptive Aids/DME </v>
          </cell>
          <cell r="E3777" t="str">
            <v>Adaptive Aids and Supports Requisition Fee-1</v>
          </cell>
          <cell r="F3777" t="str">
            <v>T2028TV</v>
          </cell>
        </row>
        <row r="3778">
          <cell r="A3778" t="str">
            <v>1915(c) waiver</v>
          </cell>
          <cell r="C3778" t="str">
            <v>YES</v>
          </cell>
          <cell r="D3778" t="str">
            <v xml:space="preserve">Adaptive Aids/DME </v>
          </cell>
          <cell r="E3778" t="str">
            <v>Adaptive Aids and Supports Requisition Fee-2</v>
          </cell>
          <cell r="F3778" t="str">
            <v>T2028HK</v>
          </cell>
        </row>
        <row r="3779">
          <cell r="A3779" t="str">
            <v>1915(c) waiver</v>
          </cell>
          <cell r="C3779" t="str">
            <v>YES</v>
          </cell>
          <cell r="D3779" t="str">
            <v xml:space="preserve">Adaptive Aids/DME </v>
          </cell>
          <cell r="E3779" t="str">
            <v>Adaptive Aids and Supports Requisition Fee-3</v>
          </cell>
          <cell r="F3779" t="str">
            <v>T2028TW</v>
          </cell>
        </row>
        <row r="3780">
          <cell r="A3780" t="str">
            <v>1915(c) waiver</v>
          </cell>
          <cell r="C3780" t="str">
            <v>YES</v>
          </cell>
          <cell r="D3780" t="str">
            <v xml:space="preserve">Adaptive Aids/DME </v>
          </cell>
          <cell r="E3780" t="str">
            <v>Adaptive Aids and Supports Requisition Fee-4</v>
          </cell>
          <cell r="F3780" t="str">
            <v>T2028TU</v>
          </cell>
        </row>
        <row r="3781">
          <cell r="A3781" t="str">
            <v>1915(c) waiver</v>
          </cell>
          <cell r="C3781" t="str">
            <v>YES</v>
          </cell>
          <cell r="D3781" t="str">
            <v xml:space="preserve">Adaptive Aids/DME </v>
          </cell>
          <cell r="E3781" t="str">
            <v>Adaptive Aids and Supports Requisition Fee-5</v>
          </cell>
          <cell r="F3781" t="str">
            <v>T2028SC</v>
          </cell>
        </row>
        <row r="3782">
          <cell r="A3782" t="str">
            <v>1915(c) waiver</v>
          </cell>
          <cell r="C3782" t="str">
            <v>YES</v>
          </cell>
          <cell r="D3782" t="str">
            <v xml:space="preserve">Adaptive Aids/DME </v>
          </cell>
          <cell r="E3782" t="str">
            <v>Adaptive Aids and Supports Requisition Fee-6</v>
          </cell>
          <cell r="F3782" t="str">
            <v>T2029TV</v>
          </cell>
        </row>
        <row r="3783">
          <cell r="A3783" t="str">
            <v>1915(c) waiver</v>
          </cell>
          <cell r="C3783" t="str">
            <v>YES</v>
          </cell>
          <cell r="D3783" t="str">
            <v xml:space="preserve">Adaptive Aids/DME </v>
          </cell>
          <cell r="E3783" t="str">
            <v>Adaptive Aids and Supports-1</v>
          </cell>
          <cell r="F3783" t="str">
            <v>T2028HA</v>
          </cell>
        </row>
        <row r="3784">
          <cell r="A3784" t="str">
            <v>1915(c) waiver</v>
          </cell>
          <cell r="C3784" t="str">
            <v>YES</v>
          </cell>
          <cell r="D3784" t="str">
            <v xml:space="preserve">Adaptive Aids/DME </v>
          </cell>
          <cell r="E3784" t="str">
            <v>Adaptive Aids and Supports-2</v>
          </cell>
          <cell r="F3784" t="str">
            <v>T2028HE</v>
          </cell>
        </row>
        <row r="3785">
          <cell r="A3785" t="str">
            <v>1915(c) waiver</v>
          </cell>
          <cell r="C3785" t="str">
            <v>YES</v>
          </cell>
          <cell r="D3785" t="str">
            <v xml:space="preserve">Adaptive Aids/DME </v>
          </cell>
          <cell r="E3785" t="str">
            <v>Adaptive Aids and Supports-3</v>
          </cell>
          <cell r="F3785" t="str">
            <v>T2028P3</v>
          </cell>
          <cell r="P3785"/>
        </row>
        <row r="3786">
          <cell r="A3786" t="str">
            <v>1915(c) waiver</v>
          </cell>
          <cell r="C3786" t="str">
            <v>YES</v>
          </cell>
          <cell r="D3786" t="str">
            <v xml:space="preserve">Adaptive Aids/DME </v>
          </cell>
          <cell r="E3786" t="str">
            <v>Adaptive Aids and Supports-4</v>
          </cell>
          <cell r="F3786" t="str">
            <v>T2028TG</v>
          </cell>
          <cell r="P3786"/>
        </row>
        <row r="3787">
          <cell r="A3787" t="str">
            <v>1915(c) waiver</v>
          </cell>
          <cell r="C3787" t="str">
            <v>YES</v>
          </cell>
          <cell r="D3787" t="str">
            <v xml:space="preserve">Adaptive Aids/DME </v>
          </cell>
          <cell r="E3787" t="str">
            <v>Adaptive Aids and Supports-5</v>
          </cell>
          <cell r="F3787" t="str">
            <v>T2028TF</v>
          </cell>
          <cell r="P3787"/>
        </row>
        <row r="3788">
          <cell r="A3788" t="str">
            <v>1915(c) waiver</v>
          </cell>
          <cell r="C3788" t="str">
            <v>YES</v>
          </cell>
          <cell r="D3788" t="str">
            <v xml:space="preserve">Adaptive Aids/DME </v>
          </cell>
          <cell r="E3788" t="str">
            <v>Adaptive Aids and Supports-6</v>
          </cell>
          <cell r="F3788" t="str">
            <v>T2029HA</v>
          </cell>
        </row>
        <row r="3789">
          <cell r="A3789" t="str">
            <v>1915(c) waiver</v>
          </cell>
          <cell r="C3789" t="str">
            <v>YES</v>
          </cell>
          <cell r="D3789" t="str">
            <v>Home Modifications</v>
          </cell>
          <cell r="E3789" t="str">
            <v>Community Living Supports Bachelor's Level Clinician</v>
          </cell>
          <cell r="F3789" t="str">
            <v>H2015HN</v>
          </cell>
        </row>
        <row r="3790">
          <cell r="A3790" t="str">
            <v>1915(c) waiver</v>
          </cell>
          <cell r="C3790" t="str">
            <v>YES</v>
          </cell>
          <cell r="D3790" t="str">
            <v>Home Modifications</v>
          </cell>
          <cell r="E3790" t="str">
            <v>Community Living Supports Bachelor's Level Clinician Group</v>
          </cell>
          <cell r="F3790" t="str">
            <v>H2015HQHN</v>
          </cell>
        </row>
        <row r="3791">
          <cell r="A3791" t="str">
            <v>1915(c) waiver</v>
          </cell>
          <cell r="C3791" t="str">
            <v>YES</v>
          </cell>
          <cell r="D3791" t="str">
            <v>Home Modifications</v>
          </cell>
          <cell r="E3791" t="str">
            <v>Community Living Supports Master's Level Clinician</v>
          </cell>
          <cell r="F3791" t="str">
            <v>H2015HO</v>
          </cell>
        </row>
        <row r="3792">
          <cell r="A3792" t="str">
            <v>1915(c) waiver</v>
          </cell>
          <cell r="C3792" t="str">
            <v>YES</v>
          </cell>
          <cell r="D3792" t="str">
            <v>Home Modifications</v>
          </cell>
          <cell r="E3792" t="str">
            <v>Community Living Supports Master's Level Clinician Group</v>
          </cell>
          <cell r="F3792" t="str">
            <v>H2015HQHO</v>
          </cell>
        </row>
        <row r="3793">
          <cell r="A3793" t="str">
            <v>1915(c) waiver</v>
          </cell>
          <cell r="C3793" t="str">
            <v>YES</v>
          </cell>
          <cell r="D3793" t="str">
            <v>Home Modifications</v>
          </cell>
          <cell r="E3793" t="str">
            <v>Family Support Service Individual</v>
          </cell>
          <cell r="F3793" t="str">
            <v>H0038HA</v>
          </cell>
        </row>
        <row r="3794">
          <cell r="A3794" t="str">
            <v>1915(c) waiver</v>
          </cell>
          <cell r="C3794" t="str">
            <v>YES</v>
          </cell>
          <cell r="D3794" t="str">
            <v>Home Modifications</v>
          </cell>
          <cell r="E3794" t="str">
            <v>Family Supports Services Group</v>
          </cell>
          <cell r="F3794" t="str">
            <v>H0038HQ</v>
          </cell>
        </row>
        <row r="3795">
          <cell r="A3795" t="str">
            <v>1915(c) waiver</v>
          </cell>
          <cell r="C3795" t="str">
            <v>YES</v>
          </cell>
          <cell r="D3795" t="str">
            <v>Home Modifications</v>
          </cell>
          <cell r="E3795" t="str">
            <v>Licensed Nutritional Counseling Individual</v>
          </cell>
          <cell r="F3795" t="str">
            <v>H2032TF</v>
          </cell>
        </row>
        <row r="3796">
          <cell r="A3796" t="str">
            <v>1915(c) waiver</v>
          </cell>
          <cell r="C3796" t="str">
            <v>YES</v>
          </cell>
          <cell r="D3796" t="str">
            <v>Home Modifications</v>
          </cell>
          <cell r="E3796" t="str">
            <v>Minor Home Modification 2</v>
          </cell>
          <cell r="F3796" t="str">
            <v>S5165HE</v>
          </cell>
        </row>
        <row r="3797">
          <cell r="A3797" t="str">
            <v>1915(c) waiver</v>
          </cell>
          <cell r="C3797" t="str">
            <v>YES</v>
          </cell>
          <cell r="D3797" t="str">
            <v>Home Modifications</v>
          </cell>
          <cell r="E3797" t="str">
            <v>Minor Home Modification 3</v>
          </cell>
          <cell r="F3797" t="str">
            <v>S5165P3</v>
          </cell>
        </row>
        <row r="3798">
          <cell r="A3798" t="str">
            <v>1915(c) waiver</v>
          </cell>
          <cell r="C3798" t="str">
            <v>YES</v>
          </cell>
          <cell r="D3798" t="str">
            <v>Home Modifications</v>
          </cell>
          <cell r="E3798" t="str">
            <v>Minor Home Modification Requisition Fee 1</v>
          </cell>
          <cell r="F3798" t="str">
            <v>S5165TV</v>
          </cell>
        </row>
        <row r="3799">
          <cell r="A3799" t="str">
            <v>1915(c) waiver</v>
          </cell>
          <cell r="C3799" t="str">
            <v>YES</v>
          </cell>
          <cell r="D3799" t="str">
            <v>Home Modifications</v>
          </cell>
          <cell r="E3799" t="str">
            <v>Minor Home Modification Requisition Fee 4</v>
          </cell>
          <cell r="F3799" t="str">
            <v>S5165TU</v>
          </cell>
        </row>
        <row r="3800">
          <cell r="A3800" t="str">
            <v>1915(c) waiver</v>
          </cell>
          <cell r="C3800" t="str">
            <v>YES</v>
          </cell>
          <cell r="D3800" t="str">
            <v>Home Modifications</v>
          </cell>
          <cell r="E3800" t="str">
            <v>Minor Home Modification Requisition Fee 5</v>
          </cell>
          <cell r="F3800" t="str">
            <v>S5165SC</v>
          </cell>
        </row>
        <row r="3801">
          <cell r="A3801" t="str">
            <v>1915(c) waiver</v>
          </cell>
          <cell r="C3801" t="str">
            <v>YES</v>
          </cell>
          <cell r="D3801" t="str">
            <v>Home Modifications</v>
          </cell>
          <cell r="E3801" t="str">
            <v>Minor Home Modification-4</v>
          </cell>
          <cell r="F3801" t="str">
            <v>S5165TG</v>
          </cell>
        </row>
        <row r="3802">
          <cell r="A3802" t="str">
            <v>1915(c) waiver</v>
          </cell>
          <cell r="C3802" t="str">
            <v>YES</v>
          </cell>
          <cell r="D3802" t="str">
            <v>In Home Respite</v>
          </cell>
          <cell r="E3802" t="str">
            <v>Respite In Home</v>
          </cell>
          <cell r="F3802" t="str">
            <v>T2027U9</v>
          </cell>
        </row>
        <row r="3803">
          <cell r="A3803" t="str">
            <v>1915(c) waiver</v>
          </cell>
          <cell r="C3803" t="str">
            <v>YES</v>
          </cell>
          <cell r="D3803" t="str">
            <v>Out of Home Respite</v>
          </cell>
          <cell r="E3803" t="str">
            <v>Respite Camp</v>
          </cell>
          <cell r="F3803" t="str">
            <v>T2027HA</v>
          </cell>
        </row>
        <row r="3804">
          <cell r="A3804" t="str">
            <v>1915(c) waiver</v>
          </cell>
          <cell r="C3804" t="str">
            <v>YES</v>
          </cell>
          <cell r="D3804" t="str">
            <v>Out of Home Respite</v>
          </cell>
          <cell r="E3804" t="str">
            <v>Respite DFPS Residential Child Care Child Placing Agency</v>
          </cell>
          <cell r="F3804" t="str">
            <v>T2025HT</v>
          </cell>
        </row>
        <row r="3805">
          <cell r="A3805" t="str">
            <v>1915(c) waiver</v>
          </cell>
          <cell r="C3805" t="str">
            <v>YES</v>
          </cell>
          <cell r="D3805" t="str">
            <v>Out of Home Respite</v>
          </cell>
          <cell r="E3805" t="str">
            <v xml:space="preserve">Respite DFPS Residential Child Care General Residential Operations (GRO) </v>
          </cell>
          <cell r="F3805" t="str">
            <v>T2025ET</v>
          </cell>
        </row>
        <row r="3806">
          <cell r="A3806" t="str">
            <v>1915(c) waiver</v>
          </cell>
          <cell r="C3806" t="str">
            <v>YES</v>
          </cell>
          <cell r="D3806" t="str">
            <v>Out of Home Respite</v>
          </cell>
          <cell r="E3806" t="str">
            <v>Respite DFPS Residential Child Care Mandated Family Rate</v>
          </cell>
          <cell r="F3806" t="str">
            <v>T2025HR</v>
          </cell>
        </row>
        <row r="3807">
          <cell r="A3807" t="str">
            <v>1915(c) waiver</v>
          </cell>
          <cell r="C3807" t="str">
            <v>YES</v>
          </cell>
          <cell r="D3807" t="str">
            <v>Out of Home Respite</v>
          </cell>
          <cell r="E3807" t="str">
            <v xml:space="preserve">Respite LCCC School Age (ages 6 and older) </v>
          </cell>
          <cell r="F3807" t="str">
            <v>T1005U1UC</v>
          </cell>
        </row>
        <row r="3808">
          <cell r="A3808" t="str">
            <v>1915(c) waiver</v>
          </cell>
          <cell r="C3808" t="str">
            <v>YES</v>
          </cell>
          <cell r="D3808" t="str">
            <v>Pre-Engagement Fee</v>
          </cell>
          <cell r="E3808" t="str">
            <v>Minor Home Modification-5</v>
          </cell>
          <cell r="F3808" t="str">
            <v>S5165TF</v>
          </cell>
        </row>
        <row r="3809">
          <cell r="A3809" t="str">
            <v>1915(c) waiver</v>
          </cell>
          <cell r="C3809" t="str">
            <v>YES</v>
          </cell>
          <cell r="D3809" t="str">
            <v>Professional Services</v>
          </cell>
          <cell r="E3809" t="str">
            <v>Paraprofessional Services -Group</v>
          </cell>
          <cell r="F3809" t="str">
            <v>H2021HQ</v>
          </cell>
        </row>
        <row r="3810">
          <cell r="A3810" t="str">
            <v>1915(c) waiver</v>
          </cell>
          <cell r="C3810" t="str">
            <v>YES</v>
          </cell>
          <cell r="D3810" t="str">
            <v>Professional Services</v>
          </cell>
          <cell r="E3810" t="str">
            <v>Paraprofessional Services Individual</v>
          </cell>
          <cell r="F3810" t="str">
            <v>H2021HA</v>
          </cell>
        </row>
        <row r="3811">
          <cell r="A3811" t="str">
            <v>1915(c) waiver</v>
          </cell>
          <cell r="C3811" t="str">
            <v>YES</v>
          </cell>
          <cell r="D3811" t="str">
            <v>Requisition Fees</v>
          </cell>
          <cell r="E3811" t="str">
            <v>Animal Assisted Therapy Individual Requisition Fee</v>
          </cell>
          <cell r="F3811" t="str">
            <v>H2032U2</v>
          </cell>
        </row>
        <row r="3812">
          <cell r="A3812" t="str">
            <v>1915(c) waiver</v>
          </cell>
          <cell r="C3812" t="str">
            <v>YES</v>
          </cell>
          <cell r="D3812" t="str">
            <v>Requisition Fees</v>
          </cell>
          <cell r="E3812" t="str">
            <v>Art Therapy Individual Requisition Fee</v>
          </cell>
          <cell r="F3812" t="str">
            <v>H2032U4</v>
          </cell>
        </row>
        <row r="3813">
          <cell r="A3813" t="str">
            <v>1915(c) waiver</v>
          </cell>
          <cell r="C3813" t="str">
            <v>YES</v>
          </cell>
          <cell r="D3813" t="str">
            <v>Requisition Fees</v>
          </cell>
          <cell r="E3813" t="str">
            <v>Minor Home Modification-Requisition Fee 2</v>
          </cell>
          <cell r="F3813" t="str">
            <v>S5165HK</v>
          </cell>
        </row>
        <row r="3814">
          <cell r="A3814" t="str">
            <v>1915(c) waiver</v>
          </cell>
          <cell r="C3814" t="str">
            <v>YES</v>
          </cell>
          <cell r="D3814" t="str">
            <v>Requisition Fees</v>
          </cell>
          <cell r="E3814" t="str">
            <v>Minor Home Modification-Requisition Fee 3</v>
          </cell>
          <cell r="F3814" t="str">
            <v>S5165TW</v>
          </cell>
        </row>
        <row r="3815">
          <cell r="A3815" t="str">
            <v>1915(c) waiver</v>
          </cell>
          <cell r="C3815" t="str">
            <v>YES</v>
          </cell>
          <cell r="D3815" t="str">
            <v>Requisition Fees</v>
          </cell>
          <cell r="E3815" t="str">
            <v>Transition Assistance Services Requisition Fee</v>
          </cell>
          <cell r="F3815" t="str">
            <v>T2038TV</v>
          </cell>
        </row>
        <row r="3816">
          <cell r="A3816" t="str">
            <v>1915(c) waiver</v>
          </cell>
          <cell r="C3816" t="str">
            <v>YES</v>
          </cell>
          <cell r="D3816" t="str">
            <v>Specialized Therapies</v>
          </cell>
          <cell r="E3816" t="str">
            <v>Animal Assisted Therapy -Group</v>
          </cell>
          <cell r="F3816" t="str">
            <v>H2032U1</v>
          </cell>
        </row>
        <row r="3817">
          <cell r="A3817" t="str">
            <v>1915(c) waiver</v>
          </cell>
          <cell r="C3817" t="str">
            <v>YES</v>
          </cell>
          <cell r="D3817" t="str">
            <v>Specialized Therapies</v>
          </cell>
          <cell r="E3817" t="str">
            <v>Animal Assisted Therapy -Group Requisition Fee</v>
          </cell>
          <cell r="F3817" t="str">
            <v>H2032UA</v>
          </cell>
        </row>
        <row r="3818">
          <cell r="A3818" t="str">
            <v>1915(c) waiver</v>
          </cell>
          <cell r="C3818" t="str">
            <v>YES</v>
          </cell>
          <cell r="D3818" t="str">
            <v>Specialized Therapies</v>
          </cell>
          <cell r="E3818" t="str">
            <v>Animal Assisted Therapy Individual</v>
          </cell>
          <cell r="F3818" t="str">
            <v>H2032U5</v>
          </cell>
        </row>
        <row r="3819">
          <cell r="A3819" t="str">
            <v>1915(c) waiver</v>
          </cell>
          <cell r="C3819" t="str">
            <v>YES</v>
          </cell>
          <cell r="D3819" t="str">
            <v>Specialized Therapies</v>
          </cell>
          <cell r="E3819" t="str">
            <v>Art Therapy Individual</v>
          </cell>
          <cell r="F3819" t="str">
            <v>H2032U6</v>
          </cell>
        </row>
        <row r="3820">
          <cell r="A3820" t="str">
            <v>1915(c) waiver</v>
          </cell>
          <cell r="C3820" t="str">
            <v>YES</v>
          </cell>
          <cell r="D3820" t="str">
            <v>Specialized Therapies</v>
          </cell>
          <cell r="E3820" t="str">
            <v>Music Therapy Individual</v>
          </cell>
          <cell r="F3820" t="str">
            <v>H2032U9</v>
          </cell>
        </row>
        <row r="3821">
          <cell r="A3821" t="str">
            <v>1915(c) waiver</v>
          </cell>
          <cell r="C3821" t="str">
            <v>YES</v>
          </cell>
          <cell r="D3821" t="str">
            <v>Specialized Therapies</v>
          </cell>
          <cell r="E3821" t="str">
            <v>Music Therapy Group</v>
          </cell>
          <cell r="F3821" t="str">
            <v>H2032U7</v>
          </cell>
        </row>
        <row r="3822">
          <cell r="A3822" t="str">
            <v>1915(c) waiver</v>
          </cell>
          <cell r="C3822" t="str">
            <v>YES</v>
          </cell>
          <cell r="D3822" t="str">
            <v>Specialized Therapies</v>
          </cell>
          <cell r="E3822" t="str">
            <v>Recreational Therapy Group</v>
          </cell>
          <cell r="F3822" t="str">
            <v>H2032HQ</v>
          </cell>
        </row>
        <row r="3823">
          <cell r="A3823" t="str">
            <v>1915(c) waiver</v>
          </cell>
          <cell r="C3823" t="str">
            <v>YES</v>
          </cell>
          <cell r="D3823" t="str">
            <v>Specialized Therapies</v>
          </cell>
          <cell r="E3823" t="str">
            <v>Recreational Therapy Group Requisition Fee</v>
          </cell>
          <cell r="F3823" t="str">
            <v>H2032HK</v>
          </cell>
        </row>
        <row r="3824">
          <cell r="A3824" t="str">
            <v>1915(c) waiver</v>
          </cell>
          <cell r="C3824" t="str">
            <v>YES</v>
          </cell>
          <cell r="D3824" t="str">
            <v>Specialized Therapies</v>
          </cell>
          <cell r="E3824" t="str">
            <v>Recreational Therapy Individual</v>
          </cell>
          <cell r="F3824" t="str">
            <v>H2032HE</v>
          </cell>
        </row>
        <row r="3825">
          <cell r="A3825" t="str">
            <v>1915(c) waiver</v>
          </cell>
          <cell r="C3825" t="str">
            <v>YES</v>
          </cell>
          <cell r="D3825" t="str">
            <v>Specialized Therapies</v>
          </cell>
          <cell r="E3825" t="str">
            <v>Recreational Therapy Individual Requisition Fee</v>
          </cell>
          <cell r="F3825" t="str">
            <v>H2032TV</v>
          </cell>
        </row>
        <row r="3826">
          <cell r="A3826" t="str">
            <v>1915(c) waiver</v>
          </cell>
          <cell r="C3826" t="str">
            <v>YES</v>
          </cell>
          <cell r="D3826" t="str">
            <v>Transportation</v>
          </cell>
          <cell r="E3826" t="str">
            <v>Minor Home Modification-1</v>
          </cell>
          <cell r="F3826" t="str">
            <v>S5165HA</v>
          </cell>
        </row>
        <row r="3827">
          <cell r="A3827" t="str">
            <v>1915(c) waiver</v>
          </cell>
          <cell r="C3827" t="str">
            <v>YES</v>
          </cell>
          <cell r="D3827" t="str">
            <v>Transportation</v>
          </cell>
          <cell r="E3827" t="str">
            <v>Non-medical transportation for YES Waiver participant</v>
          </cell>
          <cell r="F3827" t="str">
            <v>T2003HA</v>
          </cell>
        </row>
        <row r="3828">
          <cell r="D3828" t="str">
            <v>PASRR</v>
          </cell>
          <cell r="E3828" t="str">
            <v>PASRR HABILITATION COORDINATION</v>
          </cell>
          <cell r="F3828" t="str">
            <v>1410HS0311</v>
          </cell>
        </row>
        <row r="3829">
          <cell r="A3829" t="str">
            <v>1915(c) waiver</v>
          </cell>
          <cell r="C3829" t="str">
            <v>DBMD</v>
          </cell>
          <cell r="D3829" t="str">
            <v>Taxes/Benefits</v>
          </cell>
          <cell r="E3829" t="str">
            <v>EMPLOYMENT READINESS</v>
          </cell>
          <cell r="F3829" t="str">
            <v>1610PS0320</v>
          </cell>
        </row>
        <row r="3830">
          <cell r="A3830" t="str">
            <v>1915(c) waiver</v>
          </cell>
          <cell r="C3830" t="str">
            <v>HCS</v>
          </cell>
          <cell r="D3830" t="str">
            <v>Taxes/Benefits</v>
          </cell>
          <cell r="E3830" t="str">
            <v>EMPLOYMENT READINESS LON 1</v>
          </cell>
          <cell r="F3830" t="str">
            <v>2110PM1137</v>
          </cell>
        </row>
        <row r="3831">
          <cell r="A3831" t="str">
            <v>1915(c) waiver</v>
          </cell>
          <cell r="C3831" t="str">
            <v>HCS</v>
          </cell>
          <cell r="D3831" t="str">
            <v>Taxes/Benefits</v>
          </cell>
          <cell r="E3831" t="str">
            <v>EMPLOYMENT READINESS LON 5</v>
          </cell>
          <cell r="F3831" t="str">
            <v>2110PM1138</v>
          </cell>
        </row>
        <row r="3832">
          <cell r="A3832" t="str">
            <v>1915(c) waiver</v>
          </cell>
          <cell r="C3832" t="str">
            <v>HCS</v>
          </cell>
          <cell r="D3832" t="str">
            <v>Taxes/Benefits</v>
          </cell>
          <cell r="E3832" t="str">
            <v>EMPLOYMENT READINESS LON 6</v>
          </cell>
          <cell r="F3832" t="str">
            <v>2110PM1139</v>
          </cell>
        </row>
        <row r="3833">
          <cell r="A3833" t="str">
            <v>1915(c) waiver</v>
          </cell>
          <cell r="C3833" t="str">
            <v>HCS</v>
          </cell>
          <cell r="D3833" t="str">
            <v>Taxes/Benefits</v>
          </cell>
          <cell r="E3833" t="str">
            <v>EMPLOYMENT READINESS LON 8</v>
          </cell>
          <cell r="F3833" t="str">
            <v>2110PM1140</v>
          </cell>
        </row>
        <row r="3834">
          <cell r="A3834" t="str">
            <v>1915(c) waiver</v>
          </cell>
          <cell r="C3834" t="str">
            <v>HCS</v>
          </cell>
          <cell r="D3834" t="str">
            <v>Taxes/Benefits</v>
          </cell>
          <cell r="E3834" t="str">
            <v>EMPLOYMENT READINESS LON 9</v>
          </cell>
          <cell r="F3834" t="str">
            <v>2110PM1141</v>
          </cell>
        </row>
        <row r="3835">
          <cell r="A3835" t="str">
            <v>1915(c) waiver</v>
          </cell>
          <cell r="C3835" t="str">
            <v>TxHmL</v>
          </cell>
          <cell r="D3835" t="str">
            <v>Taxes/Benefits</v>
          </cell>
          <cell r="E3835" t="str">
            <v>EMPLOYMENT READINESS LON 1</v>
          </cell>
          <cell r="F3835" t="str">
            <v>2210PM1142</v>
          </cell>
        </row>
        <row r="3836">
          <cell r="A3836" t="str">
            <v>1915(c) waiver</v>
          </cell>
          <cell r="C3836" t="str">
            <v>TxHmL</v>
          </cell>
          <cell r="D3836" t="str">
            <v>Taxes/Benefits</v>
          </cell>
          <cell r="E3836" t="str">
            <v>EMPLOYMENT READINESS LON 5</v>
          </cell>
          <cell r="F3836" t="str">
            <v>2210PM1143</v>
          </cell>
        </row>
        <row r="3837">
          <cell r="A3837" t="str">
            <v>1915(c) waiver</v>
          </cell>
          <cell r="C3837" t="str">
            <v>TxHmL</v>
          </cell>
          <cell r="D3837" t="str">
            <v>Taxes/Benefits</v>
          </cell>
          <cell r="E3837" t="str">
            <v>EMPLOYMENT READINESS LON 6</v>
          </cell>
          <cell r="F3837" t="str">
            <v>2210PM1144</v>
          </cell>
        </row>
        <row r="3838">
          <cell r="A3838" t="str">
            <v>1915(c) waiver</v>
          </cell>
          <cell r="C3838" t="str">
            <v>TxHmL</v>
          </cell>
          <cell r="D3838" t="str">
            <v>Taxes/Benefits</v>
          </cell>
          <cell r="E3838" t="str">
            <v>EMPLOYMENT READINESS LON 8</v>
          </cell>
          <cell r="F3838" t="str">
            <v>2210PM1145</v>
          </cell>
        </row>
        <row r="3839">
          <cell r="A3839" t="str">
            <v>1915(c) waiver</v>
          </cell>
          <cell r="C3839" t="str">
            <v>TxHmL</v>
          </cell>
          <cell r="D3839" t="str">
            <v>Taxes/Benefits</v>
          </cell>
          <cell r="E3839" t="str">
            <v>EMPLOYMENT READINESS LON 9</v>
          </cell>
          <cell r="F3839" t="str">
            <v>2210PM1146</v>
          </cell>
        </row>
        <row r="3840">
          <cell r="A3840" t="str">
            <v>1915(c) waiver</v>
          </cell>
          <cell r="C3840" t="str">
            <v>TxHmL</v>
          </cell>
          <cell r="D3840" t="str">
            <v>Taxes/Benefits</v>
          </cell>
          <cell r="E3840" t="str">
            <v>CDS EMPLOYMENT READINESS LON 1</v>
          </cell>
          <cell r="F3840" t="str">
            <v>2210PVM1147</v>
          </cell>
        </row>
        <row r="3841">
          <cell r="A3841" t="str">
            <v>1915(c) waiver</v>
          </cell>
          <cell r="C3841" t="str">
            <v>TxHmL</v>
          </cell>
          <cell r="D3841" t="str">
            <v>Taxes/Benefits</v>
          </cell>
          <cell r="E3841" t="str">
            <v>CDS EMPLOYMENT READINESS LON 5</v>
          </cell>
          <cell r="F3841" t="str">
            <v>2210PVM1148</v>
          </cell>
        </row>
        <row r="3842">
          <cell r="A3842" t="str">
            <v>1915(c) waiver</v>
          </cell>
          <cell r="C3842" t="str">
            <v>TxHmL</v>
          </cell>
          <cell r="D3842" t="str">
            <v>Taxes/Benefits</v>
          </cell>
          <cell r="E3842" t="str">
            <v>CDS EMPLOYMENT READINESS LON 6</v>
          </cell>
          <cell r="F3842" t="str">
            <v>2210PVM1149</v>
          </cell>
        </row>
        <row r="3843">
          <cell r="A3843" t="str">
            <v>1915(c) waiver</v>
          </cell>
          <cell r="C3843" t="str">
            <v>TxHmL</v>
          </cell>
          <cell r="D3843" t="str">
            <v>Taxes/Benefits</v>
          </cell>
          <cell r="E3843" t="str">
            <v>CDS EMPLOYMENT READINESS LON 8</v>
          </cell>
          <cell r="F3843" t="str">
            <v>2210PVM1150</v>
          </cell>
        </row>
        <row r="3844">
          <cell r="A3844" t="str">
            <v>1915(c) waiver</v>
          </cell>
          <cell r="C3844" t="str">
            <v>TxHmL</v>
          </cell>
          <cell r="D3844" t="str">
            <v>Taxes/Benefits</v>
          </cell>
          <cell r="E3844" t="str">
            <v>CDS EMPLOYMENT READINESS LON 9</v>
          </cell>
          <cell r="F3844" t="str">
            <v>2210PVM1151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Rate History"/>
      <sheetName val="PCS Rates"/>
      <sheetName val="CMPAS &amp; SSPD Info"/>
      <sheetName val="Add-On Tracking"/>
      <sheetName val="Bill Code-Description Changes"/>
      <sheetName val="RE Tracking"/>
      <sheetName val="Services with RE"/>
      <sheetName val="All RE Paid_Summary"/>
      <sheetName val="Code Change Pivot"/>
      <sheetName val="Prior Bill Code Crosswalk"/>
      <sheetName val="Unit Change History"/>
      <sheetName val="Rate Table Effect Dates"/>
      <sheetName val="ICF_SSLC"/>
      <sheetName val="Out-of-Home Respite SK Rates"/>
      <sheetName val="RT Service Effective Pd"/>
      <sheetName val="Services with no History"/>
      <sheetName val="Date Columns"/>
      <sheetName val="Fields for Calculation Table"/>
      <sheetName val="CMPAS Info"/>
    </sheetNames>
    <sheetDataSet>
      <sheetData sheetId="0"/>
      <sheetData sheetId="1">
        <row r="1">
          <cell r="F1"/>
          <cell r="P1"/>
        </row>
        <row r="2">
          <cell r="F2" t="e">
            <v>#N/A</v>
          </cell>
          <cell r="P2"/>
        </row>
        <row r="3">
          <cell r="F3"/>
          <cell r="P3"/>
        </row>
        <row r="4">
          <cell r="F4" t="str">
            <v>2024 Billing Matrix Combo Code</v>
          </cell>
          <cell r="P4" t="str">
            <v>Unit</v>
          </cell>
        </row>
        <row r="5">
          <cell r="F5" t="str">
            <v>718G0803</v>
          </cell>
          <cell r="P5" t="str">
            <v>1 day</v>
          </cell>
        </row>
        <row r="6">
          <cell r="F6" t="str">
            <v>763VG0227</v>
          </cell>
          <cell r="P6" t="str">
            <v>1 month</v>
          </cell>
        </row>
        <row r="7">
          <cell r="F7" t="str">
            <v>717DSG0756</v>
          </cell>
          <cell r="P7" t="str">
            <v>1 hour</v>
          </cell>
        </row>
        <row r="8">
          <cell r="F8" t="str">
            <v>717DSG0755</v>
          </cell>
          <cell r="P8" t="str">
            <v>1 hour</v>
          </cell>
        </row>
        <row r="9">
          <cell r="F9" t="str">
            <v>717DG0743</v>
          </cell>
          <cell r="P9" t="str">
            <v>1 hour</v>
          </cell>
        </row>
        <row r="10">
          <cell r="F10" t="str">
            <v>717DG0742</v>
          </cell>
          <cell r="P10" t="str">
            <v>1 hour</v>
          </cell>
        </row>
        <row r="11">
          <cell r="F11" t="str">
            <v>717DVG0749</v>
          </cell>
          <cell r="P11" t="str">
            <v>1 hour</v>
          </cell>
        </row>
        <row r="12">
          <cell r="F12" t="str">
            <v>717DVG0748</v>
          </cell>
          <cell r="P12" t="str">
            <v>1 hour</v>
          </cell>
        </row>
        <row r="13">
          <cell r="F13" t="str">
            <v>757DVG0759</v>
          </cell>
          <cell r="P13" t="str">
            <v>1 hour</v>
          </cell>
        </row>
        <row r="14">
          <cell r="F14" t="str">
            <v>240G0203</v>
          </cell>
          <cell r="P14" t="str">
            <v>1 assessment</v>
          </cell>
        </row>
        <row r="15">
          <cell r="F15" t="str">
            <v>240BG0208</v>
          </cell>
          <cell r="P15" t="str">
            <v>1 assessment</v>
          </cell>
        </row>
        <row r="16">
          <cell r="F16" t="str">
            <v>235U0300</v>
          </cell>
          <cell r="P16" t="str">
            <v>1 hour</v>
          </cell>
        </row>
        <row r="17">
          <cell r="F17" t="str">
            <v>235BU0306</v>
          </cell>
          <cell r="P17" t="str">
            <v>1 hour</v>
          </cell>
        </row>
        <row r="18">
          <cell r="F18" t="str">
            <v>243AH2019</v>
          </cell>
          <cell r="P18" t="str">
            <v>1 hour</v>
          </cell>
        </row>
        <row r="19">
          <cell r="F19" t="str">
            <v>261VG6090</v>
          </cell>
          <cell r="P19" t="str">
            <v>1 hour</v>
          </cell>
        </row>
        <row r="20">
          <cell r="F20" t="str">
            <v>261G6089</v>
          </cell>
          <cell r="P20" t="str">
            <v>1 hour</v>
          </cell>
        </row>
        <row r="21">
          <cell r="F21" t="str">
            <v>212G0201</v>
          </cell>
          <cell r="P21" t="str">
            <v>1 month</v>
          </cell>
        </row>
        <row r="22">
          <cell r="F22" t="str">
            <v>263CFVG1118</v>
          </cell>
          <cell r="P22" t="str">
            <v>1 month</v>
          </cell>
        </row>
        <row r="23">
          <cell r="F23" t="str">
            <v>263VG0226</v>
          </cell>
          <cell r="P23" t="str">
            <v>1 month</v>
          </cell>
        </row>
        <row r="24">
          <cell r="F24" t="str">
            <v>257VG0757</v>
          </cell>
          <cell r="P24" t="str">
            <v>1 hour</v>
          </cell>
        </row>
        <row r="25">
          <cell r="F25" t="str">
            <v>257CFVG1115</v>
          </cell>
          <cell r="P25" t="str">
            <v>1 hour</v>
          </cell>
        </row>
        <row r="26">
          <cell r="F26" t="str">
            <v>240G0204</v>
          </cell>
          <cell r="P26" t="str">
            <v>1 assessment</v>
          </cell>
        </row>
        <row r="27">
          <cell r="F27" t="str">
            <v>234U0210</v>
          </cell>
          <cell r="P27" t="str">
            <v>1 hour</v>
          </cell>
        </row>
        <row r="28">
          <cell r="F28" t="str">
            <v>254VH2029</v>
          </cell>
          <cell r="P28" t="str">
            <v>1 hour</v>
          </cell>
        </row>
        <row r="29">
          <cell r="F29" t="str">
            <v>237VH2027</v>
          </cell>
          <cell r="P29" t="str">
            <v>1 hour</v>
          </cell>
        </row>
        <row r="30">
          <cell r="F30" t="str">
            <v>237H2025</v>
          </cell>
          <cell r="P30" t="str">
            <v>1 hour</v>
          </cell>
        </row>
        <row r="31">
          <cell r="F31" t="str">
            <v>254H2026</v>
          </cell>
          <cell r="P31" t="str">
            <v>1 hour</v>
          </cell>
        </row>
        <row r="32">
          <cell r="F32" t="str">
            <v>220CFCG1114</v>
          </cell>
          <cell r="P32" t="str">
            <v>1 month</v>
          </cell>
        </row>
        <row r="33">
          <cell r="F33" t="str">
            <v>220CFCG1113</v>
          </cell>
          <cell r="P33" t="str">
            <v>1 month</v>
          </cell>
        </row>
        <row r="34">
          <cell r="F34" t="str">
            <v>220CFCG1112</v>
          </cell>
          <cell r="P34" t="str">
            <v>1 month</v>
          </cell>
        </row>
        <row r="35">
          <cell r="F35" t="str">
            <v>255AH0041</v>
          </cell>
          <cell r="P35" t="str">
            <v>1 day</v>
          </cell>
        </row>
        <row r="36">
          <cell r="F36" t="str">
            <v>255AH0041</v>
          </cell>
          <cell r="P36" t="str">
            <v>1 day</v>
          </cell>
        </row>
        <row r="37">
          <cell r="F37" t="str">
            <v>255S5145</v>
          </cell>
          <cell r="P37" t="str">
            <v>1 day</v>
          </cell>
        </row>
        <row r="38">
          <cell r="F38" t="str">
            <v>255S5145</v>
          </cell>
          <cell r="P38" t="str">
            <v>1 day</v>
          </cell>
        </row>
        <row r="39">
          <cell r="F39" t="str">
            <v>248VG0249</v>
          </cell>
          <cell r="P39" t="str">
            <v>1 hour</v>
          </cell>
        </row>
        <row r="40">
          <cell r="F40" t="str">
            <v>210VG6085</v>
          </cell>
          <cell r="P40" t="str">
            <v>1 hour</v>
          </cell>
        </row>
        <row r="41">
          <cell r="F41" t="str">
            <v>248G0248</v>
          </cell>
          <cell r="P41" t="str">
            <v>1 hour</v>
          </cell>
        </row>
        <row r="42">
          <cell r="F42" t="str">
            <v>210BS0107</v>
          </cell>
          <cell r="P42" t="str">
            <v>1 hour (ceiling)</v>
          </cell>
        </row>
        <row r="43">
          <cell r="F43" t="str">
            <v>210S0100</v>
          </cell>
          <cell r="P43" t="str">
            <v>1 hour</v>
          </cell>
        </row>
        <row r="44">
          <cell r="F44" t="str">
            <v>211PVG0197</v>
          </cell>
          <cell r="P44" t="str">
            <v>1 day</v>
          </cell>
        </row>
        <row r="45">
          <cell r="F45" t="str">
            <v>211G0100</v>
          </cell>
          <cell r="P45" t="str">
            <v>1 day</v>
          </cell>
        </row>
        <row r="46">
          <cell r="F46" t="str">
            <v>213AVG0305</v>
          </cell>
          <cell r="P46" t="str">
            <v>1 hour</v>
          </cell>
        </row>
        <row r="47">
          <cell r="F47" t="str">
            <v>213BVG0304</v>
          </cell>
          <cell r="P47" t="str">
            <v>1 hour</v>
          </cell>
        </row>
        <row r="48">
          <cell r="F48" t="str">
            <v>213DVG0307</v>
          </cell>
          <cell r="P48" t="str">
            <v>1 hour</v>
          </cell>
        </row>
        <row r="49">
          <cell r="F49" t="str">
            <v>213CVG0306</v>
          </cell>
          <cell r="P49" t="str">
            <v>1 hour</v>
          </cell>
        </row>
        <row r="50">
          <cell r="F50" t="str">
            <v>213BG0303</v>
          </cell>
          <cell r="P50" t="str">
            <v>1 hour</v>
          </cell>
        </row>
        <row r="51">
          <cell r="F51" t="str">
            <v>213AG0302</v>
          </cell>
          <cell r="P51" t="str">
            <v>1 hour</v>
          </cell>
        </row>
        <row r="52">
          <cell r="F52" t="str">
            <v>213DT1003</v>
          </cell>
          <cell r="P52" t="str">
            <v>1 hour</v>
          </cell>
        </row>
        <row r="53">
          <cell r="F53" t="str">
            <v>213CT1002</v>
          </cell>
          <cell r="P53" t="str">
            <v>1 hour</v>
          </cell>
        </row>
        <row r="54">
          <cell r="F54" t="str">
            <v>27G0400</v>
          </cell>
          <cell r="P54" t="str">
            <v>1 hour</v>
          </cell>
        </row>
        <row r="55">
          <cell r="F55" t="str">
            <v>27VG0408</v>
          </cell>
          <cell r="P55" t="str">
            <v>1 hour</v>
          </cell>
        </row>
        <row r="56">
          <cell r="F56" t="str">
            <v>211AVG0196</v>
          </cell>
          <cell r="P56" t="str">
            <v>1 day</v>
          </cell>
        </row>
        <row r="57">
          <cell r="F57" t="str">
            <v>211AG0128</v>
          </cell>
          <cell r="P57" t="str">
            <v>1 day</v>
          </cell>
        </row>
        <row r="58">
          <cell r="F58" t="str">
            <v>210CFVG1109</v>
          </cell>
          <cell r="P58" t="str">
            <v>1 hour</v>
          </cell>
        </row>
        <row r="59">
          <cell r="F59" t="str">
            <v>210CFCG1108</v>
          </cell>
          <cell r="P59" t="str">
            <v>1 hour</v>
          </cell>
        </row>
        <row r="60">
          <cell r="F60" t="str">
            <v>28G0401</v>
          </cell>
          <cell r="P60" t="str">
            <v>1 hour</v>
          </cell>
        </row>
        <row r="61">
          <cell r="F61" t="str">
            <v>28VG0409</v>
          </cell>
          <cell r="P61" t="str">
            <v>1 hour</v>
          </cell>
        </row>
        <row r="62">
          <cell r="F62" t="str">
            <v>241FG0648</v>
          </cell>
          <cell r="P62" t="str">
            <v>dollar range</v>
          </cell>
        </row>
        <row r="63">
          <cell r="F63" t="str">
            <v>241FG0649</v>
          </cell>
          <cell r="P63" t="str">
            <v>dollar range</v>
          </cell>
        </row>
        <row r="64">
          <cell r="F64" t="str">
            <v>241FG0650</v>
          </cell>
          <cell r="P64" t="str">
            <v>dollar range</v>
          </cell>
        </row>
        <row r="65">
          <cell r="F65" t="str">
            <v>241FG0651</v>
          </cell>
          <cell r="P65" t="str">
            <v>dollar range</v>
          </cell>
        </row>
        <row r="66">
          <cell r="F66" t="str">
            <v>241FG0652</v>
          </cell>
          <cell r="P66" t="str">
            <v>dollar range</v>
          </cell>
        </row>
        <row r="67">
          <cell r="F67" t="str">
            <v>241FG0653</v>
          </cell>
          <cell r="P67" t="str">
            <v>dollar range</v>
          </cell>
        </row>
        <row r="68">
          <cell r="F68" t="str">
            <v>241FG0654</v>
          </cell>
          <cell r="P68" t="str">
            <v>dollar range</v>
          </cell>
        </row>
        <row r="69">
          <cell r="F69" t="str">
            <v>241FG0655</v>
          </cell>
          <cell r="P69" t="str">
            <v>dollar range</v>
          </cell>
        </row>
        <row r="70">
          <cell r="F70" t="str">
            <v>241FG0656</v>
          </cell>
          <cell r="P70" t="str">
            <v>dollar range</v>
          </cell>
        </row>
        <row r="71">
          <cell r="F71" t="str">
            <v>241FG0657</v>
          </cell>
          <cell r="P71" t="str">
            <v>dollar range</v>
          </cell>
        </row>
        <row r="72">
          <cell r="F72" t="str">
            <v>241FG0658</v>
          </cell>
          <cell r="P72" t="str">
            <v>dollar range</v>
          </cell>
        </row>
        <row r="73">
          <cell r="F73" t="str">
            <v>242DG0493</v>
          </cell>
          <cell r="P73" t="str">
            <v>1 hour (ceiling)</v>
          </cell>
        </row>
        <row r="74">
          <cell r="F74" t="str">
            <v>242EG0494</v>
          </cell>
          <cell r="P74" t="str">
            <v>1 hour (ceiling)</v>
          </cell>
        </row>
        <row r="75">
          <cell r="F75" t="str">
            <v>242EG0495</v>
          </cell>
          <cell r="P75" t="str">
            <v>1 hour (ceiling)</v>
          </cell>
        </row>
        <row r="76">
          <cell r="F76" t="str">
            <v>242EG0496</v>
          </cell>
          <cell r="P76" t="str">
            <v>1 hour (ceiling)</v>
          </cell>
        </row>
        <row r="77">
          <cell r="F77" t="str">
            <v>242AG0490</v>
          </cell>
          <cell r="P77" t="str">
            <v>1 hour (ceiling)</v>
          </cell>
        </row>
        <row r="78">
          <cell r="F78" t="str">
            <v>242CG0492</v>
          </cell>
          <cell r="P78" t="str">
            <v>1 hour (ceiling)</v>
          </cell>
        </row>
        <row r="79">
          <cell r="F79" t="str">
            <v>242BG0491</v>
          </cell>
          <cell r="P79" t="str">
            <v>1 hour (ceiling)</v>
          </cell>
        </row>
        <row r="80">
          <cell r="F80" t="str">
            <v>242FG0498</v>
          </cell>
          <cell r="P80" t="str">
            <v>1 hour (ceiling)</v>
          </cell>
        </row>
        <row r="81">
          <cell r="F81" t="str">
            <v>29G0402</v>
          </cell>
          <cell r="P81" t="str">
            <v>1 hour</v>
          </cell>
        </row>
        <row r="82">
          <cell r="F82" t="str">
            <v>29VG0410</v>
          </cell>
          <cell r="P82" t="str">
            <v>1 hour</v>
          </cell>
        </row>
        <row r="83">
          <cell r="F83" t="str">
            <v>253AG0239</v>
          </cell>
          <cell r="P83" t="str">
            <v>1 time</v>
          </cell>
        </row>
        <row r="84">
          <cell r="F84" t="str">
            <v>727AG0723</v>
          </cell>
          <cell r="P84" t="str">
            <v>1 month</v>
          </cell>
        </row>
        <row r="85">
          <cell r="F85" t="str">
            <v>727AG0722</v>
          </cell>
          <cell r="P85" t="str">
            <v>1 Hour</v>
          </cell>
        </row>
        <row r="86">
          <cell r="F86" t="str">
            <v>727G0720</v>
          </cell>
          <cell r="P86" t="str">
            <v>1 Hour</v>
          </cell>
        </row>
        <row r="87">
          <cell r="F87" t="str">
            <v>729C0200</v>
          </cell>
          <cell r="P87" t="str">
            <v>3-5 hours = 1 unit; 6+ hours = 2 units</v>
          </cell>
        </row>
        <row r="88">
          <cell r="F88" t="str">
            <v>729AC0202</v>
          </cell>
          <cell r="P88" t="str">
            <v>3-5 hours = 1 unit; 6+ hours = 2 units</v>
          </cell>
        </row>
        <row r="89">
          <cell r="F89" t="str">
            <v>1635U0300</v>
          </cell>
          <cell r="P89" t="str">
            <v>1 hour</v>
          </cell>
        </row>
        <row r="90">
          <cell r="F90" t="str">
            <v>1635BU0306</v>
          </cell>
          <cell r="P90" t="str">
            <v>1 hour</v>
          </cell>
        </row>
        <row r="91">
          <cell r="F91" t="str">
            <v>1643AH2019</v>
          </cell>
          <cell r="P91" t="str">
            <v>1 hour</v>
          </cell>
        </row>
        <row r="92">
          <cell r="F92" t="str">
            <v>1612DG2400</v>
          </cell>
          <cell r="P92" t="str">
            <v>1 month</v>
          </cell>
        </row>
        <row r="93">
          <cell r="F93" t="str">
            <v>1612G0200</v>
          </cell>
          <cell r="P93" t="str">
            <v>1 month</v>
          </cell>
        </row>
        <row r="94">
          <cell r="F94" t="str">
            <v>1663CFVG1118</v>
          </cell>
          <cell r="P94" t="str">
            <v>1 month</v>
          </cell>
        </row>
        <row r="95">
          <cell r="F95" t="str">
            <v>1663VG0228</v>
          </cell>
          <cell r="P95" t="str">
            <v>1 month</v>
          </cell>
        </row>
        <row r="96">
          <cell r="F96" t="str">
            <v>1657VG0757</v>
          </cell>
          <cell r="P96" t="str">
            <v>1 hour</v>
          </cell>
        </row>
        <row r="97">
          <cell r="F97" t="str">
            <v>1657CFVG1115</v>
          </cell>
          <cell r="P97" t="str">
            <v>1 hour</v>
          </cell>
        </row>
        <row r="98">
          <cell r="F98" t="str">
            <v>1617EG0744</v>
          </cell>
          <cell r="P98" t="str">
            <v>1 hour</v>
          </cell>
        </row>
        <row r="99">
          <cell r="F99" t="str">
            <v>1640AG0207</v>
          </cell>
          <cell r="P99" t="str">
            <v>1 hour</v>
          </cell>
        </row>
        <row r="100">
          <cell r="F100" t="str">
            <v>1619FG0938</v>
          </cell>
          <cell r="P100" t="str">
            <v>1 day</v>
          </cell>
        </row>
        <row r="101">
          <cell r="F101" t="str">
            <v>1619G0900</v>
          </cell>
          <cell r="P101" t="str">
            <v>1 day</v>
          </cell>
        </row>
        <row r="102">
          <cell r="F102" t="str">
            <v>1619EG0937</v>
          </cell>
          <cell r="P102" t="str">
            <v>1 day</v>
          </cell>
        </row>
        <row r="103">
          <cell r="F103" t="str">
            <v>1634U0210</v>
          </cell>
          <cell r="P103" t="str">
            <v>1 hour</v>
          </cell>
        </row>
        <row r="104">
          <cell r="F104" t="str">
            <v>1654H2026</v>
          </cell>
          <cell r="P104" t="str">
            <v>1 hour</v>
          </cell>
        </row>
        <row r="105">
          <cell r="F105" t="str">
            <v>1654VH2029</v>
          </cell>
          <cell r="P105" t="str">
            <v>1 hour</v>
          </cell>
        </row>
        <row r="106">
          <cell r="F106" t="str">
            <v>1637H2024</v>
          </cell>
          <cell r="P106" t="str">
            <v>1 hour</v>
          </cell>
        </row>
        <row r="107">
          <cell r="F107" t="str">
            <v>1637VH2027</v>
          </cell>
          <cell r="P107" t="str">
            <v>1 hour</v>
          </cell>
        </row>
        <row r="108">
          <cell r="F108" t="str">
            <v>1620CFCG1114</v>
          </cell>
          <cell r="P108" t="str">
            <v>1 month</v>
          </cell>
        </row>
        <row r="109">
          <cell r="F109" t="str">
            <v>1648VG0253</v>
          </cell>
          <cell r="P109" t="str">
            <v>1 hour</v>
          </cell>
        </row>
        <row r="110">
          <cell r="F110" t="str">
            <v>1648G0252</v>
          </cell>
          <cell r="P110" t="str">
            <v>1 hour</v>
          </cell>
        </row>
        <row r="111">
          <cell r="F111" t="str">
            <v>1611PVG0197</v>
          </cell>
          <cell r="P111" t="str">
            <v>1 day</v>
          </cell>
        </row>
        <row r="112">
          <cell r="F112" t="str">
            <v>1611G0100</v>
          </cell>
          <cell r="P112" t="str">
            <v>1 day</v>
          </cell>
        </row>
        <row r="113">
          <cell r="F113" t="str">
            <v>1645VG0240</v>
          </cell>
          <cell r="P113" t="str">
            <v>1 hour</v>
          </cell>
        </row>
        <row r="114">
          <cell r="F114" t="str">
            <v>1645AVG0245</v>
          </cell>
          <cell r="P114" t="str">
            <v>1 hour</v>
          </cell>
        </row>
        <row r="115">
          <cell r="F115" t="str">
            <v>1645BVG0246</v>
          </cell>
          <cell r="P115" t="str">
            <v>1 hour</v>
          </cell>
        </row>
        <row r="116">
          <cell r="F116" t="str">
            <v>1645CVG0247</v>
          </cell>
          <cell r="P116" t="str">
            <v>1 hour</v>
          </cell>
        </row>
        <row r="117">
          <cell r="F117" t="str">
            <v>1645G0232</v>
          </cell>
          <cell r="P117" t="str">
            <v>1 hour</v>
          </cell>
        </row>
        <row r="118">
          <cell r="F118" t="str">
            <v>1645AG0242</v>
          </cell>
          <cell r="P118" t="str">
            <v>1 hour</v>
          </cell>
        </row>
        <row r="119">
          <cell r="F119" t="str">
            <v>1645BG0243</v>
          </cell>
          <cell r="P119" t="str">
            <v>1 hour</v>
          </cell>
        </row>
        <row r="120">
          <cell r="F120" t="str">
            <v>1645CG0244</v>
          </cell>
          <cell r="P120" t="str">
            <v>1 hour</v>
          </cell>
        </row>
        <row r="121">
          <cell r="F121" t="str">
            <v>1623S0312</v>
          </cell>
          <cell r="P121" t="str">
            <v>1 hour</v>
          </cell>
        </row>
        <row r="122">
          <cell r="F122" t="str">
            <v>1623S0313</v>
          </cell>
          <cell r="P122" t="str">
            <v>1 hour</v>
          </cell>
        </row>
        <row r="123">
          <cell r="F123" t="str">
            <v>1613AG0302</v>
          </cell>
          <cell r="P123" t="str">
            <v>1 hour</v>
          </cell>
        </row>
        <row r="124">
          <cell r="F124" t="str">
            <v>1613BG0303</v>
          </cell>
          <cell r="P124" t="str">
            <v>1 hour</v>
          </cell>
        </row>
        <row r="125">
          <cell r="F125" t="str">
            <v>1613DT1003</v>
          </cell>
          <cell r="P125" t="str">
            <v>1 hour</v>
          </cell>
        </row>
        <row r="126">
          <cell r="F126" t="str">
            <v>1613CT1002</v>
          </cell>
          <cell r="P126" t="str">
            <v>1 hour</v>
          </cell>
        </row>
        <row r="127">
          <cell r="F127" t="str">
            <v>167G0400</v>
          </cell>
          <cell r="P127" t="str">
            <v>1 hour</v>
          </cell>
        </row>
        <row r="128">
          <cell r="F128" t="e">
            <v>#N/A</v>
          </cell>
          <cell r="P128" t="str">
            <v>1 hour</v>
          </cell>
        </row>
        <row r="129">
          <cell r="F129" t="e">
            <v>#N/A</v>
          </cell>
          <cell r="P129" t="str">
            <v>1 hour</v>
          </cell>
        </row>
        <row r="130">
          <cell r="F130" t="str">
            <v>1611AVG0196</v>
          </cell>
          <cell r="P130" t="str">
            <v>1 day</v>
          </cell>
        </row>
        <row r="131">
          <cell r="F131" t="str">
            <v>1611AG0128</v>
          </cell>
          <cell r="P131" t="str">
            <v>1 day</v>
          </cell>
        </row>
        <row r="132">
          <cell r="F132" t="str">
            <v>1610CFVG1109</v>
          </cell>
          <cell r="P132" t="str">
            <v>1 hour</v>
          </cell>
        </row>
        <row r="133">
          <cell r="F133" t="str">
            <v>1617VG0717</v>
          </cell>
          <cell r="P133" t="str">
            <v>1 hour</v>
          </cell>
        </row>
        <row r="134">
          <cell r="F134" t="str">
            <v>1610CFCG1108</v>
          </cell>
          <cell r="P134" t="str">
            <v>1 hour</v>
          </cell>
        </row>
        <row r="135">
          <cell r="F135" t="str">
            <v>1610S0101</v>
          </cell>
          <cell r="P135" t="str">
            <v>1 hour</v>
          </cell>
        </row>
        <row r="136">
          <cell r="F136" t="str">
            <v>1617G0730</v>
          </cell>
          <cell r="P136" t="str">
            <v>1 hour</v>
          </cell>
        </row>
        <row r="137">
          <cell r="F137" t="str">
            <v>168G0401</v>
          </cell>
          <cell r="P137" t="str">
            <v>1 hour</v>
          </cell>
        </row>
        <row r="138">
          <cell r="F138" t="str">
            <v>1641G0515</v>
          </cell>
          <cell r="P138" t="str">
            <v>dollar range</v>
          </cell>
        </row>
        <row r="139">
          <cell r="F139" t="str">
            <v>1641G0516</v>
          </cell>
          <cell r="P139" t="str">
            <v>dollar range</v>
          </cell>
        </row>
        <row r="140">
          <cell r="F140" t="str">
            <v>1641G0517</v>
          </cell>
          <cell r="P140" t="str">
            <v>dollar range</v>
          </cell>
        </row>
        <row r="141">
          <cell r="F141" t="str">
            <v>1641G0518</v>
          </cell>
          <cell r="P141" t="str">
            <v>dollar range</v>
          </cell>
        </row>
        <row r="142">
          <cell r="F142" t="str">
            <v>1641G0519</v>
          </cell>
          <cell r="P142" t="str">
            <v>dollar range</v>
          </cell>
        </row>
        <row r="143">
          <cell r="F143" t="str">
            <v>1641G0520</v>
          </cell>
          <cell r="P143" t="str">
            <v>dollar range</v>
          </cell>
        </row>
        <row r="144">
          <cell r="F144" t="str">
            <v>1641G0521</v>
          </cell>
          <cell r="P144" t="str">
            <v>dollar range</v>
          </cell>
        </row>
        <row r="145">
          <cell r="F145" t="str">
            <v>1641G0522</v>
          </cell>
          <cell r="P145" t="str">
            <v>dollar range</v>
          </cell>
        </row>
        <row r="146">
          <cell r="F146" t="str">
            <v>1641G0523</v>
          </cell>
          <cell r="P146" t="str">
            <v>dollar range</v>
          </cell>
        </row>
        <row r="147">
          <cell r="F147" t="str">
            <v>1641G0524</v>
          </cell>
          <cell r="P147" t="str">
            <v>dollar range</v>
          </cell>
        </row>
        <row r="148">
          <cell r="F148" t="str">
            <v>1641G0525</v>
          </cell>
          <cell r="P148" t="str">
            <v>dollar range</v>
          </cell>
        </row>
        <row r="149">
          <cell r="F149" t="str">
            <v>1641EG0637</v>
          </cell>
          <cell r="P149" t="str">
            <v>dollar range</v>
          </cell>
        </row>
        <row r="150">
          <cell r="F150" t="str">
            <v>1641EG0638</v>
          </cell>
          <cell r="P150" t="str">
            <v>dollar range</v>
          </cell>
        </row>
        <row r="151">
          <cell r="F151" t="str">
            <v>1641EG0639</v>
          </cell>
          <cell r="P151" t="str">
            <v>dollar range</v>
          </cell>
        </row>
        <row r="152">
          <cell r="F152" t="str">
            <v>1641EG0640</v>
          </cell>
          <cell r="P152" t="str">
            <v>dollar range</v>
          </cell>
        </row>
        <row r="153">
          <cell r="F153" t="str">
            <v>1641EG0641</v>
          </cell>
          <cell r="P153" t="str">
            <v>dollar range</v>
          </cell>
        </row>
        <row r="154">
          <cell r="F154" t="str">
            <v>1641EG0642</v>
          </cell>
          <cell r="P154" t="str">
            <v>dollar range</v>
          </cell>
        </row>
        <row r="155">
          <cell r="F155" t="str">
            <v>1641BG0623</v>
          </cell>
          <cell r="P155" t="str">
            <v>dollar range</v>
          </cell>
        </row>
        <row r="156">
          <cell r="F156" t="str">
            <v>1641BG0624</v>
          </cell>
          <cell r="P156" t="str">
            <v>dollar range</v>
          </cell>
        </row>
        <row r="157">
          <cell r="F157" t="str">
            <v>1641BG0625</v>
          </cell>
          <cell r="P157" t="str">
            <v>dollar range</v>
          </cell>
        </row>
        <row r="158">
          <cell r="F158" t="str">
            <v>1641BG0626</v>
          </cell>
          <cell r="P158" t="str">
            <v>dollar range</v>
          </cell>
        </row>
        <row r="159">
          <cell r="F159" t="str">
            <v>1641BG0627</v>
          </cell>
          <cell r="P159" t="str">
            <v>dollar range</v>
          </cell>
        </row>
        <row r="160">
          <cell r="F160" t="str">
            <v>1641BG0628</v>
          </cell>
          <cell r="P160" t="str">
            <v>dollar range</v>
          </cell>
        </row>
        <row r="161">
          <cell r="F161" t="str">
            <v>1641BG0629</v>
          </cell>
          <cell r="P161" t="str">
            <v>dollar range</v>
          </cell>
        </row>
        <row r="162">
          <cell r="F162" t="str">
            <v>1641BG0630</v>
          </cell>
          <cell r="P162" t="str">
            <v>dollar range</v>
          </cell>
        </row>
        <row r="163">
          <cell r="F163" t="str">
            <v>1641BG0631</v>
          </cell>
          <cell r="P163" t="str">
            <v>dollar range</v>
          </cell>
        </row>
        <row r="164">
          <cell r="F164" t="str">
            <v>1641BG0632</v>
          </cell>
          <cell r="P164" t="str">
            <v>dollar range</v>
          </cell>
        </row>
        <row r="165">
          <cell r="F165" t="str">
            <v>1641BG0633</v>
          </cell>
          <cell r="P165" t="str">
            <v>dollar range</v>
          </cell>
        </row>
        <row r="166">
          <cell r="F166" t="str">
            <v>1641BG0634</v>
          </cell>
          <cell r="P166" t="str">
            <v>dollar range</v>
          </cell>
        </row>
        <row r="167">
          <cell r="F167" t="str">
            <v>1641BG0635</v>
          </cell>
          <cell r="P167" t="str">
            <v>dollar range</v>
          </cell>
        </row>
        <row r="168">
          <cell r="F168" t="str">
            <v>1641BG0636</v>
          </cell>
          <cell r="P168" t="str">
            <v>dollar range</v>
          </cell>
        </row>
        <row r="169">
          <cell r="F169" t="str">
            <v>169G0402</v>
          </cell>
          <cell r="P169" t="str">
            <v>1 hour</v>
          </cell>
        </row>
        <row r="170">
          <cell r="F170" t="str">
            <v>1653AG0239</v>
          </cell>
          <cell r="P170" t="str">
            <v>1 time</v>
          </cell>
        </row>
        <row r="171">
          <cell r="F171" t="str">
            <v>720G1000</v>
          </cell>
          <cell r="P171" t="str">
            <v>1 month</v>
          </cell>
        </row>
        <row r="172">
          <cell r="F172" t="str">
            <v>717CSG0754</v>
          </cell>
          <cell r="P172" t="str">
            <v>1 hour</v>
          </cell>
        </row>
        <row r="173">
          <cell r="F173" t="str">
            <v>717CSG0753</v>
          </cell>
          <cell r="P173" t="str">
            <v>1 hour</v>
          </cell>
        </row>
        <row r="174">
          <cell r="F174" t="str">
            <v>717CG0741</v>
          </cell>
          <cell r="P174" t="str">
            <v>1 hour</v>
          </cell>
        </row>
        <row r="175">
          <cell r="F175" t="str">
            <v>717CG0740</v>
          </cell>
          <cell r="P175" t="str">
            <v>1 hour</v>
          </cell>
        </row>
        <row r="176">
          <cell r="F176" t="str">
            <v>717CVG0746</v>
          </cell>
          <cell r="P176" t="str">
            <v>1 hour</v>
          </cell>
        </row>
        <row r="177">
          <cell r="F177" t="str">
            <v>717CVG0745</v>
          </cell>
          <cell r="P177" t="str">
            <v>1 hour</v>
          </cell>
        </row>
        <row r="178">
          <cell r="F178" t="str">
            <v>757CVG0758</v>
          </cell>
          <cell r="P178" t="str">
            <v>1 hour</v>
          </cell>
        </row>
        <row r="179">
          <cell r="F179" t="str">
            <v>H0038HKHE</v>
          </cell>
          <cell r="P179" t="str">
            <v>15 minutes</v>
          </cell>
        </row>
        <row r="180">
          <cell r="F180" t="str">
            <v>T2031HKHE</v>
          </cell>
          <cell r="P180" t="str">
            <v>1 day</v>
          </cell>
        </row>
        <row r="181">
          <cell r="F181" t="str">
            <v>H0036HKHE</v>
          </cell>
          <cell r="P181" t="str">
            <v>1 hour</v>
          </cell>
        </row>
        <row r="182">
          <cell r="F182" t="str">
            <v>H2015HKHE</v>
          </cell>
          <cell r="P182" t="str">
            <v>15 minutes</v>
          </cell>
        </row>
        <row r="183">
          <cell r="F183" t="str">
            <v>H2019HKHQ</v>
          </cell>
          <cell r="P183" t="str">
            <v>15 minutes</v>
          </cell>
        </row>
        <row r="184">
          <cell r="F184" t="str">
            <v>H2019HKHE</v>
          </cell>
          <cell r="P184" t="str">
            <v>15 minutes</v>
          </cell>
        </row>
        <row r="185">
          <cell r="F185" t="str">
            <v>H0001HKHH</v>
          </cell>
          <cell r="P185" t="str">
            <v>1 assessment</v>
          </cell>
        </row>
        <row r="186">
          <cell r="F186" t="str">
            <v>H0005HQHH</v>
          </cell>
          <cell r="P186" t="str">
            <v>1 hour</v>
          </cell>
        </row>
        <row r="187">
          <cell r="F187" t="str">
            <v>H0004HKHE</v>
          </cell>
          <cell r="P187" t="str">
            <v>15 minutes</v>
          </cell>
        </row>
        <row r="188">
          <cell r="F188" t="str">
            <v>H2025HKHE</v>
          </cell>
          <cell r="P188" t="str">
            <v>1 hour</v>
          </cell>
        </row>
        <row r="189">
          <cell r="F189" t="str">
            <v>H2023HKHE</v>
          </cell>
          <cell r="P189" t="str">
            <v>1 hour</v>
          </cell>
        </row>
        <row r="190">
          <cell r="F190" t="str">
            <v>S5170HKHE</v>
          </cell>
          <cell r="P190" t="str">
            <v>1 meal</v>
          </cell>
        </row>
        <row r="191">
          <cell r="F191" t="str">
            <v>S5170HKHW</v>
          </cell>
          <cell r="P191" t="str">
            <v>1 meal</v>
          </cell>
        </row>
        <row r="192">
          <cell r="F192" t="str">
            <v>S5136HKHE</v>
          </cell>
          <cell r="P192" t="str">
            <v>1 day</v>
          </cell>
        </row>
        <row r="193">
          <cell r="F193" t="str">
            <v>T1005HKHE</v>
          </cell>
          <cell r="P193" t="str">
            <v>15 minutes</v>
          </cell>
        </row>
        <row r="194">
          <cell r="F194" t="str">
            <v>S9124HKHE</v>
          </cell>
          <cell r="P194" t="str">
            <v>1 hour</v>
          </cell>
        </row>
        <row r="195">
          <cell r="F195" t="str">
            <v>S9123HKHE</v>
          </cell>
          <cell r="P195" t="str">
            <v>1 hour</v>
          </cell>
        </row>
        <row r="196">
          <cell r="F196" t="str">
            <v>A0080HKHE</v>
          </cell>
          <cell r="P196" t="str">
            <v>1 mile</v>
          </cell>
        </row>
        <row r="197">
          <cell r="F197" t="str">
            <v>T2033HKHE</v>
          </cell>
          <cell r="P197" t="str">
            <v>1 day</v>
          </cell>
        </row>
        <row r="198">
          <cell r="F198" t="str">
            <v>S5140HKHE</v>
          </cell>
          <cell r="P198" t="str">
            <v>1 day</v>
          </cell>
        </row>
        <row r="199">
          <cell r="F199" t="str">
            <v>S5151HKHE</v>
          </cell>
          <cell r="P199" t="str">
            <v>1 day</v>
          </cell>
        </row>
        <row r="200">
          <cell r="F200" t="str">
            <v>H0045HKHE</v>
          </cell>
          <cell r="P200" t="str">
            <v>1 day</v>
          </cell>
        </row>
        <row r="201">
          <cell r="F201" t="str">
            <v>S5130HKHE</v>
          </cell>
          <cell r="P201" t="str">
            <v>15 minutes</v>
          </cell>
        </row>
        <row r="202">
          <cell r="F202" t="str">
            <v>H2013HKHE</v>
          </cell>
          <cell r="P202" t="str">
            <v>1 day = 18 hours, excluding 6 hours for Day Hab</v>
          </cell>
        </row>
        <row r="203">
          <cell r="F203" t="str">
            <v>T2038HKHE</v>
          </cell>
          <cell r="P203" t="str">
            <v>1 time</v>
          </cell>
        </row>
        <row r="204">
          <cell r="F204" t="str">
            <v>2135M0103</v>
          </cell>
          <cell r="P204" t="str">
            <v>1 hour</v>
          </cell>
        </row>
        <row r="205">
          <cell r="F205" t="str">
            <v>2135M0104</v>
          </cell>
          <cell r="P205" t="str">
            <v>1 hour</v>
          </cell>
        </row>
        <row r="206">
          <cell r="F206" t="str">
            <v>2143AM0133</v>
          </cell>
          <cell r="P206" t="str">
            <v>1 hour</v>
          </cell>
        </row>
        <row r="207">
          <cell r="F207" t="str">
            <v>2143AM0134</v>
          </cell>
          <cell r="P207" t="str">
            <v>1 hour</v>
          </cell>
        </row>
        <row r="208">
          <cell r="F208" t="str">
            <v>2161M0328</v>
          </cell>
          <cell r="P208" t="str">
            <v>1 hour</v>
          </cell>
        </row>
        <row r="209">
          <cell r="F209" t="str">
            <v>2161M0329</v>
          </cell>
          <cell r="P209" t="str">
            <v>1 hour</v>
          </cell>
        </row>
        <row r="210">
          <cell r="F210" t="str">
            <v>2161VM0330</v>
          </cell>
          <cell r="P210" t="str">
            <v>1 hour</v>
          </cell>
        </row>
        <row r="211">
          <cell r="F211" t="str">
            <v>2161VM0331</v>
          </cell>
          <cell r="P211" t="str">
            <v>1 hour</v>
          </cell>
        </row>
        <row r="212">
          <cell r="F212" t="str">
            <v>2163CFVM0359</v>
          </cell>
          <cell r="P212" t="str">
            <v>1 month</v>
          </cell>
        </row>
        <row r="213">
          <cell r="F213" t="str">
            <v>2163CFVM0371</v>
          </cell>
          <cell r="P213" t="str">
            <v>1 month</v>
          </cell>
        </row>
        <row r="214">
          <cell r="F214" t="str">
            <v>2163VM0112</v>
          </cell>
          <cell r="P214" t="str">
            <v>1 month</v>
          </cell>
        </row>
        <row r="215">
          <cell r="F215" t="str">
            <v>2163VM0111</v>
          </cell>
          <cell r="P215" t="str">
            <v>1 month</v>
          </cell>
        </row>
        <row r="216">
          <cell r="F216" t="str">
            <v>2157VM0162</v>
          </cell>
          <cell r="P216" t="str">
            <v>1 hour</v>
          </cell>
        </row>
        <row r="217">
          <cell r="F217" t="str">
            <v>2157VM0163</v>
          </cell>
          <cell r="P217" t="str">
            <v>1 hour</v>
          </cell>
        </row>
        <row r="218">
          <cell r="F218" t="str">
            <v>2157CFVM0411</v>
          </cell>
          <cell r="P218" t="str">
            <v>1 hour</v>
          </cell>
        </row>
        <row r="219">
          <cell r="F219" t="str">
            <v>2157CFVM0412</v>
          </cell>
          <cell r="P219" t="str">
            <v>1 hour</v>
          </cell>
        </row>
        <row r="220">
          <cell r="F220" t="str">
            <v>2110CM0115</v>
          </cell>
          <cell r="P220" t="str">
            <v>1 day (6 Hours)</v>
          </cell>
        </row>
        <row r="221">
          <cell r="F221" t="str">
            <v>2110CM0116</v>
          </cell>
          <cell r="P221" t="str">
            <v>1 day (6 Hours)</v>
          </cell>
        </row>
        <row r="222">
          <cell r="F222" t="str">
            <v>2110CM0118</v>
          </cell>
          <cell r="P222" t="str">
            <v>1 day (6 Hours)</v>
          </cell>
        </row>
        <row r="223">
          <cell r="F223" t="str">
            <v>2110CM0117</v>
          </cell>
          <cell r="P223" t="str">
            <v>1 day (6 Hours)</v>
          </cell>
        </row>
        <row r="224">
          <cell r="F224" t="str">
            <v>2110CM0119</v>
          </cell>
          <cell r="P224" t="str">
            <v>1 day (6 Hours)</v>
          </cell>
        </row>
        <row r="225">
          <cell r="F225" t="str">
            <v>2110CM0421</v>
          </cell>
          <cell r="P225" t="str">
            <v>1 day (6 Hours)</v>
          </cell>
        </row>
        <row r="226">
          <cell r="F226" t="str">
            <v>2110CM0422</v>
          </cell>
          <cell r="P226" t="str">
            <v>1 day (6 Hours)</v>
          </cell>
        </row>
        <row r="227">
          <cell r="F227" t="str">
            <v>2110CM0424</v>
          </cell>
          <cell r="P227" t="str">
            <v>1 day (6 Hours)</v>
          </cell>
        </row>
        <row r="228">
          <cell r="F228" t="str">
            <v>2110CM0423</v>
          </cell>
          <cell r="P228" t="str">
            <v>1 day (6 Hours)</v>
          </cell>
        </row>
        <row r="229">
          <cell r="F229" t="str">
            <v>2110CM0425</v>
          </cell>
          <cell r="P229" t="str">
            <v>1 day (6 Hours)</v>
          </cell>
        </row>
        <row r="230">
          <cell r="F230" t="str">
            <v>2134M0120</v>
          </cell>
          <cell r="P230" t="str">
            <v>1 hour</v>
          </cell>
        </row>
        <row r="231">
          <cell r="F231" t="str">
            <v>2134M0121</v>
          </cell>
          <cell r="P231" t="str">
            <v>1 hour</v>
          </cell>
        </row>
        <row r="232">
          <cell r="F232" t="str">
            <v>2154VM0348</v>
          </cell>
          <cell r="P232" t="str">
            <v>1 hour</v>
          </cell>
        </row>
        <row r="233">
          <cell r="F233" t="str">
            <v>2154VM0333</v>
          </cell>
          <cell r="P233" t="str">
            <v>1 hour</v>
          </cell>
        </row>
        <row r="234">
          <cell r="F234" t="str">
            <v>2154M0347</v>
          </cell>
          <cell r="P234" t="str">
            <v>1 hour</v>
          </cell>
        </row>
        <row r="235">
          <cell r="F235" t="str">
            <v>2154M0332</v>
          </cell>
          <cell r="P235" t="str">
            <v>1 hour</v>
          </cell>
        </row>
        <row r="236">
          <cell r="F236" t="str">
            <v>2137VM0349</v>
          </cell>
          <cell r="P236" t="str">
            <v>1 hour</v>
          </cell>
        </row>
        <row r="237">
          <cell r="F237" t="str">
            <v>2137VM0334</v>
          </cell>
          <cell r="P237" t="str">
            <v>1 hour</v>
          </cell>
        </row>
        <row r="238">
          <cell r="F238" t="str">
            <v>2137M0154</v>
          </cell>
          <cell r="P238" t="str">
            <v>1 hour</v>
          </cell>
        </row>
        <row r="239">
          <cell r="F239" t="str">
            <v>2137M0155</v>
          </cell>
          <cell r="P239" t="str">
            <v>1 hour</v>
          </cell>
        </row>
        <row r="240">
          <cell r="F240" t="str">
            <v>2120CFCM0358</v>
          </cell>
          <cell r="P240" t="str">
            <v>1 month</v>
          </cell>
        </row>
        <row r="241">
          <cell r="F241" t="str">
            <v>2118AM0122</v>
          </cell>
          <cell r="P241" t="str">
            <v>1 day</v>
          </cell>
        </row>
        <row r="242">
          <cell r="F242" t="str">
            <v>2118AM0123</v>
          </cell>
          <cell r="P242" t="str">
            <v>1 day</v>
          </cell>
        </row>
        <row r="243">
          <cell r="F243" t="str">
            <v>2118AM0125</v>
          </cell>
          <cell r="P243" t="str">
            <v>1 day</v>
          </cell>
        </row>
        <row r="244">
          <cell r="F244" t="str">
            <v>2118AM0124</v>
          </cell>
          <cell r="P244" t="str">
            <v>1 day</v>
          </cell>
        </row>
        <row r="245">
          <cell r="F245" t="str">
            <v>2118AM0126</v>
          </cell>
          <cell r="P245" t="str">
            <v>1 day</v>
          </cell>
        </row>
        <row r="246">
          <cell r="F246" t="str">
            <v>2123M0977</v>
          </cell>
          <cell r="P246" t="str">
            <v>1 hour</v>
          </cell>
        </row>
        <row r="247">
          <cell r="F247" t="str">
            <v>2123M0978</v>
          </cell>
          <cell r="P247" t="str">
            <v>1 hour</v>
          </cell>
        </row>
        <row r="248">
          <cell r="F248" t="str">
            <v>2123M0980</v>
          </cell>
          <cell r="P248" t="str">
            <v>1 hour</v>
          </cell>
        </row>
        <row r="249">
          <cell r="F249" t="str">
            <v>2123M1095</v>
          </cell>
          <cell r="P249" t="str">
            <v>1 hour</v>
          </cell>
        </row>
        <row r="250">
          <cell r="F250" t="str">
            <v>2123M0981</v>
          </cell>
          <cell r="P250" t="str">
            <v>1 hour</v>
          </cell>
        </row>
        <row r="251">
          <cell r="F251" t="str">
            <v>2123M0982</v>
          </cell>
          <cell r="P251" t="str">
            <v>1 hour</v>
          </cell>
        </row>
        <row r="252">
          <cell r="F252" t="str">
            <v>2123M0984</v>
          </cell>
          <cell r="P252" t="str">
            <v>1 hour</v>
          </cell>
        </row>
        <row r="253">
          <cell r="F253" t="str">
            <v>2123M1096</v>
          </cell>
          <cell r="P253" t="str">
            <v>1 hour</v>
          </cell>
        </row>
        <row r="254">
          <cell r="F254" t="str">
            <v>2123M0985</v>
          </cell>
          <cell r="P254" t="str">
            <v>1 hour</v>
          </cell>
        </row>
        <row r="255">
          <cell r="F255" t="str">
            <v>2123M0986</v>
          </cell>
          <cell r="P255" t="str">
            <v>1 hour</v>
          </cell>
        </row>
        <row r="256">
          <cell r="F256" t="str">
            <v>2123M0988</v>
          </cell>
          <cell r="P256" t="str">
            <v>1 hour</v>
          </cell>
        </row>
        <row r="257">
          <cell r="F257" t="str">
            <v>2123M1097</v>
          </cell>
          <cell r="P257" t="str">
            <v>1 hour</v>
          </cell>
        </row>
        <row r="258">
          <cell r="F258" t="str">
            <v>2123M0989</v>
          </cell>
          <cell r="P258" t="str">
            <v>1 hour</v>
          </cell>
        </row>
        <row r="259">
          <cell r="F259" t="str">
            <v>2123M0990</v>
          </cell>
          <cell r="P259" t="str">
            <v>1 hour</v>
          </cell>
        </row>
        <row r="260">
          <cell r="F260" t="str">
            <v>2123M0992</v>
          </cell>
          <cell r="P260" t="str">
            <v>1 hour</v>
          </cell>
        </row>
        <row r="261">
          <cell r="F261" t="str">
            <v>2123M1098</v>
          </cell>
          <cell r="P261" t="str">
            <v>1 hour</v>
          </cell>
        </row>
        <row r="262">
          <cell r="F262" t="str">
            <v>2123M0993</v>
          </cell>
          <cell r="P262" t="str">
            <v>1 hour</v>
          </cell>
        </row>
        <row r="263">
          <cell r="F263" t="str">
            <v>2123M0994</v>
          </cell>
          <cell r="P263" t="str">
            <v>1 hour</v>
          </cell>
        </row>
        <row r="264">
          <cell r="F264" t="str">
            <v>2123M0996</v>
          </cell>
          <cell r="P264" t="str">
            <v>1 hour</v>
          </cell>
        </row>
        <row r="265">
          <cell r="F265" t="str">
            <v>2123M1099</v>
          </cell>
          <cell r="P265" t="str">
            <v>1 hour</v>
          </cell>
        </row>
        <row r="266">
          <cell r="F266" t="str">
            <v>2123M0979</v>
          </cell>
          <cell r="P266" t="str">
            <v>1 hour</v>
          </cell>
        </row>
        <row r="267">
          <cell r="F267" t="str">
            <v>2123M1118</v>
          </cell>
          <cell r="P267" t="str">
            <v>1 hour</v>
          </cell>
        </row>
        <row r="268">
          <cell r="F268" t="str">
            <v>2123M0983</v>
          </cell>
          <cell r="P268" t="str">
            <v>1 hour</v>
          </cell>
        </row>
        <row r="269">
          <cell r="F269" t="str">
            <v>2123M1119</v>
          </cell>
          <cell r="P269" t="str">
            <v>1 hour</v>
          </cell>
        </row>
        <row r="270">
          <cell r="F270" t="str">
            <v>2123M0987</v>
          </cell>
          <cell r="P270" t="str">
            <v>1 hour</v>
          </cell>
        </row>
        <row r="271">
          <cell r="F271" t="str">
            <v>2123M0991</v>
          </cell>
          <cell r="P271" t="str">
            <v>1 hour</v>
          </cell>
        </row>
        <row r="272">
          <cell r="F272" t="str">
            <v>2113AVM0350</v>
          </cell>
          <cell r="P272" t="str">
            <v>1 hour</v>
          </cell>
        </row>
        <row r="273">
          <cell r="F273" t="str">
            <v>2113AVM0335</v>
          </cell>
          <cell r="P273" t="str">
            <v>1 hour</v>
          </cell>
        </row>
        <row r="274">
          <cell r="F274" t="str">
            <v>2113BVM0351</v>
          </cell>
          <cell r="P274" t="str">
            <v>1 hour</v>
          </cell>
        </row>
        <row r="275">
          <cell r="F275" t="str">
            <v>2113BVM0338</v>
          </cell>
          <cell r="P275" t="str">
            <v>1 hour</v>
          </cell>
        </row>
        <row r="276">
          <cell r="F276" t="str">
            <v>2113DVM0352</v>
          </cell>
          <cell r="P276" t="str">
            <v>1 hour</v>
          </cell>
        </row>
        <row r="277">
          <cell r="F277" t="str">
            <v>2113DVM0336</v>
          </cell>
          <cell r="P277" t="str">
            <v>1 hour</v>
          </cell>
        </row>
        <row r="278">
          <cell r="F278" t="str">
            <v>2113CVM0353</v>
          </cell>
          <cell r="P278" t="str">
            <v>1 hour</v>
          </cell>
        </row>
        <row r="279">
          <cell r="F279" t="str">
            <v>2113CVM0337</v>
          </cell>
          <cell r="P279" t="str">
            <v>1 hour</v>
          </cell>
        </row>
        <row r="280">
          <cell r="F280" t="str">
            <v>2113AM0298</v>
          </cell>
          <cell r="P280" t="str">
            <v>1 hour</v>
          </cell>
        </row>
        <row r="281">
          <cell r="F281" t="str">
            <v>2113AM0302</v>
          </cell>
          <cell r="P281" t="str">
            <v>1 hour</v>
          </cell>
        </row>
        <row r="282">
          <cell r="F282" t="str">
            <v>2113BM0299</v>
          </cell>
          <cell r="P282" t="str">
            <v>1 hour</v>
          </cell>
        </row>
        <row r="283">
          <cell r="F283" t="str">
            <v>2113BM0303</v>
          </cell>
          <cell r="P283" t="str">
            <v>1 hour</v>
          </cell>
        </row>
        <row r="284">
          <cell r="F284" t="str">
            <v>2113CM0301</v>
          </cell>
          <cell r="P284" t="str">
            <v>1 hour</v>
          </cell>
        </row>
        <row r="285">
          <cell r="F285" t="str">
            <v>2113CM0305</v>
          </cell>
          <cell r="P285" t="str">
            <v>1 hour</v>
          </cell>
        </row>
        <row r="286">
          <cell r="F286" t="str">
            <v>2113DM0300</v>
          </cell>
          <cell r="P286" t="str">
            <v>1 hour</v>
          </cell>
        </row>
        <row r="287">
          <cell r="F287" t="str">
            <v>2113DM0304</v>
          </cell>
          <cell r="P287" t="str">
            <v>1 hour</v>
          </cell>
        </row>
        <row r="288">
          <cell r="F288" t="str">
            <v>217M0131</v>
          </cell>
          <cell r="P288" t="str">
            <v>1 hour</v>
          </cell>
        </row>
        <row r="289">
          <cell r="F289" t="str">
            <v>217M0132</v>
          </cell>
          <cell r="P289" t="str">
            <v>1 hour</v>
          </cell>
        </row>
        <row r="290">
          <cell r="F290" t="str">
            <v>2110CFVM0355</v>
          </cell>
          <cell r="P290" t="str">
            <v>1 hour</v>
          </cell>
        </row>
        <row r="291">
          <cell r="F291" t="str">
            <v>2110CFVM0367</v>
          </cell>
          <cell r="P291" t="str">
            <v>1 hour</v>
          </cell>
        </row>
        <row r="292">
          <cell r="F292" t="str">
            <v>2110CFCM0354</v>
          </cell>
          <cell r="P292" t="str">
            <v>1 hour</v>
          </cell>
        </row>
        <row r="293">
          <cell r="F293" t="str">
            <v>2110CFCM0366</v>
          </cell>
          <cell r="P293" t="str">
            <v>1 hour</v>
          </cell>
        </row>
        <row r="294">
          <cell r="F294" t="str">
            <v>2148M0372</v>
          </cell>
          <cell r="P294" t="str">
            <v>1 hour</v>
          </cell>
        </row>
        <row r="295">
          <cell r="F295" t="str">
            <v>2148M0374</v>
          </cell>
          <cell r="P295" t="str">
            <v>1 hour</v>
          </cell>
        </row>
        <row r="296">
          <cell r="F296" t="str">
            <v>2148VM0373</v>
          </cell>
          <cell r="P296" t="str">
            <v>1 hour</v>
          </cell>
        </row>
        <row r="297">
          <cell r="F297" t="str">
            <v>2148VM0418</v>
          </cell>
          <cell r="P297" t="str">
            <v>1 hour</v>
          </cell>
        </row>
        <row r="298">
          <cell r="F298" t="str">
            <v>218M0135</v>
          </cell>
          <cell r="P298" t="str">
            <v>1 hour</v>
          </cell>
        </row>
        <row r="299">
          <cell r="F299" t="str">
            <v>218M0136</v>
          </cell>
          <cell r="P299" t="str">
            <v>1 hour</v>
          </cell>
        </row>
        <row r="300">
          <cell r="F300" t="str">
            <v>2141M0248</v>
          </cell>
          <cell r="P300" t="str">
            <v>dollar range</v>
          </cell>
        </row>
        <row r="301">
          <cell r="F301" t="str">
            <v>2141M0249</v>
          </cell>
          <cell r="P301" t="str">
            <v>dollar range</v>
          </cell>
        </row>
        <row r="302">
          <cell r="F302" t="str">
            <v>2141M0250</v>
          </cell>
          <cell r="P302" t="str">
            <v>dollar range</v>
          </cell>
        </row>
        <row r="303">
          <cell r="F303" t="str">
            <v>2141M0251</v>
          </cell>
          <cell r="P303" t="str">
            <v>dollar range</v>
          </cell>
        </row>
        <row r="304">
          <cell r="F304" t="str">
            <v>2141M0252</v>
          </cell>
          <cell r="P304" t="str">
            <v>dollar range</v>
          </cell>
        </row>
        <row r="305">
          <cell r="F305" t="str">
            <v>2141M0253</v>
          </cell>
          <cell r="P305" t="str">
            <v>dollar range</v>
          </cell>
        </row>
        <row r="306">
          <cell r="F306" t="str">
            <v>2141M0254</v>
          </cell>
          <cell r="P306" t="str">
            <v>dollar range</v>
          </cell>
        </row>
        <row r="307">
          <cell r="F307" t="str">
            <v>2141M0255</v>
          </cell>
          <cell r="P307" t="str">
            <v>dollar range</v>
          </cell>
        </row>
        <row r="308">
          <cell r="F308" t="str">
            <v>2141M0256</v>
          </cell>
          <cell r="P308" t="str">
            <v>dollar range</v>
          </cell>
        </row>
        <row r="309">
          <cell r="F309" t="str">
            <v>2141M0257</v>
          </cell>
          <cell r="P309" t="str">
            <v>dollar range</v>
          </cell>
        </row>
        <row r="310">
          <cell r="F310" t="str">
            <v>2141M0258</v>
          </cell>
          <cell r="P310" t="str">
            <v>dollar range</v>
          </cell>
        </row>
        <row r="311">
          <cell r="F311" t="str">
            <v>2141M0259</v>
          </cell>
          <cell r="P311" t="str">
            <v>dollar range</v>
          </cell>
        </row>
        <row r="312">
          <cell r="F312" t="str">
            <v>2141M0260</v>
          </cell>
          <cell r="P312" t="str">
            <v>dollar range</v>
          </cell>
        </row>
        <row r="313">
          <cell r="F313" t="str">
            <v>2141M0261</v>
          </cell>
          <cell r="P313" t="str">
            <v>dollar range</v>
          </cell>
        </row>
        <row r="314">
          <cell r="F314" t="str">
            <v>2141M0262</v>
          </cell>
          <cell r="P314" t="str">
            <v>dollar range</v>
          </cell>
        </row>
        <row r="315">
          <cell r="F315" t="str">
            <v>2141M0263</v>
          </cell>
          <cell r="P315" t="str">
            <v>dollar range</v>
          </cell>
        </row>
        <row r="316">
          <cell r="F316" t="str">
            <v>2141M0264</v>
          </cell>
          <cell r="P316" t="str">
            <v>dollar range</v>
          </cell>
        </row>
        <row r="317">
          <cell r="F317" t="str">
            <v>2141M0265</v>
          </cell>
          <cell r="P317" t="str">
            <v>dollar range</v>
          </cell>
        </row>
        <row r="318">
          <cell r="F318" t="str">
            <v>2141M0266</v>
          </cell>
          <cell r="P318" t="str">
            <v>dollar range</v>
          </cell>
        </row>
        <row r="319">
          <cell r="F319" t="str">
            <v>2141M0267</v>
          </cell>
          <cell r="P319" t="str">
            <v>dollar range</v>
          </cell>
        </row>
        <row r="320">
          <cell r="F320" t="str">
            <v>2141M0268</v>
          </cell>
          <cell r="P320" t="str">
            <v>dollar range</v>
          </cell>
        </row>
        <row r="321">
          <cell r="F321" t="str">
            <v>2141M0269</v>
          </cell>
          <cell r="P321" t="str">
            <v>dollar range</v>
          </cell>
        </row>
        <row r="322">
          <cell r="F322" t="str">
            <v>2141EM0315</v>
          </cell>
          <cell r="P322" t="str">
            <v>dollar range</v>
          </cell>
        </row>
        <row r="323">
          <cell r="F323" t="str">
            <v>2141EM0318</v>
          </cell>
          <cell r="P323" t="str">
            <v>dollar range</v>
          </cell>
        </row>
        <row r="324">
          <cell r="F324" t="str">
            <v>2141EM0316</v>
          </cell>
          <cell r="P324" t="str">
            <v>dollar range</v>
          </cell>
        </row>
        <row r="325">
          <cell r="F325" t="str">
            <v>2141EM0319</v>
          </cell>
          <cell r="P325" t="str">
            <v>dollar range</v>
          </cell>
        </row>
        <row r="326">
          <cell r="F326" t="str">
            <v>2141EM0320</v>
          </cell>
          <cell r="P326" t="str">
            <v>dollar range</v>
          </cell>
        </row>
        <row r="327">
          <cell r="F327" t="str">
            <v>2141EM0317</v>
          </cell>
          <cell r="P327" t="str">
            <v>dollar range</v>
          </cell>
        </row>
        <row r="328">
          <cell r="F328" t="str">
            <v>2141EM0953</v>
          </cell>
          <cell r="P328" t="str">
            <v>dollar range</v>
          </cell>
        </row>
        <row r="329">
          <cell r="F329" t="str">
            <v>2141EM0961</v>
          </cell>
          <cell r="P329" t="str">
            <v>dollar range</v>
          </cell>
        </row>
        <row r="330">
          <cell r="F330" t="str">
            <v>2141EM0954</v>
          </cell>
          <cell r="P330" t="str">
            <v>dollar range</v>
          </cell>
        </row>
        <row r="331">
          <cell r="F331" t="str">
            <v>2141EM0962</v>
          </cell>
          <cell r="P331" t="str">
            <v>dollar range</v>
          </cell>
        </row>
        <row r="332">
          <cell r="F332" t="str">
            <v>2141EM0955</v>
          </cell>
          <cell r="P332" t="str">
            <v>dollar range</v>
          </cell>
        </row>
        <row r="333">
          <cell r="F333" t="str">
            <v>2141EM0963</v>
          </cell>
          <cell r="P333" t="str">
            <v>dollar range</v>
          </cell>
        </row>
        <row r="334">
          <cell r="F334" t="str">
            <v>2141EM0956</v>
          </cell>
          <cell r="P334" t="str">
            <v>dollar range</v>
          </cell>
        </row>
        <row r="335">
          <cell r="F335" t="str">
            <v>2141EM0964</v>
          </cell>
          <cell r="P335" t="str">
            <v>dollar range</v>
          </cell>
        </row>
        <row r="336">
          <cell r="F336" t="str">
            <v>2141EM0957</v>
          </cell>
          <cell r="P336" t="str">
            <v>dollar range</v>
          </cell>
        </row>
        <row r="337">
          <cell r="F337" t="str">
            <v>2141EM0965</v>
          </cell>
          <cell r="P337" t="str">
            <v>dollar range</v>
          </cell>
        </row>
        <row r="338">
          <cell r="F338" t="str">
            <v>2141EM0958</v>
          </cell>
          <cell r="P338" t="str">
            <v>dollar range</v>
          </cell>
        </row>
        <row r="339">
          <cell r="F339" t="str">
            <v>2141EM0966</v>
          </cell>
          <cell r="P339" t="str">
            <v>dollar range</v>
          </cell>
        </row>
        <row r="340">
          <cell r="F340" t="str">
            <v>2141EM0959</v>
          </cell>
          <cell r="P340" t="str">
            <v>dollar range</v>
          </cell>
        </row>
        <row r="341">
          <cell r="F341" t="str">
            <v>2141EM0967</v>
          </cell>
          <cell r="P341" t="str">
            <v>dollar range</v>
          </cell>
        </row>
        <row r="342">
          <cell r="F342" t="str">
            <v>2141EM0960</v>
          </cell>
          <cell r="P342" t="str">
            <v>dollar range</v>
          </cell>
        </row>
        <row r="343">
          <cell r="F343" t="str">
            <v>2141EM0968</v>
          </cell>
          <cell r="P343" t="str">
            <v>dollar range</v>
          </cell>
        </row>
        <row r="344">
          <cell r="F344" t="str">
            <v>2141BAM0383</v>
          </cell>
          <cell r="P344" t="str">
            <v>dollar range</v>
          </cell>
        </row>
        <row r="345">
          <cell r="F345" t="str">
            <v>2141BAM0384</v>
          </cell>
          <cell r="P345" t="str">
            <v>dollar range</v>
          </cell>
        </row>
        <row r="346">
          <cell r="F346" t="str">
            <v>2141BAM0385</v>
          </cell>
          <cell r="P346" t="str">
            <v>dollar range</v>
          </cell>
        </row>
        <row r="347">
          <cell r="F347" t="str">
            <v>2141BAM0386</v>
          </cell>
          <cell r="P347" t="str">
            <v>dollar range</v>
          </cell>
        </row>
        <row r="348">
          <cell r="F348" t="str">
            <v>2141BAM0387</v>
          </cell>
          <cell r="P348" t="str">
            <v>dollar range</v>
          </cell>
        </row>
        <row r="349">
          <cell r="F349" t="str">
            <v>2141BAM0388</v>
          </cell>
          <cell r="P349" t="str">
            <v>dollar range</v>
          </cell>
        </row>
        <row r="350">
          <cell r="F350" t="str">
            <v>2141BAM0389</v>
          </cell>
          <cell r="P350" t="str">
            <v>dollar range</v>
          </cell>
        </row>
        <row r="351">
          <cell r="F351" t="str">
            <v>2141BAM0390</v>
          </cell>
          <cell r="P351" t="str">
            <v>dollar range</v>
          </cell>
        </row>
        <row r="352">
          <cell r="F352" t="str">
            <v>2141BAM0391</v>
          </cell>
          <cell r="P352" t="str">
            <v>dollar range</v>
          </cell>
        </row>
        <row r="353">
          <cell r="F353" t="str">
            <v>2141BAM0392</v>
          </cell>
          <cell r="P353" t="str">
            <v>dollar range</v>
          </cell>
        </row>
        <row r="354">
          <cell r="F354" t="str">
            <v>2141BAM0393</v>
          </cell>
          <cell r="P354" t="str">
            <v>dollar range</v>
          </cell>
        </row>
        <row r="355">
          <cell r="F355" t="str">
            <v>2141BAM0394</v>
          </cell>
          <cell r="P355" t="str">
            <v>dollar range</v>
          </cell>
        </row>
        <row r="356">
          <cell r="F356" t="str">
            <v>2141BAM0395</v>
          </cell>
          <cell r="P356" t="str">
            <v>dollar range</v>
          </cell>
        </row>
        <row r="357">
          <cell r="F357" t="str">
            <v>2141BAM0396</v>
          </cell>
          <cell r="P357" t="str">
            <v>dollar range</v>
          </cell>
        </row>
        <row r="358">
          <cell r="F358" t="str">
            <v>2141BAM0397</v>
          </cell>
          <cell r="P358" t="str">
            <v>dollar range</v>
          </cell>
        </row>
        <row r="359">
          <cell r="F359" t="str">
            <v>2141BAM0398</v>
          </cell>
          <cell r="P359" t="str">
            <v>dollar range</v>
          </cell>
        </row>
        <row r="360">
          <cell r="F360" t="str">
            <v>2141BAM0399</v>
          </cell>
          <cell r="P360" t="str">
            <v>dollar range</v>
          </cell>
        </row>
        <row r="361">
          <cell r="F361" t="str">
            <v>2141BAM0400</v>
          </cell>
          <cell r="P361" t="str">
            <v>dollar range</v>
          </cell>
        </row>
        <row r="362">
          <cell r="F362" t="str">
            <v>2141BAM0401</v>
          </cell>
          <cell r="P362" t="str">
            <v>dollar range</v>
          </cell>
        </row>
        <row r="363">
          <cell r="F363" t="str">
            <v>2141BAM0402</v>
          </cell>
          <cell r="P363" t="str">
            <v>dollar range</v>
          </cell>
        </row>
        <row r="364">
          <cell r="F364" t="str">
            <v>2141BAM0403</v>
          </cell>
          <cell r="P364" t="str">
            <v>dollar range</v>
          </cell>
        </row>
        <row r="365">
          <cell r="F365" t="str">
            <v>2141BAM0404</v>
          </cell>
          <cell r="P365" t="str">
            <v>dollar range</v>
          </cell>
        </row>
        <row r="366">
          <cell r="F366" t="str">
            <v>2141BAM0405</v>
          </cell>
          <cell r="P366" t="str">
            <v>dollar range</v>
          </cell>
        </row>
        <row r="367">
          <cell r="F367" t="str">
            <v>2141BAM0406</v>
          </cell>
          <cell r="P367" t="str">
            <v>dollar range</v>
          </cell>
        </row>
        <row r="368">
          <cell r="F368" t="str">
            <v>2141BAM0407</v>
          </cell>
          <cell r="P368" t="str">
            <v>dollar range</v>
          </cell>
        </row>
        <row r="369">
          <cell r="F369" t="str">
            <v>2141BAM0408</v>
          </cell>
          <cell r="P369" t="str">
            <v>dollar range</v>
          </cell>
        </row>
        <row r="370">
          <cell r="F370" t="str">
            <v>2141BAM0409</v>
          </cell>
          <cell r="P370" t="str">
            <v>dollar range</v>
          </cell>
        </row>
        <row r="371">
          <cell r="F371" t="str">
            <v>2141BAM0410</v>
          </cell>
          <cell r="P371" t="str">
            <v>dollar range</v>
          </cell>
        </row>
        <row r="372">
          <cell r="F372" t="str">
            <v>2141BM0430</v>
          </cell>
          <cell r="P372" t="str">
            <v>dollar range</v>
          </cell>
        </row>
        <row r="373">
          <cell r="F373" t="str">
            <v>2141BM0431</v>
          </cell>
          <cell r="P373" t="str">
            <v>dollar range</v>
          </cell>
        </row>
        <row r="374">
          <cell r="F374" t="str">
            <v>2141BM0432</v>
          </cell>
          <cell r="P374" t="str">
            <v>dollar range</v>
          </cell>
        </row>
        <row r="375">
          <cell r="F375" t="str">
            <v>2141BM0433</v>
          </cell>
          <cell r="P375" t="str">
            <v>dollar range</v>
          </cell>
        </row>
        <row r="376">
          <cell r="F376" t="str">
            <v>2141BM0434</v>
          </cell>
          <cell r="P376" t="str">
            <v>dollar range</v>
          </cell>
        </row>
        <row r="377">
          <cell r="F377" t="str">
            <v>2141BM0435</v>
          </cell>
          <cell r="P377" t="str">
            <v>dollar range</v>
          </cell>
        </row>
        <row r="378">
          <cell r="F378" t="str">
            <v>2141BM0436</v>
          </cell>
          <cell r="P378" t="str">
            <v>dollar range</v>
          </cell>
        </row>
        <row r="379">
          <cell r="F379" t="str">
            <v>2141BM0437</v>
          </cell>
          <cell r="P379" t="str">
            <v>dollar range</v>
          </cell>
        </row>
        <row r="380">
          <cell r="F380" t="str">
            <v>2141BM0438</v>
          </cell>
          <cell r="P380" t="str">
            <v>dollar range</v>
          </cell>
        </row>
        <row r="381">
          <cell r="F381" t="str">
            <v>2141BM0439</v>
          </cell>
          <cell r="P381" t="str">
            <v>dollar range</v>
          </cell>
        </row>
        <row r="382">
          <cell r="F382" t="str">
            <v>2141BM0440</v>
          </cell>
          <cell r="P382" t="str">
            <v>dollar range</v>
          </cell>
        </row>
        <row r="383">
          <cell r="F383" t="str">
            <v>2141BM0441</v>
          </cell>
          <cell r="P383" t="str">
            <v>dollar range</v>
          </cell>
        </row>
        <row r="384">
          <cell r="F384" t="str">
            <v>2141BM0442</v>
          </cell>
          <cell r="P384" t="str">
            <v>dollar range</v>
          </cell>
        </row>
        <row r="385">
          <cell r="F385" t="str">
            <v>2141BM0443</v>
          </cell>
          <cell r="P385" t="str">
            <v>dollar range</v>
          </cell>
        </row>
        <row r="386">
          <cell r="F386" t="str">
            <v>2141BM0444</v>
          </cell>
          <cell r="P386" t="str">
            <v>dollar range</v>
          </cell>
        </row>
        <row r="387">
          <cell r="F387" t="str">
            <v>2141BM0445</v>
          </cell>
          <cell r="P387" t="str">
            <v>dollar range</v>
          </cell>
        </row>
        <row r="388">
          <cell r="F388" t="str">
            <v>2141BM0446</v>
          </cell>
          <cell r="P388" t="str">
            <v>dollar range</v>
          </cell>
        </row>
        <row r="389">
          <cell r="F389" t="str">
            <v>2141BM0447</v>
          </cell>
          <cell r="P389" t="str">
            <v>dollar range</v>
          </cell>
        </row>
        <row r="390">
          <cell r="F390" t="str">
            <v>2141BM0448</v>
          </cell>
          <cell r="P390" t="str">
            <v>dollar range</v>
          </cell>
        </row>
        <row r="391">
          <cell r="F391" t="str">
            <v>2141BM0449</v>
          </cell>
          <cell r="P391" t="str">
            <v>dollar range</v>
          </cell>
        </row>
        <row r="392">
          <cell r="F392" t="str">
            <v>2141BM0450</v>
          </cell>
          <cell r="P392" t="str">
            <v>dollar range</v>
          </cell>
        </row>
        <row r="393">
          <cell r="F393" t="str">
            <v>2141BM0451</v>
          </cell>
          <cell r="P393" t="str">
            <v>dollar range</v>
          </cell>
        </row>
        <row r="394">
          <cell r="F394" t="str">
            <v>2141BM0452</v>
          </cell>
          <cell r="P394" t="str">
            <v>dollar range</v>
          </cell>
        </row>
        <row r="395">
          <cell r="F395" t="str">
            <v>2141BM0453</v>
          </cell>
          <cell r="P395" t="str">
            <v>dollar range</v>
          </cell>
        </row>
        <row r="396">
          <cell r="F396" t="str">
            <v>2141BM0454</v>
          </cell>
          <cell r="P396" t="str">
            <v>dollar range</v>
          </cell>
        </row>
        <row r="397">
          <cell r="F397" t="str">
            <v>2141BM0455</v>
          </cell>
          <cell r="P397" t="str">
            <v>dollar range</v>
          </cell>
        </row>
        <row r="398">
          <cell r="F398" t="str">
            <v>2141BM0456</v>
          </cell>
          <cell r="P398" t="str">
            <v>dollar range</v>
          </cell>
        </row>
        <row r="399">
          <cell r="F399" t="str">
            <v>2141BM0457</v>
          </cell>
          <cell r="P399" t="str">
            <v>dollar range</v>
          </cell>
        </row>
        <row r="400">
          <cell r="F400" t="str">
            <v>2111XVM0145</v>
          </cell>
          <cell r="P400" t="str">
            <v>1 hour</v>
          </cell>
        </row>
        <row r="401">
          <cell r="F401" t="str">
            <v>2111XVM0146</v>
          </cell>
          <cell r="P401" t="str">
            <v>1 hour</v>
          </cell>
        </row>
        <row r="402">
          <cell r="F402" t="str">
            <v>2111XM0143</v>
          </cell>
          <cell r="P402" t="str">
            <v>1 hour</v>
          </cell>
        </row>
        <row r="403">
          <cell r="F403" t="str">
            <v>2111XM0144</v>
          </cell>
          <cell r="P403" t="str">
            <v>1 hour</v>
          </cell>
        </row>
        <row r="404">
          <cell r="F404" t="str">
            <v>2146M0149</v>
          </cell>
          <cell r="P404" t="str">
            <v>1 day = 18 hours, excluding 6 hours for Day Hab</v>
          </cell>
        </row>
        <row r="405">
          <cell r="F405" t="str">
            <v>2146M0150</v>
          </cell>
          <cell r="P405" t="str">
            <v>1 day = 18 hours, excluding 6 hours for Day Hab</v>
          </cell>
        </row>
        <row r="406">
          <cell r="F406" t="str">
            <v>2146M0151</v>
          </cell>
          <cell r="P406" t="str">
            <v>1 day = 18 hours, excluding 6 hours for Day Hab</v>
          </cell>
        </row>
        <row r="407">
          <cell r="F407" t="str">
            <v>2146M0152</v>
          </cell>
          <cell r="P407" t="str">
            <v>1 day = 18 hours, excluding 6 hours for Day Hab</v>
          </cell>
        </row>
        <row r="408">
          <cell r="F408" t="str">
            <v>2146M0153</v>
          </cell>
          <cell r="P408" t="str">
            <v>1 day = 18 hours, excluding 6 hours for Day Hab</v>
          </cell>
        </row>
        <row r="409">
          <cell r="F409" t="str">
            <v>2147M0166</v>
          </cell>
          <cell r="P409" t="str">
            <v>1 day = 18 hours, excluding 6 hours for Day Hab</v>
          </cell>
        </row>
        <row r="410">
          <cell r="F410" t="str">
            <v>2147M0167</v>
          </cell>
          <cell r="P410" t="str">
            <v>1 day = 18 hours, excluding 6 hours for Day Hab</v>
          </cell>
        </row>
        <row r="411">
          <cell r="F411" t="str">
            <v>2147M0168</v>
          </cell>
          <cell r="P411" t="str">
            <v>1 day = 18 hours, excluding 6 hours for Day Hab</v>
          </cell>
        </row>
        <row r="412">
          <cell r="F412" t="str">
            <v>2147M0169</v>
          </cell>
          <cell r="P412" t="str">
            <v>1 day = 18 hours, excluding 6 hours for Day Hab</v>
          </cell>
        </row>
        <row r="413">
          <cell r="F413" t="str">
            <v>2147M0170</v>
          </cell>
          <cell r="P413" t="str">
            <v>1 day = 18 hours, excluding 6 hours for Day Hab</v>
          </cell>
        </row>
        <row r="414">
          <cell r="F414" t="str">
            <v>2136M0173</v>
          </cell>
          <cell r="P414" t="str">
            <v>1 hour</v>
          </cell>
        </row>
        <row r="415">
          <cell r="F415" t="str">
            <v>2136M0174</v>
          </cell>
          <cell r="P415" t="str">
            <v>1 hour</v>
          </cell>
        </row>
        <row r="416">
          <cell r="F416" t="str">
            <v>219M0171</v>
          </cell>
          <cell r="P416" t="str">
            <v>1 hour</v>
          </cell>
        </row>
        <row r="417">
          <cell r="F417" t="str">
            <v>219M0172</v>
          </cell>
          <cell r="P417" t="str">
            <v>1 hour</v>
          </cell>
        </row>
        <row r="418">
          <cell r="F418" t="str">
            <v>2153AM0377</v>
          </cell>
          <cell r="P418" t="str">
            <v>1 time</v>
          </cell>
        </row>
        <row r="419">
          <cell r="F419" t="str">
            <v>2153AM0378</v>
          </cell>
          <cell r="P419" t="str">
            <v>1 time</v>
          </cell>
        </row>
        <row r="420">
          <cell r="F420" t="str">
            <v>2120CFCM0370</v>
          </cell>
          <cell r="P420" t="str">
            <v>1 month</v>
          </cell>
        </row>
        <row r="421">
          <cell r="F421" t="str">
            <v>725C0100</v>
          </cell>
          <cell r="P421" t="str">
            <v>1 meal</v>
          </cell>
        </row>
        <row r="422">
          <cell r="F422" t="str">
            <v>831AF0234</v>
          </cell>
          <cell r="P422" t="str">
            <v>1 day</v>
          </cell>
        </row>
        <row r="423">
          <cell r="F423" t="str">
            <v>831AF0243</v>
          </cell>
          <cell r="P423" t="str">
            <v>1 day</v>
          </cell>
        </row>
        <row r="424">
          <cell r="F424" t="str">
            <v>831AF0238</v>
          </cell>
          <cell r="P424" t="str">
            <v>1 day</v>
          </cell>
        </row>
        <row r="425">
          <cell r="F425" t="str">
            <v>831AF0239</v>
          </cell>
          <cell r="P425" t="str">
            <v>1 day</v>
          </cell>
        </row>
        <row r="426">
          <cell r="F426" t="str">
            <v>831AF0240</v>
          </cell>
          <cell r="P426" t="str">
            <v>1 day</v>
          </cell>
        </row>
        <row r="427">
          <cell r="F427" t="str">
            <v>831AF0241</v>
          </cell>
          <cell r="P427" t="str">
            <v>1 day</v>
          </cell>
        </row>
        <row r="428">
          <cell r="F428" t="str">
            <v>831F0100</v>
          </cell>
          <cell r="P428" t="str">
            <v>1 day</v>
          </cell>
        </row>
        <row r="429">
          <cell r="F429" t="str">
            <v>831F0225</v>
          </cell>
          <cell r="P429" t="str">
            <v>1 day</v>
          </cell>
        </row>
        <row r="430">
          <cell r="F430" t="str">
            <v>831F0206</v>
          </cell>
          <cell r="P430" t="str">
            <v>1 day</v>
          </cell>
        </row>
        <row r="431">
          <cell r="F431" t="str">
            <v>831F0207</v>
          </cell>
          <cell r="P431" t="str">
            <v>1 day</v>
          </cell>
        </row>
        <row r="432">
          <cell r="F432" t="str">
            <v>831F0208</v>
          </cell>
          <cell r="P432" t="str">
            <v>1 day</v>
          </cell>
        </row>
        <row r="433">
          <cell r="F433" t="str">
            <v>831RG024</v>
          </cell>
          <cell r="P433" t="str">
            <v>1 day</v>
          </cell>
        </row>
        <row r="434">
          <cell r="F434" t="str">
            <v>831RG022</v>
          </cell>
          <cell r="P434" t="str">
            <v>1 day</v>
          </cell>
        </row>
        <row r="435">
          <cell r="F435" t="str">
            <v>831RG021</v>
          </cell>
          <cell r="P435" t="str">
            <v>1 day</v>
          </cell>
        </row>
        <row r="436">
          <cell r="F436" t="str">
            <v>831RG016</v>
          </cell>
          <cell r="P436" t="str">
            <v>1 day</v>
          </cell>
        </row>
        <row r="437">
          <cell r="F437" t="str">
            <v>831RG015</v>
          </cell>
          <cell r="P437" t="str">
            <v>1 day</v>
          </cell>
        </row>
        <row r="438">
          <cell r="F438" t="str">
            <v>831RG014</v>
          </cell>
          <cell r="P438" t="str">
            <v>1 day</v>
          </cell>
        </row>
        <row r="439">
          <cell r="F439" t="str">
            <v>831RG013</v>
          </cell>
          <cell r="P439" t="str">
            <v>1 day</v>
          </cell>
        </row>
        <row r="440">
          <cell r="F440" t="str">
            <v>831RG012</v>
          </cell>
          <cell r="P440" t="str">
            <v>1 day</v>
          </cell>
        </row>
        <row r="441">
          <cell r="F441" t="str">
            <v>831RG011</v>
          </cell>
          <cell r="P441" t="str">
            <v>1 day</v>
          </cell>
        </row>
        <row r="442">
          <cell r="F442" t="str">
            <v>831RG020</v>
          </cell>
          <cell r="P442" t="str">
            <v>1 day</v>
          </cell>
        </row>
        <row r="443">
          <cell r="F443" t="str">
            <v>831RG019</v>
          </cell>
          <cell r="P443" t="str">
            <v>1 day</v>
          </cell>
        </row>
        <row r="444">
          <cell r="F444" t="str">
            <v>831RG018</v>
          </cell>
          <cell r="P444" t="str">
            <v>1 day</v>
          </cell>
        </row>
        <row r="445">
          <cell r="F445" t="str">
            <v>831RG017</v>
          </cell>
          <cell r="P445" t="str">
            <v>1 day</v>
          </cell>
        </row>
        <row r="446">
          <cell r="F446" t="str">
            <v>831RG034</v>
          </cell>
          <cell r="P446" t="str">
            <v>1 day</v>
          </cell>
        </row>
        <row r="447">
          <cell r="F447" t="str">
            <v>831RG033</v>
          </cell>
          <cell r="P447" t="str">
            <v>1 day</v>
          </cell>
        </row>
        <row r="448">
          <cell r="F448" t="str">
            <v>831RG032</v>
          </cell>
          <cell r="P448" t="str">
            <v>1 day</v>
          </cell>
        </row>
        <row r="449">
          <cell r="F449" t="str">
            <v>831RG031</v>
          </cell>
          <cell r="P449" t="str">
            <v>1 day</v>
          </cell>
        </row>
        <row r="450">
          <cell r="F450" t="str">
            <v>831RG030</v>
          </cell>
          <cell r="P450" t="str">
            <v>1 day</v>
          </cell>
        </row>
        <row r="451">
          <cell r="F451" t="str">
            <v>831RG029</v>
          </cell>
          <cell r="P451" t="str">
            <v>1 day</v>
          </cell>
        </row>
        <row r="452">
          <cell r="F452" t="str">
            <v>831RG036</v>
          </cell>
          <cell r="P452" t="str">
            <v>1 day</v>
          </cell>
        </row>
        <row r="453">
          <cell r="F453" t="str">
            <v>831RG028</v>
          </cell>
          <cell r="P453" t="str">
            <v>1 day</v>
          </cell>
        </row>
        <row r="454">
          <cell r="F454" t="str">
            <v>831RG027</v>
          </cell>
          <cell r="P454" t="str">
            <v>1 day</v>
          </cell>
        </row>
        <row r="455">
          <cell r="F455" t="str">
            <v>831RG026</v>
          </cell>
          <cell r="P455" t="str">
            <v>1 day</v>
          </cell>
        </row>
        <row r="456">
          <cell r="F456" t="str">
            <v>831RG025</v>
          </cell>
          <cell r="P456" t="str">
            <v>1 day</v>
          </cell>
        </row>
        <row r="457">
          <cell r="F457" t="str">
            <v>831RG004</v>
          </cell>
          <cell r="P457" t="str">
            <v>1 day</v>
          </cell>
        </row>
        <row r="458">
          <cell r="F458" t="str">
            <v>831RG003</v>
          </cell>
          <cell r="P458" t="str">
            <v>1 day</v>
          </cell>
        </row>
        <row r="459">
          <cell r="F459" t="str">
            <v>831RG002</v>
          </cell>
          <cell r="P459" t="str">
            <v>1 day</v>
          </cell>
        </row>
        <row r="460">
          <cell r="F460" t="str">
            <v>831RG001</v>
          </cell>
          <cell r="P460" t="str">
            <v>1 day</v>
          </cell>
        </row>
        <row r="461">
          <cell r="F461" t="str">
            <v>831RG007</v>
          </cell>
          <cell r="P461" t="str">
            <v>1 day</v>
          </cell>
        </row>
        <row r="462">
          <cell r="F462" t="str">
            <v>831RG006</v>
          </cell>
          <cell r="P462" t="str">
            <v>1 day</v>
          </cell>
        </row>
        <row r="463">
          <cell r="F463" t="str">
            <v>831RG005</v>
          </cell>
          <cell r="P463" t="str">
            <v>1 day</v>
          </cell>
        </row>
        <row r="464">
          <cell r="F464" t="str">
            <v>831RG010</v>
          </cell>
          <cell r="P464" t="str">
            <v>1 day</v>
          </cell>
        </row>
        <row r="465">
          <cell r="F465" t="str">
            <v>831RG009</v>
          </cell>
          <cell r="P465" t="str">
            <v>1 day</v>
          </cell>
        </row>
        <row r="466">
          <cell r="F466" t="str">
            <v>831RG008</v>
          </cell>
          <cell r="P466" t="str">
            <v>1 day</v>
          </cell>
        </row>
        <row r="467">
          <cell r="F467" t="e">
            <v>#N/A</v>
          </cell>
          <cell r="P467" t="str">
            <v>1 day</v>
          </cell>
        </row>
        <row r="468">
          <cell r="F468" t="str">
            <v>T0480</v>
          </cell>
          <cell r="P468"/>
        </row>
        <row r="469">
          <cell r="F469" t="str">
            <v>T0481KX</v>
          </cell>
          <cell r="P469"/>
        </row>
        <row r="470">
          <cell r="F470" t="str">
            <v>T0476</v>
          </cell>
          <cell r="P470"/>
        </row>
        <row r="471">
          <cell r="F471" t="str">
            <v>T0477KX</v>
          </cell>
          <cell r="P471"/>
        </row>
        <row r="472">
          <cell r="F472" t="str">
            <v>T0474</v>
          </cell>
          <cell r="P472"/>
        </row>
        <row r="473">
          <cell r="F473" t="str">
            <v>T0475KX</v>
          </cell>
          <cell r="P473"/>
        </row>
        <row r="474">
          <cell r="F474" t="str">
            <v>T0468</v>
          </cell>
          <cell r="P474"/>
        </row>
        <row r="475">
          <cell r="F475" t="str">
            <v>T0469KX</v>
          </cell>
          <cell r="P475"/>
        </row>
        <row r="476">
          <cell r="F476" t="str">
            <v>T0466</v>
          </cell>
          <cell r="P476"/>
        </row>
        <row r="477">
          <cell r="F477" t="str">
            <v>T0467KX</v>
          </cell>
          <cell r="P477"/>
        </row>
        <row r="478">
          <cell r="F478" t="str">
            <v>T0464</v>
          </cell>
          <cell r="P478"/>
        </row>
        <row r="479">
          <cell r="F479" t="str">
            <v>T0465KX</v>
          </cell>
          <cell r="P479"/>
        </row>
        <row r="480">
          <cell r="F480" t="str">
            <v>T0462</v>
          </cell>
          <cell r="P480"/>
        </row>
        <row r="481">
          <cell r="F481" t="str">
            <v>T0463KX</v>
          </cell>
          <cell r="P481"/>
        </row>
        <row r="482">
          <cell r="F482" t="str">
            <v>T0460</v>
          </cell>
          <cell r="P482"/>
        </row>
        <row r="483">
          <cell r="F483" t="str">
            <v>T0461KX</v>
          </cell>
          <cell r="P483"/>
        </row>
        <row r="484">
          <cell r="F484" t="str">
            <v>T0458</v>
          </cell>
          <cell r="P484"/>
        </row>
        <row r="485">
          <cell r="F485" t="str">
            <v>T0459KX</v>
          </cell>
          <cell r="P485"/>
        </row>
        <row r="486">
          <cell r="F486" t="str">
            <v>T0456</v>
          </cell>
          <cell r="P486"/>
        </row>
        <row r="487">
          <cell r="F487" t="str">
            <v>T0457KX</v>
          </cell>
          <cell r="P487"/>
        </row>
        <row r="488">
          <cell r="F488" t="str">
            <v>T0454</v>
          </cell>
          <cell r="P488"/>
        </row>
        <row r="489">
          <cell r="F489" t="str">
            <v>T0455KX</v>
          </cell>
          <cell r="P489"/>
        </row>
        <row r="490">
          <cell r="F490" t="str">
            <v>T0452</v>
          </cell>
          <cell r="P490"/>
        </row>
        <row r="491">
          <cell r="F491" t="str">
            <v>T0453KX</v>
          </cell>
          <cell r="P491"/>
        </row>
        <row r="492">
          <cell r="F492" t="str">
            <v>T0450</v>
          </cell>
          <cell r="P492"/>
        </row>
        <row r="493">
          <cell r="F493" t="str">
            <v>T0451KX</v>
          </cell>
          <cell r="P493"/>
        </row>
        <row r="494">
          <cell r="F494" t="str">
            <v>T0448</v>
          </cell>
          <cell r="P494"/>
        </row>
        <row r="495">
          <cell r="F495" t="str">
            <v>T0449KX</v>
          </cell>
          <cell r="P495"/>
        </row>
        <row r="496">
          <cell r="F496" t="str">
            <v>T0446</v>
          </cell>
          <cell r="P496"/>
        </row>
        <row r="497">
          <cell r="F497" t="str">
            <v>T0447KX</v>
          </cell>
          <cell r="P497"/>
        </row>
        <row r="498">
          <cell r="F498" t="str">
            <v>T0444</v>
          </cell>
          <cell r="P498"/>
        </row>
        <row r="499">
          <cell r="F499" t="str">
            <v>T0445KX</v>
          </cell>
          <cell r="P499"/>
        </row>
        <row r="500">
          <cell r="F500" t="str">
            <v>T0442</v>
          </cell>
          <cell r="P500"/>
        </row>
        <row r="501">
          <cell r="F501" t="str">
            <v>T0443KX</v>
          </cell>
          <cell r="P501"/>
        </row>
        <row r="502">
          <cell r="F502" t="str">
            <v>T0440</v>
          </cell>
          <cell r="P502"/>
        </row>
        <row r="503">
          <cell r="F503" t="str">
            <v>T0441KX</v>
          </cell>
          <cell r="P503"/>
        </row>
        <row r="504">
          <cell r="F504" t="str">
            <v>T0438</v>
          </cell>
          <cell r="P504"/>
        </row>
        <row r="505">
          <cell r="F505" t="str">
            <v>T0439KX</v>
          </cell>
          <cell r="P505"/>
        </row>
        <row r="506">
          <cell r="F506" t="str">
            <v>T0436</v>
          </cell>
          <cell r="P506"/>
        </row>
        <row r="507">
          <cell r="F507" t="str">
            <v>T0437KX</v>
          </cell>
          <cell r="P507"/>
        </row>
        <row r="508">
          <cell r="F508" t="str">
            <v>T0432</v>
          </cell>
          <cell r="P508"/>
        </row>
        <row r="509">
          <cell r="F509" t="str">
            <v>T0433KX</v>
          </cell>
          <cell r="P509"/>
        </row>
        <row r="510">
          <cell r="F510" t="str">
            <v>T0430</v>
          </cell>
          <cell r="P510"/>
        </row>
        <row r="511">
          <cell r="F511" t="str">
            <v>T0431KX</v>
          </cell>
          <cell r="P511"/>
        </row>
        <row r="512">
          <cell r="F512" t="str">
            <v>T0428</v>
          </cell>
          <cell r="P512"/>
        </row>
        <row r="513">
          <cell r="F513" t="str">
            <v>T0429KX</v>
          </cell>
          <cell r="P513"/>
        </row>
        <row r="514">
          <cell r="F514" t="str">
            <v>T0426</v>
          </cell>
          <cell r="P514"/>
        </row>
        <row r="515">
          <cell r="F515" t="str">
            <v>T0427KX</v>
          </cell>
          <cell r="P515"/>
        </row>
        <row r="516">
          <cell r="F516" t="str">
            <v>T0424</v>
          </cell>
          <cell r="P516"/>
        </row>
        <row r="517">
          <cell r="F517" t="str">
            <v>T0425KX</v>
          </cell>
          <cell r="P517"/>
        </row>
        <row r="518">
          <cell r="F518" t="str">
            <v>T0422</v>
          </cell>
          <cell r="P518"/>
        </row>
        <row r="519">
          <cell r="F519" t="str">
            <v>T0423KX</v>
          </cell>
          <cell r="P519"/>
        </row>
        <row r="520">
          <cell r="F520" t="str">
            <v>T0420</v>
          </cell>
          <cell r="P520"/>
        </row>
        <row r="521">
          <cell r="F521" t="str">
            <v>T0421KX</v>
          </cell>
          <cell r="P521"/>
        </row>
        <row r="522">
          <cell r="F522" t="str">
            <v>T0418</v>
          </cell>
          <cell r="P522"/>
        </row>
        <row r="523">
          <cell r="F523" t="str">
            <v>T0419KX</v>
          </cell>
          <cell r="P523"/>
        </row>
        <row r="524">
          <cell r="F524" t="str">
            <v>T0416</v>
          </cell>
          <cell r="P524"/>
        </row>
        <row r="525">
          <cell r="F525" t="str">
            <v>T0417KX</v>
          </cell>
          <cell r="P525"/>
        </row>
        <row r="526">
          <cell r="F526" t="str">
            <v>T0414</v>
          </cell>
          <cell r="P526"/>
        </row>
        <row r="527">
          <cell r="F527" t="str">
            <v>T0415KX</v>
          </cell>
          <cell r="P527"/>
        </row>
        <row r="528">
          <cell r="F528" t="str">
            <v>T0412</v>
          </cell>
          <cell r="P528"/>
        </row>
        <row r="529">
          <cell r="F529" t="str">
            <v>T0413KX</v>
          </cell>
          <cell r="P529"/>
        </row>
        <row r="530">
          <cell r="F530" t="str">
            <v>T0410</v>
          </cell>
          <cell r="P530"/>
        </row>
        <row r="531">
          <cell r="F531" t="str">
            <v>T0411KX</v>
          </cell>
          <cell r="P531"/>
        </row>
        <row r="532">
          <cell r="F532" t="str">
            <v>T0398</v>
          </cell>
          <cell r="P532"/>
        </row>
        <row r="533">
          <cell r="F533" t="str">
            <v>T0399KX</v>
          </cell>
          <cell r="P533"/>
        </row>
        <row r="534">
          <cell r="F534" t="str">
            <v>T0396</v>
          </cell>
          <cell r="P534"/>
        </row>
        <row r="535">
          <cell r="F535" t="str">
            <v>T0397KX</v>
          </cell>
          <cell r="P535"/>
        </row>
        <row r="536">
          <cell r="F536" t="str">
            <v>T0394</v>
          </cell>
          <cell r="P536"/>
        </row>
        <row r="537">
          <cell r="F537" t="str">
            <v>T0395KX</v>
          </cell>
          <cell r="P537"/>
        </row>
        <row r="538">
          <cell r="F538" t="str">
            <v>T0392</v>
          </cell>
          <cell r="P538"/>
        </row>
        <row r="539">
          <cell r="F539" t="str">
            <v>T0393KX</v>
          </cell>
          <cell r="P539"/>
        </row>
        <row r="540">
          <cell r="F540" t="str">
            <v>T0390</v>
          </cell>
          <cell r="P540"/>
        </row>
        <row r="541">
          <cell r="F541" t="str">
            <v>T0391KX</v>
          </cell>
          <cell r="P541"/>
        </row>
        <row r="542">
          <cell r="F542" t="str">
            <v>T0386</v>
          </cell>
          <cell r="P542"/>
        </row>
        <row r="543">
          <cell r="F543" t="str">
            <v>T0387KX</v>
          </cell>
          <cell r="P543"/>
        </row>
        <row r="544">
          <cell r="F544" t="str">
            <v>T0384</v>
          </cell>
          <cell r="P544"/>
        </row>
        <row r="545">
          <cell r="F545" t="str">
            <v>T0385KX</v>
          </cell>
          <cell r="P545"/>
        </row>
        <row r="546">
          <cell r="F546" t="str">
            <v>T0382</v>
          </cell>
          <cell r="P546"/>
        </row>
        <row r="547">
          <cell r="F547" t="str">
            <v>T0383KX</v>
          </cell>
          <cell r="P547"/>
        </row>
        <row r="548">
          <cell r="F548" t="str">
            <v>T0380</v>
          </cell>
          <cell r="P548"/>
        </row>
        <row r="549">
          <cell r="F549" t="str">
            <v>T0381KX</v>
          </cell>
          <cell r="P549"/>
        </row>
        <row r="550">
          <cell r="F550" t="str">
            <v>T0376</v>
          </cell>
          <cell r="P550"/>
        </row>
        <row r="551">
          <cell r="F551" t="str">
            <v>T0377KX</v>
          </cell>
          <cell r="P551"/>
        </row>
        <row r="552">
          <cell r="F552" t="str">
            <v>T0374</v>
          </cell>
          <cell r="P552"/>
        </row>
        <row r="553">
          <cell r="F553" t="str">
            <v>T0375KX</v>
          </cell>
          <cell r="P553"/>
        </row>
        <row r="554">
          <cell r="F554" t="str">
            <v>T0372</v>
          </cell>
          <cell r="P554"/>
        </row>
        <row r="555">
          <cell r="F555" t="str">
            <v>T0373KX</v>
          </cell>
          <cell r="P555"/>
        </row>
        <row r="556">
          <cell r="F556" t="str">
            <v>T0370</v>
          </cell>
          <cell r="P556"/>
        </row>
        <row r="557">
          <cell r="F557" t="str">
            <v>T0371KX</v>
          </cell>
          <cell r="P557"/>
        </row>
        <row r="558">
          <cell r="F558" t="str">
            <v>T0368</v>
          </cell>
          <cell r="P558"/>
        </row>
        <row r="559">
          <cell r="F559" t="str">
            <v>T0369KX</v>
          </cell>
          <cell r="P559"/>
        </row>
        <row r="560">
          <cell r="F560" t="str">
            <v>T0366</v>
          </cell>
          <cell r="P560"/>
        </row>
        <row r="561">
          <cell r="F561" t="str">
            <v>T0367KX</v>
          </cell>
          <cell r="P561"/>
        </row>
        <row r="562">
          <cell r="F562" t="str">
            <v>T0364</v>
          </cell>
          <cell r="P562"/>
        </row>
        <row r="563">
          <cell r="F563" t="str">
            <v>T0365KX</v>
          </cell>
          <cell r="P563"/>
        </row>
        <row r="564">
          <cell r="F564" t="str">
            <v>T0362</v>
          </cell>
          <cell r="P564"/>
        </row>
        <row r="565">
          <cell r="F565" t="str">
            <v>T0363KX</v>
          </cell>
          <cell r="P565"/>
        </row>
        <row r="566">
          <cell r="F566" t="str">
            <v>T0360</v>
          </cell>
          <cell r="P566"/>
        </row>
        <row r="567">
          <cell r="F567" t="str">
            <v>T0361KX</v>
          </cell>
          <cell r="P567"/>
        </row>
        <row r="568">
          <cell r="F568" t="str">
            <v>T0358</v>
          </cell>
          <cell r="P568"/>
        </row>
        <row r="569">
          <cell r="F569" t="str">
            <v>T0359KX</v>
          </cell>
          <cell r="P569"/>
        </row>
        <row r="570">
          <cell r="F570" t="str">
            <v>T0356</v>
          </cell>
          <cell r="P570"/>
        </row>
        <row r="571">
          <cell r="F571" t="str">
            <v>T0357KX</v>
          </cell>
          <cell r="P571"/>
        </row>
        <row r="572">
          <cell r="F572" t="str">
            <v>T0354</v>
          </cell>
          <cell r="P572"/>
        </row>
        <row r="573">
          <cell r="F573" t="str">
            <v>T0355KX</v>
          </cell>
          <cell r="P573"/>
        </row>
        <row r="574">
          <cell r="F574" t="str">
            <v>T0352</v>
          </cell>
          <cell r="P574"/>
        </row>
        <row r="575">
          <cell r="F575" t="str">
            <v>T0353KX</v>
          </cell>
          <cell r="P575"/>
        </row>
        <row r="576">
          <cell r="F576" t="str">
            <v>T0334</v>
          </cell>
          <cell r="P576"/>
        </row>
        <row r="577">
          <cell r="F577" t="str">
            <v>T0335KX</v>
          </cell>
          <cell r="P577"/>
        </row>
        <row r="578">
          <cell r="F578" t="str">
            <v>T0332</v>
          </cell>
          <cell r="P578"/>
        </row>
        <row r="579">
          <cell r="F579" t="str">
            <v>T0333KX</v>
          </cell>
          <cell r="P579"/>
        </row>
        <row r="580">
          <cell r="F580" t="str">
            <v>T0328</v>
          </cell>
          <cell r="P580"/>
        </row>
        <row r="581">
          <cell r="F581" t="str">
            <v>T0329KX</v>
          </cell>
          <cell r="P581"/>
        </row>
        <row r="582">
          <cell r="F582" t="str">
            <v>T0326</v>
          </cell>
          <cell r="P582"/>
        </row>
        <row r="583">
          <cell r="F583" t="str">
            <v>T0327KX</v>
          </cell>
          <cell r="P583"/>
        </row>
        <row r="584">
          <cell r="F584" t="str">
            <v>T0324</v>
          </cell>
          <cell r="P584"/>
        </row>
        <row r="585">
          <cell r="F585" t="str">
            <v>T0325KX</v>
          </cell>
          <cell r="P585"/>
        </row>
        <row r="586">
          <cell r="F586" t="str">
            <v>T0322</v>
          </cell>
          <cell r="P586"/>
        </row>
        <row r="587">
          <cell r="F587" t="str">
            <v>T0323KX</v>
          </cell>
          <cell r="P587"/>
        </row>
        <row r="588">
          <cell r="F588" t="str">
            <v>T0320</v>
          </cell>
          <cell r="P588"/>
        </row>
        <row r="589">
          <cell r="F589" t="str">
            <v>T0321KX</v>
          </cell>
          <cell r="P589"/>
        </row>
        <row r="590">
          <cell r="F590" t="str">
            <v>T0318</v>
          </cell>
          <cell r="P590"/>
        </row>
        <row r="591">
          <cell r="F591" t="str">
            <v>T0319KX</v>
          </cell>
          <cell r="P591"/>
        </row>
        <row r="592">
          <cell r="F592" t="str">
            <v>61CF0232</v>
          </cell>
          <cell r="P592" t="str">
            <v>1 day</v>
          </cell>
        </row>
        <row r="593">
          <cell r="F593" t="str">
            <v>61F0205-L</v>
          </cell>
          <cell r="P593" t="str">
            <v>1 day</v>
          </cell>
        </row>
        <row r="594">
          <cell r="F594" t="str">
            <v>61F0206-L</v>
          </cell>
          <cell r="P594" t="str">
            <v>1 day</v>
          </cell>
        </row>
        <row r="595">
          <cell r="F595" t="str">
            <v>61F0207-L</v>
          </cell>
          <cell r="P595" t="str">
            <v>1 day</v>
          </cell>
        </row>
        <row r="596">
          <cell r="F596" t="str">
            <v>61F0208-L</v>
          </cell>
          <cell r="P596" t="str">
            <v>1 day</v>
          </cell>
        </row>
        <row r="597">
          <cell r="F597" t="str">
            <v>61F0209-L</v>
          </cell>
          <cell r="P597" t="str">
            <v>1 day</v>
          </cell>
        </row>
        <row r="598">
          <cell r="F598" t="str">
            <v>61F0205-M</v>
          </cell>
          <cell r="P598" t="str">
            <v>1 day</v>
          </cell>
        </row>
        <row r="599">
          <cell r="F599" t="str">
            <v>61F0206-M</v>
          </cell>
          <cell r="P599" t="str">
            <v>1 day</v>
          </cell>
        </row>
        <row r="600">
          <cell r="F600" t="str">
            <v>61F0207-M</v>
          </cell>
          <cell r="P600" t="str">
            <v>1 day</v>
          </cell>
        </row>
        <row r="601">
          <cell r="F601" t="str">
            <v>61F0208-M</v>
          </cell>
          <cell r="P601" t="str">
            <v>1 day</v>
          </cell>
        </row>
        <row r="602">
          <cell r="F602" t="str">
            <v>61F0209-M</v>
          </cell>
          <cell r="P602" t="str">
            <v>1 day</v>
          </cell>
        </row>
        <row r="603">
          <cell r="F603" t="str">
            <v>61F0205-S</v>
          </cell>
          <cell r="P603" t="str">
            <v>1 day</v>
          </cell>
        </row>
        <row r="604">
          <cell r="F604" t="str">
            <v>61F0206-S</v>
          </cell>
          <cell r="P604" t="str">
            <v>1 day</v>
          </cell>
        </row>
        <row r="605">
          <cell r="F605" t="str">
            <v>61F0207-S</v>
          </cell>
          <cell r="P605" t="str">
            <v>1 day</v>
          </cell>
        </row>
        <row r="606">
          <cell r="F606" t="str">
            <v>61F0208-S</v>
          </cell>
          <cell r="P606" t="str">
            <v>1 day</v>
          </cell>
        </row>
        <row r="607">
          <cell r="F607" t="str">
            <v>61F0209-S</v>
          </cell>
          <cell r="P607" t="str">
            <v>1 day</v>
          </cell>
        </row>
        <row r="608">
          <cell r="F608" t="str">
            <v>16N0708</v>
          </cell>
          <cell r="P608" t="str">
            <v>1 time</v>
          </cell>
        </row>
        <row r="609">
          <cell r="F609" t="str">
            <v>16N0706</v>
          </cell>
          <cell r="P609" t="str">
            <v>1 time</v>
          </cell>
        </row>
        <row r="610">
          <cell r="F610" t="str">
            <v>16N0705</v>
          </cell>
          <cell r="P610" t="str">
            <v>1 time</v>
          </cell>
        </row>
        <row r="611">
          <cell r="F611" t="str">
            <v>16N0702</v>
          </cell>
          <cell r="P611" t="str">
            <v>1 time</v>
          </cell>
        </row>
        <row r="612">
          <cell r="F612" t="str">
            <v>16N0701</v>
          </cell>
          <cell r="P612" t="str">
            <v>1 time</v>
          </cell>
        </row>
        <row r="613">
          <cell r="F613" t="str">
            <v>16N0700</v>
          </cell>
          <cell r="P613" t="str">
            <v>1 time</v>
          </cell>
        </row>
        <row r="614">
          <cell r="F614" t="str">
            <v>16N0707</v>
          </cell>
          <cell r="P614" t="str">
            <v>1 time</v>
          </cell>
        </row>
        <row r="615">
          <cell r="F615" t="str">
            <v>16N0704</v>
          </cell>
          <cell r="P615" t="str">
            <v>1 time</v>
          </cell>
        </row>
        <row r="616">
          <cell r="F616" t="str">
            <v>16N0703</v>
          </cell>
          <cell r="P616" t="str">
            <v>1 time</v>
          </cell>
        </row>
        <row r="617">
          <cell r="F617" t="str">
            <v>17G0452</v>
          </cell>
          <cell r="P617" t="str">
            <v>1 hour</v>
          </cell>
        </row>
        <row r="618">
          <cell r="F618" t="str">
            <v>17G0467</v>
          </cell>
          <cell r="P618" t="str">
            <v>1 hour</v>
          </cell>
        </row>
        <row r="619">
          <cell r="F619" t="str">
            <v>18G0454</v>
          </cell>
          <cell r="P619" t="str">
            <v>1 hour</v>
          </cell>
        </row>
        <row r="620">
          <cell r="F620" t="str">
            <v>18G0469</v>
          </cell>
          <cell r="P620" t="str">
            <v>1 hour</v>
          </cell>
        </row>
        <row r="621">
          <cell r="F621" t="str">
            <v>19AG0465</v>
          </cell>
          <cell r="P621" t="str">
            <v>1 hour</v>
          </cell>
        </row>
        <row r="622">
          <cell r="F622" t="str">
            <v>19G0456</v>
          </cell>
          <cell r="P622" t="str">
            <v>1 hour</v>
          </cell>
        </row>
        <row r="623">
          <cell r="F623" t="str">
            <v>19G0471</v>
          </cell>
          <cell r="P623" t="str">
            <v>1 hour</v>
          </cell>
        </row>
        <row r="624">
          <cell r="F624" t="str">
            <v>17CG0481</v>
          </cell>
          <cell r="P624" t="str">
            <v>1 hour</v>
          </cell>
        </row>
        <row r="625">
          <cell r="F625" t="str">
            <v>17CG0973</v>
          </cell>
          <cell r="P625" t="str">
            <v>1 hour</v>
          </cell>
        </row>
        <row r="626">
          <cell r="F626" t="str">
            <v>18CG0482</v>
          </cell>
          <cell r="P626" t="str">
            <v>1 hour</v>
          </cell>
        </row>
        <row r="627">
          <cell r="F627" t="str">
            <v>18CG0974</v>
          </cell>
          <cell r="P627" t="str">
            <v>1 hour</v>
          </cell>
        </row>
        <row r="628">
          <cell r="F628" t="str">
            <v>17AEG0526</v>
          </cell>
          <cell r="P628" t="str">
            <v>1 hour</v>
          </cell>
        </row>
        <row r="629">
          <cell r="F629" t="str">
            <v>17AEG0527</v>
          </cell>
          <cell r="P629" t="str">
            <v>1 hour</v>
          </cell>
        </row>
        <row r="630">
          <cell r="F630" t="str">
            <v>18AEG0528</v>
          </cell>
          <cell r="P630" t="str">
            <v>1 hour</v>
          </cell>
        </row>
        <row r="631">
          <cell r="F631" t="str">
            <v>18AEG0529</v>
          </cell>
          <cell r="P631" t="str">
            <v>1 hour</v>
          </cell>
        </row>
        <row r="632">
          <cell r="F632" t="str">
            <v>19AG0478</v>
          </cell>
          <cell r="P632" t="str">
            <v>1 hour</v>
          </cell>
        </row>
        <row r="633">
          <cell r="F633" t="str">
            <v>19G0472</v>
          </cell>
          <cell r="P633" t="str">
            <v>1 hour</v>
          </cell>
        </row>
        <row r="634">
          <cell r="F634" t="str">
            <v>19AEG0530</v>
          </cell>
          <cell r="P634" t="str">
            <v>1 hour</v>
          </cell>
        </row>
        <row r="635">
          <cell r="F635" t="str">
            <v>19AEG0531</v>
          </cell>
          <cell r="P635" t="str">
            <v>1 hour</v>
          </cell>
        </row>
        <row r="636">
          <cell r="F636" t="str">
            <v>17AG0461</v>
          </cell>
          <cell r="P636" t="str">
            <v>1 hour</v>
          </cell>
        </row>
        <row r="637">
          <cell r="F637" t="str">
            <v>17AG0473</v>
          </cell>
          <cell r="P637" t="str">
            <v>1 hour</v>
          </cell>
        </row>
        <row r="638">
          <cell r="F638" t="str">
            <v>18AG0463</v>
          </cell>
          <cell r="P638" t="str">
            <v>1 hour</v>
          </cell>
        </row>
        <row r="639">
          <cell r="F639" t="str">
            <v>18AG0475</v>
          </cell>
          <cell r="P639" t="str">
            <v>1 hour</v>
          </cell>
        </row>
        <row r="640">
          <cell r="F640" t="str">
            <v>11RG024</v>
          </cell>
          <cell r="P640" t="str">
            <v>1 day</v>
          </cell>
        </row>
        <row r="641">
          <cell r="F641" t="str">
            <v>11RG023</v>
          </cell>
          <cell r="P641" t="str">
            <v>1 day</v>
          </cell>
        </row>
        <row r="642">
          <cell r="F642" t="str">
            <v>11RG022</v>
          </cell>
          <cell r="P642" t="str">
            <v>1 day</v>
          </cell>
        </row>
        <row r="643">
          <cell r="F643" t="str">
            <v>11RG021</v>
          </cell>
          <cell r="P643" t="str">
            <v>1 day</v>
          </cell>
        </row>
        <row r="644">
          <cell r="F644" t="str">
            <v>11RG035</v>
          </cell>
          <cell r="P644" t="str">
            <v>1 day</v>
          </cell>
        </row>
        <row r="645">
          <cell r="F645" t="str">
            <v>11RG016</v>
          </cell>
          <cell r="P645" t="str">
            <v>1 day</v>
          </cell>
        </row>
        <row r="646">
          <cell r="F646" t="str">
            <v>11RG015</v>
          </cell>
          <cell r="P646" t="str">
            <v>1 day</v>
          </cell>
        </row>
        <row r="647">
          <cell r="F647" t="str">
            <v>11RG014</v>
          </cell>
          <cell r="P647" t="str">
            <v>1 day</v>
          </cell>
        </row>
        <row r="648">
          <cell r="F648" t="str">
            <v>11RG013</v>
          </cell>
          <cell r="P648" t="str">
            <v>1 day</v>
          </cell>
        </row>
        <row r="649">
          <cell r="F649" t="str">
            <v>11RG012</v>
          </cell>
          <cell r="P649" t="str">
            <v>1 day</v>
          </cell>
        </row>
        <row r="650">
          <cell r="F650" t="str">
            <v>11RG011</v>
          </cell>
          <cell r="P650" t="str">
            <v>1 day</v>
          </cell>
        </row>
        <row r="651">
          <cell r="F651" t="str">
            <v>11RG020</v>
          </cell>
          <cell r="P651" t="str">
            <v>1 day</v>
          </cell>
        </row>
        <row r="652">
          <cell r="F652" t="str">
            <v>11RG019</v>
          </cell>
          <cell r="P652" t="str">
            <v>1 day</v>
          </cell>
        </row>
        <row r="653">
          <cell r="F653" t="str">
            <v>11RG018</v>
          </cell>
          <cell r="P653" t="str">
            <v>1 day</v>
          </cell>
        </row>
        <row r="654">
          <cell r="F654" t="str">
            <v>11RG017</v>
          </cell>
          <cell r="P654" t="str">
            <v>1 day</v>
          </cell>
        </row>
        <row r="655">
          <cell r="F655" t="str">
            <v>11RG034</v>
          </cell>
          <cell r="P655" t="str">
            <v>1 day</v>
          </cell>
        </row>
        <row r="656">
          <cell r="F656" t="str">
            <v>11RG033</v>
          </cell>
          <cell r="P656" t="str">
            <v>1 day</v>
          </cell>
        </row>
        <row r="657">
          <cell r="F657" t="str">
            <v>11RG032</v>
          </cell>
          <cell r="P657" t="str">
            <v>1 day</v>
          </cell>
        </row>
        <row r="658">
          <cell r="F658" t="str">
            <v>11RG031</v>
          </cell>
          <cell r="P658" t="str">
            <v>1 day</v>
          </cell>
        </row>
        <row r="659">
          <cell r="F659" t="str">
            <v>11RG030</v>
          </cell>
          <cell r="P659" t="str">
            <v>1 day</v>
          </cell>
        </row>
        <row r="660">
          <cell r="F660" t="str">
            <v>11RG029</v>
          </cell>
          <cell r="P660" t="str">
            <v>1 day</v>
          </cell>
        </row>
        <row r="661">
          <cell r="F661" t="str">
            <v>11RG036</v>
          </cell>
          <cell r="P661" t="str">
            <v>1 day</v>
          </cell>
        </row>
        <row r="662">
          <cell r="F662" t="str">
            <v>11RG028</v>
          </cell>
          <cell r="P662" t="str">
            <v>1 day</v>
          </cell>
        </row>
        <row r="663">
          <cell r="F663" t="str">
            <v>11RG027</v>
          </cell>
          <cell r="P663" t="str">
            <v>1 day</v>
          </cell>
        </row>
        <row r="664">
          <cell r="F664" t="str">
            <v>11RG026</v>
          </cell>
          <cell r="P664" t="str">
            <v>1 day</v>
          </cell>
        </row>
        <row r="665">
          <cell r="F665" t="str">
            <v>11RG025</v>
          </cell>
          <cell r="P665" t="str">
            <v>1 day</v>
          </cell>
        </row>
        <row r="666">
          <cell r="F666" t="str">
            <v>11RG004</v>
          </cell>
          <cell r="P666" t="str">
            <v>1 day</v>
          </cell>
        </row>
        <row r="667">
          <cell r="F667" t="str">
            <v>11RG003</v>
          </cell>
          <cell r="P667" t="str">
            <v>1 day</v>
          </cell>
        </row>
        <row r="668">
          <cell r="F668" t="str">
            <v>11RG002</v>
          </cell>
          <cell r="P668" t="str">
            <v>1 day</v>
          </cell>
        </row>
        <row r="669">
          <cell r="F669" t="str">
            <v>11RG001</v>
          </cell>
          <cell r="P669" t="str">
            <v>1 day</v>
          </cell>
        </row>
        <row r="670">
          <cell r="F670" t="str">
            <v>11RG007</v>
          </cell>
          <cell r="P670" t="str">
            <v>1 day</v>
          </cell>
        </row>
        <row r="671">
          <cell r="F671" t="str">
            <v>11RG006</v>
          </cell>
          <cell r="P671" t="str">
            <v>1 day</v>
          </cell>
        </row>
        <row r="672">
          <cell r="F672" t="str">
            <v>11RG005</v>
          </cell>
          <cell r="P672" t="str">
            <v>1 day</v>
          </cell>
        </row>
        <row r="673">
          <cell r="F673" t="str">
            <v>11RG010</v>
          </cell>
          <cell r="P673" t="str">
            <v>1 day</v>
          </cell>
        </row>
        <row r="674">
          <cell r="F674" t="str">
            <v>11RG009</v>
          </cell>
          <cell r="P674" t="str">
            <v>1 day</v>
          </cell>
        </row>
        <row r="675">
          <cell r="F675" t="str">
            <v>11RG008</v>
          </cell>
          <cell r="P675" t="str">
            <v>1 day</v>
          </cell>
        </row>
        <row r="676">
          <cell r="F676" t="e">
            <v>#N/A</v>
          </cell>
          <cell r="P676" t="str">
            <v>1 day</v>
          </cell>
        </row>
        <row r="677">
          <cell r="F677" t="str">
            <v>19AG0477</v>
          </cell>
          <cell r="P677" t="str">
            <v>1 hour</v>
          </cell>
        </row>
        <row r="678">
          <cell r="F678" t="str">
            <v>124N0502</v>
          </cell>
          <cell r="P678" t="str">
            <v>1 day</v>
          </cell>
        </row>
        <row r="679">
          <cell r="F679" t="str">
            <v>14N0500</v>
          </cell>
          <cell r="P679" t="str">
            <v>1 day</v>
          </cell>
        </row>
        <row r="680">
          <cell r="F680" t="str">
            <v>14N0501</v>
          </cell>
          <cell r="P680" t="str">
            <v>1 day</v>
          </cell>
        </row>
        <row r="681">
          <cell r="F681" t="e">
            <v>#N/A</v>
          </cell>
          <cell r="P681" t="str">
            <v>1 day</v>
          </cell>
        </row>
        <row r="682">
          <cell r="F682" t="str">
            <v>1139G2000</v>
          </cell>
          <cell r="P682" t="str">
            <v>contract based rate</v>
          </cell>
        </row>
        <row r="683">
          <cell r="F683" t="str">
            <v>1139AG2001</v>
          </cell>
          <cell r="P683" t="str">
            <v>contract based rate</v>
          </cell>
        </row>
        <row r="684">
          <cell r="F684" t="str">
            <v>717SG0752</v>
          </cell>
          <cell r="P684" t="str">
            <v>1 hour</v>
          </cell>
        </row>
        <row r="685">
          <cell r="F685" t="str">
            <v>717SG0751</v>
          </cell>
          <cell r="P685" t="str">
            <v>1 hour</v>
          </cell>
        </row>
        <row r="686">
          <cell r="F686" t="str">
            <v>717G0702</v>
          </cell>
          <cell r="P686" t="str">
            <v>1 hour</v>
          </cell>
        </row>
        <row r="687">
          <cell r="F687" t="str">
            <v>717G0701</v>
          </cell>
          <cell r="P687" t="str">
            <v>1 hour</v>
          </cell>
        </row>
        <row r="688">
          <cell r="F688" t="str">
            <v>717VG0718</v>
          </cell>
          <cell r="P688" t="str">
            <v>1 hour</v>
          </cell>
        </row>
        <row r="689">
          <cell r="F689" t="str">
            <v>717VG0717</v>
          </cell>
          <cell r="P689" t="str">
            <v>1 hour</v>
          </cell>
        </row>
        <row r="690">
          <cell r="F690" t="str">
            <v>757CVG0757</v>
          </cell>
          <cell r="P690" t="str">
            <v>1 hour</v>
          </cell>
        </row>
        <row r="691">
          <cell r="F691" t="str">
            <v>719KG0945</v>
          </cell>
          <cell r="P691" t="str">
            <v>1 day</v>
          </cell>
        </row>
        <row r="692">
          <cell r="F692" t="str">
            <v>719LG0946</v>
          </cell>
          <cell r="P692" t="str">
            <v>1 day</v>
          </cell>
        </row>
        <row r="693">
          <cell r="F693" t="str">
            <v>T1019SKU9U1</v>
          </cell>
          <cell r="P693" t="str">
            <v>15 minutes</v>
          </cell>
        </row>
        <row r="694">
          <cell r="F694" t="str">
            <v>T1019SKU9U1U6</v>
          </cell>
          <cell r="P694" t="str">
            <v>15 minutes</v>
          </cell>
        </row>
        <row r="695">
          <cell r="F695" t="str">
            <v>T1019SKU9U2</v>
          </cell>
          <cell r="P695" t="str">
            <v>15 minutes</v>
          </cell>
        </row>
        <row r="696">
          <cell r="F696" t="str">
            <v>T1019SKU9U2U6</v>
          </cell>
          <cell r="P696" t="str">
            <v>15 minutes</v>
          </cell>
        </row>
        <row r="697">
          <cell r="F697" t="str">
            <v>T1019SKU9UC</v>
          </cell>
          <cell r="P697" t="str">
            <v>15 minutes</v>
          </cell>
        </row>
        <row r="698">
          <cell r="F698" t="str">
            <v>T1019SKU9UCU6</v>
          </cell>
          <cell r="P698" t="str">
            <v>15 minutes</v>
          </cell>
        </row>
        <row r="699">
          <cell r="F699" t="str">
            <v>T1019SHU9U1</v>
          </cell>
          <cell r="P699" t="str">
            <v>1 hour</v>
          </cell>
        </row>
        <row r="700">
          <cell r="F700" t="str">
            <v>T1019SHU9U1U6</v>
          </cell>
          <cell r="P700" t="str">
            <v>1 hour</v>
          </cell>
        </row>
        <row r="701">
          <cell r="F701" t="str">
            <v>T1019SHU9U2</v>
          </cell>
          <cell r="P701" t="str">
            <v>1 hour</v>
          </cell>
        </row>
        <row r="702">
          <cell r="F702" t="str">
            <v>T1019SHU9U2U6</v>
          </cell>
          <cell r="P702" t="str">
            <v>1 hour</v>
          </cell>
        </row>
        <row r="703">
          <cell r="F703" t="str">
            <v>T1019SHU9UC</v>
          </cell>
          <cell r="P703" t="str">
            <v>15 minutes</v>
          </cell>
        </row>
        <row r="704">
          <cell r="F704" t="str">
            <v>T1019SHU9UCU6</v>
          </cell>
          <cell r="P704" t="str">
            <v>15 minutes</v>
          </cell>
        </row>
        <row r="705">
          <cell r="F705" t="str">
            <v>T1019SKU1</v>
          </cell>
          <cell r="P705" t="str">
            <v>15 minutes</v>
          </cell>
        </row>
        <row r="706">
          <cell r="F706" t="str">
            <v>T1019SKU2</v>
          </cell>
          <cell r="P706" t="str">
            <v>15 minutes</v>
          </cell>
        </row>
        <row r="707">
          <cell r="F707" t="str">
            <v>T1019SKUC</v>
          </cell>
          <cell r="P707" t="str">
            <v>15 minutes</v>
          </cell>
        </row>
        <row r="708">
          <cell r="F708" t="str">
            <v>T1019SKUBU1</v>
          </cell>
          <cell r="P708" t="str">
            <v>15 minutes</v>
          </cell>
        </row>
        <row r="709">
          <cell r="F709" t="str">
            <v>T1019SKUBU2</v>
          </cell>
          <cell r="P709" t="str">
            <v>15 minutes</v>
          </cell>
        </row>
        <row r="710">
          <cell r="F710" t="str">
            <v>T1019SKUBUC</v>
          </cell>
          <cell r="P710" t="str">
            <v>15 minutes</v>
          </cell>
        </row>
        <row r="711">
          <cell r="F711" t="str">
            <v>T1019SKUDU1</v>
          </cell>
          <cell r="P711" t="str">
            <v>15 minutes</v>
          </cell>
        </row>
        <row r="712">
          <cell r="F712" t="str">
            <v>T1019SKUDU2</v>
          </cell>
          <cell r="P712" t="str">
            <v>15 minutes</v>
          </cell>
        </row>
        <row r="713">
          <cell r="F713" t="str">
            <v>T1019SKUDUC</v>
          </cell>
          <cell r="P713" t="str">
            <v>15 minutes</v>
          </cell>
        </row>
        <row r="714">
          <cell r="F714" t="str">
            <v>T1019SKUDU1U6</v>
          </cell>
          <cell r="P714" t="str">
            <v>15 minutes</v>
          </cell>
        </row>
        <row r="715">
          <cell r="F715" t="str">
            <v>T1019SKUDU2U6</v>
          </cell>
          <cell r="P715" t="str">
            <v>15 minutes</v>
          </cell>
        </row>
        <row r="716">
          <cell r="F716" t="str">
            <v>T1019SKUDUCU6</v>
          </cell>
          <cell r="P716" t="str">
            <v>15 minutes</v>
          </cell>
        </row>
        <row r="717">
          <cell r="F717" t="str">
            <v>T1019SHU1</v>
          </cell>
          <cell r="P717" t="str">
            <v>15 minutes</v>
          </cell>
        </row>
        <row r="718">
          <cell r="F718" t="str">
            <v>T1019SHU2</v>
          </cell>
          <cell r="P718" t="str">
            <v>15 minutes</v>
          </cell>
        </row>
        <row r="719">
          <cell r="F719" t="str">
            <v>T1019SHUC</v>
          </cell>
          <cell r="P719" t="str">
            <v>15 minutes</v>
          </cell>
        </row>
        <row r="720">
          <cell r="F720" t="str">
            <v>T1019SHUBU1</v>
          </cell>
          <cell r="P720" t="str">
            <v>15 minutes</v>
          </cell>
        </row>
        <row r="721">
          <cell r="F721" t="str">
            <v>T1019SHUBU2</v>
          </cell>
          <cell r="P721" t="str">
            <v>15 minutes</v>
          </cell>
        </row>
        <row r="722">
          <cell r="F722" t="str">
            <v>T1019SHUBUC</v>
          </cell>
          <cell r="P722" t="str">
            <v>15 minutes</v>
          </cell>
        </row>
        <row r="723">
          <cell r="F723" t="str">
            <v>T1019SHUDU1</v>
          </cell>
          <cell r="P723" t="str">
            <v>15 minutes</v>
          </cell>
        </row>
        <row r="724">
          <cell r="F724" t="str">
            <v>T1019SHUDU2</v>
          </cell>
          <cell r="P724" t="str">
            <v>15 minutes</v>
          </cell>
        </row>
        <row r="725">
          <cell r="F725" t="str">
            <v>T1019SHUDUC</v>
          </cell>
          <cell r="P725" t="str">
            <v>15 minutes</v>
          </cell>
        </row>
        <row r="726">
          <cell r="F726" t="str">
            <v>T1019SHUDU1U6</v>
          </cell>
          <cell r="P726" t="str">
            <v>15 minutes</v>
          </cell>
        </row>
        <row r="727">
          <cell r="F727" t="str">
            <v>T1019SHUDU2U6</v>
          </cell>
          <cell r="P727" t="str">
            <v>15 minutes</v>
          </cell>
        </row>
        <row r="728">
          <cell r="F728" t="str">
            <v>T1019SHUDUCU6</v>
          </cell>
          <cell r="P728" t="str">
            <v>15 minutes</v>
          </cell>
        </row>
        <row r="729">
          <cell r="F729" t="str">
            <v>T2040SHU9U2</v>
          </cell>
          <cell r="P729" t="str">
            <v>1 month</v>
          </cell>
        </row>
        <row r="730">
          <cell r="F730" t="str">
            <v>T2040SHU9U1</v>
          </cell>
          <cell r="P730" t="str">
            <v>1 month</v>
          </cell>
        </row>
        <row r="731">
          <cell r="F731" t="str">
            <v>T2002SH</v>
          </cell>
          <cell r="P731" t="str">
            <v>1 day</v>
          </cell>
        </row>
        <row r="732">
          <cell r="F732" t="str">
            <v>T2002SH</v>
          </cell>
          <cell r="P732" t="str">
            <v>1 day</v>
          </cell>
        </row>
        <row r="733">
          <cell r="F733" t="str">
            <v>T2002SHU6</v>
          </cell>
          <cell r="P733" t="str">
            <v>1 day</v>
          </cell>
        </row>
        <row r="734">
          <cell r="F734" t="str">
            <v>T2002SK</v>
          </cell>
          <cell r="P734" t="str">
            <v>1 day</v>
          </cell>
        </row>
        <row r="735">
          <cell r="F735" t="str">
            <v>T2002SKU6</v>
          </cell>
          <cell r="P735" t="str">
            <v>1 day</v>
          </cell>
        </row>
        <row r="736">
          <cell r="F736" t="str">
            <v>T1025SHU6</v>
          </cell>
          <cell r="P736" t="str">
            <v>1 day</v>
          </cell>
        </row>
        <row r="737">
          <cell r="F737" t="str">
            <v>T1026SHU6</v>
          </cell>
          <cell r="P737" t="str">
            <v>1 hour</v>
          </cell>
        </row>
        <row r="738">
          <cell r="F738" t="str">
            <v>T1025SH</v>
          </cell>
          <cell r="P738" t="str">
            <v>1 day</v>
          </cell>
        </row>
        <row r="739">
          <cell r="F739" t="str">
            <v>T1026SH</v>
          </cell>
          <cell r="P739" t="str">
            <v>1 hour</v>
          </cell>
        </row>
        <row r="740">
          <cell r="F740" t="str">
            <v>T2040SHU9U6</v>
          </cell>
          <cell r="P740" t="str">
            <v>1 month</v>
          </cell>
        </row>
        <row r="741">
          <cell r="F741" t="str">
            <v>T2040SHU9U2U6</v>
          </cell>
          <cell r="P741" t="str">
            <v>1 month</v>
          </cell>
        </row>
        <row r="742">
          <cell r="F742" t="str">
            <v>H2023SHUC</v>
          </cell>
          <cell r="P742" t="str">
            <v>15 minutes</v>
          </cell>
        </row>
        <row r="743">
          <cell r="F743" t="str">
            <v>H2025SHU2</v>
          </cell>
          <cell r="P743" t="str">
            <v>1 hour</v>
          </cell>
        </row>
        <row r="744">
          <cell r="F744" t="str">
            <v>H2025SHU1</v>
          </cell>
          <cell r="P744" t="str">
            <v>1 hour</v>
          </cell>
        </row>
        <row r="745">
          <cell r="F745" t="str">
            <v>H2025SHUC</v>
          </cell>
          <cell r="P745" t="str">
            <v>1 hour</v>
          </cell>
        </row>
        <row r="746">
          <cell r="F746" t="str">
            <v>H2023SHU2</v>
          </cell>
          <cell r="P746" t="str">
            <v>15 minutes</v>
          </cell>
        </row>
        <row r="747">
          <cell r="F747" t="str">
            <v>H2023SHU1</v>
          </cell>
          <cell r="P747" t="str">
            <v>15 minutes</v>
          </cell>
        </row>
        <row r="748">
          <cell r="F748" t="str">
            <v>S9482SHU4TDUC</v>
          </cell>
          <cell r="P748" t="str">
            <v>15 minutes</v>
          </cell>
        </row>
        <row r="749">
          <cell r="F749" t="str">
            <v>S9482SHU4TDU2</v>
          </cell>
          <cell r="P749" t="str">
            <v>15 minutes</v>
          </cell>
        </row>
        <row r="750">
          <cell r="F750" t="str">
            <v>S9482SHU4TDU1</v>
          </cell>
          <cell r="P750" t="str">
            <v>15 minutes</v>
          </cell>
        </row>
        <row r="751">
          <cell r="F751" t="str">
            <v>S9482SHU4UC</v>
          </cell>
          <cell r="P751" t="str">
            <v>15 minutes</v>
          </cell>
        </row>
        <row r="752">
          <cell r="F752" t="str">
            <v>S9482SHU4U2</v>
          </cell>
          <cell r="P752" t="str">
            <v>15 minutes</v>
          </cell>
        </row>
        <row r="753">
          <cell r="F753" t="str">
            <v>S9482SHU4U1</v>
          </cell>
          <cell r="P753" t="str">
            <v>15 minutes</v>
          </cell>
        </row>
        <row r="754">
          <cell r="F754" t="str">
            <v>S9482SHTEUC</v>
          </cell>
          <cell r="P754" t="str">
            <v>1 hour</v>
          </cell>
        </row>
        <row r="755">
          <cell r="F755" t="str">
            <v>S9482SHTEU2</v>
          </cell>
          <cell r="P755" t="str">
            <v>1 hour</v>
          </cell>
        </row>
        <row r="756">
          <cell r="F756" t="str">
            <v>S9482SHTEU1</v>
          </cell>
          <cell r="P756" t="str">
            <v>1 hour</v>
          </cell>
        </row>
        <row r="757">
          <cell r="F757" t="str">
            <v>S9482SHTDU2C</v>
          </cell>
          <cell r="P757" t="str">
            <v>1 hour</v>
          </cell>
        </row>
        <row r="758">
          <cell r="F758" t="str">
            <v>S9482SHTDU2</v>
          </cell>
          <cell r="P758" t="str">
            <v>1 hour</v>
          </cell>
        </row>
        <row r="759">
          <cell r="F759" t="str">
            <v>S9482SHTDU1</v>
          </cell>
          <cell r="P759" t="str">
            <v>1 hour</v>
          </cell>
        </row>
        <row r="760">
          <cell r="F760" t="str">
            <v>S9482SHTEU7UC</v>
          </cell>
          <cell r="P760" t="str">
            <v>1 hour</v>
          </cell>
        </row>
        <row r="761">
          <cell r="F761" t="str">
            <v>S9482SHTEU7U2</v>
          </cell>
          <cell r="P761" t="str">
            <v>1 hour</v>
          </cell>
        </row>
        <row r="762">
          <cell r="F762" t="str">
            <v>S9482SHTEU7U1</v>
          </cell>
          <cell r="P762" t="str">
            <v>1 hour</v>
          </cell>
        </row>
        <row r="763">
          <cell r="F763" t="str">
            <v>S9482SHTDU7UC</v>
          </cell>
          <cell r="P763" t="str">
            <v>1 hour</v>
          </cell>
        </row>
        <row r="764">
          <cell r="F764" t="str">
            <v>S9482SHTDU7U2</v>
          </cell>
          <cell r="P764" t="str">
            <v>1 hour</v>
          </cell>
        </row>
        <row r="765">
          <cell r="F765" t="str">
            <v>S9482SHTDU7U1</v>
          </cell>
          <cell r="P765" t="str">
            <v>1 hour</v>
          </cell>
        </row>
        <row r="766">
          <cell r="F766" t="str">
            <v>T1005SHU4TDUC</v>
          </cell>
          <cell r="P766" t="str">
            <v>15 minutes</v>
          </cell>
        </row>
        <row r="767">
          <cell r="F767" t="str">
            <v>T1005SHU4TDU2</v>
          </cell>
          <cell r="P767" t="str">
            <v>15 minutes</v>
          </cell>
        </row>
        <row r="768">
          <cell r="F768" t="str">
            <v>T1005SHU4TDU1</v>
          </cell>
          <cell r="P768" t="str">
            <v>15 minutes</v>
          </cell>
        </row>
        <row r="769">
          <cell r="F769" t="str">
            <v>T1005SHU4UC</v>
          </cell>
          <cell r="P769" t="str">
            <v>15 minutes</v>
          </cell>
        </row>
        <row r="770">
          <cell r="F770" t="str">
            <v>T1005SHU4U2</v>
          </cell>
          <cell r="P770" t="str">
            <v>15 minutes</v>
          </cell>
        </row>
        <row r="771">
          <cell r="F771" t="str">
            <v>T1005SHU4U1</v>
          </cell>
          <cell r="P771" t="str">
            <v>15 minutes</v>
          </cell>
        </row>
        <row r="772">
          <cell r="F772" t="str">
            <v>T1005SHTEUC</v>
          </cell>
          <cell r="P772" t="str">
            <v>1 hour</v>
          </cell>
        </row>
        <row r="773">
          <cell r="F773" t="str">
            <v>T1005SHTEU2</v>
          </cell>
          <cell r="P773" t="str">
            <v>1 hour</v>
          </cell>
        </row>
        <row r="774">
          <cell r="F774" t="str">
            <v>T1005SHTEU1</v>
          </cell>
          <cell r="P774" t="str">
            <v>1 hour</v>
          </cell>
        </row>
        <row r="775">
          <cell r="F775" t="str">
            <v>T1005SHTDUC</v>
          </cell>
          <cell r="P775" t="str">
            <v>1 hour</v>
          </cell>
        </row>
        <row r="776">
          <cell r="F776" t="str">
            <v>T1005SHTDU2</v>
          </cell>
          <cell r="P776" t="str">
            <v>1 hour</v>
          </cell>
        </row>
        <row r="777">
          <cell r="F777" t="str">
            <v>T1005SHTDU1</v>
          </cell>
          <cell r="P777" t="str">
            <v>1 hour</v>
          </cell>
        </row>
        <row r="778">
          <cell r="F778" t="str">
            <v>T1005SHTEU7UC</v>
          </cell>
          <cell r="P778" t="str">
            <v>1 hour</v>
          </cell>
        </row>
        <row r="779">
          <cell r="F779" t="str">
            <v>T1005SHTEU7U2</v>
          </cell>
          <cell r="P779" t="str">
            <v>1 hour</v>
          </cell>
        </row>
        <row r="780">
          <cell r="F780" t="str">
            <v>T1005SHTEU7U1</v>
          </cell>
          <cell r="P780" t="str">
            <v>1 hour</v>
          </cell>
        </row>
        <row r="781">
          <cell r="F781" t="str">
            <v>T1005SHTDU7UC</v>
          </cell>
          <cell r="P781" t="str">
            <v>1 hour</v>
          </cell>
        </row>
        <row r="782">
          <cell r="F782" t="str">
            <v>T1005SHTDU7U2</v>
          </cell>
          <cell r="P782" t="str">
            <v>1 hour</v>
          </cell>
        </row>
        <row r="783">
          <cell r="F783" t="str">
            <v>T1005SHTDU7U1</v>
          </cell>
          <cell r="P783" t="str">
            <v>1 hour</v>
          </cell>
        </row>
        <row r="784">
          <cell r="F784" t="str">
            <v>S5151SH</v>
          </cell>
          <cell r="P784" t="str">
            <v>1 day</v>
          </cell>
        </row>
        <row r="785">
          <cell r="F785" t="str">
            <v>S5151SHU1</v>
          </cell>
          <cell r="P785" t="str">
            <v>1 day</v>
          </cell>
        </row>
        <row r="786">
          <cell r="F786" t="str">
            <v>S5151SHU3</v>
          </cell>
          <cell r="P786" t="str">
            <v>1 day</v>
          </cell>
        </row>
        <row r="787">
          <cell r="F787" t="str">
            <v>S5151SHU2</v>
          </cell>
          <cell r="P787" t="str">
            <v>1 day</v>
          </cell>
        </row>
        <row r="788">
          <cell r="F788" t="str">
            <v>S5151SH</v>
          </cell>
          <cell r="P788" t="str">
            <v>1 day</v>
          </cell>
        </row>
        <row r="789">
          <cell r="F789" t="str">
            <v>S5151SHU2</v>
          </cell>
          <cell r="P789" t="str">
            <v>1 day</v>
          </cell>
        </row>
        <row r="790">
          <cell r="F790" t="str">
            <v>S5151SHU1</v>
          </cell>
          <cell r="P790" t="str">
            <v>1 day</v>
          </cell>
        </row>
        <row r="791">
          <cell r="F791" t="str">
            <v>S5151SHU3</v>
          </cell>
          <cell r="P791" t="str">
            <v>1 day</v>
          </cell>
        </row>
        <row r="792">
          <cell r="F792" t="str">
            <v>S5151SH</v>
          </cell>
          <cell r="P792" t="str">
            <v>1 day</v>
          </cell>
        </row>
        <row r="793">
          <cell r="F793" t="str">
            <v>S5151SHU2</v>
          </cell>
          <cell r="P793" t="str">
            <v>1 day</v>
          </cell>
        </row>
        <row r="794">
          <cell r="F794" t="str">
            <v>S5151SHU1</v>
          </cell>
          <cell r="P794" t="str">
            <v>1 day</v>
          </cell>
        </row>
        <row r="795">
          <cell r="F795" t="str">
            <v>S5151SHU3</v>
          </cell>
          <cell r="P795" t="str">
            <v>1 day</v>
          </cell>
        </row>
        <row r="796">
          <cell r="F796" t="str">
            <v>S5151SHU2</v>
          </cell>
          <cell r="P796" t="str">
            <v>1 day</v>
          </cell>
        </row>
        <row r="797">
          <cell r="F797" t="str">
            <v>S5151SHU1</v>
          </cell>
          <cell r="P797" t="str">
            <v>1 day</v>
          </cell>
        </row>
        <row r="798">
          <cell r="F798" t="str">
            <v>S5151SHU3</v>
          </cell>
          <cell r="P798" t="str">
            <v>1 day</v>
          </cell>
        </row>
        <row r="799">
          <cell r="F799" t="str">
            <v>S5151SH</v>
          </cell>
          <cell r="P799" t="str">
            <v>1 day</v>
          </cell>
        </row>
        <row r="800">
          <cell r="F800" t="str">
            <v>S5151SH</v>
          </cell>
          <cell r="P800" t="str">
            <v>1 day</v>
          </cell>
        </row>
        <row r="801">
          <cell r="F801" t="str">
            <v>S5151SHU2</v>
          </cell>
          <cell r="P801" t="str">
            <v>1 day</v>
          </cell>
        </row>
        <row r="802">
          <cell r="F802" t="str">
            <v>S5151SHU1</v>
          </cell>
          <cell r="P802" t="str">
            <v>1 day</v>
          </cell>
        </row>
        <row r="803">
          <cell r="F803" t="str">
            <v>S5151SHU3</v>
          </cell>
          <cell r="P803" t="str">
            <v>1 day</v>
          </cell>
        </row>
        <row r="804">
          <cell r="F804" t="str">
            <v>S5151SHU2</v>
          </cell>
          <cell r="P804" t="str">
            <v>1 day</v>
          </cell>
        </row>
        <row r="805">
          <cell r="F805" t="str">
            <v>S5151SH</v>
          </cell>
          <cell r="P805" t="str">
            <v>1 day</v>
          </cell>
        </row>
        <row r="806">
          <cell r="F806" t="str">
            <v>S5151SHU1</v>
          </cell>
          <cell r="P806" t="str">
            <v>1 day</v>
          </cell>
        </row>
        <row r="807">
          <cell r="F807" t="str">
            <v>S5151SHU3</v>
          </cell>
          <cell r="P807" t="str">
            <v>1 day</v>
          </cell>
        </row>
        <row r="808">
          <cell r="F808" t="str">
            <v>S5151SHU2</v>
          </cell>
          <cell r="P808" t="str">
            <v>1 day</v>
          </cell>
        </row>
        <row r="809">
          <cell r="F809" t="str">
            <v>S5151SH</v>
          </cell>
          <cell r="P809" t="str">
            <v>1 day</v>
          </cell>
        </row>
        <row r="810">
          <cell r="F810" t="str">
            <v>S5151SHU1</v>
          </cell>
          <cell r="P810" t="str">
            <v>1 day</v>
          </cell>
        </row>
        <row r="811">
          <cell r="F811" t="str">
            <v>S5151SHU3</v>
          </cell>
          <cell r="P811" t="str">
            <v>1 day</v>
          </cell>
        </row>
        <row r="812">
          <cell r="F812" t="str">
            <v>S5151SHU2</v>
          </cell>
          <cell r="P812" t="str">
            <v>1 day</v>
          </cell>
        </row>
        <row r="813">
          <cell r="F813" t="str">
            <v>S5151SH</v>
          </cell>
          <cell r="P813" t="str">
            <v>1 day</v>
          </cell>
        </row>
        <row r="814">
          <cell r="F814" t="str">
            <v>S5151SHU1</v>
          </cell>
          <cell r="P814" t="str">
            <v>1 day</v>
          </cell>
        </row>
        <row r="815">
          <cell r="F815" t="str">
            <v>S5151SHU3</v>
          </cell>
          <cell r="P815" t="str">
            <v>1 day</v>
          </cell>
        </row>
        <row r="816">
          <cell r="F816" t="str">
            <v>S5151SHU2</v>
          </cell>
          <cell r="P816" t="str">
            <v>1 day</v>
          </cell>
        </row>
        <row r="817">
          <cell r="F817" t="str">
            <v>S5151SHU1</v>
          </cell>
          <cell r="P817" t="str">
            <v>1 day</v>
          </cell>
        </row>
        <row r="818">
          <cell r="F818" t="str">
            <v>S5151SHU3</v>
          </cell>
          <cell r="P818" t="str">
            <v>1 day</v>
          </cell>
        </row>
        <row r="819">
          <cell r="F819" t="str">
            <v>S5151SH</v>
          </cell>
          <cell r="P819" t="str">
            <v>1 day</v>
          </cell>
        </row>
        <row r="820">
          <cell r="F820" t="str">
            <v>S5151SH</v>
          </cell>
          <cell r="P820" t="str">
            <v>1 day</v>
          </cell>
        </row>
        <row r="821">
          <cell r="F821" t="str">
            <v>S5151SHU2</v>
          </cell>
          <cell r="P821" t="str">
            <v>1 day</v>
          </cell>
        </row>
        <row r="822">
          <cell r="F822" t="str">
            <v>S5151SHU1</v>
          </cell>
          <cell r="P822" t="str">
            <v>1 day</v>
          </cell>
        </row>
        <row r="823">
          <cell r="F823" t="str">
            <v>S5151SHU3</v>
          </cell>
          <cell r="P823" t="str">
            <v>1 day</v>
          </cell>
        </row>
        <row r="824">
          <cell r="F824" t="str">
            <v>T2027SH</v>
          </cell>
          <cell r="P824" t="str">
            <v>15 minutes (as of 9/1/23)</v>
          </cell>
        </row>
        <row r="825">
          <cell r="F825" t="str">
            <v>T2038SH</v>
          </cell>
          <cell r="P825" t="str">
            <v>1 time</v>
          </cell>
        </row>
        <row r="826">
          <cell r="F826" t="str">
            <v>T2040SKU9U2</v>
          </cell>
          <cell r="P826" t="str">
            <v>1 month</v>
          </cell>
        </row>
        <row r="827">
          <cell r="F827" t="str">
            <v>T2040SKU9U1</v>
          </cell>
          <cell r="P827" t="str">
            <v>1 month</v>
          </cell>
        </row>
        <row r="828">
          <cell r="F828" t="str">
            <v>S5101SK</v>
          </cell>
          <cell r="P828" t="str">
            <v>3-5 hours = 1 unit; 6+ hours = 2 units</v>
          </cell>
        </row>
        <row r="829">
          <cell r="F829" t="str">
            <v>S5101SKU6</v>
          </cell>
          <cell r="P829" t="str">
            <v>3-5 hours = 1 unit; 6+ hours = 2 units</v>
          </cell>
        </row>
        <row r="830">
          <cell r="F830" t="str">
            <v>S5160SK</v>
          </cell>
          <cell r="P830" t="str">
            <v>1 service (ceiling)</v>
          </cell>
        </row>
        <row r="831">
          <cell r="F831" t="str">
            <v>S5160SK</v>
          </cell>
          <cell r="P831" t="str">
            <v>1 service (ceiling)</v>
          </cell>
        </row>
        <row r="832">
          <cell r="F832" t="str">
            <v>S5161SKU2</v>
          </cell>
          <cell r="P832" t="str">
            <v>1 month (ceiling)</v>
          </cell>
        </row>
        <row r="833">
          <cell r="F833" t="str">
            <v>S5161SKU2U6</v>
          </cell>
          <cell r="P833" t="str">
            <v>1 month (ceiling)</v>
          </cell>
        </row>
        <row r="834">
          <cell r="F834" t="str">
            <v>S5161SKU2</v>
          </cell>
          <cell r="P834" t="str">
            <v>1 month (ceiling)</v>
          </cell>
        </row>
        <row r="835">
          <cell r="F835" t="str">
            <v>S5161SKU2U6</v>
          </cell>
          <cell r="P835" t="str">
            <v>1 month (ceiling)</v>
          </cell>
        </row>
        <row r="836">
          <cell r="F836" t="str">
            <v>T2002SK</v>
          </cell>
          <cell r="P836" t="str">
            <v>1 day</v>
          </cell>
        </row>
        <row r="837">
          <cell r="F837" t="str">
            <v>T1025SKU6</v>
          </cell>
          <cell r="P837" t="str">
            <v>1 day</v>
          </cell>
        </row>
        <row r="838">
          <cell r="F838" t="str">
            <v>T1026SKU6</v>
          </cell>
          <cell r="P838" t="str">
            <v>1 hour</v>
          </cell>
        </row>
        <row r="839">
          <cell r="F839" t="str">
            <v>T1025SK</v>
          </cell>
          <cell r="P839" t="str">
            <v>1 day</v>
          </cell>
        </row>
        <row r="840">
          <cell r="F840" t="str">
            <v>T1026SK</v>
          </cell>
          <cell r="P840" t="str">
            <v>1 hour</v>
          </cell>
        </row>
        <row r="841">
          <cell r="F841" t="str">
            <v>T2040SKU9U6</v>
          </cell>
          <cell r="P841" t="str">
            <v>1 month</v>
          </cell>
        </row>
        <row r="842">
          <cell r="F842" t="str">
            <v>T2040SKU9U2U6</v>
          </cell>
          <cell r="P842" t="str">
            <v>1 month</v>
          </cell>
        </row>
        <row r="843">
          <cell r="F843" t="str">
            <v>H2025SKUC</v>
          </cell>
          <cell r="P843" t="str">
            <v>1 hour</v>
          </cell>
        </row>
        <row r="844">
          <cell r="F844" t="str">
            <v>H2025SKU2</v>
          </cell>
          <cell r="P844" t="str">
            <v>1 hour</v>
          </cell>
        </row>
        <row r="845">
          <cell r="F845" t="str">
            <v>H2025SKU1</v>
          </cell>
          <cell r="P845" t="str">
            <v>1 hour</v>
          </cell>
        </row>
        <row r="846">
          <cell r="F846" t="str">
            <v>H2023SKUC</v>
          </cell>
          <cell r="P846" t="str">
            <v>15 minutes</v>
          </cell>
        </row>
        <row r="847">
          <cell r="F847" t="str">
            <v>H2023SKU2</v>
          </cell>
          <cell r="P847" t="str">
            <v>15 minutes</v>
          </cell>
        </row>
        <row r="848">
          <cell r="F848" t="str">
            <v>H2023SKU1</v>
          </cell>
          <cell r="P848" t="str">
            <v>15 minutes</v>
          </cell>
        </row>
        <row r="849">
          <cell r="F849" t="str">
            <v>S9482SKU4TDUC</v>
          </cell>
          <cell r="P849" t="str">
            <v>15 minutes</v>
          </cell>
        </row>
        <row r="850">
          <cell r="F850" t="str">
            <v>S9482SKU4TDU2</v>
          </cell>
          <cell r="P850" t="str">
            <v>15 minutes</v>
          </cell>
        </row>
        <row r="851">
          <cell r="F851" t="str">
            <v>S9482SKU4TDU1</v>
          </cell>
          <cell r="P851" t="str">
            <v>15 minutes</v>
          </cell>
        </row>
        <row r="852">
          <cell r="F852" t="str">
            <v>S9482SKU4UC</v>
          </cell>
          <cell r="P852" t="str">
            <v>15 minutes</v>
          </cell>
        </row>
        <row r="853">
          <cell r="F853" t="str">
            <v>S9482SKU4U2</v>
          </cell>
          <cell r="P853" t="str">
            <v>15 minutes</v>
          </cell>
        </row>
        <row r="854">
          <cell r="F854" t="str">
            <v>S9482SKU4U1</v>
          </cell>
          <cell r="P854" t="str">
            <v>15 minutes</v>
          </cell>
        </row>
        <row r="855">
          <cell r="F855" t="str">
            <v>S9482SKTEUC</v>
          </cell>
          <cell r="P855" t="str">
            <v>1 hour</v>
          </cell>
        </row>
        <row r="856">
          <cell r="F856" t="str">
            <v>S9482SKTEU2</v>
          </cell>
          <cell r="P856" t="str">
            <v>1 hour</v>
          </cell>
        </row>
        <row r="857">
          <cell r="F857" t="str">
            <v>S9482SKTEU1</v>
          </cell>
          <cell r="P857" t="str">
            <v>1 hour</v>
          </cell>
        </row>
        <row r="858">
          <cell r="F858" t="e">
            <v>#N/A</v>
          </cell>
          <cell r="P858" t="str">
            <v>1 hour</v>
          </cell>
        </row>
        <row r="859">
          <cell r="F859" t="str">
            <v>S9482SKTDU2</v>
          </cell>
          <cell r="P859" t="str">
            <v>1 hour</v>
          </cell>
        </row>
        <row r="860">
          <cell r="F860" t="str">
            <v>S9482SKTDU1</v>
          </cell>
          <cell r="P860" t="str">
            <v>1 hour</v>
          </cell>
        </row>
        <row r="861">
          <cell r="F861" t="str">
            <v>S9482SKTEU7UC</v>
          </cell>
          <cell r="P861" t="str">
            <v>1 hour</v>
          </cell>
        </row>
        <row r="862">
          <cell r="F862" t="str">
            <v>S9482SKTEU7U2</v>
          </cell>
          <cell r="P862" t="str">
            <v>1 hour</v>
          </cell>
        </row>
        <row r="863">
          <cell r="F863" t="str">
            <v>S9482SKTEU7U1</v>
          </cell>
          <cell r="P863" t="str">
            <v>1 hour</v>
          </cell>
        </row>
        <row r="864">
          <cell r="F864" t="str">
            <v>S9482SKTDU7UC</v>
          </cell>
          <cell r="P864" t="str">
            <v>1 hour</v>
          </cell>
        </row>
        <row r="865">
          <cell r="F865" t="str">
            <v>S9482SKTDU7U2</v>
          </cell>
          <cell r="P865" t="str">
            <v>1 hour</v>
          </cell>
        </row>
        <row r="866">
          <cell r="F866" t="str">
            <v>S9482SKTDU7U1</v>
          </cell>
          <cell r="P866" t="str">
            <v>1 hour</v>
          </cell>
        </row>
        <row r="867">
          <cell r="F867" t="str">
            <v>T1005SKU4TDUC</v>
          </cell>
          <cell r="P867" t="str">
            <v>15 minutes</v>
          </cell>
        </row>
        <row r="868">
          <cell r="F868" t="str">
            <v>T1005SKU4TDU2</v>
          </cell>
          <cell r="P868" t="str">
            <v>15 minutes</v>
          </cell>
        </row>
        <row r="869">
          <cell r="F869" t="str">
            <v>T1005SKU4TDU1</v>
          </cell>
          <cell r="P869" t="str">
            <v>15 minutes</v>
          </cell>
        </row>
        <row r="870">
          <cell r="F870" t="str">
            <v>T1005SKU4UC</v>
          </cell>
          <cell r="P870" t="str">
            <v>15 minutes</v>
          </cell>
        </row>
        <row r="871">
          <cell r="F871" t="str">
            <v>T1005SKU4U2</v>
          </cell>
          <cell r="P871" t="str">
            <v>15 minutes</v>
          </cell>
        </row>
        <row r="872">
          <cell r="F872" t="str">
            <v>T1005SKU4U1</v>
          </cell>
          <cell r="P872" t="str">
            <v>15 minutes</v>
          </cell>
        </row>
        <row r="873">
          <cell r="F873" t="str">
            <v>T1005SKTEUC</v>
          </cell>
          <cell r="P873" t="str">
            <v>1 hour</v>
          </cell>
        </row>
        <row r="874">
          <cell r="F874" t="str">
            <v>T1005SKTEU2</v>
          </cell>
          <cell r="P874" t="str">
            <v>1 hour</v>
          </cell>
        </row>
        <row r="875">
          <cell r="F875" t="str">
            <v>T1005SKTEU1</v>
          </cell>
          <cell r="P875" t="str">
            <v>1 hour</v>
          </cell>
        </row>
        <row r="876">
          <cell r="F876" t="str">
            <v>T1005SKTDUC</v>
          </cell>
          <cell r="P876" t="str">
            <v>1 hour</v>
          </cell>
        </row>
        <row r="877">
          <cell r="F877" t="str">
            <v>T1005SKTDU2</v>
          </cell>
          <cell r="P877" t="str">
            <v>1 hour</v>
          </cell>
        </row>
        <row r="878">
          <cell r="F878" t="str">
            <v>T1005SKTDU1</v>
          </cell>
          <cell r="P878" t="str">
            <v>1 hour</v>
          </cell>
        </row>
        <row r="879">
          <cell r="F879" t="str">
            <v>T1005SKTEU7UC</v>
          </cell>
          <cell r="P879" t="str">
            <v>1 hour</v>
          </cell>
        </row>
        <row r="880">
          <cell r="F880" t="str">
            <v>T1005SKTEU7U2</v>
          </cell>
          <cell r="P880" t="str">
            <v>1 hour</v>
          </cell>
        </row>
        <row r="881">
          <cell r="F881" t="str">
            <v>T1005SKTEU7U1</v>
          </cell>
          <cell r="P881" t="str">
            <v>1 hour</v>
          </cell>
        </row>
        <row r="882">
          <cell r="F882" t="str">
            <v>T1005SKTDU7UC</v>
          </cell>
          <cell r="P882" t="str">
            <v>1 hour</v>
          </cell>
        </row>
        <row r="883">
          <cell r="F883" t="str">
            <v>T1005SKTDU7U2</v>
          </cell>
          <cell r="P883" t="str">
            <v>1 hour</v>
          </cell>
        </row>
        <row r="884">
          <cell r="F884" t="str">
            <v>T1005SKTDU7U1</v>
          </cell>
          <cell r="P884" t="str">
            <v>1 hour</v>
          </cell>
        </row>
        <row r="885">
          <cell r="F885" t="str">
            <v>S5151SK</v>
          </cell>
          <cell r="P885" t="str">
            <v>1 day</v>
          </cell>
        </row>
        <row r="886">
          <cell r="F886" t="str">
            <v>S5151SKU1</v>
          </cell>
          <cell r="P886" t="str">
            <v>1 day</v>
          </cell>
        </row>
        <row r="887">
          <cell r="F887" t="str">
            <v>S5151SKU3</v>
          </cell>
          <cell r="P887" t="str">
            <v>1 day</v>
          </cell>
        </row>
        <row r="888">
          <cell r="F888" t="str">
            <v>S5151SKU2</v>
          </cell>
          <cell r="P888" t="str">
            <v>1 day</v>
          </cell>
        </row>
        <row r="889">
          <cell r="F889" t="str">
            <v>S5151SK</v>
          </cell>
          <cell r="P889" t="str">
            <v>1 day</v>
          </cell>
        </row>
        <row r="890">
          <cell r="F890" t="str">
            <v>S5151SKU2</v>
          </cell>
          <cell r="P890" t="str">
            <v>1 day</v>
          </cell>
        </row>
        <row r="891">
          <cell r="F891" t="str">
            <v>S5151SKU1</v>
          </cell>
          <cell r="P891" t="str">
            <v>1 day</v>
          </cell>
        </row>
        <row r="892">
          <cell r="F892" t="str">
            <v>S5151SKU3</v>
          </cell>
          <cell r="P892" t="str">
            <v>1 day</v>
          </cell>
        </row>
        <row r="893">
          <cell r="F893" t="str">
            <v>S5151SK</v>
          </cell>
          <cell r="P893" t="str">
            <v>1 day</v>
          </cell>
        </row>
        <row r="894">
          <cell r="F894" t="str">
            <v>S5151SKU2</v>
          </cell>
          <cell r="P894" t="str">
            <v>1 day</v>
          </cell>
        </row>
        <row r="895">
          <cell r="F895" t="str">
            <v>S5151SKU1</v>
          </cell>
          <cell r="P895" t="str">
            <v>1 day</v>
          </cell>
        </row>
        <row r="896">
          <cell r="F896" t="str">
            <v>S5151SKU3</v>
          </cell>
          <cell r="P896" t="str">
            <v>1 day</v>
          </cell>
        </row>
        <row r="897">
          <cell r="F897" t="str">
            <v>S5151SKU2</v>
          </cell>
          <cell r="P897" t="str">
            <v>1 day</v>
          </cell>
        </row>
        <row r="898">
          <cell r="F898" t="str">
            <v>S5151SKU1</v>
          </cell>
          <cell r="P898" t="str">
            <v>1 day</v>
          </cell>
        </row>
        <row r="899">
          <cell r="F899" t="str">
            <v>S5151SKU3</v>
          </cell>
          <cell r="P899" t="str">
            <v>1 day</v>
          </cell>
        </row>
        <row r="900">
          <cell r="F900" t="str">
            <v>S5151SK</v>
          </cell>
          <cell r="P900" t="str">
            <v>1 day</v>
          </cell>
        </row>
        <row r="901">
          <cell r="F901" t="str">
            <v>S5151SK</v>
          </cell>
          <cell r="P901" t="str">
            <v>1 day</v>
          </cell>
        </row>
        <row r="902">
          <cell r="F902" t="str">
            <v>S5151SKU2</v>
          </cell>
          <cell r="P902" t="str">
            <v>1 day</v>
          </cell>
        </row>
        <row r="903">
          <cell r="F903" t="str">
            <v>S5151SKU1</v>
          </cell>
          <cell r="P903" t="str">
            <v>1 day</v>
          </cell>
        </row>
        <row r="904">
          <cell r="F904" t="str">
            <v>S5151SKU3</v>
          </cell>
          <cell r="P904" t="str">
            <v>1 day</v>
          </cell>
        </row>
        <row r="905">
          <cell r="F905" t="str">
            <v>S5151SKU2</v>
          </cell>
          <cell r="P905" t="str">
            <v>1 day</v>
          </cell>
        </row>
        <row r="906">
          <cell r="F906" t="str">
            <v>S5151SK</v>
          </cell>
          <cell r="P906" t="str">
            <v>1 day</v>
          </cell>
        </row>
        <row r="907">
          <cell r="F907" t="str">
            <v>S5151SKU1</v>
          </cell>
          <cell r="P907" t="str">
            <v>1 day</v>
          </cell>
        </row>
        <row r="908">
          <cell r="F908" t="str">
            <v>S5151SKU3</v>
          </cell>
          <cell r="P908" t="str">
            <v>1 day</v>
          </cell>
        </row>
        <row r="909">
          <cell r="F909" t="str">
            <v>S5151SKU2</v>
          </cell>
          <cell r="P909" t="str">
            <v>1 day</v>
          </cell>
        </row>
        <row r="910">
          <cell r="F910" t="str">
            <v>S5151SK</v>
          </cell>
          <cell r="P910" t="str">
            <v>1 day</v>
          </cell>
        </row>
        <row r="911">
          <cell r="F911" t="str">
            <v>S5151SKU1</v>
          </cell>
          <cell r="P911" t="str">
            <v>1 day</v>
          </cell>
        </row>
        <row r="912">
          <cell r="F912" t="str">
            <v>S5151SKU3</v>
          </cell>
          <cell r="P912" t="str">
            <v>1 day</v>
          </cell>
        </row>
        <row r="913">
          <cell r="F913" t="str">
            <v>S5151SKU2</v>
          </cell>
          <cell r="P913" t="str">
            <v>1 day</v>
          </cell>
        </row>
        <row r="914">
          <cell r="F914" t="str">
            <v>S5151SK</v>
          </cell>
          <cell r="P914" t="str">
            <v>1 day</v>
          </cell>
        </row>
        <row r="915">
          <cell r="F915" t="str">
            <v>S5151SKU1</v>
          </cell>
          <cell r="P915" t="str">
            <v>1 day</v>
          </cell>
        </row>
        <row r="916">
          <cell r="F916" t="str">
            <v>S5151SKU3</v>
          </cell>
          <cell r="P916" t="str">
            <v>1 day</v>
          </cell>
        </row>
        <row r="917">
          <cell r="F917" t="str">
            <v>S5151SKU2</v>
          </cell>
          <cell r="P917" t="str">
            <v>1 day</v>
          </cell>
        </row>
        <row r="918">
          <cell r="F918" t="str">
            <v>S5151SKU1</v>
          </cell>
          <cell r="P918" t="str">
            <v>1 day</v>
          </cell>
        </row>
        <row r="919">
          <cell r="F919" t="str">
            <v>S5151SKU3</v>
          </cell>
          <cell r="P919" t="str">
            <v>1 day</v>
          </cell>
        </row>
        <row r="920">
          <cell r="F920" t="str">
            <v>S5151SK</v>
          </cell>
          <cell r="P920" t="str">
            <v>1 day</v>
          </cell>
        </row>
        <row r="921">
          <cell r="F921" t="str">
            <v>S5151SK</v>
          </cell>
          <cell r="P921" t="str">
            <v>1 day</v>
          </cell>
        </row>
        <row r="922">
          <cell r="F922" t="str">
            <v>S5151SKU2</v>
          </cell>
          <cell r="P922" t="str">
            <v>1 day</v>
          </cell>
        </row>
        <row r="923">
          <cell r="F923" t="str">
            <v>S5151SKU1</v>
          </cell>
          <cell r="P923" t="str">
            <v>1 day</v>
          </cell>
        </row>
        <row r="924">
          <cell r="F924" t="str">
            <v>S5151SKU3</v>
          </cell>
          <cell r="P924" t="str">
            <v>1 day</v>
          </cell>
        </row>
        <row r="925">
          <cell r="F925" t="str">
            <v>T2027SK</v>
          </cell>
          <cell r="P925" t="str">
            <v>15 minutes (as of 9/1/23)</v>
          </cell>
        </row>
        <row r="926">
          <cell r="F926" t="str">
            <v>T2038SK</v>
          </cell>
          <cell r="P926" t="str">
            <v>1 time</v>
          </cell>
        </row>
        <row r="927">
          <cell r="F927" t="str">
            <v>T2040SPU5U9</v>
          </cell>
          <cell r="P927" t="str">
            <v>1 month</v>
          </cell>
        </row>
        <row r="928">
          <cell r="F928" t="str">
            <v>T2040MPU5U9</v>
          </cell>
          <cell r="P928" t="str">
            <v>1 month</v>
          </cell>
        </row>
        <row r="929">
          <cell r="F929" t="str">
            <v>T2040SPU5U9U7</v>
          </cell>
          <cell r="P929" t="str">
            <v>1 month</v>
          </cell>
        </row>
        <row r="930">
          <cell r="F930" t="str">
            <v>T2040MPU5U9U7</v>
          </cell>
          <cell r="P930" t="str">
            <v>1 month</v>
          </cell>
        </row>
        <row r="931">
          <cell r="F931" t="str">
            <v>S5101SP</v>
          </cell>
          <cell r="P931" t="str">
            <v>3-5 hours = 1 unit; 6+ hours = 2 units</v>
          </cell>
        </row>
        <row r="932">
          <cell r="F932" t="str">
            <v>S5101MP</v>
          </cell>
          <cell r="P932" t="str">
            <v>3-5 hours = 1 unit; 6+ hours = 2 units</v>
          </cell>
        </row>
        <row r="933">
          <cell r="F933" t="str">
            <v>S5160SP</v>
          </cell>
          <cell r="P933" t="str">
            <v>1 month (ceiling)</v>
          </cell>
        </row>
        <row r="934">
          <cell r="F934" t="str">
            <v>S5160MP</v>
          </cell>
          <cell r="P934" t="str">
            <v>1 month (ceiling)</v>
          </cell>
        </row>
        <row r="935">
          <cell r="F935" t="str">
            <v>S5161MPU5U7</v>
          </cell>
          <cell r="P935" t="str">
            <v>1 month (ceiling)</v>
          </cell>
        </row>
        <row r="936">
          <cell r="F936" t="str">
            <v>S5161SPU5U7</v>
          </cell>
          <cell r="P936" t="str">
            <v>1 month (ceiling)</v>
          </cell>
        </row>
        <row r="937">
          <cell r="F937" t="str">
            <v>T2017SPU5U7UC</v>
          </cell>
          <cell r="P937" t="str">
            <v>15 minutes</v>
          </cell>
        </row>
        <row r="938">
          <cell r="F938" t="str">
            <v>T2017MPU5U7UC</v>
          </cell>
          <cell r="P938" t="str">
            <v>1 hour</v>
          </cell>
        </row>
        <row r="939">
          <cell r="F939" t="str">
            <v>T2017SPU5U7UD</v>
          </cell>
          <cell r="P939" t="str">
            <v>15 minutes</v>
          </cell>
        </row>
        <row r="940">
          <cell r="F940" t="str">
            <v>T2017MPU5U7UD</v>
          </cell>
          <cell r="P940" t="str">
            <v>1 hour</v>
          </cell>
        </row>
        <row r="941">
          <cell r="F941" t="str">
            <v>T2017SPU5U7</v>
          </cell>
          <cell r="P941" t="str">
            <v>15 minutes</v>
          </cell>
        </row>
        <row r="942">
          <cell r="F942" t="str">
            <v>T2017MPU5U7</v>
          </cell>
          <cell r="P942" t="str">
            <v>1 hour</v>
          </cell>
        </row>
        <row r="943">
          <cell r="F943" t="str">
            <v>S5170SP</v>
          </cell>
          <cell r="P943" t="str">
            <v>1 meal</v>
          </cell>
        </row>
        <row r="944">
          <cell r="F944" t="str">
            <v>S5170MP</v>
          </cell>
          <cell r="P944" t="str">
            <v>1 meal</v>
          </cell>
        </row>
        <row r="945">
          <cell r="F945" t="e">
            <v>#N/A</v>
          </cell>
          <cell r="P945" t="str">
            <v>1 hour</v>
          </cell>
        </row>
        <row r="946">
          <cell r="F946" t="e">
            <v>#N/A</v>
          </cell>
          <cell r="P946" t="str">
            <v>1 hour</v>
          </cell>
        </row>
        <row r="947">
          <cell r="F947" t="str">
            <v>S5125SPU5UC</v>
          </cell>
          <cell r="P947" t="str">
            <v>15 minutes</v>
          </cell>
        </row>
        <row r="948">
          <cell r="F948" t="str">
            <v>S5125MPU5UC</v>
          </cell>
          <cell r="P948" t="str">
            <v>15 minutes</v>
          </cell>
        </row>
        <row r="949">
          <cell r="F949" t="str">
            <v>S5125SPU5U7UC</v>
          </cell>
          <cell r="P949" t="str">
            <v>15 minutes</v>
          </cell>
        </row>
        <row r="950">
          <cell r="F950" t="str">
            <v>S5125MPU5U7UC</v>
          </cell>
          <cell r="P950" t="str">
            <v>15 minutes</v>
          </cell>
        </row>
        <row r="951">
          <cell r="F951" t="str">
            <v>S5125SPU5U7UD</v>
          </cell>
          <cell r="P951" t="str">
            <v>15 minutes</v>
          </cell>
        </row>
        <row r="952">
          <cell r="F952" t="str">
            <v>S5125MPU5U7UD</v>
          </cell>
          <cell r="P952" t="str">
            <v>15 minutes</v>
          </cell>
        </row>
        <row r="953">
          <cell r="F953" t="str">
            <v>S5125SPU5UD</v>
          </cell>
          <cell r="P953" t="str">
            <v>15 minutes</v>
          </cell>
        </row>
        <row r="954">
          <cell r="F954" t="str">
            <v>S5125MPU5UD</v>
          </cell>
          <cell r="P954" t="str">
            <v>15 minutes</v>
          </cell>
        </row>
        <row r="955">
          <cell r="F955" t="str">
            <v>S5125SPU5</v>
          </cell>
          <cell r="P955" t="str">
            <v>15 minutes</v>
          </cell>
        </row>
        <row r="956">
          <cell r="F956" t="str">
            <v>S5125MPU5</v>
          </cell>
          <cell r="P956" t="str">
            <v>15 minutes</v>
          </cell>
        </row>
        <row r="957">
          <cell r="F957" t="str">
            <v>S5125SPU5U7</v>
          </cell>
          <cell r="P957" t="str">
            <v>15 minutes</v>
          </cell>
        </row>
        <row r="958">
          <cell r="F958" t="str">
            <v>S5125MPU5U7</v>
          </cell>
          <cell r="P958" t="str">
            <v>15 minutes</v>
          </cell>
        </row>
        <row r="959">
          <cell r="F959" t="str">
            <v>S9131SPU3</v>
          </cell>
          <cell r="P959" t="str">
            <v>1 hour</v>
          </cell>
        </row>
        <row r="960">
          <cell r="F960" t="str">
            <v>S9131MPU3</v>
          </cell>
          <cell r="P960" t="str">
            <v>1 hour</v>
          </cell>
        </row>
        <row r="961">
          <cell r="F961" t="str">
            <v>BA1SP</v>
          </cell>
          <cell r="P961" t="str">
            <v>1 day</v>
          </cell>
        </row>
        <row r="962">
          <cell r="F962" t="str">
            <v>BA2SP</v>
          </cell>
          <cell r="P962" t="str">
            <v>1 day</v>
          </cell>
        </row>
        <row r="963">
          <cell r="F963" t="str">
            <v>BB1SP</v>
          </cell>
          <cell r="P963" t="str">
            <v>1 day</v>
          </cell>
        </row>
        <row r="964">
          <cell r="F964" t="str">
            <v>BB2SP</v>
          </cell>
          <cell r="P964" t="str">
            <v>1 day</v>
          </cell>
        </row>
        <row r="965">
          <cell r="F965" t="str">
            <v>BC1SP</v>
          </cell>
          <cell r="P965" t="str">
            <v>1 day</v>
          </cell>
        </row>
        <row r="966">
          <cell r="F966" t="str">
            <v>CA1SP</v>
          </cell>
          <cell r="P966" t="str">
            <v>1 day</v>
          </cell>
        </row>
        <row r="967">
          <cell r="F967" t="str">
            <v>CA2SP</v>
          </cell>
          <cell r="P967" t="str">
            <v>1 day</v>
          </cell>
        </row>
        <row r="968">
          <cell r="F968" t="str">
            <v>CB1SP</v>
          </cell>
          <cell r="P968" t="str">
            <v>1 day</v>
          </cell>
        </row>
        <row r="969">
          <cell r="F969" t="str">
            <v>CB2SP</v>
          </cell>
          <cell r="P969" t="str">
            <v>1 day</v>
          </cell>
        </row>
        <row r="970">
          <cell r="F970" t="str">
            <v>CC1SP</v>
          </cell>
          <cell r="P970" t="str">
            <v>1 day</v>
          </cell>
        </row>
        <row r="971">
          <cell r="F971" t="str">
            <v>CC2SP</v>
          </cell>
          <cell r="P971" t="str">
            <v>1 day</v>
          </cell>
        </row>
        <row r="972">
          <cell r="F972" t="str">
            <v>IA1SP</v>
          </cell>
          <cell r="P972" t="str">
            <v>1 day</v>
          </cell>
        </row>
        <row r="973">
          <cell r="F973" t="str">
            <v>IA2SP</v>
          </cell>
          <cell r="P973" t="str">
            <v>1 day</v>
          </cell>
        </row>
        <row r="974">
          <cell r="F974" t="str">
            <v>IB1SP</v>
          </cell>
          <cell r="P974" t="str">
            <v>1 day</v>
          </cell>
        </row>
        <row r="975">
          <cell r="F975" t="str">
            <v>IB2SP</v>
          </cell>
          <cell r="P975" t="str">
            <v>1 day</v>
          </cell>
        </row>
        <row r="976">
          <cell r="F976" t="str">
            <v>PA1SP</v>
          </cell>
          <cell r="P976" t="str">
            <v>1 day</v>
          </cell>
        </row>
        <row r="977">
          <cell r="F977" t="str">
            <v>PA2SP</v>
          </cell>
          <cell r="P977" t="str">
            <v>1 day</v>
          </cell>
        </row>
        <row r="978">
          <cell r="F978" t="str">
            <v>PB1SP</v>
          </cell>
          <cell r="P978" t="str">
            <v>1 day</v>
          </cell>
        </row>
        <row r="979">
          <cell r="F979" t="str">
            <v>PB2SP</v>
          </cell>
          <cell r="P979" t="str">
            <v>1 day</v>
          </cell>
        </row>
        <row r="980">
          <cell r="F980" t="str">
            <v>PC1SP</v>
          </cell>
          <cell r="P980" t="str">
            <v>1 day</v>
          </cell>
        </row>
        <row r="981">
          <cell r="F981" t="str">
            <v>PC2SP</v>
          </cell>
          <cell r="P981" t="str">
            <v>1 day</v>
          </cell>
        </row>
        <row r="982">
          <cell r="F982" t="str">
            <v>PCESP</v>
          </cell>
          <cell r="P982" t="str">
            <v>1 day</v>
          </cell>
        </row>
        <row r="983">
          <cell r="F983" t="str">
            <v>PD1SP</v>
          </cell>
          <cell r="P983" t="str">
            <v>1 day</v>
          </cell>
        </row>
        <row r="984">
          <cell r="F984" t="str">
            <v>PD2SP</v>
          </cell>
          <cell r="P984" t="str">
            <v>1 day</v>
          </cell>
        </row>
        <row r="985">
          <cell r="F985" t="str">
            <v>PE1SP</v>
          </cell>
          <cell r="P985" t="str">
            <v>1 day</v>
          </cell>
        </row>
        <row r="986">
          <cell r="F986" t="str">
            <v>PE2SP</v>
          </cell>
          <cell r="P986" t="str">
            <v>1 day</v>
          </cell>
        </row>
        <row r="987">
          <cell r="F987" t="str">
            <v>RAASP</v>
          </cell>
          <cell r="P987" t="str">
            <v>1 day</v>
          </cell>
        </row>
        <row r="988">
          <cell r="F988" t="str">
            <v>RABSP</v>
          </cell>
          <cell r="P988" t="str">
            <v>1 day</v>
          </cell>
        </row>
        <row r="989">
          <cell r="F989" t="str">
            <v>RACSP</v>
          </cell>
          <cell r="P989" t="str">
            <v>1 day</v>
          </cell>
        </row>
        <row r="990">
          <cell r="F990" t="str">
            <v>RADSP</v>
          </cell>
          <cell r="P990" t="str">
            <v>1 day</v>
          </cell>
        </row>
        <row r="991">
          <cell r="F991" t="str">
            <v>SE1SP</v>
          </cell>
          <cell r="P991" t="str">
            <v>1 day</v>
          </cell>
        </row>
        <row r="992">
          <cell r="F992" t="str">
            <v>SE2SP</v>
          </cell>
          <cell r="P992" t="str">
            <v>1 day</v>
          </cell>
        </row>
        <row r="993">
          <cell r="F993" t="str">
            <v>SE3SP</v>
          </cell>
          <cell r="P993" t="str">
            <v>1 day</v>
          </cell>
        </row>
        <row r="994">
          <cell r="F994" t="str">
            <v>SSASP</v>
          </cell>
          <cell r="P994" t="str">
            <v>1 day</v>
          </cell>
        </row>
        <row r="995">
          <cell r="F995" t="str">
            <v>SSBSP</v>
          </cell>
          <cell r="P995" t="str">
            <v>1 day</v>
          </cell>
        </row>
        <row r="996">
          <cell r="F996" t="str">
            <v>SSCSP</v>
          </cell>
          <cell r="P996" t="str">
            <v>1 day</v>
          </cell>
        </row>
        <row r="997">
          <cell r="F997" t="e">
            <v>#N/A</v>
          </cell>
          <cell r="P997" t="str">
            <v>1 hour</v>
          </cell>
        </row>
        <row r="998">
          <cell r="F998" t="e">
            <v>#N/A</v>
          </cell>
          <cell r="P998" t="str">
            <v>1 day</v>
          </cell>
        </row>
        <row r="999">
          <cell r="F999" t="e">
            <v>#N/A</v>
          </cell>
          <cell r="P999" t="str">
            <v>1 day</v>
          </cell>
        </row>
        <row r="1000">
          <cell r="F1000" t="e">
            <v>#N/A</v>
          </cell>
          <cell r="P1000" t="str">
            <v>1 day</v>
          </cell>
        </row>
        <row r="1001">
          <cell r="F1001" t="e">
            <v>#N/A</v>
          </cell>
          <cell r="P1001" t="str">
            <v>1 day</v>
          </cell>
        </row>
        <row r="1002">
          <cell r="F1002" t="str">
            <v>S5140SPU1</v>
          </cell>
          <cell r="P1002" t="str">
            <v>1 day</v>
          </cell>
        </row>
        <row r="1003">
          <cell r="F1003" t="str">
            <v>S5140MPU1</v>
          </cell>
          <cell r="P1003" t="str">
            <v>1 day</v>
          </cell>
        </row>
        <row r="1004">
          <cell r="F1004" t="str">
            <v>S5140SPU2</v>
          </cell>
          <cell r="P1004" t="str">
            <v>1 day</v>
          </cell>
        </row>
        <row r="1005">
          <cell r="F1005" t="str">
            <v>S5140MPU2</v>
          </cell>
          <cell r="P1005" t="str">
            <v>1 day</v>
          </cell>
        </row>
        <row r="1006">
          <cell r="F1006" t="str">
            <v>S5140SPU3</v>
          </cell>
          <cell r="P1006" t="str">
            <v>1 day</v>
          </cell>
        </row>
        <row r="1007">
          <cell r="F1007" t="str">
            <v>S5140MPU3</v>
          </cell>
          <cell r="P1007" t="str">
            <v>1 day</v>
          </cell>
        </row>
        <row r="1008">
          <cell r="F1008" t="str">
            <v>T2031MPUBU1</v>
          </cell>
          <cell r="P1008" t="str">
            <v>1 day</v>
          </cell>
        </row>
        <row r="1009">
          <cell r="F1009" t="str">
            <v>T2031SPUBU1</v>
          </cell>
          <cell r="P1009" t="str">
            <v>1 day</v>
          </cell>
        </row>
        <row r="1010">
          <cell r="F1010" t="str">
            <v>T2031MPU1</v>
          </cell>
          <cell r="P1010" t="str">
            <v>1 day</v>
          </cell>
        </row>
        <row r="1011">
          <cell r="F1011" t="str">
            <v>T2031SPU1</v>
          </cell>
          <cell r="P1011" t="str">
            <v>1 day</v>
          </cell>
        </row>
        <row r="1012">
          <cell r="F1012" t="str">
            <v>T2031MPUAU1</v>
          </cell>
          <cell r="P1012" t="str">
            <v>1 day</v>
          </cell>
        </row>
        <row r="1013">
          <cell r="F1013" t="str">
            <v>T2031SPUAU1</v>
          </cell>
          <cell r="P1013" t="str">
            <v>1 day</v>
          </cell>
        </row>
        <row r="1014">
          <cell r="F1014" t="str">
            <v>T2031MPUBU2</v>
          </cell>
          <cell r="P1014" t="str">
            <v>1 day</v>
          </cell>
        </row>
        <row r="1015">
          <cell r="F1015" t="str">
            <v>T2031SPUBU2</v>
          </cell>
          <cell r="P1015" t="str">
            <v>1 day</v>
          </cell>
        </row>
        <row r="1016">
          <cell r="F1016" t="str">
            <v>T2031MPU2</v>
          </cell>
          <cell r="P1016" t="str">
            <v>1 day</v>
          </cell>
        </row>
        <row r="1017">
          <cell r="F1017" t="str">
            <v>T2031SPU2</v>
          </cell>
          <cell r="P1017" t="str">
            <v>1 day</v>
          </cell>
        </row>
        <row r="1018">
          <cell r="F1018" t="str">
            <v>T2031MPUAU2</v>
          </cell>
          <cell r="P1018" t="str">
            <v>1 day</v>
          </cell>
        </row>
        <row r="1019">
          <cell r="F1019" t="str">
            <v>T2031SPUAU2</v>
          </cell>
          <cell r="P1019" t="str">
            <v>1 day</v>
          </cell>
        </row>
        <row r="1020">
          <cell r="F1020" t="str">
            <v>T2031MPUBU3</v>
          </cell>
          <cell r="P1020" t="str">
            <v>1 day</v>
          </cell>
        </row>
        <row r="1021">
          <cell r="F1021" t="str">
            <v>T2031SPUBU3</v>
          </cell>
          <cell r="P1021" t="str">
            <v>1 day</v>
          </cell>
        </row>
        <row r="1022">
          <cell r="F1022" t="str">
            <v>T2031MPU3</v>
          </cell>
          <cell r="P1022" t="str">
            <v>1 day</v>
          </cell>
        </row>
        <row r="1023">
          <cell r="F1023" t="str">
            <v>T2031SPU3</v>
          </cell>
          <cell r="P1023" t="str">
            <v>1 day</v>
          </cell>
        </row>
        <row r="1024">
          <cell r="F1024" t="str">
            <v>T2031MPUAU3</v>
          </cell>
          <cell r="P1024" t="str">
            <v>1 day</v>
          </cell>
        </row>
        <row r="1025">
          <cell r="F1025" t="str">
            <v>T2031SPUAU3</v>
          </cell>
          <cell r="P1025" t="str">
            <v>1 day</v>
          </cell>
        </row>
        <row r="1026">
          <cell r="F1026" t="str">
            <v>T2031MPUBU4</v>
          </cell>
          <cell r="P1026" t="str">
            <v>1 day</v>
          </cell>
        </row>
        <row r="1027">
          <cell r="F1027" t="str">
            <v>T2031SPUBU4</v>
          </cell>
          <cell r="P1027" t="str">
            <v>1 day</v>
          </cell>
        </row>
        <row r="1028">
          <cell r="F1028" t="str">
            <v>T2031MPU4</v>
          </cell>
          <cell r="P1028" t="str">
            <v>1 day</v>
          </cell>
        </row>
        <row r="1029">
          <cell r="F1029" t="str">
            <v>T2031SPU4</v>
          </cell>
          <cell r="P1029" t="str">
            <v>1 day</v>
          </cell>
        </row>
        <row r="1030">
          <cell r="F1030" t="str">
            <v>T2031MPUAU4</v>
          </cell>
          <cell r="P1030" t="str">
            <v>1 day</v>
          </cell>
        </row>
        <row r="1031">
          <cell r="F1031" t="str">
            <v>T2031SPUAU4</v>
          </cell>
          <cell r="P1031" t="str">
            <v>1 day</v>
          </cell>
        </row>
        <row r="1032">
          <cell r="F1032" t="str">
            <v>T2031MPUBU5</v>
          </cell>
          <cell r="P1032" t="str">
            <v>1 day</v>
          </cell>
        </row>
        <row r="1033">
          <cell r="F1033" t="str">
            <v>T2031SPUBU5</v>
          </cell>
          <cell r="P1033" t="str">
            <v>1 day</v>
          </cell>
        </row>
        <row r="1034">
          <cell r="F1034" t="str">
            <v>T2031MPU5</v>
          </cell>
          <cell r="P1034" t="str">
            <v>1 day</v>
          </cell>
        </row>
        <row r="1035">
          <cell r="F1035" t="str">
            <v>T2031SPU5</v>
          </cell>
          <cell r="P1035" t="str">
            <v>1 day</v>
          </cell>
        </row>
        <row r="1036">
          <cell r="F1036" t="str">
            <v>T2031MPUAU5</v>
          </cell>
          <cell r="P1036" t="str">
            <v>1 day</v>
          </cell>
        </row>
        <row r="1037">
          <cell r="F1037" t="str">
            <v>T2031SPUAU5</v>
          </cell>
          <cell r="P1037" t="str">
            <v>1 day</v>
          </cell>
        </row>
        <row r="1038">
          <cell r="F1038" t="str">
            <v>T2031MPUBU6</v>
          </cell>
          <cell r="P1038" t="str">
            <v>1 day</v>
          </cell>
        </row>
        <row r="1039">
          <cell r="F1039" t="str">
            <v>T2031SPUBU6</v>
          </cell>
          <cell r="P1039" t="str">
            <v>1 day</v>
          </cell>
        </row>
        <row r="1040">
          <cell r="F1040" t="str">
            <v>T2031MPU6</v>
          </cell>
          <cell r="P1040" t="str">
            <v>1 day</v>
          </cell>
        </row>
        <row r="1041">
          <cell r="F1041" t="str">
            <v>T2031SPU6</v>
          </cell>
          <cell r="P1041" t="str">
            <v>1 day</v>
          </cell>
        </row>
        <row r="1042">
          <cell r="F1042" t="str">
            <v>T2031MPUAU6</v>
          </cell>
          <cell r="P1042" t="str">
            <v>1 day</v>
          </cell>
        </row>
        <row r="1043">
          <cell r="F1043" t="str">
            <v>T2031SPUAU6</v>
          </cell>
          <cell r="P1043" t="str">
            <v>1 day</v>
          </cell>
        </row>
        <row r="1044">
          <cell r="F1044" t="str">
            <v>97129SPU3</v>
          </cell>
          <cell r="P1044" t="str">
            <v>1 hour</v>
          </cell>
        </row>
        <row r="1045">
          <cell r="F1045" t="str">
            <v>97129MPU3</v>
          </cell>
          <cell r="P1045" t="str">
            <v>1 hour</v>
          </cell>
        </row>
        <row r="1046">
          <cell r="F1046" t="str">
            <v>97129SPU3UC</v>
          </cell>
          <cell r="P1046" t="str">
            <v>1 hour</v>
          </cell>
        </row>
        <row r="1047">
          <cell r="F1047" t="str">
            <v>97130MPU3UC</v>
          </cell>
          <cell r="P1047" t="str">
            <v>1 hour</v>
          </cell>
        </row>
        <row r="1048">
          <cell r="F1048" t="str">
            <v>97129SPU3UD</v>
          </cell>
          <cell r="P1048" t="str">
            <v>1 hour</v>
          </cell>
        </row>
        <row r="1049">
          <cell r="F1049" t="str">
            <v>97129MPU3UD</v>
          </cell>
          <cell r="P1049" t="str">
            <v>1 hour</v>
          </cell>
        </row>
        <row r="1050">
          <cell r="F1050" t="str">
            <v>T2040SPU3U9</v>
          </cell>
          <cell r="P1050" t="str">
            <v>1 month</v>
          </cell>
        </row>
        <row r="1051">
          <cell r="F1051" t="str">
            <v>T2040MPU3U9</v>
          </cell>
          <cell r="P1051" t="str">
            <v>1 month</v>
          </cell>
        </row>
        <row r="1052">
          <cell r="F1052" t="str">
            <v>T2040SPU3U9U7</v>
          </cell>
          <cell r="P1052" t="str">
            <v>1 month</v>
          </cell>
        </row>
        <row r="1053">
          <cell r="F1053" t="str">
            <v>T2040MPU3U9U7</v>
          </cell>
          <cell r="P1053" t="str">
            <v>1 month</v>
          </cell>
        </row>
        <row r="1054">
          <cell r="F1054" t="str">
            <v>H2025SPU3UC</v>
          </cell>
          <cell r="P1054" t="str">
            <v>1 hour</v>
          </cell>
        </row>
        <row r="1055">
          <cell r="F1055" t="str">
            <v>H2025MPU3UC</v>
          </cell>
          <cell r="P1055" t="str">
            <v>1 hour</v>
          </cell>
        </row>
        <row r="1056">
          <cell r="F1056" t="str">
            <v>H2025SPU3UD</v>
          </cell>
          <cell r="P1056" t="str">
            <v>1 hour</v>
          </cell>
        </row>
        <row r="1057">
          <cell r="F1057" t="str">
            <v>H2025MPU3UD</v>
          </cell>
          <cell r="P1057" t="str">
            <v>1 hour</v>
          </cell>
        </row>
        <row r="1058">
          <cell r="F1058" t="str">
            <v>H2025SPU3</v>
          </cell>
          <cell r="P1058" t="str">
            <v>1 hour</v>
          </cell>
        </row>
        <row r="1059">
          <cell r="F1059" t="str">
            <v>H2025MPU3</v>
          </cell>
          <cell r="P1059" t="str">
            <v>1 hour</v>
          </cell>
        </row>
        <row r="1060">
          <cell r="F1060" t="str">
            <v>H2023SPU3UC</v>
          </cell>
          <cell r="P1060" t="str">
            <v>15 minutes</v>
          </cell>
        </row>
        <row r="1061">
          <cell r="F1061" t="str">
            <v>H2023MPU3UC</v>
          </cell>
          <cell r="P1061" t="str">
            <v>15 minutes</v>
          </cell>
        </row>
        <row r="1062">
          <cell r="F1062" t="str">
            <v>H2023SPU3UD</v>
          </cell>
          <cell r="P1062" t="str">
            <v>15 minutes</v>
          </cell>
        </row>
        <row r="1063">
          <cell r="F1063" t="str">
            <v>H2023MPU3UD</v>
          </cell>
          <cell r="P1063" t="str">
            <v>15 minutes</v>
          </cell>
        </row>
        <row r="1064">
          <cell r="F1064" t="str">
            <v>H2023SPU3</v>
          </cell>
          <cell r="P1064" t="str">
            <v>15 minutes</v>
          </cell>
        </row>
        <row r="1065">
          <cell r="F1065" t="str">
            <v>H2023MPU3</v>
          </cell>
          <cell r="P1065" t="str">
            <v>15 minutes</v>
          </cell>
        </row>
        <row r="1066">
          <cell r="F1066" t="str">
            <v>S5160MP</v>
          </cell>
          <cell r="P1066" t="str">
            <v>1 service (ceiling)</v>
          </cell>
        </row>
        <row r="1067">
          <cell r="F1067" t="str">
            <v>S5160SP</v>
          </cell>
          <cell r="P1067" t="str">
            <v>1 service (ceiling)</v>
          </cell>
        </row>
        <row r="1068">
          <cell r="F1068" t="str">
            <v>S5161SPU3</v>
          </cell>
          <cell r="P1068" t="str">
            <v>1 month (ceiling)</v>
          </cell>
        </row>
        <row r="1069">
          <cell r="F1069" t="str">
            <v>S5161MPU3</v>
          </cell>
          <cell r="P1069" t="str">
            <v>1 month (ceiling)</v>
          </cell>
        </row>
        <row r="1070">
          <cell r="F1070" t="str">
            <v>S5161MPU3U7</v>
          </cell>
          <cell r="P1070" t="str">
            <v>1 month (ceiling)</v>
          </cell>
        </row>
        <row r="1071">
          <cell r="F1071" t="str">
            <v>S5161SPU3U7</v>
          </cell>
          <cell r="P1071" t="str">
            <v>1 month (ceiling)</v>
          </cell>
        </row>
        <row r="1072">
          <cell r="F1072" t="str">
            <v>T2017SPU3U7UC</v>
          </cell>
          <cell r="P1072" t="str">
            <v>15 minutes</v>
          </cell>
        </row>
        <row r="1073">
          <cell r="F1073" t="str">
            <v>T2017MPU3U7UC</v>
          </cell>
          <cell r="P1073" t="str">
            <v>1 hour</v>
          </cell>
        </row>
        <row r="1074">
          <cell r="F1074" t="str">
            <v>T2017SPU3U7UD</v>
          </cell>
          <cell r="P1074" t="str">
            <v>15 minutes</v>
          </cell>
        </row>
        <row r="1075">
          <cell r="F1075" t="str">
            <v>T2017MPU3U7UD</v>
          </cell>
          <cell r="P1075" t="str">
            <v>1 hour</v>
          </cell>
        </row>
        <row r="1076">
          <cell r="F1076" t="str">
            <v>T2017SPU3U7</v>
          </cell>
          <cell r="P1076" t="str">
            <v>15 minutes</v>
          </cell>
        </row>
        <row r="1077">
          <cell r="F1077" t="str">
            <v>T2017MPU3U7</v>
          </cell>
          <cell r="P1077" t="str">
            <v>1 hour</v>
          </cell>
        </row>
        <row r="1078">
          <cell r="F1078" t="str">
            <v>S5170SP</v>
          </cell>
          <cell r="P1078" t="str">
            <v>1 meal</v>
          </cell>
        </row>
        <row r="1079">
          <cell r="F1079" t="str">
            <v>S5170MP</v>
          </cell>
          <cell r="P1079" t="str">
            <v>1 meal</v>
          </cell>
        </row>
        <row r="1080">
          <cell r="F1080" t="str">
            <v>T1005SPU3UC</v>
          </cell>
          <cell r="P1080" t="str">
            <v>15 minutes</v>
          </cell>
        </row>
        <row r="1081">
          <cell r="F1081" t="str">
            <v>T1005MPU3UC</v>
          </cell>
          <cell r="P1081" t="str">
            <v>15 minutes</v>
          </cell>
        </row>
        <row r="1082">
          <cell r="F1082" t="str">
            <v>T1005SPU3UD</v>
          </cell>
          <cell r="P1082" t="str">
            <v>15 minutes</v>
          </cell>
        </row>
        <row r="1083">
          <cell r="F1083" t="str">
            <v>T1005MPU3UD</v>
          </cell>
          <cell r="P1083" t="str">
            <v>15 minutes</v>
          </cell>
        </row>
        <row r="1084">
          <cell r="F1084" t="str">
            <v>T1005SPU3</v>
          </cell>
          <cell r="P1084" t="str">
            <v>15 minutes</v>
          </cell>
        </row>
        <row r="1085">
          <cell r="F1085" t="str">
            <v>T1005MPU3</v>
          </cell>
          <cell r="P1085" t="str">
            <v>15 minutes</v>
          </cell>
        </row>
        <row r="1086">
          <cell r="F1086" t="str">
            <v>S9124SPU3UC</v>
          </cell>
          <cell r="P1086" t="str">
            <v>1 hour</v>
          </cell>
        </row>
        <row r="1087">
          <cell r="F1087" t="str">
            <v>S9124MPU3UC</v>
          </cell>
          <cell r="P1087" t="str">
            <v>1 hour</v>
          </cell>
        </row>
        <row r="1088">
          <cell r="F1088" t="str">
            <v>S9124SPU3UCUA</v>
          </cell>
          <cell r="P1088" t="str">
            <v>1 hour</v>
          </cell>
        </row>
        <row r="1089">
          <cell r="F1089" t="str">
            <v>S9124MPU3UCUA</v>
          </cell>
          <cell r="P1089" t="str">
            <v>1 hour</v>
          </cell>
        </row>
        <row r="1090">
          <cell r="F1090" t="str">
            <v>S9124SPU3UD</v>
          </cell>
          <cell r="P1090" t="str">
            <v>1 hour</v>
          </cell>
        </row>
        <row r="1091">
          <cell r="F1091" t="str">
            <v>S9124MPU3UD</v>
          </cell>
          <cell r="P1091" t="str">
            <v>1 hour</v>
          </cell>
        </row>
        <row r="1092">
          <cell r="F1092" t="str">
            <v>S9124SPU3UDUA</v>
          </cell>
          <cell r="P1092" t="str">
            <v>1 hour</v>
          </cell>
        </row>
        <row r="1093">
          <cell r="F1093" t="str">
            <v>S9124MPU3UDUA</v>
          </cell>
          <cell r="P1093" t="str">
            <v>1 hour</v>
          </cell>
        </row>
        <row r="1094">
          <cell r="F1094" t="str">
            <v>S9124SPU3</v>
          </cell>
          <cell r="P1094" t="str">
            <v>1 hour</v>
          </cell>
        </row>
        <row r="1095">
          <cell r="F1095" t="str">
            <v>S9124MPU3</v>
          </cell>
          <cell r="P1095" t="str">
            <v>1 hour</v>
          </cell>
        </row>
        <row r="1096">
          <cell r="F1096" t="str">
            <v>S9124SPU3UA</v>
          </cell>
          <cell r="P1096" t="str">
            <v>1 hour</v>
          </cell>
        </row>
        <row r="1097">
          <cell r="F1097" t="str">
            <v>S9124MPU3UA</v>
          </cell>
          <cell r="P1097" t="str">
            <v>1 hour</v>
          </cell>
        </row>
        <row r="1098">
          <cell r="F1098" t="str">
            <v>S9123SPU3UC</v>
          </cell>
          <cell r="P1098" t="str">
            <v>1 hour</v>
          </cell>
        </row>
        <row r="1099">
          <cell r="F1099" t="str">
            <v>S9123MPU3UC</v>
          </cell>
          <cell r="P1099" t="str">
            <v>1 hour</v>
          </cell>
        </row>
        <row r="1100">
          <cell r="F1100" t="str">
            <v>S9123SPU3UCUA</v>
          </cell>
          <cell r="P1100" t="str">
            <v>1 hour</v>
          </cell>
        </row>
        <row r="1101">
          <cell r="F1101" t="str">
            <v>S9123MPU3UCUA</v>
          </cell>
          <cell r="P1101" t="str">
            <v>1 hour</v>
          </cell>
        </row>
        <row r="1102">
          <cell r="F1102" t="str">
            <v>S9123SPU3UD</v>
          </cell>
          <cell r="P1102" t="str">
            <v>1 hour</v>
          </cell>
        </row>
        <row r="1103">
          <cell r="F1103" t="str">
            <v>S9123MPU3UD</v>
          </cell>
          <cell r="P1103" t="str">
            <v>1 hour</v>
          </cell>
        </row>
        <row r="1104">
          <cell r="F1104" t="str">
            <v>S9123SPU3UDUA</v>
          </cell>
          <cell r="P1104" t="str">
            <v>1 hour</v>
          </cell>
        </row>
        <row r="1105">
          <cell r="F1105" t="str">
            <v>S9123MPU3UDUA</v>
          </cell>
          <cell r="P1105" t="str">
            <v>1 hour</v>
          </cell>
        </row>
        <row r="1106">
          <cell r="F1106" t="str">
            <v>S9123SPU3</v>
          </cell>
          <cell r="P1106" t="str">
            <v>1 hour</v>
          </cell>
        </row>
        <row r="1107">
          <cell r="F1107" t="str">
            <v>S9123MPU3</v>
          </cell>
          <cell r="P1107" t="str">
            <v>1 hour</v>
          </cell>
        </row>
        <row r="1108">
          <cell r="F1108" t="str">
            <v>S9123SPU3UA</v>
          </cell>
          <cell r="P1108" t="str">
            <v>1 hour</v>
          </cell>
        </row>
        <row r="1109">
          <cell r="F1109" t="str">
            <v>S9123MPU3UA</v>
          </cell>
          <cell r="P1109" t="str">
            <v>1 hour</v>
          </cell>
        </row>
        <row r="1110">
          <cell r="F1110" t="str">
            <v>S9129SPU3UC</v>
          </cell>
          <cell r="P1110" t="str">
            <v>1 hour</v>
          </cell>
        </row>
        <row r="1111">
          <cell r="F1111" t="str">
            <v>S9129MPU3UC</v>
          </cell>
          <cell r="P1111" t="str">
            <v>1 hour</v>
          </cell>
        </row>
        <row r="1112">
          <cell r="F1112" t="str">
            <v>S9129SPU3UD</v>
          </cell>
          <cell r="P1112" t="str">
            <v>1 hour</v>
          </cell>
        </row>
        <row r="1113">
          <cell r="F1113" t="str">
            <v>S9129MPU3UD</v>
          </cell>
          <cell r="P1113" t="str">
            <v>1 hour</v>
          </cell>
        </row>
        <row r="1114">
          <cell r="F1114" t="str">
            <v>S9129SPU3</v>
          </cell>
          <cell r="P1114" t="str">
            <v>1 hour</v>
          </cell>
        </row>
        <row r="1115">
          <cell r="F1115" t="str">
            <v>S9129MPU3</v>
          </cell>
          <cell r="P1115" t="str">
            <v>1 hour</v>
          </cell>
        </row>
        <row r="1116">
          <cell r="F1116" t="str">
            <v>S5151MPUDU1</v>
          </cell>
          <cell r="P1116" t="str">
            <v>1 day</v>
          </cell>
        </row>
        <row r="1117">
          <cell r="F1117" t="str">
            <v>S5151SPUDU1</v>
          </cell>
          <cell r="P1117" t="str">
            <v>1 day</v>
          </cell>
        </row>
        <row r="1118">
          <cell r="F1118" t="str">
            <v>S5151MPUDU2</v>
          </cell>
          <cell r="P1118" t="str">
            <v>1 day</v>
          </cell>
        </row>
        <row r="1119">
          <cell r="F1119" t="str">
            <v>S5151SPUDU2</v>
          </cell>
          <cell r="P1119" t="str">
            <v>1 day</v>
          </cell>
        </row>
        <row r="1120">
          <cell r="F1120" t="str">
            <v>S5151MPUDU3</v>
          </cell>
          <cell r="P1120" t="str">
            <v>1 day</v>
          </cell>
        </row>
        <row r="1121">
          <cell r="F1121" t="str">
            <v>S5151SPUDU3</v>
          </cell>
          <cell r="P1121" t="str">
            <v>1 day</v>
          </cell>
        </row>
        <row r="1122">
          <cell r="F1122" t="str">
            <v>S5151SPU8UBU1</v>
          </cell>
          <cell r="P1122" t="str">
            <v>1 day</v>
          </cell>
        </row>
        <row r="1123">
          <cell r="F1123" t="str">
            <v>S5151MPU8UBU1</v>
          </cell>
          <cell r="P1123" t="str">
            <v>1 day</v>
          </cell>
        </row>
        <row r="1124">
          <cell r="F1124" t="str">
            <v>S5151MPU8UBU2</v>
          </cell>
          <cell r="P1124" t="str">
            <v>1 day</v>
          </cell>
        </row>
        <row r="1125">
          <cell r="F1125" t="str">
            <v>S5151SPU8UBU2</v>
          </cell>
          <cell r="P1125" t="str">
            <v>1 day</v>
          </cell>
        </row>
        <row r="1126">
          <cell r="F1126" t="str">
            <v>S5151MPU8UBU3</v>
          </cell>
          <cell r="P1126" t="str">
            <v>1 day</v>
          </cell>
        </row>
        <row r="1127">
          <cell r="F1127" t="str">
            <v>S5151SPU8UBU3</v>
          </cell>
          <cell r="P1127" t="str">
            <v>1 day</v>
          </cell>
        </row>
        <row r="1128">
          <cell r="F1128" t="str">
            <v>S5151MPU8UBU4</v>
          </cell>
          <cell r="P1128" t="str">
            <v>1 day</v>
          </cell>
        </row>
        <row r="1129">
          <cell r="F1129" t="str">
            <v>S5151SPU8UBU4</v>
          </cell>
          <cell r="P1129" t="str">
            <v>1 day</v>
          </cell>
        </row>
        <row r="1130">
          <cell r="F1130" t="str">
            <v>S5151MPU8UBU5</v>
          </cell>
          <cell r="P1130" t="str">
            <v>1 day</v>
          </cell>
        </row>
        <row r="1131">
          <cell r="F1131" t="str">
            <v>S5151SPU8UBU5</v>
          </cell>
          <cell r="P1131" t="str">
            <v>1 day</v>
          </cell>
        </row>
        <row r="1132">
          <cell r="F1132" t="str">
            <v>S5151MPU8UBU6</v>
          </cell>
          <cell r="P1132" t="str">
            <v>1 day</v>
          </cell>
        </row>
        <row r="1133">
          <cell r="F1133" t="str">
            <v>S5151SPU8UBU6</v>
          </cell>
          <cell r="P1133" t="str">
            <v>1 day</v>
          </cell>
        </row>
        <row r="1134">
          <cell r="F1134" t="str">
            <v>S5151MPU8U9U1</v>
          </cell>
          <cell r="P1134" t="str">
            <v>1 day</v>
          </cell>
        </row>
        <row r="1135">
          <cell r="F1135" t="str">
            <v>S5151SPU8U9U1</v>
          </cell>
          <cell r="P1135" t="str">
            <v>1 day</v>
          </cell>
        </row>
        <row r="1136">
          <cell r="F1136" t="str">
            <v>S5151MPU8U9U2</v>
          </cell>
          <cell r="P1136" t="str">
            <v>1 day</v>
          </cell>
        </row>
        <row r="1137">
          <cell r="F1137" t="str">
            <v>S5151SPU8U9U2</v>
          </cell>
          <cell r="P1137" t="str">
            <v>1 day</v>
          </cell>
        </row>
        <row r="1138">
          <cell r="F1138" t="str">
            <v>S5151MPU8U9U3</v>
          </cell>
          <cell r="P1138" t="str">
            <v>1 day</v>
          </cell>
        </row>
        <row r="1139">
          <cell r="F1139" t="str">
            <v>S5151SPU8U9U3</v>
          </cell>
          <cell r="P1139" t="str">
            <v>1 day</v>
          </cell>
        </row>
        <row r="1140">
          <cell r="F1140" t="str">
            <v>S5151MPU8U9U4</v>
          </cell>
          <cell r="P1140" t="str">
            <v>1 day</v>
          </cell>
        </row>
        <row r="1141">
          <cell r="F1141" t="str">
            <v>S5151SPU8U9U4</v>
          </cell>
          <cell r="P1141" t="str">
            <v>1 day</v>
          </cell>
        </row>
        <row r="1142">
          <cell r="F1142" t="str">
            <v>S5151MPU8U9U5</v>
          </cell>
          <cell r="P1142" t="str">
            <v>1 day</v>
          </cell>
        </row>
        <row r="1143">
          <cell r="F1143" t="str">
            <v>S5151SPU8U9U5</v>
          </cell>
          <cell r="P1143" t="str">
            <v>1 day</v>
          </cell>
        </row>
        <row r="1144">
          <cell r="F1144" t="str">
            <v>S5151MPU8U9U6</v>
          </cell>
          <cell r="P1144" t="str">
            <v>1 day</v>
          </cell>
        </row>
        <row r="1145">
          <cell r="F1145" t="str">
            <v>S5151SPU8U9U6</v>
          </cell>
          <cell r="P1145" t="str">
            <v>1 day</v>
          </cell>
        </row>
        <row r="1146">
          <cell r="F1146" t="str">
            <v>S5151MPU8UAU1</v>
          </cell>
          <cell r="P1146" t="str">
            <v>1 day</v>
          </cell>
        </row>
        <row r="1147">
          <cell r="F1147" t="str">
            <v>S5151SPU8UAU1</v>
          </cell>
          <cell r="P1147" t="str">
            <v>1 day</v>
          </cell>
        </row>
        <row r="1148">
          <cell r="F1148" t="str">
            <v>S5151MPU8UAU2</v>
          </cell>
          <cell r="P1148" t="str">
            <v>1 day</v>
          </cell>
        </row>
        <row r="1149">
          <cell r="F1149" t="str">
            <v>S5151SPU8UAU2</v>
          </cell>
          <cell r="P1149" t="str">
            <v>1 day</v>
          </cell>
        </row>
        <row r="1150">
          <cell r="F1150" t="str">
            <v>S5151MPU8UAU3</v>
          </cell>
          <cell r="P1150" t="str">
            <v>1 day</v>
          </cell>
        </row>
        <row r="1151">
          <cell r="F1151" t="str">
            <v>S5151SPU8UAU3</v>
          </cell>
          <cell r="P1151" t="str">
            <v>1 day</v>
          </cell>
        </row>
        <row r="1152">
          <cell r="F1152" t="str">
            <v>S5151MPU8UAU4</v>
          </cell>
          <cell r="P1152" t="str">
            <v>1 day</v>
          </cell>
        </row>
        <row r="1153">
          <cell r="F1153" t="str">
            <v>S5151SPU8UAU4</v>
          </cell>
          <cell r="P1153" t="str">
            <v>1 day</v>
          </cell>
        </row>
        <row r="1154">
          <cell r="F1154" t="str">
            <v>S5151MPU8UAU5</v>
          </cell>
          <cell r="P1154" t="str">
            <v>1 day</v>
          </cell>
        </row>
        <row r="1155">
          <cell r="F1155" t="str">
            <v>S5151SPU8UAU5</v>
          </cell>
          <cell r="P1155" t="str">
            <v>1 day</v>
          </cell>
        </row>
        <row r="1156">
          <cell r="F1156" t="str">
            <v>S5151MPU8UAU6</v>
          </cell>
          <cell r="P1156" t="str">
            <v>1 day</v>
          </cell>
        </row>
        <row r="1157">
          <cell r="F1157" t="str">
            <v>S5151SPU8UAU6</v>
          </cell>
          <cell r="P1157" t="str">
            <v>1 day</v>
          </cell>
        </row>
        <row r="1158">
          <cell r="F1158" t="str">
            <v>S5151SPUC</v>
          </cell>
          <cell r="P1158" t="str">
            <v>1 day</v>
          </cell>
        </row>
        <row r="1159">
          <cell r="F1159" t="str">
            <v>S5151MPUC</v>
          </cell>
          <cell r="P1159" t="str">
            <v>1 day</v>
          </cell>
        </row>
        <row r="1160">
          <cell r="F1160" t="str">
            <v>S5151SPUC</v>
          </cell>
          <cell r="P1160" t="str">
            <v>1 day</v>
          </cell>
        </row>
        <row r="1161">
          <cell r="F1161" t="str">
            <v>S5151MPUC</v>
          </cell>
          <cell r="P1161" t="str">
            <v>1 day</v>
          </cell>
        </row>
        <row r="1162">
          <cell r="F1162" t="str">
            <v>S5125SPU3UC</v>
          </cell>
          <cell r="P1162" t="str">
            <v>15 minutes</v>
          </cell>
        </row>
        <row r="1163">
          <cell r="F1163" t="str">
            <v>S5125MPU3UC</v>
          </cell>
          <cell r="P1163" t="str">
            <v>15 minutes</v>
          </cell>
        </row>
        <row r="1164">
          <cell r="F1164" t="str">
            <v>S5125SPU3U7UC</v>
          </cell>
          <cell r="P1164" t="str">
            <v>15 minutes</v>
          </cell>
        </row>
        <row r="1165">
          <cell r="F1165" t="str">
            <v>S5125MPU3U7UC</v>
          </cell>
          <cell r="P1165" t="str">
            <v>15 minutes</v>
          </cell>
        </row>
        <row r="1166">
          <cell r="F1166" t="str">
            <v>S5125SPU3UD</v>
          </cell>
          <cell r="P1166" t="str">
            <v>15 minutes</v>
          </cell>
        </row>
        <row r="1167">
          <cell r="F1167" t="str">
            <v>S5125MPU3UD</v>
          </cell>
          <cell r="P1167" t="str">
            <v>15 minutes</v>
          </cell>
        </row>
        <row r="1168">
          <cell r="F1168" t="str">
            <v>S5125SPU3U7UD</v>
          </cell>
          <cell r="P1168" t="str">
            <v>15 minutes</v>
          </cell>
        </row>
        <row r="1169">
          <cell r="F1169" t="str">
            <v>S5125MPU3U7UD</v>
          </cell>
          <cell r="P1169" t="str">
            <v>15 minutes</v>
          </cell>
        </row>
        <row r="1170">
          <cell r="F1170" t="str">
            <v>S5125SPU3</v>
          </cell>
          <cell r="P1170" t="str">
            <v>15 minutes</v>
          </cell>
        </row>
        <row r="1171">
          <cell r="F1171" t="str">
            <v>S5125MPU3</v>
          </cell>
          <cell r="P1171" t="str">
            <v>15 minutes</v>
          </cell>
        </row>
        <row r="1172">
          <cell r="F1172" t="str">
            <v>S5125SPU3U7</v>
          </cell>
          <cell r="P1172" t="str">
            <v>15 minutes</v>
          </cell>
        </row>
        <row r="1173">
          <cell r="F1173" t="str">
            <v>S5125MPU3U7</v>
          </cell>
          <cell r="P1173" t="str">
            <v>15 minutes</v>
          </cell>
        </row>
        <row r="1174">
          <cell r="F1174" t="str">
            <v>S5125SPU3U1UC</v>
          </cell>
          <cell r="P1174" t="str">
            <v>15 minutes</v>
          </cell>
        </row>
        <row r="1175">
          <cell r="F1175" t="str">
            <v>S5125MPU3U1UC</v>
          </cell>
          <cell r="P1175" t="str">
            <v>15 minutes</v>
          </cell>
        </row>
        <row r="1176">
          <cell r="F1176" t="str">
            <v>S5125SPU3U1UD</v>
          </cell>
          <cell r="P1176" t="str">
            <v>15 minutes</v>
          </cell>
        </row>
        <row r="1177">
          <cell r="F1177" t="str">
            <v>S5125MPU3U1UD</v>
          </cell>
          <cell r="P1177" t="str">
            <v>15 minutes</v>
          </cell>
        </row>
        <row r="1178">
          <cell r="F1178" t="str">
            <v>S5125SPU3U1</v>
          </cell>
          <cell r="P1178" t="str">
            <v>15 minutes</v>
          </cell>
        </row>
        <row r="1179">
          <cell r="F1179" t="str">
            <v>S5125MPU3U1</v>
          </cell>
          <cell r="P1179" t="str">
            <v>15 minutes</v>
          </cell>
        </row>
        <row r="1180">
          <cell r="F1180" t="str">
            <v>S9131SPU3UC</v>
          </cell>
          <cell r="P1180" t="str">
            <v>1 hour</v>
          </cell>
        </row>
        <row r="1181">
          <cell r="F1181" t="str">
            <v>S9131MPU3UC</v>
          </cell>
          <cell r="P1181" t="str">
            <v>1 hour</v>
          </cell>
        </row>
        <row r="1182">
          <cell r="F1182" t="str">
            <v>S9131SPU3UD</v>
          </cell>
          <cell r="P1182" t="str">
            <v>1 hour</v>
          </cell>
        </row>
        <row r="1183">
          <cell r="F1183" t="str">
            <v>S9131MPU3UD</v>
          </cell>
          <cell r="P1183" t="str">
            <v>1 hour</v>
          </cell>
        </row>
        <row r="1184">
          <cell r="F1184" t="str">
            <v>S9131SPU3</v>
          </cell>
          <cell r="P1184" t="str">
            <v>1 hour</v>
          </cell>
        </row>
        <row r="1185">
          <cell r="F1185" t="str">
            <v>S9131MPU3</v>
          </cell>
          <cell r="P1185" t="str">
            <v>1 hour</v>
          </cell>
        </row>
        <row r="1186">
          <cell r="F1186" t="str">
            <v>S9128SPU3UC</v>
          </cell>
          <cell r="P1186" t="str">
            <v>1 hour</v>
          </cell>
        </row>
        <row r="1187">
          <cell r="F1187" t="str">
            <v>S9128MPU3UC</v>
          </cell>
          <cell r="P1187" t="str">
            <v>1 hour</v>
          </cell>
        </row>
        <row r="1188">
          <cell r="F1188" t="str">
            <v>S9128SPU3UD</v>
          </cell>
          <cell r="P1188" t="str">
            <v>1 hour</v>
          </cell>
        </row>
        <row r="1189">
          <cell r="F1189" t="str">
            <v>S9128MPU3UD</v>
          </cell>
          <cell r="P1189" t="str">
            <v>1 hour</v>
          </cell>
        </row>
        <row r="1190">
          <cell r="F1190" t="str">
            <v>S9128SPU3</v>
          </cell>
          <cell r="P1190" t="str">
            <v>1 hour</v>
          </cell>
        </row>
        <row r="1191">
          <cell r="F1191" t="str">
            <v>S9128MPU3</v>
          </cell>
          <cell r="P1191" t="str">
            <v>1 hour</v>
          </cell>
        </row>
        <row r="1192">
          <cell r="F1192" t="str">
            <v>T2038SP</v>
          </cell>
          <cell r="P1192" t="str">
            <v>1 time</v>
          </cell>
        </row>
        <row r="1193">
          <cell r="F1193" t="str">
            <v>T2038MP</v>
          </cell>
          <cell r="P1193" t="str">
            <v>1 time</v>
          </cell>
        </row>
        <row r="1194">
          <cell r="F1194" t="str">
            <v>2235M0189</v>
          </cell>
          <cell r="P1194" t="str">
            <v>1 hour</v>
          </cell>
        </row>
        <row r="1195">
          <cell r="F1195" t="str">
            <v>2235VM0190</v>
          </cell>
          <cell r="P1195" t="str">
            <v>1 hour</v>
          </cell>
        </row>
        <row r="1196">
          <cell r="F1196" t="str">
            <v>2243AVM0193</v>
          </cell>
          <cell r="P1196" t="str">
            <v>1 hour</v>
          </cell>
        </row>
        <row r="1197">
          <cell r="F1197" t="str">
            <v>2243AM0192</v>
          </cell>
          <cell r="P1197" t="str">
            <v>1 hour</v>
          </cell>
        </row>
        <row r="1198">
          <cell r="F1198" t="str">
            <v>2263CFVM0365</v>
          </cell>
          <cell r="P1198" t="str">
            <v>1 month</v>
          </cell>
        </row>
        <row r="1199">
          <cell r="F1199" t="str">
            <v>2263VM0209</v>
          </cell>
          <cell r="P1199" t="str">
            <v>1 month</v>
          </cell>
        </row>
        <row r="1200">
          <cell r="F1200" t="str">
            <v>2210CVM0202</v>
          </cell>
          <cell r="P1200" t="str">
            <v>1 day (6 Hours)</v>
          </cell>
        </row>
        <row r="1201">
          <cell r="F1201" t="str">
            <v>2210CM0201</v>
          </cell>
          <cell r="P1201" t="str">
            <v>1 day (6 Hours)</v>
          </cell>
        </row>
        <row r="1202">
          <cell r="F1202" t="str">
            <v>2210CM0460</v>
          </cell>
          <cell r="P1202" t="str">
            <v>1 day (6 Hours)</v>
          </cell>
        </row>
        <row r="1203">
          <cell r="F1203" t="str">
            <v>2134M0120</v>
          </cell>
          <cell r="P1203" t="str">
            <v>1 hour</v>
          </cell>
        </row>
        <row r="1204">
          <cell r="F1204" t="str">
            <v>2234VM0205</v>
          </cell>
          <cell r="P1204" t="str">
            <v>1 hour</v>
          </cell>
        </row>
        <row r="1205">
          <cell r="F1205" t="str">
            <v>2234M0204</v>
          </cell>
          <cell r="P1205" t="str">
            <v>1 hour</v>
          </cell>
        </row>
        <row r="1206">
          <cell r="F1206" t="str">
            <v>2237VM0244</v>
          </cell>
          <cell r="P1206" t="str">
            <v>1 hour</v>
          </cell>
        </row>
        <row r="1207">
          <cell r="F1207" t="str">
            <v>2254M0207</v>
          </cell>
          <cell r="P1207" t="str">
            <v>1 hour</v>
          </cell>
        </row>
        <row r="1208">
          <cell r="F1208" t="str">
            <v>2254VM0208</v>
          </cell>
          <cell r="P1208" t="str">
            <v>1 hour</v>
          </cell>
        </row>
        <row r="1209">
          <cell r="F1209" t="str">
            <v>2237M0243</v>
          </cell>
          <cell r="P1209" t="str">
            <v>1 hour</v>
          </cell>
        </row>
        <row r="1210">
          <cell r="F1210" t="str">
            <v>2220CFCM0364</v>
          </cell>
          <cell r="P1210" t="str">
            <v>1 month</v>
          </cell>
        </row>
        <row r="1211">
          <cell r="F1211" t="str">
            <v>2223M1005</v>
          </cell>
          <cell r="P1211" t="str">
            <v>1 hour</v>
          </cell>
        </row>
        <row r="1212">
          <cell r="F1212" t="str">
            <v>2223M1006</v>
          </cell>
          <cell r="P1212" t="str">
            <v>1 hour</v>
          </cell>
        </row>
        <row r="1213">
          <cell r="F1213" t="str">
            <v>2223M1008</v>
          </cell>
          <cell r="P1213" t="str">
            <v>1 hour</v>
          </cell>
        </row>
        <row r="1214">
          <cell r="F1214" t="str">
            <v>2223M1100</v>
          </cell>
          <cell r="P1214" t="str">
            <v>1 hour</v>
          </cell>
        </row>
        <row r="1215">
          <cell r="F1215" t="str">
            <v>2223M1101</v>
          </cell>
          <cell r="P1215" t="str">
            <v>1 hour</v>
          </cell>
        </row>
        <row r="1216">
          <cell r="F1216" t="str">
            <v>2223M1103</v>
          </cell>
          <cell r="P1216" t="str">
            <v>1 hour</v>
          </cell>
        </row>
        <row r="1217">
          <cell r="F1217" t="str">
            <v>2223M1104</v>
          </cell>
          <cell r="P1217" t="str">
            <v>1 hour</v>
          </cell>
        </row>
        <row r="1218">
          <cell r="F1218" t="str">
            <v>2223M1105</v>
          </cell>
          <cell r="P1218" t="str">
            <v>1 hour</v>
          </cell>
        </row>
        <row r="1219">
          <cell r="F1219" t="str">
            <v>2223M1107</v>
          </cell>
          <cell r="P1219" t="str">
            <v>1 hour</v>
          </cell>
        </row>
        <row r="1220">
          <cell r="F1220" t="str">
            <v>2223M1108</v>
          </cell>
          <cell r="P1220" t="str">
            <v>1 hour</v>
          </cell>
        </row>
        <row r="1221">
          <cell r="F1221" t="str">
            <v>2223M1109</v>
          </cell>
          <cell r="P1221" t="str">
            <v>1 hour</v>
          </cell>
        </row>
        <row r="1222">
          <cell r="F1222" t="str">
            <v>2223M1111</v>
          </cell>
          <cell r="P1222" t="str">
            <v>1 hour</v>
          </cell>
        </row>
        <row r="1223">
          <cell r="F1223" t="str">
            <v>2223M1112</v>
          </cell>
          <cell r="P1223" t="str">
            <v>1 hour</v>
          </cell>
        </row>
        <row r="1224">
          <cell r="F1224" t="str">
            <v>2223M1113</v>
          </cell>
          <cell r="P1224" t="str">
            <v>1 hour</v>
          </cell>
        </row>
        <row r="1225">
          <cell r="F1225" t="str">
            <v>2223M1115</v>
          </cell>
          <cell r="P1225" t="str">
            <v>1 hour</v>
          </cell>
        </row>
        <row r="1226">
          <cell r="F1226" t="str">
            <v>2223M1007</v>
          </cell>
          <cell r="P1226" t="str">
            <v>1 hour</v>
          </cell>
        </row>
        <row r="1227">
          <cell r="F1227" t="str">
            <v>2223M1116</v>
          </cell>
          <cell r="P1227" t="str">
            <v>1 hour</v>
          </cell>
        </row>
        <row r="1228">
          <cell r="F1228" t="str">
            <v>2223M1102</v>
          </cell>
          <cell r="P1228" t="str">
            <v>1 hour</v>
          </cell>
        </row>
        <row r="1229">
          <cell r="F1229" t="str">
            <v>2223M1117</v>
          </cell>
          <cell r="P1229" t="str">
            <v>1 hour</v>
          </cell>
        </row>
        <row r="1230">
          <cell r="F1230" t="str">
            <v>2223M1106</v>
          </cell>
          <cell r="P1230" t="str">
            <v>1 hour</v>
          </cell>
        </row>
        <row r="1231">
          <cell r="F1231" t="str">
            <v>2223M1110</v>
          </cell>
          <cell r="P1231" t="str">
            <v>1 hour</v>
          </cell>
        </row>
        <row r="1232">
          <cell r="F1232" t="str">
            <v>2223VM1011</v>
          </cell>
          <cell r="P1232" t="str">
            <v>1 hour</v>
          </cell>
        </row>
        <row r="1233">
          <cell r="F1233" t="str">
            <v>2223VM1009</v>
          </cell>
          <cell r="P1233" t="str">
            <v>1 hour</v>
          </cell>
        </row>
        <row r="1234">
          <cell r="F1234" t="str">
            <v>2223VM1010</v>
          </cell>
          <cell r="P1234" t="str">
            <v>1 hour</v>
          </cell>
        </row>
        <row r="1235">
          <cell r="F1235" t="str">
            <v>2223VM1012</v>
          </cell>
          <cell r="P1235" t="str">
            <v>1 hour</v>
          </cell>
        </row>
        <row r="1236">
          <cell r="F1236" t="str">
            <v>2223VM1120</v>
          </cell>
          <cell r="P1236" t="str">
            <v>1 hour</v>
          </cell>
        </row>
        <row r="1237">
          <cell r="F1237" t="str">
            <v>2223VM1121</v>
          </cell>
          <cell r="P1237" t="str">
            <v>1 hour</v>
          </cell>
        </row>
        <row r="1238">
          <cell r="F1238" t="str">
            <v>2223VM1122</v>
          </cell>
          <cell r="P1238" t="str">
            <v>1 hour</v>
          </cell>
        </row>
        <row r="1239">
          <cell r="F1239" t="str">
            <v>2223VM1123</v>
          </cell>
          <cell r="P1239" t="str">
            <v>1 hour</v>
          </cell>
        </row>
        <row r="1240">
          <cell r="F1240" t="str">
            <v>2223VM1124</v>
          </cell>
          <cell r="P1240" t="str">
            <v>1 hour</v>
          </cell>
        </row>
        <row r="1241">
          <cell r="F1241" t="str">
            <v>2223VM1125</v>
          </cell>
          <cell r="P1241" t="str">
            <v>1 hour</v>
          </cell>
        </row>
        <row r="1242">
          <cell r="F1242" t="str">
            <v>2223VM1126</v>
          </cell>
          <cell r="P1242" t="str">
            <v>1 hour</v>
          </cell>
        </row>
        <row r="1243">
          <cell r="F1243" t="str">
            <v>2223VM1127</v>
          </cell>
          <cell r="P1243" t="str">
            <v>1 hour</v>
          </cell>
        </row>
        <row r="1244">
          <cell r="F1244" t="str">
            <v>2223VM1128</v>
          </cell>
          <cell r="P1244" t="str">
            <v>1 hour</v>
          </cell>
        </row>
        <row r="1245">
          <cell r="F1245" t="str">
            <v>2223VM1129</v>
          </cell>
          <cell r="P1245" t="str">
            <v>1 hour</v>
          </cell>
        </row>
        <row r="1246">
          <cell r="F1246" t="str">
            <v>2223VM1130</v>
          </cell>
          <cell r="P1246" t="str">
            <v>1 hour</v>
          </cell>
        </row>
        <row r="1247">
          <cell r="F1247" t="str">
            <v>2223VM1131</v>
          </cell>
          <cell r="P1247" t="str">
            <v>1 hour</v>
          </cell>
        </row>
        <row r="1248">
          <cell r="F1248" t="str">
            <v>2223VM1132</v>
          </cell>
          <cell r="P1248" t="str">
            <v>1 hour</v>
          </cell>
        </row>
        <row r="1249">
          <cell r="F1249" t="str">
            <v>2223VM1133</v>
          </cell>
          <cell r="P1249" t="str">
            <v>1 hour</v>
          </cell>
        </row>
        <row r="1250">
          <cell r="F1250" t="str">
            <v>2223VM1134</v>
          </cell>
          <cell r="P1250" t="str">
            <v>1 hour</v>
          </cell>
        </row>
        <row r="1251">
          <cell r="F1251" t="str">
            <v>2223VM1135</v>
          </cell>
          <cell r="P1251" t="str">
            <v>1 hour</v>
          </cell>
        </row>
        <row r="1252">
          <cell r="F1252" t="str">
            <v>2223VM1136</v>
          </cell>
          <cell r="P1252" t="str">
            <v>1 hour</v>
          </cell>
        </row>
        <row r="1253">
          <cell r="F1253" t="str">
            <v>2213AM0306</v>
          </cell>
          <cell r="P1253" t="str">
            <v>1 hour</v>
          </cell>
        </row>
        <row r="1254">
          <cell r="F1254" t="str">
            <v>2213BM0307</v>
          </cell>
          <cell r="P1254" t="str">
            <v>1 hour</v>
          </cell>
        </row>
        <row r="1255">
          <cell r="F1255" t="str">
            <v>2213CM0309</v>
          </cell>
          <cell r="P1255" t="str">
            <v>1 hour</v>
          </cell>
        </row>
        <row r="1256">
          <cell r="F1256" t="str">
            <v>227VM0232</v>
          </cell>
          <cell r="P1256" t="str">
            <v>1 hour</v>
          </cell>
        </row>
        <row r="1257">
          <cell r="F1257" t="str">
            <v>2210CFCM0360</v>
          </cell>
          <cell r="P1257" t="str">
            <v>1 hour</v>
          </cell>
        </row>
        <row r="1258">
          <cell r="F1258" t="str">
            <v>2210CFVM0361</v>
          </cell>
          <cell r="P1258" t="str">
            <v>1 hour</v>
          </cell>
        </row>
        <row r="1259">
          <cell r="F1259" t="str">
            <v>2248M0419</v>
          </cell>
          <cell r="P1259" t="str">
            <v>1 hour</v>
          </cell>
        </row>
        <row r="1260">
          <cell r="F1260" t="str">
            <v>2248VM0420</v>
          </cell>
          <cell r="P1260" t="str">
            <v>1 hour</v>
          </cell>
        </row>
        <row r="1261">
          <cell r="F1261" t="str">
            <v>227G2274</v>
          </cell>
          <cell r="P1261" t="str">
            <v>1 hour</v>
          </cell>
        </row>
        <row r="1262">
          <cell r="F1262" t="str">
            <v>227G2318</v>
          </cell>
          <cell r="P1262" t="str">
            <v>1 hour</v>
          </cell>
        </row>
        <row r="1263">
          <cell r="F1263" t="str">
            <v>228M0234</v>
          </cell>
          <cell r="P1263" t="str">
            <v>1 hour</v>
          </cell>
        </row>
        <row r="1264">
          <cell r="F1264" t="str">
            <v>228G2275</v>
          </cell>
          <cell r="P1264" t="str">
            <v>1 hour</v>
          </cell>
        </row>
        <row r="1265">
          <cell r="F1265" t="str">
            <v>228G2319</v>
          </cell>
          <cell r="P1265" t="str">
            <v>1 hour</v>
          </cell>
        </row>
        <row r="1266">
          <cell r="F1266" t="str">
            <v>2241EM0321</v>
          </cell>
          <cell r="P1266" t="str">
            <v>dollar range</v>
          </cell>
        </row>
        <row r="1267">
          <cell r="F1267" t="str">
            <v>2241EM0323</v>
          </cell>
          <cell r="P1267" t="str">
            <v>dollar range</v>
          </cell>
        </row>
        <row r="1268">
          <cell r="F1268" t="str">
            <v>2241EM0322</v>
          </cell>
          <cell r="P1268" t="str">
            <v>dollar range</v>
          </cell>
        </row>
        <row r="1269">
          <cell r="F1269" t="str">
            <v>2241M0178</v>
          </cell>
          <cell r="P1269" t="str">
            <v>dollar range</v>
          </cell>
        </row>
        <row r="1270">
          <cell r="F1270" t="str">
            <v>2241M0179</v>
          </cell>
          <cell r="P1270" t="str">
            <v>dollar range</v>
          </cell>
        </row>
        <row r="1271">
          <cell r="F1271" t="str">
            <v>2241M0180</v>
          </cell>
          <cell r="P1271" t="str">
            <v>dollar range</v>
          </cell>
        </row>
        <row r="1272">
          <cell r="F1272" t="str">
            <v>2241M0181</v>
          </cell>
          <cell r="P1272" t="str">
            <v>dollar range</v>
          </cell>
        </row>
        <row r="1273">
          <cell r="F1273" t="str">
            <v>2241M0182</v>
          </cell>
          <cell r="P1273" t="str">
            <v>dollar range</v>
          </cell>
        </row>
        <row r="1274">
          <cell r="F1274" t="str">
            <v>2241M0183</v>
          </cell>
          <cell r="P1274" t="str">
            <v>dollar range</v>
          </cell>
        </row>
        <row r="1275">
          <cell r="F1275" t="str">
            <v>2241M0184</v>
          </cell>
          <cell r="P1275" t="str">
            <v>dollar range</v>
          </cell>
        </row>
        <row r="1276">
          <cell r="F1276" t="str">
            <v>2241M0185</v>
          </cell>
          <cell r="P1276" t="str">
            <v>dollar range</v>
          </cell>
        </row>
        <row r="1277">
          <cell r="F1277" t="str">
            <v>2241M0186</v>
          </cell>
          <cell r="P1277" t="str">
            <v>dollar range</v>
          </cell>
        </row>
        <row r="1278">
          <cell r="F1278" t="str">
            <v>2241M0187</v>
          </cell>
          <cell r="P1278" t="str">
            <v>dollar range</v>
          </cell>
        </row>
        <row r="1279">
          <cell r="F1279" t="str">
            <v>2241M0188</v>
          </cell>
          <cell r="P1279" t="str">
            <v>dollar range</v>
          </cell>
        </row>
        <row r="1280">
          <cell r="F1280" t="str">
            <v>2241BM0464</v>
          </cell>
          <cell r="P1280" t="str">
            <v>dollar range</v>
          </cell>
        </row>
        <row r="1281">
          <cell r="F1281" t="str">
            <v>2241BM0465</v>
          </cell>
          <cell r="P1281" t="str">
            <v>dollar range</v>
          </cell>
        </row>
        <row r="1282">
          <cell r="F1282" t="str">
            <v>2241BM0466</v>
          </cell>
          <cell r="P1282" t="str">
            <v>dollar range</v>
          </cell>
        </row>
        <row r="1283">
          <cell r="F1283" t="str">
            <v>2241BM0467</v>
          </cell>
          <cell r="P1283" t="str">
            <v>dollar range</v>
          </cell>
        </row>
        <row r="1284">
          <cell r="F1284" t="str">
            <v>2241BM0468</v>
          </cell>
          <cell r="P1284" t="str">
            <v>dollar range</v>
          </cell>
        </row>
        <row r="1285">
          <cell r="F1285" t="str">
            <v>2241BM0469</v>
          </cell>
          <cell r="P1285" t="str">
            <v>dollar range</v>
          </cell>
        </row>
        <row r="1286">
          <cell r="F1286" t="str">
            <v>2241BM0470</v>
          </cell>
          <cell r="P1286" t="str">
            <v>dollar range</v>
          </cell>
        </row>
        <row r="1287">
          <cell r="F1287" t="str">
            <v>2241BM0471</v>
          </cell>
          <cell r="P1287" t="str">
            <v>dollar range</v>
          </cell>
        </row>
        <row r="1288">
          <cell r="F1288" t="str">
            <v>2241BM0472</v>
          </cell>
          <cell r="P1288" t="str">
            <v>dollar range</v>
          </cell>
        </row>
        <row r="1289">
          <cell r="F1289" t="str">
            <v>2241BM0473</v>
          </cell>
          <cell r="P1289" t="str">
            <v>dollar range</v>
          </cell>
        </row>
        <row r="1290">
          <cell r="F1290" t="str">
            <v>2241BM0474</v>
          </cell>
          <cell r="P1290" t="str">
            <v>dollar range</v>
          </cell>
        </row>
        <row r="1291">
          <cell r="F1291" t="str">
            <v>2241BM0475</v>
          </cell>
          <cell r="P1291" t="str">
            <v>dollar range</v>
          </cell>
        </row>
        <row r="1292">
          <cell r="F1292" t="str">
            <v>2241BM0476</v>
          </cell>
          <cell r="P1292" t="str">
            <v>dollar range</v>
          </cell>
        </row>
        <row r="1293">
          <cell r="F1293" t="str">
            <v>2241BM0477</v>
          </cell>
          <cell r="P1293" t="str">
            <v>dollar range</v>
          </cell>
        </row>
        <row r="1294">
          <cell r="F1294" t="str">
            <v>2211XVM0241</v>
          </cell>
          <cell r="P1294" t="str">
            <v>1 hour</v>
          </cell>
        </row>
        <row r="1295">
          <cell r="F1295" t="str">
            <v>2211XM0240</v>
          </cell>
          <cell r="P1295" t="str">
            <v>1 hour</v>
          </cell>
        </row>
        <row r="1296">
          <cell r="F1296" t="str">
            <v>229M0246</v>
          </cell>
          <cell r="P1296" t="str">
            <v>1 hour</v>
          </cell>
        </row>
        <row r="1297">
          <cell r="F1297" t="str">
            <v>H2023UD</v>
          </cell>
          <cell r="P1297" t="str">
            <v>1 hour</v>
          </cell>
        </row>
        <row r="1298">
          <cell r="F1298" t="str">
            <v>H2015HN</v>
          </cell>
          <cell r="P1298" t="str">
            <v>15 minutes</v>
          </cell>
        </row>
        <row r="1299">
          <cell r="F1299" t="str">
            <v>H2015HQHN</v>
          </cell>
          <cell r="P1299" t="str">
            <v>15 minutes</v>
          </cell>
        </row>
        <row r="1300">
          <cell r="F1300" t="str">
            <v>H2015HO</v>
          </cell>
          <cell r="P1300" t="str">
            <v>15 minutes</v>
          </cell>
        </row>
        <row r="1301">
          <cell r="F1301" t="str">
            <v>H2015HQHO</v>
          </cell>
          <cell r="P1301" t="str">
            <v>15 minutes</v>
          </cell>
        </row>
        <row r="1302">
          <cell r="F1302" t="str">
            <v>H0038HA</v>
          </cell>
          <cell r="P1302" t="str">
            <v>15 minutes</v>
          </cell>
        </row>
        <row r="1303">
          <cell r="F1303" t="str">
            <v>H0038HQ</v>
          </cell>
          <cell r="P1303" t="str">
            <v>15 minutes</v>
          </cell>
        </row>
        <row r="1304">
          <cell r="P1304" t="str">
            <v>dollar range</v>
          </cell>
        </row>
        <row r="1305">
          <cell r="P1305" t="str">
            <v>dollar range</v>
          </cell>
        </row>
        <row r="1306">
          <cell r="F1306"/>
          <cell r="P1306" t="str">
            <v>dollar range</v>
          </cell>
        </row>
        <row r="1307">
          <cell r="F1307"/>
          <cell r="P1307" t="str">
            <v>dollar range</v>
          </cell>
        </row>
        <row r="1308">
          <cell r="P1308" t="str">
            <v>dollar range</v>
          </cell>
        </row>
        <row r="1309">
          <cell r="P1309" t="str">
            <v>dollar range</v>
          </cell>
        </row>
        <row r="1310">
          <cell r="P1310" t="str">
            <v>dollar range</v>
          </cell>
        </row>
        <row r="1311">
          <cell r="P1311" t="str">
            <v>dollar range</v>
          </cell>
        </row>
        <row r="1312">
          <cell r="P1312" t="str">
            <v>dollar range</v>
          </cell>
        </row>
        <row r="1313">
          <cell r="P1313" t="str">
            <v>dollar range</v>
          </cell>
        </row>
        <row r="1314">
          <cell r="P1314" t="str">
            <v>dollar range</v>
          </cell>
        </row>
        <row r="1315">
          <cell r="P1315" t="str">
            <v>dollar range</v>
          </cell>
        </row>
        <row r="1316">
          <cell r="P1316" t="str">
            <v>dollar range</v>
          </cell>
        </row>
        <row r="1317">
          <cell r="P1317" t="str">
            <v>dollar range</v>
          </cell>
        </row>
        <row r="1318">
          <cell r="P1318" t="str">
            <v>dollar range</v>
          </cell>
        </row>
        <row r="1319">
          <cell r="P1319" t="str">
            <v>dollar range</v>
          </cell>
        </row>
        <row r="1320">
          <cell r="P1320" t="str">
            <v>dollar range</v>
          </cell>
        </row>
        <row r="1321">
          <cell r="P1321" t="str">
            <v>dollar range</v>
          </cell>
        </row>
        <row r="1322">
          <cell r="P1322" t="str">
            <v>dollar range</v>
          </cell>
        </row>
        <row r="1323">
          <cell r="P1323" t="str">
            <v>dollar range</v>
          </cell>
        </row>
        <row r="1324">
          <cell r="P1324" t="str">
            <v>dollar range</v>
          </cell>
        </row>
        <row r="1325">
          <cell r="P1325" t="str">
            <v>dollar range</v>
          </cell>
        </row>
        <row r="1326">
          <cell r="F1326" t="str">
            <v>H2032U5</v>
          </cell>
          <cell r="P1326" t="str">
            <v>15 minutes (ceiling)</v>
          </cell>
        </row>
        <row r="1327">
          <cell r="F1327" t="str">
            <v>H2032U1</v>
          </cell>
          <cell r="P1327" t="str">
            <v>15 minutes (ceiling)</v>
          </cell>
        </row>
        <row r="1328">
          <cell r="F1328" t="str">
            <v>H2032U6</v>
          </cell>
          <cell r="P1328" t="str">
            <v>15 minutes (ceiling)</v>
          </cell>
        </row>
        <row r="1329">
          <cell r="F1329" t="str">
            <v>H2032U3</v>
          </cell>
          <cell r="P1329" t="str">
            <v>15 minutes (ceiling)</v>
          </cell>
        </row>
        <row r="1330">
          <cell r="F1330" t="str">
            <v>H2032U9</v>
          </cell>
          <cell r="P1330" t="str">
            <v>15 minutes (ceiling)</v>
          </cell>
        </row>
        <row r="1331">
          <cell r="F1331" t="str">
            <v>H2032U7</v>
          </cell>
          <cell r="P1331" t="str">
            <v>15 minutes (ceiling)</v>
          </cell>
        </row>
        <row r="1332">
          <cell r="F1332" t="str">
            <v>H2032HQ</v>
          </cell>
          <cell r="P1332" t="str">
            <v>15 minutes (ceiling)</v>
          </cell>
        </row>
        <row r="1333">
          <cell r="F1333" t="str">
            <v>H2032HE</v>
          </cell>
          <cell r="P1333" t="str">
            <v>15 minutes (ceiling)</v>
          </cell>
        </row>
        <row r="1334">
          <cell r="F1334" t="str">
            <v>2257VM0314</v>
          </cell>
          <cell r="P1334" t="str">
            <v>1 hour</v>
          </cell>
        </row>
        <row r="1335">
          <cell r="F1335" t="str">
            <v>2257CFVM0413</v>
          </cell>
          <cell r="P1335" t="str">
            <v>1 hour</v>
          </cell>
        </row>
        <row r="1336">
          <cell r="F1336" t="str">
            <v>T2027U9</v>
          </cell>
          <cell r="P1336" t="str">
            <v>15 minutes</v>
          </cell>
        </row>
        <row r="1337">
          <cell r="F1337" t="str">
            <v>H2032TG</v>
          </cell>
          <cell r="P1337" t="str">
            <v>15 minutes (ceiling)</v>
          </cell>
        </row>
        <row r="1338">
          <cell r="F1338" t="str">
            <v>H2032TF</v>
          </cell>
          <cell r="P1338" t="str">
            <v>15 minutes (ceiling)</v>
          </cell>
        </row>
        <row r="1339">
          <cell r="F1339" t="str">
            <v>T2003HA</v>
          </cell>
          <cell r="P1339" t="str">
            <v>1 mile</v>
          </cell>
        </row>
        <row r="1340">
          <cell r="F1340" t="str">
            <v>T2025HT</v>
          </cell>
          <cell r="P1340" t="str">
            <v>1 day</v>
          </cell>
        </row>
        <row r="1341">
          <cell r="F1341" t="str">
            <v>T2025HR</v>
          </cell>
          <cell r="P1341" t="str">
            <v>1 day</v>
          </cell>
        </row>
        <row r="1342">
          <cell r="F1342" t="str">
            <v>T2025ET</v>
          </cell>
          <cell r="P1342" t="str">
            <v>1 day</v>
          </cell>
        </row>
        <row r="1343">
          <cell r="F1343" t="str">
            <v>T1005U1UC</v>
          </cell>
          <cell r="P1343" t="str">
            <v>1 hour</v>
          </cell>
        </row>
        <row r="1344">
          <cell r="F1344" t="str">
            <v>T1005U2UB</v>
          </cell>
          <cell r="P1344" t="str">
            <v>1 hour</v>
          </cell>
        </row>
        <row r="1345">
          <cell r="F1345" t="str">
            <v>T1005U2UC</v>
          </cell>
          <cell r="P1345" t="str">
            <v>1 hour</v>
          </cell>
        </row>
        <row r="1346">
          <cell r="F1346" t="str">
            <v>T1005HKUC</v>
          </cell>
          <cell r="P1346" t="str">
            <v>1 hour</v>
          </cell>
        </row>
        <row r="1347">
          <cell r="F1347" t="str">
            <v>T1005UAUB</v>
          </cell>
          <cell r="P1347" t="str">
            <v>1 hour</v>
          </cell>
        </row>
        <row r="1348">
          <cell r="F1348" t="str">
            <v>T1005UAUC</v>
          </cell>
          <cell r="P1348" t="str">
            <v>1 hour</v>
          </cell>
        </row>
        <row r="1349">
          <cell r="F1349" t="str">
            <v>T1005U1UB</v>
          </cell>
          <cell r="P1349" t="str">
            <v>1 hour</v>
          </cell>
        </row>
        <row r="1350">
          <cell r="F1350" t="str">
            <v>T1005HKUB</v>
          </cell>
          <cell r="P1350" t="str">
            <v>1 hour</v>
          </cell>
        </row>
        <row r="1351">
          <cell r="F1351" t="str">
            <v>S5150HKUC</v>
          </cell>
          <cell r="P1351" t="str">
            <v>1 hour</v>
          </cell>
        </row>
        <row r="1352">
          <cell r="F1352" t="str">
            <v>S5150UAUB</v>
          </cell>
          <cell r="P1352" t="str">
            <v>1 hour</v>
          </cell>
        </row>
        <row r="1353">
          <cell r="F1353" t="str">
            <v>S5150UAUC</v>
          </cell>
          <cell r="P1353" t="str">
            <v>1 hour</v>
          </cell>
        </row>
        <row r="1354">
          <cell r="F1354" t="str">
            <v>S5150HKUB</v>
          </cell>
          <cell r="P1354" t="str">
            <v>1 hour</v>
          </cell>
        </row>
        <row r="1355">
          <cell r="F1355" t="str">
            <v>T2027HA</v>
          </cell>
          <cell r="P1355" t="str">
            <v>1 hour (ceiling)</v>
          </cell>
        </row>
        <row r="1356">
          <cell r="F1356" t="str">
            <v>H2021HA</v>
          </cell>
          <cell r="P1356" t="str">
            <v>15 minutes</v>
          </cell>
        </row>
        <row r="1357">
          <cell r="F1357" t="str">
            <v>H2021HQ</v>
          </cell>
          <cell r="P1357" t="str">
            <v>15 minutes</v>
          </cell>
        </row>
        <row r="1358">
          <cell r="F1358" t="str">
            <v>H2025UD</v>
          </cell>
          <cell r="P1358" t="str">
            <v>1 hour</v>
          </cell>
        </row>
        <row r="1359">
          <cell r="F1359" t="str">
            <v>H2020HT</v>
          </cell>
          <cell r="P1359" t="str">
            <v>1 day</v>
          </cell>
        </row>
        <row r="1360">
          <cell r="F1360" t="str">
            <v>H2020HR</v>
          </cell>
          <cell r="P1360" t="str">
            <v>1 day</v>
          </cell>
        </row>
        <row r="1361">
          <cell r="F1361" t="str">
            <v>T2038TV</v>
          </cell>
          <cell r="P1361" t="str">
            <v>1 time</v>
          </cell>
        </row>
        <row r="1362">
          <cell r="F1362" t="str">
            <v>2111XM0850</v>
          </cell>
          <cell r="P1362" t="str">
            <v>1 hour</v>
          </cell>
        </row>
        <row r="1363">
          <cell r="F1363" t="str">
            <v>2111XM0855</v>
          </cell>
          <cell r="P1363" t="str">
            <v>1 hour</v>
          </cell>
        </row>
        <row r="1364">
          <cell r="F1364" t="str">
            <v>2111XM0860</v>
          </cell>
          <cell r="P1364" t="str">
            <v>1 hour</v>
          </cell>
        </row>
        <row r="1365">
          <cell r="F1365" t="str">
            <v>2111XM0865</v>
          </cell>
          <cell r="P1365" t="str">
            <v>1 hour</v>
          </cell>
        </row>
        <row r="1366">
          <cell r="F1366" t="str">
            <v>2111XM0867</v>
          </cell>
          <cell r="P1366" t="str">
            <v>1 hour</v>
          </cell>
        </row>
        <row r="1367">
          <cell r="F1367" t="str">
            <v>2111XM0869</v>
          </cell>
          <cell r="P1367" t="str">
            <v>1 hour</v>
          </cell>
        </row>
        <row r="1368">
          <cell r="F1368" t="str">
            <v>2111XM0851</v>
          </cell>
          <cell r="P1368" t="str">
            <v>1 hour</v>
          </cell>
        </row>
        <row r="1369">
          <cell r="F1369" t="str">
            <v>2111XM0856</v>
          </cell>
          <cell r="P1369" t="str">
            <v>1 hour</v>
          </cell>
        </row>
        <row r="1370">
          <cell r="F1370" t="str">
            <v>2111XM0861</v>
          </cell>
          <cell r="P1370" t="str">
            <v>1 hour</v>
          </cell>
        </row>
        <row r="1371">
          <cell r="F1371" t="str">
            <v>2111XM0866</v>
          </cell>
          <cell r="P1371" t="str">
            <v>1 hour</v>
          </cell>
        </row>
        <row r="1372">
          <cell r="F1372" t="str">
            <v>2111XM0868</v>
          </cell>
          <cell r="P1372" t="str">
            <v>1 hour</v>
          </cell>
        </row>
        <row r="1373">
          <cell r="F1373" t="str">
            <v>2111XM0870</v>
          </cell>
          <cell r="P1373" t="str">
            <v>1 hour</v>
          </cell>
        </row>
        <row r="1374">
          <cell r="F1374" t="str">
            <v>2111XVM0871</v>
          </cell>
          <cell r="P1374" t="str">
            <v>1 hour</v>
          </cell>
        </row>
        <row r="1375">
          <cell r="F1375" t="str">
            <v>2111XVM0873</v>
          </cell>
          <cell r="P1375" t="str">
            <v>1 hour</v>
          </cell>
        </row>
        <row r="1376">
          <cell r="F1376" t="str">
            <v>2111XVM0875</v>
          </cell>
          <cell r="P1376" t="str">
            <v>1 hour</v>
          </cell>
        </row>
        <row r="1377">
          <cell r="F1377" t="str">
            <v>2111XVM0877</v>
          </cell>
          <cell r="P1377" t="str">
            <v>1 hour</v>
          </cell>
        </row>
        <row r="1378">
          <cell r="F1378" t="str">
            <v>2111XVM0872</v>
          </cell>
          <cell r="P1378" t="str">
            <v>1 hour</v>
          </cell>
        </row>
        <row r="1379">
          <cell r="F1379" t="str">
            <v>2111XVM0874</v>
          </cell>
          <cell r="P1379" t="str">
            <v>1 hour</v>
          </cell>
        </row>
        <row r="1380">
          <cell r="F1380" t="str">
            <v>2111XVM0876</v>
          </cell>
          <cell r="P1380" t="str">
            <v>1 hour</v>
          </cell>
        </row>
        <row r="1381">
          <cell r="F1381" t="str">
            <v>2111XVM0878</v>
          </cell>
          <cell r="P1381" t="str">
            <v>1 hour</v>
          </cell>
        </row>
        <row r="1382">
          <cell r="F1382" t="str">
            <v>2111XVM1091</v>
          </cell>
          <cell r="P1382" t="str">
            <v>1 hour</v>
          </cell>
        </row>
        <row r="1383">
          <cell r="F1383" t="str">
            <v>2111XVM1092</v>
          </cell>
          <cell r="P1383" t="str">
            <v>1 hour</v>
          </cell>
        </row>
        <row r="1384">
          <cell r="F1384" t="str">
            <v>2211XM0903</v>
          </cell>
          <cell r="P1384" t="str">
            <v>1 hour</v>
          </cell>
        </row>
        <row r="1385">
          <cell r="F1385" t="str">
            <v>2211XM0904</v>
          </cell>
          <cell r="P1385" t="str">
            <v>1 hour</v>
          </cell>
        </row>
        <row r="1386">
          <cell r="F1386" t="str">
            <v>2211XM0905</v>
          </cell>
          <cell r="P1386" t="str">
            <v>1 hour</v>
          </cell>
        </row>
        <row r="1387">
          <cell r="F1387" t="str">
            <v>2211XM0906</v>
          </cell>
          <cell r="P1387" t="str">
            <v>1 hour</v>
          </cell>
        </row>
        <row r="1388">
          <cell r="F1388" t="str">
            <v>2211XM1093</v>
          </cell>
          <cell r="P1388" t="str">
            <v>1 hour</v>
          </cell>
        </row>
        <row r="1389">
          <cell r="F1389" t="str">
            <v>2211XVM0907</v>
          </cell>
          <cell r="P1389" t="str">
            <v>1 hour</v>
          </cell>
        </row>
        <row r="1390">
          <cell r="F1390" t="str">
            <v>2211XVM0908</v>
          </cell>
          <cell r="P1390" t="str">
            <v>1 hour</v>
          </cell>
        </row>
        <row r="1391">
          <cell r="F1391" t="str">
            <v>2211XVM0909</v>
          </cell>
          <cell r="P1391" t="str">
            <v>1 hour</v>
          </cell>
        </row>
        <row r="1392">
          <cell r="F1392" t="str">
            <v>2211XVM0910</v>
          </cell>
          <cell r="P1392" t="str">
            <v>1 hour</v>
          </cell>
        </row>
        <row r="1393">
          <cell r="F1393" t="str">
            <v>2211XVM1094</v>
          </cell>
          <cell r="P1393" t="str">
            <v>1 hour</v>
          </cell>
        </row>
        <row r="1394">
          <cell r="F1394" t="str">
            <v>217G2254</v>
          </cell>
          <cell r="P1394" t="str">
            <v>1 hour</v>
          </cell>
        </row>
        <row r="1395">
          <cell r="F1395" t="str">
            <v>217G2255</v>
          </cell>
          <cell r="P1395" t="str">
            <v>1 hour</v>
          </cell>
        </row>
        <row r="1396">
          <cell r="F1396" t="str">
            <v>217G2286</v>
          </cell>
          <cell r="P1396" t="str">
            <v>1 hour</v>
          </cell>
        </row>
        <row r="1397">
          <cell r="F1397" t="str">
            <v>217G2287</v>
          </cell>
          <cell r="P1397" t="str">
            <v>1 hour</v>
          </cell>
        </row>
        <row r="1398">
          <cell r="F1398" t="str">
            <v>217G2298</v>
          </cell>
          <cell r="P1398" t="str">
            <v>1 hour</v>
          </cell>
        </row>
        <row r="1399">
          <cell r="F1399" t="str">
            <v>217G2299</v>
          </cell>
          <cell r="P1399" t="str">
            <v>1 hour</v>
          </cell>
        </row>
        <row r="1400">
          <cell r="F1400" t="str">
            <v>218G2256</v>
          </cell>
          <cell r="P1400" t="str">
            <v>1 hour</v>
          </cell>
        </row>
        <row r="1401">
          <cell r="F1401" t="str">
            <v>218G2257</v>
          </cell>
          <cell r="P1401" t="str">
            <v>1 hour</v>
          </cell>
        </row>
        <row r="1402">
          <cell r="F1402" t="str">
            <v>218G2288</v>
          </cell>
          <cell r="P1402" t="str">
            <v>1 hour</v>
          </cell>
        </row>
        <row r="1403">
          <cell r="F1403" t="str">
            <v>218G2289</v>
          </cell>
          <cell r="P1403" t="str">
            <v>1 hour</v>
          </cell>
        </row>
        <row r="1404">
          <cell r="F1404" t="str">
            <v>218G2300</v>
          </cell>
          <cell r="P1404" t="str">
            <v>1 hour</v>
          </cell>
        </row>
        <row r="1405">
          <cell r="F1405" t="str">
            <v>218G2301</v>
          </cell>
          <cell r="P1405" t="str">
            <v>1 hour</v>
          </cell>
        </row>
        <row r="1406">
          <cell r="F1406" t="str">
            <v>2113AG2258</v>
          </cell>
          <cell r="P1406" t="str">
            <v>1 hour</v>
          </cell>
        </row>
        <row r="1407">
          <cell r="F1407" t="str">
            <v>2113AG2259</v>
          </cell>
          <cell r="P1407" t="str">
            <v>1 hour</v>
          </cell>
        </row>
        <row r="1408">
          <cell r="F1408" t="str">
            <v>2113AG2290</v>
          </cell>
          <cell r="P1408" t="str">
            <v>1 hour</v>
          </cell>
        </row>
        <row r="1409">
          <cell r="F1409" t="str">
            <v>2113AG2291</v>
          </cell>
          <cell r="P1409" t="str">
            <v>1 hour</v>
          </cell>
        </row>
        <row r="1410">
          <cell r="F1410" t="str">
            <v>2113AG2302</v>
          </cell>
          <cell r="P1410" t="str">
            <v>1 hour</v>
          </cell>
        </row>
        <row r="1411">
          <cell r="F1411" t="str">
            <v>2113AG2303</v>
          </cell>
          <cell r="P1411" t="str">
            <v>1 hour</v>
          </cell>
        </row>
        <row r="1412">
          <cell r="F1412" t="str">
            <v>2113AVG2260</v>
          </cell>
          <cell r="P1412" t="str">
            <v>1 hour</v>
          </cell>
        </row>
        <row r="1413">
          <cell r="F1413" t="str">
            <v>2113AVG2261</v>
          </cell>
          <cell r="P1413" t="str">
            <v>1 hour</v>
          </cell>
        </row>
        <row r="1414">
          <cell r="F1414" t="str">
            <v>2113AVG2304</v>
          </cell>
          <cell r="P1414" t="str">
            <v>1 hour</v>
          </cell>
        </row>
        <row r="1415">
          <cell r="F1415" t="str">
            <v>2113AVG2305</v>
          </cell>
          <cell r="P1415" t="str">
            <v>1 hour</v>
          </cell>
        </row>
        <row r="1416">
          <cell r="F1416" t="str">
            <v>2113BG2262</v>
          </cell>
          <cell r="P1416" t="str">
            <v>1 hour</v>
          </cell>
        </row>
        <row r="1417">
          <cell r="F1417" t="str">
            <v>2113BG2263</v>
          </cell>
          <cell r="P1417" t="str">
            <v>1 hour</v>
          </cell>
        </row>
        <row r="1418">
          <cell r="F1418" t="str">
            <v>2113BG2292</v>
          </cell>
          <cell r="P1418" t="str">
            <v>1 hour</v>
          </cell>
        </row>
        <row r="1419">
          <cell r="F1419" t="str">
            <v>2113BG2293</v>
          </cell>
          <cell r="P1419" t="str">
            <v>1 hour</v>
          </cell>
        </row>
        <row r="1420">
          <cell r="F1420" t="str">
            <v>2113BG2306</v>
          </cell>
          <cell r="P1420" t="str">
            <v>1 hour</v>
          </cell>
        </row>
        <row r="1421">
          <cell r="F1421" t="str">
            <v>2113BG2307</v>
          </cell>
          <cell r="P1421" t="str">
            <v>1 hour</v>
          </cell>
        </row>
        <row r="1422">
          <cell r="F1422" t="str">
            <v>2113BVG2264</v>
          </cell>
          <cell r="P1422" t="str">
            <v>1 hour</v>
          </cell>
        </row>
        <row r="1423">
          <cell r="F1423" t="str">
            <v>2113BVG2265</v>
          </cell>
          <cell r="P1423" t="str">
            <v>1 hour</v>
          </cell>
        </row>
        <row r="1424">
          <cell r="F1424" t="str">
            <v>2113BVG2308</v>
          </cell>
          <cell r="P1424" t="str">
            <v>1 hour</v>
          </cell>
        </row>
        <row r="1425">
          <cell r="F1425" t="str">
            <v>2113BVG2309</v>
          </cell>
          <cell r="P1425" t="str">
            <v>1 hour</v>
          </cell>
        </row>
        <row r="1426">
          <cell r="F1426" t="str">
            <v>2113CG2266</v>
          </cell>
          <cell r="P1426" t="str">
            <v>1 hour</v>
          </cell>
        </row>
        <row r="1427">
          <cell r="F1427" t="str">
            <v>2113CG2267</v>
          </cell>
          <cell r="P1427" t="str">
            <v>1 hour</v>
          </cell>
        </row>
        <row r="1428">
          <cell r="F1428" t="str">
            <v>2113CG2294</v>
          </cell>
          <cell r="P1428" t="str">
            <v>1 hour</v>
          </cell>
        </row>
        <row r="1429">
          <cell r="F1429" t="str">
            <v>2113CG2295</v>
          </cell>
          <cell r="P1429" t="str">
            <v>1 hour</v>
          </cell>
        </row>
        <row r="1430">
          <cell r="F1430" t="str">
            <v>2113CG2310</v>
          </cell>
          <cell r="P1430" t="str">
            <v>1 hour</v>
          </cell>
        </row>
        <row r="1431">
          <cell r="F1431" t="str">
            <v>2113CG2311</v>
          </cell>
          <cell r="P1431" t="str">
            <v>1 hour</v>
          </cell>
        </row>
        <row r="1432">
          <cell r="F1432" t="str">
            <v>2113CVG2268</v>
          </cell>
          <cell r="P1432" t="str">
            <v>1 hour</v>
          </cell>
        </row>
        <row r="1433">
          <cell r="F1433" t="str">
            <v>2113CVG2269</v>
          </cell>
          <cell r="P1433" t="str">
            <v>1 hour</v>
          </cell>
        </row>
        <row r="1434">
          <cell r="F1434" t="str">
            <v>2113CVG2312</v>
          </cell>
          <cell r="P1434" t="str">
            <v>1 hour</v>
          </cell>
        </row>
        <row r="1435">
          <cell r="F1435" t="str">
            <v>2113CVG2313</v>
          </cell>
          <cell r="P1435" t="str">
            <v>1 hour</v>
          </cell>
        </row>
        <row r="1436">
          <cell r="F1436" t="str">
            <v>2113DG2270</v>
          </cell>
          <cell r="P1436" t="str">
            <v>1 hour</v>
          </cell>
        </row>
        <row r="1437">
          <cell r="F1437" t="str">
            <v>2113DG2271</v>
          </cell>
          <cell r="P1437" t="str">
            <v>1 hour</v>
          </cell>
        </row>
        <row r="1438">
          <cell r="F1438" t="str">
            <v>2113DG2296</v>
          </cell>
          <cell r="P1438" t="str">
            <v>1 hour</v>
          </cell>
        </row>
        <row r="1439">
          <cell r="F1439" t="str">
            <v>2113DG2297</v>
          </cell>
          <cell r="P1439" t="str">
            <v>1 hour</v>
          </cell>
        </row>
        <row r="1440">
          <cell r="F1440" t="str">
            <v>2113DG2314</v>
          </cell>
          <cell r="P1440" t="str">
            <v>1 hour</v>
          </cell>
        </row>
        <row r="1441">
          <cell r="F1441" t="str">
            <v>2113DG2315</v>
          </cell>
          <cell r="P1441" t="str">
            <v>1 hour</v>
          </cell>
        </row>
        <row r="1442">
          <cell r="F1442" t="str">
            <v>2113DVG2272</v>
          </cell>
          <cell r="P1442" t="str">
            <v>1 hour</v>
          </cell>
        </row>
        <row r="1443">
          <cell r="F1443" t="str">
            <v>2113DVG2273</v>
          </cell>
          <cell r="P1443" t="str">
            <v>1 hour</v>
          </cell>
        </row>
        <row r="1444">
          <cell r="F1444" t="str">
            <v>2113DVG2316</v>
          </cell>
          <cell r="P1444" t="str">
            <v>1 hour</v>
          </cell>
        </row>
        <row r="1445">
          <cell r="F1445" t="str">
            <v>2113DVG2317</v>
          </cell>
          <cell r="P1445" t="str">
            <v>1 hour</v>
          </cell>
        </row>
        <row r="1446">
          <cell r="F1446" t="str">
            <v>2213AG2276</v>
          </cell>
          <cell r="P1446" t="str">
            <v>1 hour</v>
          </cell>
        </row>
        <row r="1447">
          <cell r="F1447" t="str">
            <v>2213AG2320</v>
          </cell>
          <cell r="P1447" t="str">
            <v>1 hour</v>
          </cell>
        </row>
        <row r="1448">
          <cell r="F1448" t="str">
            <v>2213DG2282</v>
          </cell>
          <cell r="P1448" t="str">
            <v>1 hour</v>
          </cell>
        </row>
        <row r="1449">
          <cell r="F1449" t="str">
            <v>2213DG2326</v>
          </cell>
          <cell r="P1449" t="str">
            <v>1 hour</v>
          </cell>
        </row>
        <row r="1450">
          <cell r="F1450" t="str">
            <v>2213DM0308</v>
          </cell>
          <cell r="P1450" t="str">
            <v>1 hour</v>
          </cell>
        </row>
        <row r="1451">
          <cell r="F1451" t="str">
            <v>2213BG2278</v>
          </cell>
          <cell r="P1451" t="str">
            <v>1 hour</v>
          </cell>
        </row>
        <row r="1452">
          <cell r="F1452" t="str">
            <v>2213BG2322</v>
          </cell>
          <cell r="P1452" t="str">
            <v>1 hour</v>
          </cell>
        </row>
        <row r="1453">
          <cell r="F1453" t="str">
            <v>2213CG2280</v>
          </cell>
          <cell r="P1453" t="str">
            <v>1 hour</v>
          </cell>
        </row>
        <row r="1454">
          <cell r="F1454" t="str">
            <v>2213CG2324</v>
          </cell>
          <cell r="P1454" t="str">
            <v>1 hour</v>
          </cell>
        </row>
        <row r="1455">
          <cell r="F1455" t="str">
            <v>2213AVM0310</v>
          </cell>
          <cell r="P1455" t="str">
            <v>1 hour</v>
          </cell>
        </row>
        <row r="1456">
          <cell r="F1456" t="str">
            <v>2213BVM0311</v>
          </cell>
          <cell r="P1456" t="str">
            <v>1 hour</v>
          </cell>
        </row>
        <row r="1457">
          <cell r="F1457" t="str">
            <v>2213BVG2323</v>
          </cell>
          <cell r="P1457" t="str">
            <v>1 hour</v>
          </cell>
        </row>
        <row r="1458">
          <cell r="F1458" t="str">
            <v>2213AVG2277</v>
          </cell>
          <cell r="P1458" t="str">
            <v>1 hour</v>
          </cell>
        </row>
        <row r="1459">
          <cell r="F1459" t="str">
            <v>2213AVG2321</v>
          </cell>
          <cell r="P1459" t="str">
            <v>1 hour</v>
          </cell>
        </row>
        <row r="1460">
          <cell r="F1460" t="str">
            <v>2213DVG2283</v>
          </cell>
          <cell r="P1460" t="str">
            <v>1 hour</v>
          </cell>
        </row>
        <row r="1461">
          <cell r="F1461" t="str">
            <v>2213BVG2279</v>
          </cell>
          <cell r="P1461" t="str">
            <v>1 hour</v>
          </cell>
        </row>
        <row r="1462">
          <cell r="F1462" t="str">
            <v>2213CVG2325</v>
          </cell>
          <cell r="P1462" t="str">
            <v>1 hour</v>
          </cell>
        </row>
        <row r="1463">
          <cell r="F1463" t="str">
            <v>2213CVM0313</v>
          </cell>
          <cell r="P1463" t="str">
            <v>1 hour</v>
          </cell>
        </row>
        <row r="1464">
          <cell r="F1464" t="str">
            <v>2213CVG2281</v>
          </cell>
          <cell r="P1464" t="str">
            <v>1 hour</v>
          </cell>
        </row>
        <row r="1465">
          <cell r="F1465" t="str">
            <v>2213DVG2327</v>
          </cell>
          <cell r="P1465" t="str">
            <v>1 hour</v>
          </cell>
        </row>
        <row r="1466">
          <cell r="F1466" t="str">
            <v>2213DVM0312</v>
          </cell>
          <cell r="P1466" t="str">
            <v>1 hour</v>
          </cell>
        </row>
        <row r="1467">
          <cell r="F1467" t="str">
            <v>227M0231</v>
          </cell>
          <cell r="P1467" t="str">
            <v>1 hour</v>
          </cell>
        </row>
        <row r="1468">
          <cell r="F1468" t="str">
            <v>227VG2284</v>
          </cell>
          <cell r="P1468" t="str">
            <v>1 hour</v>
          </cell>
        </row>
        <row r="1469">
          <cell r="F1469" t="str">
            <v>227VG2328</v>
          </cell>
          <cell r="P1469" t="str">
            <v>1 hour</v>
          </cell>
        </row>
        <row r="1470">
          <cell r="F1470" t="str">
            <v>228VM0235</v>
          </cell>
          <cell r="P1470" t="str">
            <v>1 hour</v>
          </cell>
        </row>
        <row r="1471">
          <cell r="F1471" t="str">
            <v>228VG2285</v>
          </cell>
          <cell r="P1471" t="str">
            <v>1 hour</v>
          </cell>
        </row>
        <row r="1472">
          <cell r="F1472" t="str">
            <v>228VG2329</v>
          </cell>
          <cell r="P1472" t="str">
            <v>1 hour</v>
          </cell>
        </row>
        <row r="1473">
          <cell r="F1473" t="str">
            <v>229VM0247</v>
          </cell>
          <cell r="P1473" t="str">
            <v>1 hour</v>
          </cell>
        </row>
        <row r="1474">
          <cell r="F1474" t="str">
            <v>210CFCG1119</v>
          </cell>
          <cell r="P1474" t="str">
            <v>1 hour</v>
          </cell>
        </row>
        <row r="1475">
          <cell r="F1475" t="str">
            <v>1610CFCG1119</v>
          </cell>
          <cell r="P1475" t="str">
            <v>1 hour</v>
          </cell>
        </row>
        <row r="1476">
          <cell r="F1476" t="str">
            <v>61BF0231</v>
          </cell>
          <cell r="P1476" t="str">
            <v>1 day</v>
          </cell>
        </row>
        <row r="1477">
          <cell r="F1477" t="str">
            <v>61DF0233</v>
          </cell>
          <cell r="P1477" t="str">
            <v>1 day</v>
          </cell>
        </row>
        <row r="1478">
          <cell r="F1478" t="str">
            <v>S5151SK</v>
          </cell>
          <cell r="P1478" t="str">
            <v>1 day</v>
          </cell>
        </row>
        <row r="1479">
          <cell r="F1479" t="str">
            <v>S5151SKU2</v>
          </cell>
          <cell r="P1479" t="str">
            <v>1 day</v>
          </cell>
        </row>
        <row r="1480">
          <cell r="F1480" t="str">
            <v>S5151SKU1</v>
          </cell>
          <cell r="P1480" t="str">
            <v>1 day</v>
          </cell>
        </row>
        <row r="1481">
          <cell r="F1481" t="str">
            <v>S5151SKU3</v>
          </cell>
          <cell r="P1481" t="str">
            <v>1 day</v>
          </cell>
        </row>
        <row r="1482">
          <cell r="F1482" t="str">
            <v>717CVG0747</v>
          </cell>
          <cell r="P1482" t="str">
            <v>1 month</v>
          </cell>
        </row>
        <row r="1483">
          <cell r="F1483" t="str">
            <v>717DVG0750</v>
          </cell>
          <cell r="P1483" t="str">
            <v>1 hour</v>
          </cell>
        </row>
        <row r="1484">
          <cell r="F1484" t="str">
            <v>T1019SHU5</v>
          </cell>
          <cell r="P1484" t="str">
            <v>1 month</v>
          </cell>
        </row>
        <row r="1485">
          <cell r="F1485" t="str">
            <v>T1019SHU8</v>
          </cell>
          <cell r="P1485" t="str">
            <v>1 month</v>
          </cell>
        </row>
        <row r="1486">
          <cell r="F1486" t="str">
            <v>T1019U8</v>
          </cell>
          <cell r="P1486" t="str">
            <v>1 month</v>
          </cell>
        </row>
        <row r="1487">
          <cell r="F1487" t="str">
            <v>T1019U5</v>
          </cell>
          <cell r="P1487" t="str">
            <v>1 month</v>
          </cell>
        </row>
        <row r="1488">
          <cell r="F1488" t="str">
            <v>27G2200</v>
          </cell>
          <cell r="P1488" t="str">
            <v>1 hour</v>
          </cell>
        </row>
        <row r="1489">
          <cell r="F1489" t="str">
            <v>27G2218</v>
          </cell>
          <cell r="P1489" t="str">
            <v>1 hour</v>
          </cell>
        </row>
        <row r="1490">
          <cell r="F1490" t="str">
            <v>27G2236</v>
          </cell>
          <cell r="P1490" t="str">
            <v>1 hour</v>
          </cell>
        </row>
        <row r="1491">
          <cell r="F1491" t="str">
            <v>27VG2210</v>
          </cell>
          <cell r="P1491" t="str">
            <v>1 hour</v>
          </cell>
        </row>
        <row r="1492">
          <cell r="F1492" t="str">
            <v>27VG2228</v>
          </cell>
          <cell r="P1492" t="str">
            <v>1 hour</v>
          </cell>
        </row>
        <row r="1493">
          <cell r="F1493" t="str">
            <v>27VG2246</v>
          </cell>
          <cell r="P1493" t="str">
            <v>1 hour</v>
          </cell>
        </row>
        <row r="1494">
          <cell r="F1494" t="str">
            <v>28G2201</v>
          </cell>
          <cell r="P1494" t="str">
            <v>1 hour</v>
          </cell>
        </row>
        <row r="1495">
          <cell r="F1495" t="str">
            <v>28G2219</v>
          </cell>
          <cell r="P1495" t="str">
            <v>1 hour</v>
          </cell>
        </row>
        <row r="1496">
          <cell r="F1496" t="str">
            <v>28G2237</v>
          </cell>
          <cell r="P1496" t="str">
            <v>1 hour</v>
          </cell>
        </row>
        <row r="1497">
          <cell r="F1497" t="str">
            <v>28VG2211</v>
          </cell>
          <cell r="P1497" t="str">
            <v>1 hour</v>
          </cell>
        </row>
        <row r="1498">
          <cell r="F1498" t="str">
            <v>28VG2229</v>
          </cell>
          <cell r="P1498" t="str">
            <v>1 hour</v>
          </cell>
        </row>
        <row r="1499">
          <cell r="F1499" t="str">
            <v>28VG2247</v>
          </cell>
          <cell r="P1499" t="str">
            <v>1 hour</v>
          </cell>
        </row>
        <row r="1500">
          <cell r="F1500" t="str">
            <v>213AG2202</v>
          </cell>
          <cell r="P1500" t="str">
            <v>1 hour</v>
          </cell>
        </row>
        <row r="1501">
          <cell r="F1501" t="str">
            <v>213AG2220</v>
          </cell>
          <cell r="P1501" t="str">
            <v>1 hour</v>
          </cell>
        </row>
        <row r="1502">
          <cell r="F1502" t="str">
            <v>213AG2238</v>
          </cell>
          <cell r="P1502" t="str">
            <v>1 hour</v>
          </cell>
        </row>
        <row r="1503">
          <cell r="F1503" t="str">
            <v>213AVG2203</v>
          </cell>
          <cell r="P1503" t="str">
            <v>1 hour</v>
          </cell>
        </row>
        <row r="1504">
          <cell r="F1504" t="str">
            <v>213AVG2221</v>
          </cell>
          <cell r="P1504" t="str">
            <v>1 hour</v>
          </cell>
        </row>
        <row r="1505">
          <cell r="F1505" t="str">
            <v>213AVG2239</v>
          </cell>
          <cell r="P1505" t="str">
            <v>1 hour</v>
          </cell>
        </row>
        <row r="1506">
          <cell r="F1506" t="str">
            <v>213BG2204</v>
          </cell>
          <cell r="P1506" t="str">
            <v>1 hour</v>
          </cell>
        </row>
        <row r="1507">
          <cell r="F1507" t="str">
            <v>213BG2222</v>
          </cell>
          <cell r="P1507" t="str">
            <v>1 hour</v>
          </cell>
        </row>
        <row r="1508">
          <cell r="F1508" t="str">
            <v>213BG2240</v>
          </cell>
          <cell r="P1508" t="str">
            <v>1 hour</v>
          </cell>
        </row>
        <row r="1509">
          <cell r="F1509" t="str">
            <v>213BVG2205</v>
          </cell>
          <cell r="P1509" t="str">
            <v>1 hour</v>
          </cell>
        </row>
        <row r="1510">
          <cell r="F1510" t="str">
            <v>213BVG2223</v>
          </cell>
          <cell r="P1510" t="str">
            <v>1 hour</v>
          </cell>
        </row>
        <row r="1511">
          <cell r="F1511" t="str">
            <v>213BVG2241</v>
          </cell>
          <cell r="P1511" t="str">
            <v>1 hour</v>
          </cell>
        </row>
        <row r="1512">
          <cell r="F1512" t="str">
            <v>213DG2208</v>
          </cell>
          <cell r="P1512" t="str">
            <v>1 hour</v>
          </cell>
        </row>
        <row r="1513">
          <cell r="F1513" t="str">
            <v>213DG2226</v>
          </cell>
          <cell r="P1513" t="str">
            <v>1 hour</v>
          </cell>
        </row>
        <row r="1514">
          <cell r="F1514" t="str">
            <v>213DG2244</v>
          </cell>
          <cell r="P1514" t="str">
            <v>1 hour</v>
          </cell>
        </row>
        <row r="1515">
          <cell r="F1515" t="str">
            <v>213DVG2209</v>
          </cell>
          <cell r="P1515" t="str">
            <v>1 hour</v>
          </cell>
        </row>
        <row r="1516">
          <cell r="F1516" t="str">
            <v>213DVG2227</v>
          </cell>
          <cell r="P1516" t="str">
            <v>1 hour</v>
          </cell>
        </row>
        <row r="1517">
          <cell r="F1517" t="str">
            <v>213DVG2245</v>
          </cell>
          <cell r="P1517" t="str">
            <v>1 hour</v>
          </cell>
        </row>
        <row r="1518">
          <cell r="F1518" t="str">
            <v>213CG2206</v>
          </cell>
          <cell r="P1518" t="str">
            <v>1 hour</v>
          </cell>
        </row>
        <row r="1519">
          <cell r="F1519" t="str">
            <v>213CG2224</v>
          </cell>
          <cell r="P1519" t="str">
            <v>1 hour</v>
          </cell>
        </row>
        <row r="1520">
          <cell r="F1520" t="str">
            <v>213CG2242</v>
          </cell>
          <cell r="P1520" t="str">
            <v>1 hour</v>
          </cell>
        </row>
        <row r="1521">
          <cell r="F1521" t="str">
            <v>213CVG2207</v>
          </cell>
          <cell r="P1521" t="str">
            <v>1 hour</v>
          </cell>
        </row>
        <row r="1522">
          <cell r="F1522" t="str">
            <v>213CVG2225</v>
          </cell>
          <cell r="P1522" t="str">
            <v>1 hour</v>
          </cell>
        </row>
        <row r="1523">
          <cell r="F1523" t="str">
            <v>213CVG2243</v>
          </cell>
          <cell r="P1523" t="str">
            <v>1 hour</v>
          </cell>
        </row>
        <row r="1524">
          <cell r="F1524" t="str">
            <v>167G2212</v>
          </cell>
          <cell r="P1524" t="str">
            <v>1 hour</v>
          </cell>
        </row>
        <row r="1525">
          <cell r="F1525" t="str">
            <v>167G2230</v>
          </cell>
          <cell r="P1525" t="str">
            <v>1 hour</v>
          </cell>
        </row>
        <row r="1526">
          <cell r="F1526" t="str">
            <v>167G2248</v>
          </cell>
          <cell r="P1526" t="str">
            <v>1 hour</v>
          </cell>
        </row>
        <row r="1527">
          <cell r="F1527" t="str">
            <v>168G2213</v>
          </cell>
          <cell r="P1527" t="str">
            <v>1 hour</v>
          </cell>
        </row>
        <row r="1528">
          <cell r="F1528" t="str">
            <v>168G2231</v>
          </cell>
          <cell r="P1528" t="str">
            <v>1 hour</v>
          </cell>
        </row>
        <row r="1529">
          <cell r="F1529" t="str">
            <v>168G2249</v>
          </cell>
          <cell r="P1529" t="str">
            <v>1 hour</v>
          </cell>
        </row>
        <row r="1530">
          <cell r="F1530" t="str">
            <v>1613AG2214</v>
          </cell>
          <cell r="P1530" t="str">
            <v>1 hour</v>
          </cell>
        </row>
        <row r="1531">
          <cell r="F1531" t="str">
            <v>1613AG2232</v>
          </cell>
          <cell r="P1531" t="str">
            <v>1 hour</v>
          </cell>
        </row>
        <row r="1532">
          <cell r="F1532" t="str">
            <v>1613AG2250</v>
          </cell>
          <cell r="P1532" t="str">
            <v>1 hour</v>
          </cell>
        </row>
        <row r="1533">
          <cell r="F1533" t="str">
            <v>1613BG2215</v>
          </cell>
          <cell r="P1533" t="str">
            <v>1 hour</v>
          </cell>
        </row>
        <row r="1534">
          <cell r="F1534" t="str">
            <v>1613BG2233</v>
          </cell>
          <cell r="P1534" t="str">
            <v>1 hour</v>
          </cell>
        </row>
        <row r="1535">
          <cell r="F1535" t="str">
            <v>1613BG2251</v>
          </cell>
          <cell r="P1535" t="str">
            <v>1 hour</v>
          </cell>
        </row>
        <row r="1536">
          <cell r="F1536" t="str">
            <v>1613DG2217</v>
          </cell>
          <cell r="P1536" t="str">
            <v>1 hour</v>
          </cell>
        </row>
        <row r="1537">
          <cell r="F1537" t="str">
            <v>1613DG2235</v>
          </cell>
          <cell r="P1537" t="str">
            <v>1 hour</v>
          </cell>
        </row>
        <row r="1538">
          <cell r="F1538" t="str">
            <v>1613DG2253</v>
          </cell>
          <cell r="P1538" t="str">
            <v>1 hour</v>
          </cell>
        </row>
        <row r="1539">
          <cell r="F1539" t="str">
            <v>1613CG2216</v>
          </cell>
          <cell r="P1539" t="str">
            <v>1 hour</v>
          </cell>
        </row>
        <row r="1540">
          <cell r="F1540" t="str">
            <v>1613CG2234</v>
          </cell>
          <cell r="P1540" t="str">
            <v>1 hour</v>
          </cell>
        </row>
        <row r="1541">
          <cell r="F1541" t="str">
            <v>1613CG2252</v>
          </cell>
          <cell r="P1541" t="str">
            <v>1 hour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Process"/>
      <sheetName val="Fiscal Calculation"/>
      <sheetName val="PDF DB Service Pivot"/>
      <sheetName val="Service Rollup"/>
      <sheetName val="SK Risk Group Data"/>
      <sheetName val="All Trends"/>
      <sheetName val="FFS Trends"/>
      <sheetName val="SP &amp; SK Trends"/>
      <sheetName val="Star Health Trend"/>
      <sheetName val="FMAP"/>
    </sheetNames>
    <sheetDataSet>
      <sheetData sheetId="0"/>
      <sheetData sheetId="1"/>
      <sheetData sheetId="2">
        <row r="1">
          <cell r="B1"/>
          <cell r="C1"/>
          <cell r="D1"/>
        </row>
        <row r="4">
          <cell r="B4"/>
          <cell r="C4"/>
          <cell r="D4"/>
        </row>
        <row r="5">
          <cell r="B5" t="str">
            <v>(All)</v>
          </cell>
          <cell r="C5"/>
          <cell r="D5"/>
        </row>
        <row r="6">
          <cell r="B6"/>
          <cell r="C6"/>
          <cell r="D6"/>
        </row>
        <row r="7">
          <cell r="B7"/>
          <cell r="C7" t="str">
            <v>Values</v>
          </cell>
          <cell r="D7"/>
        </row>
        <row r="8">
          <cell r="B8" t="str">
            <v>Bill Code Combo w SK Trend</v>
          </cell>
          <cell r="C8" t="str">
            <v>Sum of Units</v>
          </cell>
          <cell r="D8" t="str">
            <v>Sum of Pd Amt</v>
          </cell>
        </row>
        <row r="9">
          <cell r="B9" t="str">
            <v>1139AG2001</v>
          </cell>
          <cell r="C9">
            <v>704</v>
          </cell>
          <cell r="D9">
            <v>3240130.51</v>
          </cell>
        </row>
        <row r="10">
          <cell r="B10" t="str">
            <v>1139G2000</v>
          </cell>
          <cell r="C10">
            <v>13097</v>
          </cell>
          <cell r="D10">
            <v>38288000.740000002</v>
          </cell>
        </row>
        <row r="11">
          <cell r="B11" t="str">
            <v>11RG001</v>
          </cell>
          <cell r="C11">
            <v>92115</v>
          </cell>
          <cell r="D11">
            <v>16585605.25</v>
          </cell>
        </row>
        <row r="12">
          <cell r="B12" t="str">
            <v>11RG002</v>
          </cell>
          <cell r="C12">
            <v>274654</v>
          </cell>
          <cell r="D12">
            <v>42770305.240000002</v>
          </cell>
        </row>
        <row r="13">
          <cell r="B13" t="str">
            <v>11RG003</v>
          </cell>
          <cell r="C13">
            <v>271739</v>
          </cell>
          <cell r="D13">
            <v>38768604.619999997</v>
          </cell>
        </row>
        <row r="14">
          <cell r="B14" t="str">
            <v>11RG004</v>
          </cell>
          <cell r="C14">
            <v>281838</v>
          </cell>
          <cell r="D14">
            <v>35102957.859999999</v>
          </cell>
        </row>
        <row r="15">
          <cell r="B15" t="str">
            <v>11RG005</v>
          </cell>
          <cell r="C15">
            <v>63551</v>
          </cell>
          <cell r="D15">
            <v>14055596.609999999</v>
          </cell>
        </row>
        <row r="16">
          <cell r="B16" t="str">
            <v>11RG006</v>
          </cell>
          <cell r="C16">
            <v>264446</v>
          </cell>
          <cell r="D16">
            <v>51277006.439999998</v>
          </cell>
        </row>
        <row r="17">
          <cell r="B17" t="str">
            <v>11RG007</v>
          </cell>
          <cell r="C17">
            <v>20396</v>
          </cell>
          <cell r="D17">
            <v>3371664.29</v>
          </cell>
        </row>
        <row r="18">
          <cell r="B18" t="str">
            <v>11RG008</v>
          </cell>
          <cell r="C18">
            <v>12728</v>
          </cell>
          <cell r="D18">
            <v>2254668.9900000002</v>
          </cell>
        </row>
        <row r="19">
          <cell r="B19" t="str">
            <v>11RG009</v>
          </cell>
          <cell r="C19">
            <v>24161</v>
          </cell>
          <cell r="D19">
            <v>6155544.96</v>
          </cell>
        </row>
        <row r="20">
          <cell r="B20" t="str">
            <v>11RG010</v>
          </cell>
          <cell r="C20">
            <v>65729</v>
          </cell>
          <cell r="D20">
            <v>9592140.0999999996</v>
          </cell>
        </row>
        <row r="21">
          <cell r="B21" t="str">
            <v>11RG011</v>
          </cell>
          <cell r="C21">
            <v>1018</v>
          </cell>
          <cell r="D21">
            <v>124143.83</v>
          </cell>
        </row>
        <row r="22">
          <cell r="B22" t="str">
            <v>11RG012</v>
          </cell>
          <cell r="C22">
            <v>8673</v>
          </cell>
          <cell r="D22">
            <v>1127398.75</v>
          </cell>
        </row>
        <row r="23">
          <cell r="B23" t="str">
            <v>11RG013</v>
          </cell>
          <cell r="C23">
            <v>3737</v>
          </cell>
          <cell r="D23">
            <v>412692.7</v>
          </cell>
        </row>
        <row r="24">
          <cell r="B24" t="str">
            <v>11RG014</v>
          </cell>
          <cell r="C24">
            <v>45185</v>
          </cell>
          <cell r="D24">
            <v>5344399.93</v>
          </cell>
        </row>
        <row r="25">
          <cell r="B25" t="str">
            <v>11RG015</v>
          </cell>
          <cell r="C25">
            <v>2917</v>
          </cell>
          <cell r="D25">
            <v>301720.64</v>
          </cell>
        </row>
        <row r="26">
          <cell r="B26" t="str">
            <v>11RG016</v>
          </cell>
          <cell r="C26">
            <v>40587</v>
          </cell>
          <cell r="D26">
            <v>3765011.58</v>
          </cell>
        </row>
        <row r="27">
          <cell r="B27" t="str">
            <v>11RG017</v>
          </cell>
          <cell r="C27">
            <v>1421</v>
          </cell>
          <cell r="D27">
            <v>211367.9</v>
          </cell>
        </row>
        <row r="28">
          <cell r="B28" t="str">
            <v>11RG018</v>
          </cell>
          <cell r="C28">
            <v>32563</v>
          </cell>
          <cell r="D28">
            <v>2998324.78</v>
          </cell>
        </row>
        <row r="29">
          <cell r="B29" t="str">
            <v>11RG019</v>
          </cell>
          <cell r="C29">
            <v>681</v>
          </cell>
          <cell r="D29">
            <v>58276.06</v>
          </cell>
        </row>
        <row r="30">
          <cell r="B30" t="str">
            <v>11RG020</v>
          </cell>
          <cell r="C30">
            <v>42326</v>
          </cell>
          <cell r="D30">
            <v>3254691.57</v>
          </cell>
        </row>
        <row r="31">
          <cell r="B31" t="str">
            <v>11RG022</v>
          </cell>
          <cell r="C31">
            <v>269</v>
          </cell>
          <cell r="D31">
            <v>24474.5</v>
          </cell>
        </row>
        <row r="32">
          <cell r="B32" t="str">
            <v>11RG023</v>
          </cell>
          <cell r="C32">
            <v>59</v>
          </cell>
          <cell r="D32">
            <v>5444.2</v>
          </cell>
        </row>
        <row r="33">
          <cell r="B33" t="str">
            <v>11RG024</v>
          </cell>
          <cell r="C33">
            <v>2614</v>
          </cell>
          <cell r="D33">
            <v>224390.24</v>
          </cell>
        </row>
        <row r="34">
          <cell r="B34" t="str">
            <v>11RG025</v>
          </cell>
          <cell r="C34">
            <v>2385</v>
          </cell>
          <cell r="D34">
            <v>501030.84</v>
          </cell>
        </row>
        <row r="35">
          <cell r="B35" t="str">
            <v>11RG026</v>
          </cell>
          <cell r="C35">
            <v>28454</v>
          </cell>
          <cell r="D35">
            <v>2957056.53</v>
          </cell>
        </row>
        <row r="36">
          <cell r="B36" t="str">
            <v>11RG027</v>
          </cell>
          <cell r="C36">
            <v>3385</v>
          </cell>
          <cell r="D36">
            <v>379249.37</v>
          </cell>
        </row>
        <row r="37">
          <cell r="B37" t="str">
            <v>11RG028</v>
          </cell>
          <cell r="C37">
            <v>78501</v>
          </cell>
          <cell r="D37">
            <v>7418563.9199999999</v>
          </cell>
        </row>
        <row r="38">
          <cell r="B38" t="str">
            <v>11RG029</v>
          </cell>
          <cell r="C38">
            <v>234</v>
          </cell>
          <cell r="D38">
            <v>16952.47</v>
          </cell>
        </row>
        <row r="39">
          <cell r="B39" t="str">
            <v>11RG030</v>
          </cell>
          <cell r="C39">
            <v>8051</v>
          </cell>
          <cell r="D39">
            <v>674504.18</v>
          </cell>
        </row>
        <row r="40">
          <cell r="B40" t="str">
            <v>11RG031</v>
          </cell>
          <cell r="C40">
            <v>272</v>
          </cell>
          <cell r="D40">
            <v>20038.060000000001</v>
          </cell>
        </row>
        <row r="41">
          <cell r="B41" t="str">
            <v>11RG032</v>
          </cell>
          <cell r="C41">
            <v>9275</v>
          </cell>
          <cell r="D41">
            <v>764471.47</v>
          </cell>
        </row>
        <row r="42">
          <cell r="B42" t="str">
            <v>11RG033</v>
          </cell>
          <cell r="C42">
            <v>1230</v>
          </cell>
          <cell r="D42">
            <v>106899.93</v>
          </cell>
        </row>
        <row r="43">
          <cell r="B43" t="str">
            <v>11RG034</v>
          </cell>
          <cell r="C43">
            <v>36439</v>
          </cell>
          <cell r="D43">
            <v>2663151.02</v>
          </cell>
        </row>
        <row r="44">
          <cell r="B44" t="str">
            <v>11RG036</v>
          </cell>
          <cell r="C44">
            <v>67759</v>
          </cell>
          <cell r="D44">
            <v>4504024.37</v>
          </cell>
        </row>
        <row r="45">
          <cell r="B45" t="str">
            <v>124N0502</v>
          </cell>
          <cell r="C45">
            <v>56</v>
          </cell>
          <cell r="D45">
            <v>4321.5200000000004</v>
          </cell>
        </row>
        <row r="46">
          <cell r="B46" t="str">
            <v>14N0500</v>
          </cell>
          <cell r="C46">
            <v>4628</v>
          </cell>
          <cell r="D46">
            <v>595253.36</v>
          </cell>
        </row>
        <row r="47">
          <cell r="B47" t="str">
            <v>1610CFCG1108</v>
          </cell>
          <cell r="C47">
            <v>234124.25</v>
          </cell>
          <cell r="D47">
            <v>3880163.84</v>
          </cell>
        </row>
        <row r="48">
          <cell r="B48" t="str">
            <v>1610CFVG1109</v>
          </cell>
          <cell r="C48">
            <v>2532627.4300000002</v>
          </cell>
          <cell r="D48">
            <v>2532627.4300000002</v>
          </cell>
        </row>
        <row r="49">
          <cell r="B49" t="str">
            <v>1611AG0128</v>
          </cell>
          <cell r="C49">
            <v>72.45</v>
          </cell>
          <cell r="D49">
            <v>18727.54</v>
          </cell>
        </row>
        <row r="50">
          <cell r="B50" t="str">
            <v>1611AVG0196</v>
          </cell>
          <cell r="C50">
            <v>5033.45</v>
          </cell>
          <cell r="D50">
            <v>5033.45</v>
          </cell>
        </row>
        <row r="51">
          <cell r="B51" t="str">
            <v>1611G0100</v>
          </cell>
          <cell r="C51">
            <v>508.67</v>
          </cell>
          <cell r="D51">
            <v>132840.79</v>
          </cell>
        </row>
        <row r="52">
          <cell r="B52" t="str">
            <v>1611PVG0197</v>
          </cell>
          <cell r="C52">
            <v>224265.8</v>
          </cell>
          <cell r="D52">
            <v>224265.8</v>
          </cell>
        </row>
        <row r="53">
          <cell r="B53" t="str">
            <v>1612G0200</v>
          </cell>
          <cell r="C53">
            <v>3858.47</v>
          </cell>
          <cell r="D53">
            <v>223678.64</v>
          </cell>
        </row>
        <row r="54">
          <cell r="B54" t="str">
            <v>1613AG0302</v>
          </cell>
          <cell r="C54">
            <v>1130.5</v>
          </cell>
          <cell r="D54">
            <v>35554.269999999997</v>
          </cell>
        </row>
        <row r="55">
          <cell r="B55" t="str">
            <v>1613BG0303</v>
          </cell>
          <cell r="C55">
            <v>1266.25</v>
          </cell>
          <cell r="D55">
            <v>60134.77</v>
          </cell>
        </row>
        <row r="56">
          <cell r="B56" t="str">
            <v>1617EG0744</v>
          </cell>
          <cell r="C56">
            <v>1013</v>
          </cell>
          <cell r="D56">
            <v>15196.62</v>
          </cell>
        </row>
        <row r="57">
          <cell r="B57" t="str">
            <v>1619EG0937</v>
          </cell>
          <cell r="C57">
            <v>926</v>
          </cell>
          <cell r="D57">
            <v>133019.9</v>
          </cell>
        </row>
        <row r="58">
          <cell r="B58" t="str">
            <v>1619FG0938</v>
          </cell>
          <cell r="C58">
            <v>5612</v>
          </cell>
          <cell r="D58">
            <v>695270.68</v>
          </cell>
        </row>
        <row r="59">
          <cell r="B59" t="str">
            <v>1619G0900</v>
          </cell>
          <cell r="C59">
            <v>7509</v>
          </cell>
          <cell r="D59">
            <v>1078667.8500000001</v>
          </cell>
        </row>
        <row r="60">
          <cell r="B60" t="str">
            <v>1623S0312</v>
          </cell>
          <cell r="C60">
            <v>20352.5</v>
          </cell>
          <cell r="D60">
            <v>507184.3</v>
          </cell>
        </row>
        <row r="61">
          <cell r="B61" t="str">
            <v>1623S0313</v>
          </cell>
          <cell r="C61">
            <v>1035.25</v>
          </cell>
          <cell r="D61">
            <v>25798.43</v>
          </cell>
        </row>
        <row r="62">
          <cell r="B62" t="str">
            <v>1640AG0207</v>
          </cell>
          <cell r="C62">
            <v>6.25</v>
          </cell>
          <cell r="D62">
            <v>252.69</v>
          </cell>
        </row>
        <row r="63">
          <cell r="B63" t="str">
            <v>1641BG0623</v>
          </cell>
          <cell r="C63">
            <v>20</v>
          </cell>
          <cell r="D63">
            <v>20</v>
          </cell>
        </row>
        <row r="64">
          <cell r="B64" t="str">
            <v>1641BG0636</v>
          </cell>
          <cell r="C64">
            <v>428.76</v>
          </cell>
          <cell r="D64">
            <v>428.76</v>
          </cell>
        </row>
        <row r="65">
          <cell r="B65" t="str">
            <v>1641EG0637</v>
          </cell>
          <cell r="C65">
            <v>3489.24</v>
          </cell>
          <cell r="D65">
            <v>3489.24</v>
          </cell>
        </row>
        <row r="66">
          <cell r="B66" t="str">
            <v>1641EG0638</v>
          </cell>
          <cell r="C66">
            <v>784.84</v>
          </cell>
          <cell r="D66">
            <v>784.84</v>
          </cell>
        </row>
        <row r="67">
          <cell r="B67" t="str">
            <v>1641EG0639</v>
          </cell>
          <cell r="C67">
            <v>423.08</v>
          </cell>
          <cell r="D67">
            <v>423.08</v>
          </cell>
        </row>
        <row r="68">
          <cell r="B68" t="str">
            <v>1641EG0640</v>
          </cell>
          <cell r="C68">
            <v>435.85</v>
          </cell>
          <cell r="D68">
            <v>435.85</v>
          </cell>
        </row>
        <row r="69">
          <cell r="B69" t="str">
            <v>1641EG0642</v>
          </cell>
          <cell r="C69">
            <v>835.05</v>
          </cell>
          <cell r="D69">
            <v>835.05</v>
          </cell>
        </row>
        <row r="70">
          <cell r="B70" t="str">
            <v>1641G0515</v>
          </cell>
          <cell r="C70">
            <v>916.46</v>
          </cell>
          <cell r="D70">
            <v>916.46</v>
          </cell>
        </row>
        <row r="71">
          <cell r="B71" t="str">
            <v>1641G0516</v>
          </cell>
          <cell r="C71">
            <v>0</v>
          </cell>
          <cell r="D71">
            <v>0</v>
          </cell>
        </row>
        <row r="72">
          <cell r="B72" t="str">
            <v>1641G0517</v>
          </cell>
          <cell r="C72">
            <v>200.91</v>
          </cell>
          <cell r="D72">
            <v>200.91</v>
          </cell>
        </row>
        <row r="73">
          <cell r="B73" t="str">
            <v>1641G0518</v>
          </cell>
          <cell r="C73">
            <v>211.32</v>
          </cell>
          <cell r="D73">
            <v>211.32</v>
          </cell>
        </row>
        <row r="74">
          <cell r="B74" t="str">
            <v>1643AH2019</v>
          </cell>
          <cell r="C74">
            <v>32</v>
          </cell>
          <cell r="D74">
            <v>2741.45</v>
          </cell>
        </row>
        <row r="75">
          <cell r="B75" t="str">
            <v>1645AG0242</v>
          </cell>
          <cell r="C75">
            <v>10188.25</v>
          </cell>
          <cell r="D75">
            <v>256642.98</v>
          </cell>
        </row>
        <row r="76">
          <cell r="B76" t="str">
            <v>1645AVG0245</v>
          </cell>
          <cell r="C76">
            <v>333699.3</v>
          </cell>
          <cell r="D76">
            <v>333699.3</v>
          </cell>
        </row>
        <row r="77">
          <cell r="B77" t="str">
            <v>1645BVG0246</v>
          </cell>
          <cell r="C77">
            <v>103942.08</v>
          </cell>
          <cell r="D77">
            <v>103942.08</v>
          </cell>
        </row>
        <row r="78">
          <cell r="B78" t="str">
            <v>1645CVG0247</v>
          </cell>
          <cell r="C78">
            <v>178889.35</v>
          </cell>
          <cell r="D78">
            <v>178889.35</v>
          </cell>
        </row>
        <row r="79">
          <cell r="B79" t="str">
            <v>1645G0232</v>
          </cell>
          <cell r="C79">
            <v>287328.75</v>
          </cell>
          <cell r="D79">
            <v>7079480.8099999996</v>
          </cell>
        </row>
        <row r="80">
          <cell r="B80" t="str">
            <v>1645VG0240</v>
          </cell>
          <cell r="C80">
            <v>1598704.8</v>
          </cell>
          <cell r="D80">
            <v>1598704.8</v>
          </cell>
        </row>
        <row r="81">
          <cell r="B81" t="str">
            <v>1648G0252</v>
          </cell>
          <cell r="C81">
            <v>4.5</v>
          </cell>
          <cell r="D81">
            <v>74.03</v>
          </cell>
        </row>
        <row r="82">
          <cell r="B82" t="str">
            <v>1648VG0253</v>
          </cell>
          <cell r="C82">
            <v>673</v>
          </cell>
          <cell r="D82">
            <v>673</v>
          </cell>
        </row>
        <row r="83">
          <cell r="B83" t="str">
            <v>1663CFVG1118</v>
          </cell>
          <cell r="C83">
            <v>17</v>
          </cell>
          <cell r="D83">
            <v>3908.81</v>
          </cell>
        </row>
        <row r="84">
          <cell r="B84" t="str">
            <v>1663VG0228</v>
          </cell>
          <cell r="C84">
            <v>1320</v>
          </cell>
          <cell r="D84">
            <v>303507.59999999998</v>
          </cell>
        </row>
        <row r="85">
          <cell r="B85" t="str">
            <v>167G0400</v>
          </cell>
          <cell r="C85">
            <v>66.5</v>
          </cell>
          <cell r="D85">
            <v>5309.36</v>
          </cell>
        </row>
        <row r="86">
          <cell r="B86" t="str">
            <v>168G0401</v>
          </cell>
          <cell r="C86">
            <v>77</v>
          </cell>
          <cell r="D86">
            <v>6525.75</v>
          </cell>
        </row>
        <row r="87">
          <cell r="B87" t="str">
            <v>169G0402</v>
          </cell>
          <cell r="C87">
            <v>44</v>
          </cell>
          <cell r="D87">
            <v>3674</v>
          </cell>
        </row>
        <row r="88">
          <cell r="B88" t="str">
            <v>16N0700</v>
          </cell>
          <cell r="C88">
            <v>294</v>
          </cell>
          <cell r="D88">
            <v>56558.5</v>
          </cell>
        </row>
        <row r="89">
          <cell r="B89" t="str">
            <v>16N0701</v>
          </cell>
          <cell r="C89">
            <v>201</v>
          </cell>
          <cell r="D89">
            <v>4737.53</v>
          </cell>
        </row>
        <row r="90">
          <cell r="B90" t="str">
            <v>16N0702</v>
          </cell>
          <cell r="C90">
            <v>42</v>
          </cell>
          <cell r="D90">
            <v>1058.3399999999999</v>
          </cell>
        </row>
        <row r="91">
          <cell r="B91" t="str">
            <v>16N0703</v>
          </cell>
          <cell r="C91">
            <v>62</v>
          </cell>
          <cell r="D91">
            <v>2790</v>
          </cell>
        </row>
        <row r="92">
          <cell r="B92" t="str">
            <v>16N0704</v>
          </cell>
          <cell r="C92">
            <v>4</v>
          </cell>
          <cell r="D92">
            <v>180</v>
          </cell>
        </row>
        <row r="93">
          <cell r="B93" t="str">
            <v>16N0705</v>
          </cell>
          <cell r="C93">
            <v>1</v>
          </cell>
          <cell r="D93">
            <v>58</v>
          </cell>
        </row>
        <row r="94">
          <cell r="B94" t="str">
            <v>16N0707</v>
          </cell>
          <cell r="C94">
            <v>296</v>
          </cell>
          <cell r="D94">
            <v>2278.44</v>
          </cell>
        </row>
        <row r="95">
          <cell r="B95" t="str">
            <v>16N0708</v>
          </cell>
          <cell r="C95">
            <v>20</v>
          </cell>
          <cell r="D95">
            <v>3740</v>
          </cell>
        </row>
        <row r="96">
          <cell r="B96" t="str">
            <v>17AEG0526</v>
          </cell>
          <cell r="C96">
            <v>221</v>
          </cell>
          <cell r="D96">
            <v>8331.7199999999993</v>
          </cell>
        </row>
        <row r="97">
          <cell r="B97" t="str">
            <v>17AEG0527</v>
          </cell>
          <cell r="C97">
            <v>315.75</v>
          </cell>
          <cell r="D97">
            <v>30021.51</v>
          </cell>
        </row>
        <row r="98">
          <cell r="B98" t="str">
            <v>17AG0461</v>
          </cell>
          <cell r="C98">
            <v>154960.42000000001</v>
          </cell>
          <cell r="D98">
            <v>5842008.2300000004</v>
          </cell>
        </row>
        <row r="99">
          <cell r="B99" t="str">
            <v>17AG0473</v>
          </cell>
          <cell r="C99">
            <v>65786.61</v>
          </cell>
          <cell r="D99">
            <v>6254990.8799999999</v>
          </cell>
        </row>
        <row r="100">
          <cell r="B100" t="str">
            <v>17CG0481</v>
          </cell>
          <cell r="C100">
            <v>7</v>
          </cell>
          <cell r="D100">
            <v>665.56</v>
          </cell>
        </row>
        <row r="101">
          <cell r="B101" t="str">
            <v>17CG0973</v>
          </cell>
          <cell r="C101">
            <v>9</v>
          </cell>
          <cell r="D101">
            <v>339.3</v>
          </cell>
        </row>
        <row r="102">
          <cell r="B102" t="str">
            <v>17G0467</v>
          </cell>
          <cell r="C102">
            <v>5</v>
          </cell>
          <cell r="D102">
            <v>475.4</v>
          </cell>
        </row>
        <row r="103">
          <cell r="B103" t="str">
            <v>18AEG0528</v>
          </cell>
          <cell r="C103">
            <v>237.25</v>
          </cell>
          <cell r="D103">
            <v>8944.36</v>
          </cell>
        </row>
        <row r="104">
          <cell r="B104" t="str">
            <v>18AEG0529</v>
          </cell>
          <cell r="C104">
            <v>283.25</v>
          </cell>
          <cell r="D104">
            <v>26931.41</v>
          </cell>
        </row>
        <row r="105">
          <cell r="B105" t="str">
            <v>18AG0463</v>
          </cell>
          <cell r="C105">
            <v>152399.04000000001</v>
          </cell>
          <cell r="D105">
            <v>5745444.3499999996</v>
          </cell>
        </row>
        <row r="106">
          <cell r="B106" t="str">
            <v>18AG0475</v>
          </cell>
          <cell r="C106">
            <v>67647.62</v>
          </cell>
          <cell r="D106">
            <v>6431935.71</v>
          </cell>
        </row>
        <row r="107">
          <cell r="B107" t="str">
            <v>18CG0482</v>
          </cell>
          <cell r="C107">
            <v>16</v>
          </cell>
          <cell r="D107">
            <v>1521.28</v>
          </cell>
        </row>
        <row r="108">
          <cell r="B108" t="str">
            <v>18CG0974</v>
          </cell>
          <cell r="C108">
            <v>10</v>
          </cell>
          <cell r="D108">
            <v>377</v>
          </cell>
        </row>
        <row r="109">
          <cell r="B109" t="str">
            <v>18G0469</v>
          </cell>
          <cell r="C109">
            <v>21</v>
          </cell>
          <cell r="D109">
            <v>1996.68</v>
          </cell>
        </row>
        <row r="110">
          <cell r="B110" t="str">
            <v>19AEG0530</v>
          </cell>
          <cell r="C110">
            <v>119</v>
          </cell>
          <cell r="D110">
            <v>4486.3100000000004</v>
          </cell>
        </row>
        <row r="111">
          <cell r="B111" t="str">
            <v>19AEG0531</v>
          </cell>
          <cell r="C111">
            <v>226.5</v>
          </cell>
          <cell r="D111">
            <v>22964.83</v>
          </cell>
        </row>
        <row r="112">
          <cell r="B112" t="str">
            <v>19AG0465</v>
          </cell>
          <cell r="C112">
            <v>116914.16</v>
          </cell>
          <cell r="D112">
            <v>4407663.9800000004</v>
          </cell>
        </row>
        <row r="113">
          <cell r="B113" t="str">
            <v>19AG0477</v>
          </cell>
          <cell r="C113">
            <v>37038.410000000003</v>
          </cell>
          <cell r="D113">
            <v>3755329.77</v>
          </cell>
        </row>
        <row r="114">
          <cell r="B114" t="str">
            <v>19AG0478</v>
          </cell>
          <cell r="C114">
            <v>79.25</v>
          </cell>
          <cell r="D114">
            <v>8035.16</v>
          </cell>
        </row>
        <row r="115">
          <cell r="B115" t="str">
            <v>19G0471</v>
          </cell>
          <cell r="C115">
            <v>6</v>
          </cell>
          <cell r="D115">
            <v>608.34</v>
          </cell>
        </row>
        <row r="116">
          <cell r="B116" t="str">
            <v>210BS0107</v>
          </cell>
          <cell r="C116">
            <v>4952394.62</v>
          </cell>
          <cell r="D116">
            <v>4974282.05</v>
          </cell>
        </row>
        <row r="117">
          <cell r="B117" t="str">
            <v>210CFCG1108</v>
          </cell>
          <cell r="C117">
            <v>8801962.0999999996</v>
          </cell>
          <cell r="D117">
            <v>136465738.46000001</v>
          </cell>
        </row>
        <row r="118">
          <cell r="B118" t="str">
            <v>210CFCG1119</v>
          </cell>
          <cell r="C118">
            <v>6526.85</v>
          </cell>
          <cell r="D118">
            <v>101450.2</v>
          </cell>
        </row>
        <row r="119">
          <cell r="B119" t="str">
            <v>210CFVG1109</v>
          </cell>
          <cell r="C119">
            <v>87110156.930000007</v>
          </cell>
          <cell r="D119">
            <v>87110156.930000007</v>
          </cell>
        </row>
        <row r="120">
          <cell r="B120" t="str">
            <v>2110CFCM0354</v>
          </cell>
          <cell r="C120">
            <v>1668316.38</v>
          </cell>
          <cell r="D120">
            <v>31345023.690000001</v>
          </cell>
        </row>
        <row r="121">
          <cell r="B121" t="str">
            <v>2110CFCM0366</v>
          </cell>
          <cell r="C121">
            <v>21089.25</v>
          </cell>
          <cell r="D121">
            <v>393767.36</v>
          </cell>
        </row>
        <row r="122">
          <cell r="B122" t="str">
            <v>2110CFVM0355</v>
          </cell>
          <cell r="C122">
            <v>61516838.409999996</v>
          </cell>
          <cell r="D122">
            <v>61516838.409999996</v>
          </cell>
        </row>
        <row r="123">
          <cell r="B123" t="str">
            <v>2110CFVM0367</v>
          </cell>
          <cell r="C123">
            <v>750317.56</v>
          </cell>
          <cell r="D123">
            <v>750317.56</v>
          </cell>
        </row>
        <row r="124">
          <cell r="B124" t="str">
            <v>2111XM0143</v>
          </cell>
          <cell r="C124">
            <v>92440.99</v>
          </cell>
          <cell r="D124">
            <v>1794840.7</v>
          </cell>
        </row>
        <row r="125">
          <cell r="B125" t="str">
            <v>2111XM0144</v>
          </cell>
          <cell r="C125">
            <v>12.75</v>
          </cell>
          <cell r="D125">
            <v>256.79000000000002</v>
          </cell>
        </row>
        <row r="126">
          <cell r="B126" t="str">
            <v>2111XM0850</v>
          </cell>
          <cell r="C126">
            <v>56.75</v>
          </cell>
          <cell r="D126">
            <v>1142.95</v>
          </cell>
        </row>
        <row r="127">
          <cell r="B127" t="str">
            <v>2111XM0855</v>
          </cell>
          <cell r="C127">
            <v>1007.75</v>
          </cell>
          <cell r="D127">
            <v>19883.73</v>
          </cell>
        </row>
        <row r="128">
          <cell r="B128" t="str">
            <v>2111XM0860</v>
          </cell>
          <cell r="C128">
            <v>3301.25</v>
          </cell>
          <cell r="D128">
            <v>64418.94</v>
          </cell>
        </row>
        <row r="129">
          <cell r="B129" t="str">
            <v>2111XM0865</v>
          </cell>
          <cell r="C129">
            <v>13075.5</v>
          </cell>
          <cell r="D129">
            <v>258407.19</v>
          </cell>
        </row>
        <row r="130">
          <cell r="B130" t="str">
            <v>2111XM0867</v>
          </cell>
          <cell r="C130">
            <v>296.75</v>
          </cell>
          <cell r="D130">
            <v>5753.73</v>
          </cell>
        </row>
        <row r="131">
          <cell r="B131" t="str">
            <v>2111XM0869</v>
          </cell>
          <cell r="C131">
            <v>889.75</v>
          </cell>
          <cell r="D131">
            <v>17549.64</v>
          </cell>
        </row>
        <row r="132">
          <cell r="B132" t="str">
            <v>2111XVM0145</v>
          </cell>
          <cell r="C132">
            <v>2904386.91</v>
          </cell>
          <cell r="D132">
            <v>2904386.91</v>
          </cell>
        </row>
        <row r="133">
          <cell r="B133" t="str">
            <v>2111XVM0146</v>
          </cell>
          <cell r="C133">
            <v>15184.8</v>
          </cell>
          <cell r="D133">
            <v>15184.8</v>
          </cell>
        </row>
        <row r="134">
          <cell r="B134" t="str">
            <v>2111XVM0873</v>
          </cell>
          <cell r="C134">
            <v>4470.5200000000004</v>
          </cell>
          <cell r="D134">
            <v>4470.5200000000004</v>
          </cell>
        </row>
        <row r="135">
          <cell r="B135" t="str">
            <v>2111XVM0877</v>
          </cell>
          <cell r="C135">
            <v>47504.01</v>
          </cell>
          <cell r="D135">
            <v>47504.01</v>
          </cell>
        </row>
        <row r="136">
          <cell r="B136" t="str">
            <v>2111XVM1091</v>
          </cell>
          <cell r="C136">
            <v>16810.830000000002</v>
          </cell>
          <cell r="D136">
            <v>16810.830000000002</v>
          </cell>
        </row>
        <row r="137">
          <cell r="B137" t="str">
            <v>2111XVM1092</v>
          </cell>
          <cell r="C137">
            <v>1073.4000000000001</v>
          </cell>
          <cell r="D137">
            <v>1073.4000000000001</v>
          </cell>
        </row>
        <row r="138">
          <cell r="B138" t="str">
            <v>2113AM0298</v>
          </cell>
          <cell r="C138">
            <v>125268.5</v>
          </cell>
          <cell r="D138">
            <v>3719391.61</v>
          </cell>
        </row>
        <row r="139">
          <cell r="B139" t="str">
            <v>2113AM0302</v>
          </cell>
          <cell r="C139">
            <v>469.5</v>
          </cell>
          <cell r="D139">
            <v>13939.76</v>
          </cell>
        </row>
        <row r="140">
          <cell r="B140" t="str">
            <v>2113AVM0350</v>
          </cell>
          <cell r="C140">
            <v>128197.58</v>
          </cell>
          <cell r="D140">
            <v>128197.58</v>
          </cell>
        </row>
        <row r="141">
          <cell r="B141" t="str">
            <v>2113BM0299</v>
          </cell>
          <cell r="C141">
            <v>318495</v>
          </cell>
          <cell r="D141">
            <v>13820418.949999999</v>
          </cell>
        </row>
        <row r="142">
          <cell r="B142" t="str">
            <v>2113BM0303</v>
          </cell>
          <cell r="C142">
            <v>1713</v>
          </cell>
          <cell r="D142">
            <v>74332.55</v>
          </cell>
        </row>
        <row r="143">
          <cell r="B143" t="str">
            <v>2113BVM0351</v>
          </cell>
          <cell r="C143">
            <v>109706.75</v>
          </cell>
          <cell r="D143">
            <v>109706.75</v>
          </cell>
        </row>
        <row r="144">
          <cell r="B144" t="str">
            <v>2113CM0301</v>
          </cell>
          <cell r="C144">
            <v>3740.25</v>
          </cell>
          <cell r="D144">
            <v>186639.1</v>
          </cell>
        </row>
        <row r="145">
          <cell r="B145" t="str">
            <v>2113CVM0353</v>
          </cell>
          <cell r="C145">
            <v>684.6</v>
          </cell>
          <cell r="D145">
            <v>684.6</v>
          </cell>
        </row>
        <row r="146">
          <cell r="B146" t="str">
            <v>2113DM0300</v>
          </cell>
          <cell r="C146">
            <v>31536.25</v>
          </cell>
          <cell r="D146">
            <v>1076648.23</v>
          </cell>
        </row>
        <row r="147">
          <cell r="B147" t="str">
            <v>2113DVM0352</v>
          </cell>
          <cell r="C147">
            <v>30182.58</v>
          </cell>
          <cell r="D147">
            <v>30182.58</v>
          </cell>
        </row>
        <row r="148">
          <cell r="B148" t="str">
            <v>2116AM0379</v>
          </cell>
          <cell r="C148">
            <v>686.92</v>
          </cell>
          <cell r="D148">
            <v>686.92</v>
          </cell>
        </row>
        <row r="149">
          <cell r="B149" t="str">
            <v>2116BM0381</v>
          </cell>
          <cell r="C149">
            <v>80.040000000000006</v>
          </cell>
          <cell r="D149">
            <v>80.040000000000006</v>
          </cell>
        </row>
        <row r="150">
          <cell r="B150" t="str">
            <v>2118AM0122</v>
          </cell>
          <cell r="C150">
            <v>1545838.44</v>
          </cell>
          <cell r="D150">
            <v>112166037.20999999</v>
          </cell>
        </row>
        <row r="151">
          <cell r="B151" t="str">
            <v>2118AM0123</v>
          </cell>
          <cell r="C151">
            <v>2660577.94</v>
          </cell>
          <cell r="D151">
            <v>202576404.38</v>
          </cell>
        </row>
        <row r="152">
          <cell r="B152" t="str">
            <v>2118AM0124</v>
          </cell>
          <cell r="C152">
            <v>492265.5</v>
          </cell>
          <cell r="D152">
            <v>58668202.289999999</v>
          </cell>
        </row>
        <row r="153">
          <cell r="B153" t="str">
            <v>2118AM0125</v>
          </cell>
          <cell r="C153">
            <v>1064448.69</v>
          </cell>
          <cell r="D153">
            <v>100132688.3</v>
          </cell>
        </row>
        <row r="154">
          <cell r="B154" t="str">
            <v>2118AM0126</v>
          </cell>
          <cell r="C154">
            <v>6262</v>
          </cell>
          <cell r="D154">
            <v>925774.08</v>
          </cell>
        </row>
        <row r="155">
          <cell r="B155" t="str">
            <v>211AG0128</v>
          </cell>
          <cell r="C155">
            <v>989.42</v>
          </cell>
          <cell r="D155">
            <v>233671.5</v>
          </cell>
        </row>
        <row r="156">
          <cell r="B156" t="str">
            <v>211AVG0196</v>
          </cell>
          <cell r="C156">
            <v>399608.57</v>
          </cell>
          <cell r="D156">
            <v>399608.57</v>
          </cell>
        </row>
        <row r="157">
          <cell r="B157" t="str">
            <v>211G0100</v>
          </cell>
          <cell r="C157">
            <v>22044.16</v>
          </cell>
          <cell r="D157">
            <v>5323900.53</v>
          </cell>
        </row>
        <row r="158">
          <cell r="B158" t="str">
            <v>211PVG0197</v>
          </cell>
          <cell r="C158">
            <v>5354163.8600000003</v>
          </cell>
          <cell r="D158">
            <v>5354163.8600000003</v>
          </cell>
        </row>
        <row r="159">
          <cell r="B159" t="str">
            <v>2120CFCM0358</v>
          </cell>
          <cell r="C159">
            <v>4368.83</v>
          </cell>
          <cell r="D159">
            <v>4368.83</v>
          </cell>
        </row>
        <row r="160">
          <cell r="B160" t="str">
            <v>2120CFCM0370</v>
          </cell>
          <cell r="C160">
            <v>261</v>
          </cell>
          <cell r="D160">
            <v>261</v>
          </cell>
        </row>
        <row r="161">
          <cell r="B161" t="str">
            <v>2123M0977</v>
          </cell>
          <cell r="C161">
            <v>1427421.5</v>
          </cell>
          <cell r="D161">
            <v>9335574.5600000005</v>
          </cell>
        </row>
        <row r="162">
          <cell r="B162" t="str">
            <v>2123M0978</v>
          </cell>
          <cell r="C162">
            <v>163325.5</v>
          </cell>
          <cell r="D162">
            <v>1543476.67</v>
          </cell>
        </row>
        <row r="163">
          <cell r="B163" t="str">
            <v>2123M0979</v>
          </cell>
          <cell r="C163">
            <v>134</v>
          </cell>
          <cell r="D163">
            <v>2067.65</v>
          </cell>
        </row>
        <row r="164">
          <cell r="B164" t="str">
            <v>2123M0980</v>
          </cell>
          <cell r="C164">
            <v>23617.5</v>
          </cell>
          <cell r="D164">
            <v>154460.01</v>
          </cell>
        </row>
        <row r="165">
          <cell r="B165" t="str">
            <v>2123M0981</v>
          </cell>
          <cell r="C165">
            <v>3512457.75</v>
          </cell>
          <cell r="D165">
            <v>26273183.969999999</v>
          </cell>
        </row>
        <row r="166">
          <cell r="B166" t="str">
            <v>2123M0982</v>
          </cell>
          <cell r="C166">
            <v>375649.25</v>
          </cell>
          <cell r="D166">
            <v>3549978.69</v>
          </cell>
        </row>
        <row r="167">
          <cell r="B167" t="str">
            <v>2123M0983</v>
          </cell>
          <cell r="C167">
            <v>543.75</v>
          </cell>
          <cell r="D167">
            <v>8390.31</v>
          </cell>
        </row>
        <row r="168">
          <cell r="B168" t="str">
            <v>2123M0984</v>
          </cell>
          <cell r="C168">
            <v>64316.5</v>
          </cell>
          <cell r="D168">
            <v>481087.42</v>
          </cell>
        </row>
        <row r="169">
          <cell r="B169" t="str">
            <v>2123M0985</v>
          </cell>
          <cell r="C169">
            <v>582194.4</v>
          </cell>
          <cell r="D169">
            <v>5618201.7400000002</v>
          </cell>
        </row>
        <row r="170">
          <cell r="B170" t="str">
            <v>2123M0986</v>
          </cell>
          <cell r="C170">
            <v>51179.75</v>
          </cell>
          <cell r="D170">
            <v>789708.4</v>
          </cell>
        </row>
        <row r="171">
          <cell r="B171" t="str">
            <v>2123M0987</v>
          </cell>
          <cell r="C171">
            <v>2077.5</v>
          </cell>
          <cell r="D171">
            <v>48634.71</v>
          </cell>
        </row>
        <row r="172">
          <cell r="B172" t="str">
            <v>2123M0988</v>
          </cell>
          <cell r="C172">
            <v>21739.25</v>
          </cell>
          <cell r="D172">
            <v>209783.99</v>
          </cell>
        </row>
        <row r="173">
          <cell r="B173" t="str">
            <v>2123M0989</v>
          </cell>
          <cell r="C173">
            <v>1597941.86</v>
          </cell>
          <cell r="D173">
            <v>15420224.130000001</v>
          </cell>
        </row>
        <row r="174">
          <cell r="B174" t="str">
            <v>2123M0990</v>
          </cell>
          <cell r="C174">
            <v>133245.5</v>
          </cell>
          <cell r="D174">
            <v>2055999.96</v>
          </cell>
        </row>
        <row r="175">
          <cell r="B175" t="str">
            <v>2123M0991</v>
          </cell>
          <cell r="C175">
            <v>2437.75</v>
          </cell>
          <cell r="D175">
            <v>57068.3</v>
          </cell>
        </row>
        <row r="176">
          <cell r="B176" t="str">
            <v>2123M0992</v>
          </cell>
          <cell r="C176">
            <v>45499.25</v>
          </cell>
          <cell r="D176">
            <v>439069.79</v>
          </cell>
        </row>
        <row r="177">
          <cell r="B177" t="str">
            <v>2123M0993</v>
          </cell>
          <cell r="C177">
            <v>61936</v>
          </cell>
          <cell r="D177">
            <v>1543445.12</v>
          </cell>
        </row>
        <row r="178">
          <cell r="B178" t="str">
            <v>2123M0994</v>
          </cell>
          <cell r="C178">
            <v>8737.25</v>
          </cell>
          <cell r="D178">
            <v>217732.27</v>
          </cell>
        </row>
        <row r="179">
          <cell r="B179" t="str">
            <v>2123M0996</v>
          </cell>
          <cell r="C179">
            <v>901.5</v>
          </cell>
          <cell r="D179">
            <v>22465.38</v>
          </cell>
        </row>
        <row r="180">
          <cell r="B180" t="str">
            <v>2123M1095</v>
          </cell>
          <cell r="C180">
            <v>160278.75</v>
          </cell>
          <cell r="D180">
            <v>1048223.8</v>
          </cell>
        </row>
        <row r="181">
          <cell r="B181" t="str">
            <v>2123M1096</v>
          </cell>
          <cell r="C181">
            <v>463399.75</v>
          </cell>
          <cell r="D181">
            <v>3466230.13</v>
          </cell>
        </row>
        <row r="182">
          <cell r="B182" t="str">
            <v>2123M1097</v>
          </cell>
          <cell r="C182">
            <v>233853.5</v>
          </cell>
          <cell r="D182">
            <v>2256687.9900000002</v>
          </cell>
        </row>
        <row r="183">
          <cell r="B183" t="str">
            <v>2123M1098</v>
          </cell>
          <cell r="C183">
            <v>333346.5</v>
          </cell>
          <cell r="D183">
            <v>3216796.12</v>
          </cell>
        </row>
        <row r="184">
          <cell r="B184" t="str">
            <v>2123M1099</v>
          </cell>
          <cell r="C184">
            <v>16656.75</v>
          </cell>
          <cell r="D184">
            <v>415086.21</v>
          </cell>
        </row>
        <row r="185">
          <cell r="B185" t="str">
            <v>2123M1119</v>
          </cell>
          <cell r="C185">
            <v>158</v>
          </cell>
          <cell r="D185">
            <v>3698.81</v>
          </cell>
        </row>
        <row r="186">
          <cell r="B186" t="str">
            <v>212G0201</v>
          </cell>
          <cell r="C186">
            <v>71577.27</v>
          </cell>
          <cell r="D186">
            <v>12874603.609999999</v>
          </cell>
        </row>
        <row r="187">
          <cell r="B187" t="str">
            <v>2134M0120</v>
          </cell>
          <cell r="C187">
            <v>3882.25</v>
          </cell>
          <cell r="D187">
            <v>214610.78</v>
          </cell>
        </row>
        <row r="188">
          <cell r="B188" t="str">
            <v>2134M0121</v>
          </cell>
          <cell r="C188">
            <v>13</v>
          </cell>
          <cell r="D188">
            <v>718.64</v>
          </cell>
        </row>
        <row r="189">
          <cell r="B189" t="str">
            <v>2135M0103</v>
          </cell>
          <cell r="C189">
            <v>12</v>
          </cell>
          <cell r="D189">
            <v>632.76</v>
          </cell>
        </row>
        <row r="190">
          <cell r="B190" t="str">
            <v>2136M0173</v>
          </cell>
          <cell r="C190">
            <v>189</v>
          </cell>
          <cell r="D190">
            <v>11251.35</v>
          </cell>
        </row>
        <row r="191">
          <cell r="B191" t="str">
            <v>2137M0154</v>
          </cell>
          <cell r="C191">
            <v>38554.25</v>
          </cell>
          <cell r="D191">
            <v>1298285.49</v>
          </cell>
        </row>
        <row r="192">
          <cell r="B192" t="str">
            <v>2137M0155</v>
          </cell>
          <cell r="C192">
            <v>1159.25</v>
          </cell>
          <cell r="D192">
            <v>38382.800000000003</v>
          </cell>
        </row>
        <row r="193">
          <cell r="B193" t="str">
            <v>2137VM0349</v>
          </cell>
          <cell r="C193">
            <v>145205.20000000001</v>
          </cell>
          <cell r="D193">
            <v>145205.20000000001</v>
          </cell>
        </row>
        <row r="194">
          <cell r="B194" t="str">
            <v>213AG0302</v>
          </cell>
          <cell r="C194">
            <v>12459.72</v>
          </cell>
          <cell r="D194">
            <v>369930.28</v>
          </cell>
        </row>
        <row r="195">
          <cell r="B195" t="str">
            <v>213AVG0305</v>
          </cell>
          <cell r="C195">
            <v>741649.81</v>
          </cell>
          <cell r="D195">
            <v>741649.81</v>
          </cell>
        </row>
        <row r="196">
          <cell r="B196" t="str">
            <v>213BG0303</v>
          </cell>
          <cell r="C196">
            <v>15049.13</v>
          </cell>
          <cell r="D196">
            <v>652983.78</v>
          </cell>
        </row>
        <row r="197">
          <cell r="B197" t="str">
            <v>213BVG0304</v>
          </cell>
          <cell r="C197">
            <v>100266.98</v>
          </cell>
          <cell r="D197">
            <v>100266.98</v>
          </cell>
        </row>
        <row r="198">
          <cell r="B198" t="str">
            <v>213CT1002</v>
          </cell>
          <cell r="C198">
            <v>182</v>
          </cell>
          <cell r="D198">
            <v>9081.7999999999993</v>
          </cell>
        </row>
        <row r="199">
          <cell r="B199" t="str">
            <v>213CVG0306</v>
          </cell>
          <cell r="C199">
            <v>90</v>
          </cell>
          <cell r="D199">
            <v>90</v>
          </cell>
        </row>
        <row r="200">
          <cell r="B200" t="str">
            <v>213DT1003</v>
          </cell>
          <cell r="C200">
            <v>8160</v>
          </cell>
          <cell r="D200">
            <v>278582.40000000002</v>
          </cell>
        </row>
        <row r="201">
          <cell r="B201" t="str">
            <v>213DVG0307</v>
          </cell>
          <cell r="C201">
            <v>26131.47</v>
          </cell>
          <cell r="D201">
            <v>26131.47</v>
          </cell>
        </row>
        <row r="202">
          <cell r="B202" t="str">
            <v>213G0300</v>
          </cell>
          <cell r="C202">
            <v>0</v>
          </cell>
          <cell r="D202">
            <v>0</v>
          </cell>
        </row>
        <row r="203">
          <cell r="B203" t="str">
            <v>2141BAM0383</v>
          </cell>
          <cell r="C203">
            <v>0</v>
          </cell>
          <cell r="D203">
            <v>0</v>
          </cell>
        </row>
        <row r="204">
          <cell r="B204" t="str">
            <v>2141BAM0385</v>
          </cell>
          <cell r="C204">
            <v>0</v>
          </cell>
          <cell r="D204">
            <v>0</v>
          </cell>
        </row>
        <row r="205">
          <cell r="B205" t="str">
            <v>2141BAM0394</v>
          </cell>
          <cell r="C205">
            <v>0</v>
          </cell>
          <cell r="D205">
            <v>0</v>
          </cell>
        </row>
        <row r="206">
          <cell r="B206" t="str">
            <v>2141BM0430</v>
          </cell>
          <cell r="C206">
            <v>8383.2800000000007</v>
          </cell>
          <cell r="D206">
            <v>8383.2800000000007</v>
          </cell>
        </row>
        <row r="207">
          <cell r="B207" t="str">
            <v>2141BM0431</v>
          </cell>
          <cell r="C207">
            <v>1500.35</v>
          </cell>
          <cell r="D207">
            <v>1500.35</v>
          </cell>
        </row>
        <row r="208">
          <cell r="B208" t="str">
            <v>2141BM0432</v>
          </cell>
          <cell r="C208">
            <v>355.72</v>
          </cell>
          <cell r="D208">
            <v>355.72</v>
          </cell>
        </row>
        <row r="209">
          <cell r="B209" t="str">
            <v>2141BM0433</v>
          </cell>
          <cell r="C209">
            <v>1205.67</v>
          </cell>
          <cell r="D209">
            <v>1205.67</v>
          </cell>
        </row>
        <row r="210">
          <cell r="B210" t="str">
            <v>2141BM0434</v>
          </cell>
          <cell r="C210">
            <v>163.89</v>
          </cell>
          <cell r="D210">
            <v>163.89</v>
          </cell>
        </row>
        <row r="211">
          <cell r="B211" t="str">
            <v>2141BM0435</v>
          </cell>
          <cell r="C211">
            <v>423.69</v>
          </cell>
          <cell r="D211">
            <v>423.69</v>
          </cell>
        </row>
        <row r="212">
          <cell r="B212" t="str">
            <v>2141BM0436</v>
          </cell>
          <cell r="C212">
            <v>931.1</v>
          </cell>
          <cell r="D212">
            <v>931.1</v>
          </cell>
        </row>
        <row r="213">
          <cell r="B213" t="str">
            <v>2141BM0437</v>
          </cell>
          <cell r="C213">
            <v>2001.33</v>
          </cell>
          <cell r="D213">
            <v>2001.33</v>
          </cell>
        </row>
        <row r="214">
          <cell r="B214" t="str">
            <v>2141BM0438</v>
          </cell>
          <cell r="C214">
            <v>1243.8</v>
          </cell>
          <cell r="D214">
            <v>1243.8</v>
          </cell>
        </row>
        <row r="215">
          <cell r="B215" t="str">
            <v>2141BM0439</v>
          </cell>
          <cell r="C215">
            <v>786</v>
          </cell>
          <cell r="D215">
            <v>786</v>
          </cell>
        </row>
        <row r="216">
          <cell r="B216" t="str">
            <v>2141BM0440</v>
          </cell>
          <cell r="C216">
            <v>588.98</v>
          </cell>
          <cell r="D216">
            <v>588.98</v>
          </cell>
        </row>
        <row r="217">
          <cell r="B217" t="str">
            <v>2141BM0441</v>
          </cell>
          <cell r="C217">
            <v>1085.76</v>
          </cell>
          <cell r="D217">
            <v>1085.76</v>
          </cell>
        </row>
        <row r="218">
          <cell r="B218" t="str">
            <v>2141BM0442</v>
          </cell>
          <cell r="C218">
            <v>1253.47</v>
          </cell>
          <cell r="D218">
            <v>1253.47</v>
          </cell>
        </row>
        <row r="219">
          <cell r="B219" t="str">
            <v>2141BM0443</v>
          </cell>
          <cell r="C219">
            <v>25008.76</v>
          </cell>
          <cell r="D219">
            <v>25008.76</v>
          </cell>
        </row>
        <row r="220">
          <cell r="B220" t="str">
            <v>2141EM0315</v>
          </cell>
          <cell r="C220">
            <v>649883.42000000004</v>
          </cell>
          <cell r="D220">
            <v>649883.42000000004</v>
          </cell>
        </row>
        <row r="221">
          <cell r="B221" t="str">
            <v>2141EM0316</v>
          </cell>
          <cell r="C221">
            <v>87464.97</v>
          </cell>
          <cell r="D221">
            <v>87464.97</v>
          </cell>
        </row>
        <row r="222">
          <cell r="B222" t="str">
            <v>2141EM0317</v>
          </cell>
          <cell r="C222">
            <v>150428.95000000001</v>
          </cell>
          <cell r="D222">
            <v>150428.95000000001</v>
          </cell>
        </row>
        <row r="223">
          <cell r="B223" t="str">
            <v>2141EM0318</v>
          </cell>
          <cell r="C223">
            <v>1000.09</v>
          </cell>
          <cell r="D223">
            <v>1000.09</v>
          </cell>
        </row>
        <row r="224">
          <cell r="B224" t="str">
            <v>2141EM0319</v>
          </cell>
          <cell r="C224">
            <v>234.89</v>
          </cell>
          <cell r="D224">
            <v>234.89</v>
          </cell>
        </row>
        <row r="225">
          <cell r="B225" t="str">
            <v>2141EM0953</v>
          </cell>
          <cell r="C225">
            <v>42377.68</v>
          </cell>
          <cell r="D225">
            <v>42377.68</v>
          </cell>
        </row>
        <row r="226">
          <cell r="B226" t="str">
            <v>2141EM0954</v>
          </cell>
          <cell r="C226">
            <v>54607.9</v>
          </cell>
          <cell r="D226">
            <v>54607.9</v>
          </cell>
        </row>
        <row r="227">
          <cell r="B227" t="str">
            <v>2141EM0955</v>
          </cell>
          <cell r="C227">
            <v>486.44</v>
          </cell>
          <cell r="D227">
            <v>486.44</v>
          </cell>
        </row>
        <row r="228">
          <cell r="B228" t="str">
            <v>2141EM0962</v>
          </cell>
          <cell r="C228">
            <v>237.72</v>
          </cell>
          <cell r="D228">
            <v>237.72</v>
          </cell>
        </row>
        <row r="229">
          <cell r="B229" t="str">
            <v>2141M0248</v>
          </cell>
          <cell r="C229">
            <v>161684.44</v>
          </cell>
          <cell r="D229">
            <v>161684.44</v>
          </cell>
        </row>
        <row r="230">
          <cell r="B230" t="str">
            <v>2141M0249</v>
          </cell>
          <cell r="C230">
            <v>10873.25</v>
          </cell>
          <cell r="D230">
            <v>10873.25</v>
          </cell>
        </row>
        <row r="231">
          <cell r="B231" t="str">
            <v>2141M0250</v>
          </cell>
          <cell r="C231">
            <v>4071.78</v>
          </cell>
          <cell r="D231">
            <v>4071.78</v>
          </cell>
        </row>
        <row r="232">
          <cell r="B232" t="str">
            <v>2141M0251</v>
          </cell>
          <cell r="C232">
            <v>2831.93</v>
          </cell>
          <cell r="D232">
            <v>2831.93</v>
          </cell>
        </row>
        <row r="233">
          <cell r="B233" t="str">
            <v>2141M0252</v>
          </cell>
          <cell r="C233">
            <v>1563.79</v>
          </cell>
          <cell r="D233">
            <v>1563.79</v>
          </cell>
        </row>
        <row r="234">
          <cell r="B234" t="str">
            <v>2141M0253</v>
          </cell>
          <cell r="C234">
            <v>1722.29</v>
          </cell>
          <cell r="D234">
            <v>1722.29</v>
          </cell>
        </row>
        <row r="235">
          <cell r="B235" t="str">
            <v>2141M0254</v>
          </cell>
          <cell r="C235">
            <v>1024.01</v>
          </cell>
          <cell r="D235">
            <v>1024.01</v>
          </cell>
        </row>
        <row r="236">
          <cell r="B236" t="str">
            <v>2141M0255</v>
          </cell>
          <cell r="C236">
            <v>859.17</v>
          </cell>
          <cell r="D236">
            <v>859.17</v>
          </cell>
        </row>
        <row r="237">
          <cell r="B237" t="str">
            <v>2141M0256</v>
          </cell>
          <cell r="C237">
            <v>308.24</v>
          </cell>
          <cell r="D237">
            <v>308.24</v>
          </cell>
        </row>
        <row r="238">
          <cell r="B238" t="str">
            <v>2141M0257</v>
          </cell>
          <cell r="C238">
            <v>362.35</v>
          </cell>
          <cell r="D238">
            <v>362.35</v>
          </cell>
        </row>
        <row r="239">
          <cell r="B239" t="str">
            <v>2141M0258</v>
          </cell>
          <cell r="C239">
            <v>2733.44</v>
          </cell>
          <cell r="D239">
            <v>2733.44</v>
          </cell>
        </row>
        <row r="240">
          <cell r="B240" t="str">
            <v>2141M0259</v>
          </cell>
          <cell r="C240">
            <v>682.01</v>
          </cell>
          <cell r="D240">
            <v>682.01</v>
          </cell>
        </row>
        <row r="241">
          <cell r="B241" t="str">
            <v>2143AM0133</v>
          </cell>
          <cell r="C241">
            <v>147969.5</v>
          </cell>
          <cell r="D241">
            <v>11768149.73</v>
          </cell>
        </row>
        <row r="242">
          <cell r="B242" t="str">
            <v>2143AM0134</v>
          </cell>
          <cell r="C242">
            <v>821.75</v>
          </cell>
          <cell r="D242">
            <v>65354.58</v>
          </cell>
        </row>
        <row r="243">
          <cell r="B243" t="str">
            <v>2146M0149</v>
          </cell>
          <cell r="C243">
            <v>210732.46</v>
          </cell>
          <cell r="D243">
            <v>30502338.75</v>
          </cell>
        </row>
        <row r="244">
          <cell r="B244" t="str">
            <v>2146M0150</v>
          </cell>
          <cell r="C244">
            <v>946685.25</v>
          </cell>
          <cell r="D244">
            <v>145268619.47</v>
          </cell>
        </row>
        <row r="245">
          <cell r="B245" t="str">
            <v>2146M0151</v>
          </cell>
          <cell r="C245">
            <v>220365</v>
          </cell>
          <cell r="D245">
            <v>41360002.75</v>
          </cell>
        </row>
        <row r="246">
          <cell r="B246" t="str">
            <v>2146M0152</v>
          </cell>
          <cell r="C246">
            <v>573793</v>
          </cell>
          <cell r="D246">
            <v>95442884.370000005</v>
          </cell>
        </row>
        <row r="247">
          <cell r="B247" t="str">
            <v>2146M0153</v>
          </cell>
          <cell r="C247">
            <v>35215</v>
          </cell>
          <cell r="D247">
            <v>9669518.6500000004</v>
          </cell>
        </row>
        <row r="248">
          <cell r="B248" t="str">
            <v>2147M0166</v>
          </cell>
          <cell r="C248">
            <v>333682.78999999998</v>
          </cell>
          <cell r="D248">
            <v>47850387.740000002</v>
          </cell>
        </row>
        <row r="249">
          <cell r="B249" t="str">
            <v>2147M0167</v>
          </cell>
          <cell r="C249">
            <v>525272.53</v>
          </cell>
          <cell r="D249">
            <v>79651566.670000002</v>
          </cell>
        </row>
        <row r="250">
          <cell r="B250" t="str">
            <v>2147M0168</v>
          </cell>
          <cell r="C250">
            <v>44400</v>
          </cell>
          <cell r="D250">
            <v>8189930.7999999998</v>
          </cell>
        </row>
        <row r="251">
          <cell r="B251" t="str">
            <v>2147M0169</v>
          </cell>
          <cell r="C251">
            <v>141167.26999999999</v>
          </cell>
          <cell r="D251">
            <v>23086794.289999999</v>
          </cell>
        </row>
        <row r="252">
          <cell r="B252" t="str">
            <v>2147M0170</v>
          </cell>
          <cell r="C252">
            <v>7137</v>
          </cell>
          <cell r="D252">
            <v>1932271.27</v>
          </cell>
        </row>
        <row r="253">
          <cell r="B253" t="str">
            <v>2148M0372</v>
          </cell>
          <cell r="C253">
            <v>101475.5</v>
          </cell>
          <cell r="D253">
            <v>1921428.78</v>
          </cell>
        </row>
        <row r="254">
          <cell r="B254" t="str">
            <v>2148M0374</v>
          </cell>
          <cell r="C254">
            <v>116</v>
          </cell>
          <cell r="D254">
            <v>2183.46</v>
          </cell>
        </row>
        <row r="255">
          <cell r="B255" t="str">
            <v>2148VM0373</v>
          </cell>
          <cell r="C255">
            <v>2663304.96</v>
          </cell>
          <cell r="D255">
            <v>2663304.96</v>
          </cell>
        </row>
        <row r="256">
          <cell r="B256" t="str">
            <v>2148VM0418</v>
          </cell>
          <cell r="C256">
            <v>15427.48</v>
          </cell>
          <cell r="D256">
            <v>15427.48</v>
          </cell>
        </row>
        <row r="257">
          <cell r="B257" t="str">
            <v>2153AM0377</v>
          </cell>
          <cell r="C257">
            <v>5757.23</v>
          </cell>
          <cell r="D257">
            <v>5757.23</v>
          </cell>
        </row>
        <row r="258">
          <cell r="B258" t="str">
            <v>2153AM0378</v>
          </cell>
          <cell r="C258">
            <v>158.28</v>
          </cell>
          <cell r="D258">
            <v>158.28</v>
          </cell>
        </row>
        <row r="259">
          <cell r="B259" t="str">
            <v>2154M0332</v>
          </cell>
          <cell r="C259">
            <v>25</v>
          </cell>
          <cell r="D259">
            <v>827.5</v>
          </cell>
        </row>
        <row r="260">
          <cell r="B260" t="str">
            <v>2154M0347</v>
          </cell>
          <cell r="C260">
            <v>43835.75</v>
          </cell>
          <cell r="D260">
            <v>1482860.9</v>
          </cell>
        </row>
        <row r="261">
          <cell r="B261" t="str">
            <v>2154VM0348</v>
          </cell>
          <cell r="C261">
            <v>22327.48</v>
          </cell>
          <cell r="D261">
            <v>22327.48</v>
          </cell>
        </row>
        <row r="262">
          <cell r="B262" t="str">
            <v>2161M0328</v>
          </cell>
          <cell r="C262">
            <v>85.5</v>
          </cell>
          <cell r="D262">
            <v>6799.95</v>
          </cell>
        </row>
        <row r="263">
          <cell r="B263" t="str">
            <v>2163CFVM0359</v>
          </cell>
          <cell r="C263">
            <v>1787</v>
          </cell>
          <cell r="D263">
            <v>375412.96</v>
          </cell>
        </row>
        <row r="264">
          <cell r="B264" t="str">
            <v>2163CFVM0371</v>
          </cell>
          <cell r="C264">
            <v>31</v>
          </cell>
          <cell r="D264">
            <v>6512.48</v>
          </cell>
        </row>
        <row r="265">
          <cell r="B265" t="str">
            <v>2163VM0111</v>
          </cell>
          <cell r="C265">
            <v>14473</v>
          </cell>
          <cell r="D265">
            <v>3040487.84</v>
          </cell>
        </row>
        <row r="266">
          <cell r="B266" t="str">
            <v>2163VM0112</v>
          </cell>
          <cell r="C266">
            <v>107</v>
          </cell>
          <cell r="D266">
            <v>22478.560000000001</v>
          </cell>
        </row>
        <row r="267">
          <cell r="B267" t="str">
            <v>217M0131</v>
          </cell>
          <cell r="C267">
            <v>25401.25</v>
          </cell>
          <cell r="D267">
            <v>1853045.74</v>
          </cell>
        </row>
        <row r="268">
          <cell r="B268" t="str">
            <v>217M0132</v>
          </cell>
          <cell r="C268">
            <v>423.25</v>
          </cell>
          <cell r="D268">
            <v>30876.19</v>
          </cell>
        </row>
        <row r="269">
          <cell r="B269" t="str">
            <v>218M0135</v>
          </cell>
          <cell r="C269">
            <v>38219.75</v>
          </cell>
          <cell r="D269">
            <v>2959377.72</v>
          </cell>
        </row>
        <row r="270">
          <cell r="B270" t="str">
            <v>218M0136</v>
          </cell>
          <cell r="C270">
            <v>742.75</v>
          </cell>
          <cell r="D270">
            <v>57511.39</v>
          </cell>
        </row>
        <row r="271">
          <cell r="B271" t="str">
            <v>219M0171</v>
          </cell>
          <cell r="C271">
            <v>65713.5</v>
          </cell>
          <cell r="D271">
            <v>5013337.13</v>
          </cell>
        </row>
        <row r="272">
          <cell r="B272" t="str">
            <v>219M0172</v>
          </cell>
          <cell r="C272">
            <v>207.25</v>
          </cell>
          <cell r="D272">
            <v>15811.16</v>
          </cell>
        </row>
        <row r="273">
          <cell r="B273" t="str">
            <v>220CFCG1112</v>
          </cell>
          <cell r="C273">
            <v>21</v>
          </cell>
          <cell r="D273">
            <v>622.20000000000005</v>
          </cell>
        </row>
        <row r="274">
          <cell r="B274" t="str">
            <v>220CFCG1113</v>
          </cell>
          <cell r="C274">
            <v>1</v>
          </cell>
          <cell r="D274">
            <v>22.5</v>
          </cell>
        </row>
        <row r="275">
          <cell r="B275" t="str">
            <v>220CFCG1114</v>
          </cell>
          <cell r="C275">
            <v>1023</v>
          </cell>
          <cell r="D275">
            <v>28954.07</v>
          </cell>
        </row>
        <row r="276">
          <cell r="B276" t="str">
            <v>2210CFCM0360</v>
          </cell>
          <cell r="C276">
            <v>1303526.8400000001</v>
          </cell>
          <cell r="D276">
            <v>23638565.149999999</v>
          </cell>
        </row>
        <row r="277">
          <cell r="B277" t="str">
            <v>2210CFVM0361</v>
          </cell>
          <cell r="C277">
            <v>21436040.300000001</v>
          </cell>
          <cell r="D277">
            <v>21436040.300000001</v>
          </cell>
        </row>
        <row r="278">
          <cell r="B278" t="str">
            <v>2211XM0240</v>
          </cell>
          <cell r="C278">
            <v>426886.62</v>
          </cell>
          <cell r="D278">
            <v>8276678.1299999999</v>
          </cell>
        </row>
        <row r="279">
          <cell r="B279" t="str">
            <v>2211XM0903</v>
          </cell>
          <cell r="C279">
            <v>1138</v>
          </cell>
          <cell r="D279">
            <v>22791.88</v>
          </cell>
        </row>
        <row r="280">
          <cell r="B280" t="str">
            <v>2211XM0904</v>
          </cell>
          <cell r="C280">
            <v>663.5</v>
          </cell>
          <cell r="D280">
            <v>13107.99</v>
          </cell>
        </row>
        <row r="281">
          <cell r="B281" t="str">
            <v>2211XM0905</v>
          </cell>
          <cell r="C281">
            <v>468.5</v>
          </cell>
          <cell r="D281">
            <v>9394.42</v>
          </cell>
        </row>
        <row r="282">
          <cell r="B282" t="str">
            <v>2211XM0906</v>
          </cell>
          <cell r="C282">
            <v>46053.25</v>
          </cell>
          <cell r="D282">
            <v>894801.11</v>
          </cell>
        </row>
        <row r="283">
          <cell r="B283" t="str">
            <v>2211XM1093</v>
          </cell>
          <cell r="C283">
            <v>481</v>
          </cell>
          <cell r="D283">
            <v>9086.09</v>
          </cell>
        </row>
        <row r="284">
          <cell r="B284" t="str">
            <v>2211XVM0241</v>
          </cell>
          <cell r="C284">
            <v>5411263.3499999996</v>
          </cell>
          <cell r="D284">
            <v>5411263.3499999996</v>
          </cell>
        </row>
        <row r="285">
          <cell r="B285" t="str">
            <v>2211XVM0907</v>
          </cell>
          <cell r="C285">
            <v>4633.58</v>
          </cell>
          <cell r="D285">
            <v>4633.58</v>
          </cell>
        </row>
        <row r="286">
          <cell r="B286" t="str">
            <v>2211XVM0909</v>
          </cell>
          <cell r="C286">
            <v>4400</v>
          </cell>
          <cell r="D286">
            <v>4400</v>
          </cell>
        </row>
        <row r="287">
          <cell r="B287" t="str">
            <v>2211XVM0910</v>
          </cell>
          <cell r="C287">
            <v>37380.559999999998</v>
          </cell>
          <cell r="D287">
            <v>37380.559999999998</v>
          </cell>
        </row>
        <row r="288">
          <cell r="B288" t="str">
            <v>2211XVM1094</v>
          </cell>
          <cell r="C288">
            <v>9126.9</v>
          </cell>
          <cell r="D288">
            <v>9126.9</v>
          </cell>
        </row>
        <row r="289">
          <cell r="B289" t="str">
            <v>2213AM0306</v>
          </cell>
          <cell r="C289">
            <v>753</v>
          </cell>
          <cell r="D289">
            <v>22356.36</v>
          </cell>
        </row>
        <row r="290">
          <cell r="B290" t="str">
            <v>2213BM0307</v>
          </cell>
          <cell r="C290">
            <v>3052</v>
          </cell>
          <cell r="D290">
            <v>132433.14000000001</v>
          </cell>
        </row>
        <row r="291">
          <cell r="B291" t="str">
            <v>2213CM0309</v>
          </cell>
          <cell r="C291">
            <v>0</v>
          </cell>
          <cell r="D291">
            <v>0</v>
          </cell>
        </row>
        <row r="292">
          <cell r="B292" t="str">
            <v>2220CFCM0364</v>
          </cell>
          <cell r="C292">
            <v>1339.2</v>
          </cell>
          <cell r="D292">
            <v>1339.2</v>
          </cell>
        </row>
        <row r="293">
          <cell r="B293" t="str">
            <v>2223M1005</v>
          </cell>
          <cell r="C293">
            <v>96588.25</v>
          </cell>
          <cell r="D293">
            <v>631720.48</v>
          </cell>
        </row>
        <row r="294">
          <cell r="B294" t="str">
            <v>2223M1006</v>
          </cell>
          <cell r="C294">
            <v>12918.75</v>
          </cell>
          <cell r="D294">
            <v>122087.15</v>
          </cell>
        </row>
        <row r="295">
          <cell r="B295" t="str">
            <v>2223M1008</v>
          </cell>
          <cell r="C295">
            <v>1732.5</v>
          </cell>
          <cell r="D295">
            <v>11330.77</v>
          </cell>
        </row>
        <row r="296">
          <cell r="B296" t="str">
            <v>2223M1100</v>
          </cell>
          <cell r="C296">
            <v>92711.75</v>
          </cell>
          <cell r="D296">
            <v>693483.89</v>
          </cell>
        </row>
        <row r="297">
          <cell r="B297" t="str">
            <v>2223M1101</v>
          </cell>
          <cell r="C297">
            <v>10985.75</v>
          </cell>
          <cell r="D297">
            <v>103819.66</v>
          </cell>
        </row>
        <row r="298">
          <cell r="B298" t="str">
            <v>2223M1103</v>
          </cell>
          <cell r="C298">
            <v>8758.75</v>
          </cell>
          <cell r="D298">
            <v>65515.45</v>
          </cell>
        </row>
        <row r="299">
          <cell r="B299" t="str">
            <v>2223M1104</v>
          </cell>
          <cell r="C299">
            <v>689.5</v>
          </cell>
          <cell r="D299">
            <v>6653.86</v>
          </cell>
        </row>
        <row r="300">
          <cell r="B300" t="str">
            <v>2223M1105</v>
          </cell>
          <cell r="C300">
            <v>6</v>
          </cell>
          <cell r="D300">
            <v>92.64</v>
          </cell>
        </row>
        <row r="301">
          <cell r="B301" t="str">
            <v>2223M1108</v>
          </cell>
          <cell r="C301">
            <v>11592</v>
          </cell>
          <cell r="D301">
            <v>111863.96</v>
          </cell>
        </row>
        <row r="302">
          <cell r="B302" t="str">
            <v>2223M1109</v>
          </cell>
          <cell r="C302">
            <v>641.25</v>
          </cell>
          <cell r="D302">
            <v>9894.7800000000007</v>
          </cell>
        </row>
        <row r="303">
          <cell r="B303" t="str">
            <v>2223M1111</v>
          </cell>
          <cell r="C303">
            <v>603.75</v>
          </cell>
          <cell r="D303">
            <v>5826.19</v>
          </cell>
        </row>
        <row r="304">
          <cell r="B304" t="str">
            <v>2223VM1009</v>
          </cell>
          <cell r="C304">
            <v>67292.39</v>
          </cell>
          <cell r="D304">
            <v>67292.39</v>
          </cell>
        </row>
        <row r="305">
          <cell r="B305" t="str">
            <v>2223VM1010</v>
          </cell>
          <cell r="C305">
            <v>22207.9</v>
          </cell>
          <cell r="D305">
            <v>22207.9</v>
          </cell>
        </row>
        <row r="306">
          <cell r="B306" t="str">
            <v>2223VM1012</v>
          </cell>
          <cell r="C306">
            <v>1172.55</v>
          </cell>
          <cell r="D306">
            <v>1172.55</v>
          </cell>
        </row>
        <row r="307">
          <cell r="B307" t="str">
            <v>2223VM1125</v>
          </cell>
          <cell r="C307">
            <v>31712.560000000001</v>
          </cell>
          <cell r="D307">
            <v>31712.560000000001</v>
          </cell>
        </row>
        <row r="308">
          <cell r="B308" t="str">
            <v>2223VM1127</v>
          </cell>
          <cell r="C308">
            <v>95.11</v>
          </cell>
          <cell r="D308">
            <v>95.11</v>
          </cell>
        </row>
        <row r="309">
          <cell r="B309" t="str">
            <v>2223VM1129</v>
          </cell>
          <cell r="C309">
            <v>121145.82</v>
          </cell>
          <cell r="D309">
            <v>121145.82</v>
          </cell>
        </row>
        <row r="310">
          <cell r="B310" t="str">
            <v>2223VM1131</v>
          </cell>
          <cell r="C310">
            <v>2786.66</v>
          </cell>
          <cell r="D310">
            <v>2786.66</v>
          </cell>
        </row>
        <row r="311">
          <cell r="B311" t="str">
            <v>2223VM1133</v>
          </cell>
          <cell r="C311">
            <v>5052.8100000000004</v>
          </cell>
          <cell r="D311">
            <v>5052.8100000000004</v>
          </cell>
        </row>
        <row r="312">
          <cell r="B312" t="str">
            <v>2234M0204</v>
          </cell>
          <cell r="C312">
            <v>47.25</v>
          </cell>
          <cell r="D312">
            <v>2611.98</v>
          </cell>
        </row>
        <row r="313">
          <cell r="B313" t="str">
            <v>2237M0243</v>
          </cell>
          <cell r="C313">
            <v>1418.5</v>
          </cell>
          <cell r="D313">
            <v>48351.87</v>
          </cell>
        </row>
        <row r="314">
          <cell r="B314" t="str">
            <v>2237VM0244</v>
          </cell>
          <cell r="C314">
            <v>17523.53</v>
          </cell>
          <cell r="D314">
            <v>17523.53</v>
          </cell>
        </row>
        <row r="315">
          <cell r="B315" t="str">
            <v>2241BM0464</v>
          </cell>
          <cell r="C315">
            <v>394.15</v>
          </cell>
          <cell r="D315">
            <v>394.15</v>
          </cell>
        </row>
        <row r="316">
          <cell r="B316" t="str">
            <v>2241BM0467</v>
          </cell>
          <cell r="C316">
            <v>131.66999999999999</v>
          </cell>
          <cell r="D316">
            <v>131.66999999999999</v>
          </cell>
        </row>
        <row r="317">
          <cell r="B317" t="str">
            <v>2241BM0470</v>
          </cell>
          <cell r="C317">
            <v>258.27</v>
          </cell>
          <cell r="D317">
            <v>258.27</v>
          </cell>
        </row>
        <row r="318">
          <cell r="B318" t="str">
            <v>2241BM0471</v>
          </cell>
          <cell r="C318">
            <v>428.79</v>
          </cell>
          <cell r="D318">
            <v>428.79</v>
          </cell>
        </row>
        <row r="319">
          <cell r="B319" t="str">
            <v>2241BM0476</v>
          </cell>
          <cell r="C319">
            <v>1</v>
          </cell>
          <cell r="D319">
            <v>1</v>
          </cell>
        </row>
        <row r="320">
          <cell r="B320" t="str">
            <v>2241BM0477</v>
          </cell>
          <cell r="C320">
            <v>1286.28</v>
          </cell>
          <cell r="D320">
            <v>1286.28</v>
          </cell>
        </row>
        <row r="321">
          <cell r="B321" t="str">
            <v>2241EM0321</v>
          </cell>
          <cell r="C321">
            <v>28033.03</v>
          </cell>
          <cell r="D321">
            <v>28033.03</v>
          </cell>
        </row>
        <row r="322">
          <cell r="B322" t="str">
            <v>2241EM0322</v>
          </cell>
          <cell r="C322">
            <v>3617.56</v>
          </cell>
          <cell r="D322">
            <v>3617.56</v>
          </cell>
        </row>
        <row r="323">
          <cell r="B323" t="str">
            <v>2241EM0323</v>
          </cell>
          <cell r="C323">
            <v>3712.5</v>
          </cell>
          <cell r="D323">
            <v>3712.5</v>
          </cell>
        </row>
        <row r="324">
          <cell r="B324" t="str">
            <v>2241M0178</v>
          </cell>
          <cell r="C324">
            <v>1120.03</v>
          </cell>
          <cell r="D324">
            <v>1120.03</v>
          </cell>
        </row>
        <row r="325">
          <cell r="B325" t="str">
            <v>2241M0179</v>
          </cell>
          <cell r="C325">
            <v>259.45999999999998</v>
          </cell>
          <cell r="D325">
            <v>259.45999999999998</v>
          </cell>
        </row>
        <row r="326">
          <cell r="B326" t="str">
            <v>2243AM0192</v>
          </cell>
          <cell r="C326">
            <v>4049.25</v>
          </cell>
          <cell r="D326">
            <v>322039.53999999998</v>
          </cell>
        </row>
        <row r="327">
          <cell r="B327" t="str">
            <v>2243AVM0193</v>
          </cell>
          <cell r="C327">
            <v>14054.75</v>
          </cell>
          <cell r="D327">
            <v>14054.75</v>
          </cell>
        </row>
        <row r="328">
          <cell r="B328" t="str">
            <v>2248M0419</v>
          </cell>
          <cell r="C328">
            <v>40769.75</v>
          </cell>
          <cell r="D328">
            <v>747424.04</v>
          </cell>
        </row>
        <row r="329">
          <cell r="B329" t="str">
            <v>2248VM0420</v>
          </cell>
          <cell r="C329">
            <v>721254.14</v>
          </cell>
          <cell r="D329">
            <v>721254.14</v>
          </cell>
        </row>
        <row r="330">
          <cell r="B330" t="str">
            <v>2254M0207</v>
          </cell>
          <cell r="C330">
            <v>833.75</v>
          </cell>
          <cell r="D330">
            <v>28294.03</v>
          </cell>
        </row>
        <row r="331">
          <cell r="B331" t="str">
            <v>2254VM0208</v>
          </cell>
          <cell r="C331">
            <v>6334.62</v>
          </cell>
          <cell r="D331">
            <v>6334.62</v>
          </cell>
        </row>
        <row r="332">
          <cell r="B332" t="str">
            <v>2263CFVM0365</v>
          </cell>
          <cell r="C332">
            <v>102</v>
          </cell>
          <cell r="D332">
            <v>21428.16</v>
          </cell>
        </row>
        <row r="333">
          <cell r="B333" t="str">
            <v>2263VM0209</v>
          </cell>
          <cell r="C333">
            <v>10633</v>
          </cell>
          <cell r="D333">
            <v>2233780.64</v>
          </cell>
        </row>
        <row r="334">
          <cell r="B334" t="str">
            <v>227M0231</v>
          </cell>
          <cell r="C334">
            <v>111.25</v>
          </cell>
          <cell r="D334">
            <v>8115.71</v>
          </cell>
        </row>
        <row r="335">
          <cell r="B335" t="str">
            <v>227VM0232</v>
          </cell>
          <cell r="C335">
            <v>6619.4</v>
          </cell>
          <cell r="D335">
            <v>6619.4</v>
          </cell>
        </row>
        <row r="336">
          <cell r="B336" t="str">
            <v>228M0234</v>
          </cell>
          <cell r="C336">
            <v>656.5</v>
          </cell>
          <cell r="D336">
            <v>50833.03</v>
          </cell>
        </row>
        <row r="337">
          <cell r="B337" t="str">
            <v>229M0246</v>
          </cell>
          <cell r="C337">
            <v>4523</v>
          </cell>
          <cell r="D337">
            <v>345062.98</v>
          </cell>
        </row>
        <row r="338">
          <cell r="B338" t="str">
            <v>229VM0247</v>
          </cell>
          <cell r="C338">
            <v>30665.79</v>
          </cell>
          <cell r="D338">
            <v>30665.79</v>
          </cell>
        </row>
        <row r="339">
          <cell r="B339" t="str">
            <v>234U0210</v>
          </cell>
          <cell r="C339">
            <v>97</v>
          </cell>
          <cell r="D339">
            <v>5362.16</v>
          </cell>
        </row>
        <row r="340">
          <cell r="B340" t="str">
            <v>237H2025</v>
          </cell>
          <cell r="C340">
            <v>696</v>
          </cell>
          <cell r="D340">
            <v>19362.72</v>
          </cell>
        </row>
        <row r="341">
          <cell r="B341" t="str">
            <v>237VH2027</v>
          </cell>
          <cell r="C341">
            <v>260896.24</v>
          </cell>
          <cell r="D341">
            <v>260896.24</v>
          </cell>
        </row>
        <row r="342">
          <cell r="B342" t="str">
            <v>240BG0208</v>
          </cell>
          <cell r="C342">
            <v>66</v>
          </cell>
          <cell r="D342">
            <v>12582.24</v>
          </cell>
        </row>
        <row r="343">
          <cell r="B343" t="str">
            <v>240BG0209</v>
          </cell>
          <cell r="C343">
            <v>0</v>
          </cell>
          <cell r="D343">
            <v>0</v>
          </cell>
        </row>
        <row r="344">
          <cell r="B344" t="str">
            <v>240G0203</v>
          </cell>
          <cell r="C344">
            <v>3</v>
          </cell>
          <cell r="D344">
            <v>312.95999999999998</v>
          </cell>
        </row>
        <row r="345">
          <cell r="B345" t="str">
            <v>240G0204</v>
          </cell>
          <cell r="C345">
            <v>89</v>
          </cell>
          <cell r="D345">
            <v>25449.55</v>
          </cell>
        </row>
        <row r="346">
          <cell r="B346" t="str">
            <v>241FG0648</v>
          </cell>
          <cell r="C346">
            <v>4294314.6900000004</v>
          </cell>
          <cell r="D346">
            <v>4294314.6900000004</v>
          </cell>
        </row>
        <row r="347">
          <cell r="B347" t="str">
            <v>241FG0649</v>
          </cell>
          <cell r="C347">
            <v>11904.01</v>
          </cell>
          <cell r="D347">
            <v>11904.01</v>
          </cell>
        </row>
        <row r="348">
          <cell r="B348" t="str">
            <v>241FG0650</v>
          </cell>
          <cell r="C348">
            <v>12771.9</v>
          </cell>
          <cell r="D348">
            <v>12771.9</v>
          </cell>
        </row>
        <row r="349">
          <cell r="B349" t="str">
            <v>241FG0651</v>
          </cell>
          <cell r="C349">
            <v>11301.4</v>
          </cell>
          <cell r="D349">
            <v>11301.4</v>
          </cell>
        </row>
        <row r="350">
          <cell r="B350" t="str">
            <v>241FG0652</v>
          </cell>
          <cell r="C350">
            <v>5276.85</v>
          </cell>
          <cell r="D350">
            <v>5276.85</v>
          </cell>
        </row>
        <row r="351">
          <cell r="B351" t="str">
            <v>241FG0653</v>
          </cell>
          <cell r="C351">
            <v>17901.830000000002</v>
          </cell>
          <cell r="D351">
            <v>17901.830000000002</v>
          </cell>
        </row>
        <row r="352">
          <cell r="B352" t="str">
            <v>241FG0654</v>
          </cell>
          <cell r="C352">
            <v>3461.11</v>
          </cell>
          <cell r="D352">
            <v>3461.11</v>
          </cell>
        </row>
        <row r="353">
          <cell r="B353" t="str">
            <v>241FG0655</v>
          </cell>
          <cell r="C353">
            <v>363.92</v>
          </cell>
          <cell r="D353">
            <v>363.92</v>
          </cell>
        </row>
        <row r="354">
          <cell r="B354" t="str">
            <v>241FG0656</v>
          </cell>
          <cell r="C354">
            <v>8075.93</v>
          </cell>
          <cell r="D354">
            <v>8075.93</v>
          </cell>
        </row>
        <row r="355">
          <cell r="B355" t="str">
            <v>241FG0657</v>
          </cell>
          <cell r="C355">
            <v>480.07</v>
          </cell>
          <cell r="D355">
            <v>480.07</v>
          </cell>
        </row>
        <row r="356">
          <cell r="B356" t="str">
            <v>241FG0658</v>
          </cell>
          <cell r="C356">
            <v>18353.66</v>
          </cell>
          <cell r="D356">
            <v>18353.66</v>
          </cell>
        </row>
        <row r="357">
          <cell r="B357" t="str">
            <v>242AG0490</v>
          </cell>
          <cell r="C357">
            <v>15534990.970000001</v>
          </cell>
          <cell r="D357">
            <v>15534990.970000001</v>
          </cell>
        </row>
        <row r="358">
          <cell r="B358" t="str">
            <v>242BG0491</v>
          </cell>
          <cell r="C358">
            <v>19525545.129999999</v>
          </cell>
          <cell r="D358">
            <v>19525545.129999999</v>
          </cell>
        </row>
        <row r="359">
          <cell r="B359" t="str">
            <v>242CG0492</v>
          </cell>
          <cell r="C359">
            <v>5810823.04</v>
          </cell>
          <cell r="D359">
            <v>5810823.04</v>
          </cell>
        </row>
        <row r="360">
          <cell r="B360" t="str">
            <v>242DG0493</v>
          </cell>
          <cell r="C360">
            <v>2500887.0099999998</v>
          </cell>
          <cell r="D360">
            <v>2500887.0099999998</v>
          </cell>
        </row>
        <row r="361">
          <cell r="B361" t="str">
            <v>242EG0494</v>
          </cell>
          <cell r="C361">
            <v>141432.04999999999</v>
          </cell>
          <cell r="D361">
            <v>141432.04999999999</v>
          </cell>
        </row>
        <row r="362">
          <cell r="B362" t="str">
            <v>242EG0495</v>
          </cell>
          <cell r="C362">
            <v>48627.96</v>
          </cell>
          <cell r="D362">
            <v>48627.96</v>
          </cell>
        </row>
        <row r="363">
          <cell r="B363" t="str">
            <v>242EG0496</v>
          </cell>
          <cell r="C363">
            <v>105682.48</v>
          </cell>
          <cell r="D363">
            <v>105682.48</v>
          </cell>
        </row>
        <row r="364">
          <cell r="B364" t="str">
            <v>242FG0498</v>
          </cell>
          <cell r="C364">
            <v>1178227.9099999999</v>
          </cell>
          <cell r="D364">
            <v>1178227.9099999999</v>
          </cell>
        </row>
        <row r="365">
          <cell r="B365" t="str">
            <v>243AH2019</v>
          </cell>
          <cell r="C365">
            <v>15443.47</v>
          </cell>
          <cell r="D365">
            <v>1228224.8700000001</v>
          </cell>
        </row>
        <row r="366">
          <cell r="B366" t="str">
            <v>248G0248</v>
          </cell>
          <cell r="C366">
            <v>3931.65</v>
          </cell>
          <cell r="D366">
            <v>60328.66</v>
          </cell>
        </row>
        <row r="367">
          <cell r="B367" t="str">
            <v>248VG0249</v>
          </cell>
          <cell r="C367">
            <v>171886.79</v>
          </cell>
          <cell r="D367">
            <v>171886.79</v>
          </cell>
        </row>
        <row r="368">
          <cell r="B368" t="str">
            <v>253AG0239</v>
          </cell>
          <cell r="C368">
            <v>1</v>
          </cell>
          <cell r="D368">
            <v>158.28</v>
          </cell>
        </row>
        <row r="369">
          <cell r="B369" t="str">
            <v>253T2038</v>
          </cell>
          <cell r="C369">
            <v>2180.6</v>
          </cell>
          <cell r="D369">
            <v>2180.6</v>
          </cell>
        </row>
        <row r="370">
          <cell r="B370" t="str">
            <v>254H2026</v>
          </cell>
          <cell r="C370">
            <v>0</v>
          </cell>
          <cell r="D370">
            <v>0</v>
          </cell>
        </row>
        <row r="371">
          <cell r="B371" t="str">
            <v>263CFVG1118</v>
          </cell>
          <cell r="C371">
            <v>3943</v>
          </cell>
          <cell r="D371">
            <v>828345.44</v>
          </cell>
        </row>
        <row r="372">
          <cell r="B372" t="str">
            <v>263VG0226</v>
          </cell>
          <cell r="C372">
            <v>29059</v>
          </cell>
          <cell r="D372">
            <v>6104714.7199999997</v>
          </cell>
        </row>
        <row r="373">
          <cell r="B373" t="str">
            <v>27G0400</v>
          </cell>
          <cell r="C373">
            <v>4815.5</v>
          </cell>
          <cell r="D373">
            <v>351290.8</v>
          </cell>
        </row>
        <row r="374">
          <cell r="B374" t="str">
            <v>27VG0408</v>
          </cell>
          <cell r="C374">
            <v>18466.62</v>
          </cell>
          <cell r="D374">
            <v>18466.62</v>
          </cell>
        </row>
        <row r="375">
          <cell r="B375" t="str">
            <v>28G0401</v>
          </cell>
          <cell r="C375">
            <v>8526.94</v>
          </cell>
          <cell r="D375">
            <v>660241.22</v>
          </cell>
        </row>
        <row r="376">
          <cell r="B376" t="str">
            <v>28VG0409</v>
          </cell>
          <cell r="C376">
            <v>12184.01</v>
          </cell>
          <cell r="D376">
            <v>12184.01</v>
          </cell>
        </row>
        <row r="377">
          <cell r="B377" t="str">
            <v>29G0402</v>
          </cell>
          <cell r="C377">
            <v>4454.4799999999996</v>
          </cell>
          <cell r="D377">
            <v>339833.7</v>
          </cell>
        </row>
        <row r="378">
          <cell r="B378" t="str">
            <v>29VG0410</v>
          </cell>
          <cell r="C378">
            <v>25352.3</v>
          </cell>
          <cell r="D378">
            <v>25352.3</v>
          </cell>
        </row>
        <row r="379">
          <cell r="B379" t="str">
            <v>61CF0232</v>
          </cell>
          <cell r="C379">
            <v>1221</v>
          </cell>
          <cell r="D379">
            <v>97753.26</v>
          </cell>
        </row>
        <row r="380">
          <cell r="B380" t="str">
            <v>61F0205-L</v>
          </cell>
          <cell r="C380">
            <v>1926</v>
          </cell>
          <cell r="D380">
            <v>202495.85</v>
          </cell>
        </row>
        <row r="381">
          <cell r="B381" t="str">
            <v>61F0205-M</v>
          </cell>
          <cell r="C381">
            <v>53215</v>
          </cell>
          <cell r="D381">
            <v>6036070.1500000004</v>
          </cell>
        </row>
        <row r="382">
          <cell r="B382" t="str">
            <v>61F0205-S</v>
          </cell>
          <cell r="C382">
            <v>364342</v>
          </cell>
          <cell r="D382">
            <v>50694762.949999973</v>
          </cell>
        </row>
        <row r="383">
          <cell r="B383" t="str">
            <v>61F0206-L</v>
          </cell>
          <cell r="C383">
            <v>14688</v>
          </cell>
          <cell r="D383">
            <v>1733415.21</v>
          </cell>
        </row>
        <row r="384">
          <cell r="B384" t="str">
            <v>61F0206-M</v>
          </cell>
          <cell r="C384">
            <v>82106</v>
          </cell>
          <cell r="D384">
            <v>10860237.099999998</v>
          </cell>
        </row>
        <row r="385">
          <cell r="B385" t="str">
            <v>61F0206-S</v>
          </cell>
          <cell r="C385">
            <v>767358</v>
          </cell>
          <cell r="D385">
            <v>121603572.75000003</v>
          </cell>
        </row>
        <row r="386">
          <cell r="B386" t="str">
            <v>61F0207-L</v>
          </cell>
          <cell r="C386">
            <v>452</v>
          </cell>
          <cell r="D386">
            <v>90244.67</v>
          </cell>
        </row>
        <row r="387">
          <cell r="B387" t="str">
            <v>61F0207-M</v>
          </cell>
          <cell r="C387">
            <v>636</v>
          </cell>
          <cell r="D387">
            <v>121413.88999999998</v>
          </cell>
        </row>
        <row r="388">
          <cell r="B388" t="str">
            <v>61F0207-S</v>
          </cell>
          <cell r="C388">
            <v>64130</v>
          </cell>
          <cell r="D388">
            <v>14660419.959999999</v>
          </cell>
        </row>
        <row r="389">
          <cell r="B389" t="str">
            <v>61F0208-L</v>
          </cell>
          <cell r="C389">
            <v>5309</v>
          </cell>
          <cell r="D389">
            <v>714558.06</v>
          </cell>
        </row>
        <row r="390">
          <cell r="B390" t="str">
            <v>61F0208-M</v>
          </cell>
          <cell r="C390">
            <v>9749</v>
          </cell>
          <cell r="D390">
            <v>1518306.42</v>
          </cell>
        </row>
        <row r="391">
          <cell r="B391" t="str">
            <v>61F0208-S</v>
          </cell>
          <cell r="C391">
            <v>183066</v>
          </cell>
          <cell r="D391">
            <v>33393985.560000032</v>
          </cell>
        </row>
        <row r="392">
          <cell r="B392" t="str">
            <v>61F0209-L</v>
          </cell>
          <cell r="C392">
            <v>616</v>
          </cell>
          <cell r="D392">
            <v>230270.06</v>
          </cell>
        </row>
        <row r="393">
          <cell r="B393" t="str">
            <v>61F0209-M</v>
          </cell>
          <cell r="C393">
            <v>216</v>
          </cell>
          <cell r="D393">
            <v>84322.38</v>
          </cell>
        </row>
        <row r="394">
          <cell r="B394" t="str">
            <v>61F0209-S</v>
          </cell>
          <cell r="C394">
            <v>5644</v>
          </cell>
          <cell r="D394">
            <v>2232857.4900000002</v>
          </cell>
        </row>
        <row r="395">
          <cell r="B395" t="str">
            <v>717CG0740</v>
          </cell>
          <cell r="C395">
            <v>41066.25</v>
          </cell>
          <cell r="D395">
            <v>543104.29</v>
          </cell>
        </row>
        <row r="396">
          <cell r="B396" t="str">
            <v>717CG0741</v>
          </cell>
          <cell r="C396">
            <v>3035010.42</v>
          </cell>
          <cell r="D396">
            <v>39362251.759999998</v>
          </cell>
        </row>
        <row r="397">
          <cell r="B397" t="str">
            <v>717CVG0745</v>
          </cell>
          <cell r="C397">
            <v>6431.27</v>
          </cell>
          <cell r="D397">
            <v>6431.27</v>
          </cell>
        </row>
        <row r="398">
          <cell r="B398" t="str">
            <v>717CVG0746</v>
          </cell>
          <cell r="C398">
            <v>231980.7</v>
          </cell>
          <cell r="D398">
            <v>231980.7</v>
          </cell>
        </row>
        <row r="399">
          <cell r="B399" t="str">
            <v>717CVG0747</v>
          </cell>
          <cell r="C399">
            <v>20576.349999999999</v>
          </cell>
          <cell r="D399">
            <v>21399.360000000001</v>
          </cell>
        </row>
        <row r="400">
          <cell r="B400" t="str">
            <v>717DG0742</v>
          </cell>
          <cell r="C400">
            <v>670573.75</v>
          </cell>
          <cell r="D400">
            <v>8827649.8000000007</v>
          </cell>
        </row>
        <row r="401">
          <cell r="B401" t="str">
            <v>717DG0743</v>
          </cell>
          <cell r="C401">
            <v>73113778.579999998</v>
          </cell>
          <cell r="D401">
            <v>949134587.19000006</v>
          </cell>
        </row>
        <row r="402">
          <cell r="B402" t="str">
            <v>717DVG0748</v>
          </cell>
          <cell r="C402">
            <v>149974.35</v>
          </cell>
          <cell r="D402">
            <v>149974.35</v>
          </cell>
        </row>
        <row r="403">
          <cell r="B403" t="str">
            <v>717DVG0749</v>
          </cell>
          <cell r="C403">
            <v>6420811.2300000004</v>
          </cell>
          <cell r="D403">
            <v>6420811.2300000004</v>
          </cell>
        </row>
        <row r="404">
          <cell r="B404" t="str">
            <v>717DVG0750</v>
          </cell>
          <cell r="C404">
            <v>83175.02</v>
          </cell>
          <cell r="D404">
            <v>83175.02</v>
          </cell>
        </row>
        <row r="405">
          <cell r="B405" t="str">
            <v>717G0701</v>
          </cell>
          <cell r="C405">
            <v>17006.5</v>
          </cell>
          <cell r="D405">
            <v>221108.54</v>
          </cell>
        </row>
        <row r="406">
          <cell r="B406" t="str">
            <v>717G0702</v>
          </cell>
          <cell r="C406">
            <v>1681927.28</v>
          </cell>
          <cell r="D406">
            <v>21869017.18</v>
          </cell>
        </row>
        <row r="407">
          <cell r="B407" t="str">
            <v>717VG0717</v>
          </cell>
          <cell r="C407">
            <v>1953.99</v>
          </cell>
          <cell r="D407">
            <v>1953.99</v>
          </cell>
        </row>
        <row r="408">
          <cell r="B408" t="str">
            <v>717VG0718</v>
          </cell>
          <cell r="C408">
            <v>225967.88</v>
          </cell>
          <cell r="D408">
            <v>225967.88</v>
          </cell>
        </row>
        <row r="409">
          <cell r="B409" t="str">
            <v>718G0803</v>
          </cell>
          <cell r="C409">
            <v>1382</v>
          </cell>
          <cell r="D409">
            <v>20467.419999999998</v>
          </cell>
        </row>
        <row r="410">
          <cell r="B410" t="str">
            <v>719IG0943</v>
          </cell>
          <cell r="C410">
            <v>0</v>
          </cell>
          <cell r="D410">
            <v>0</v>
          </cell>
        </row>
        <row r="411">
          <cell r="B411" t="str">
            <v>719KG0945</v>
          </cell>
          <cell r="C411">
            <v>5757</v>
          </cell>
          <cell r="D411">
            <v>156058.65</v>
          </cell>
        </row>
        <row r="412">
          <cell r="B412" t="str">
            <v>719LG0946</v>
          </cell>
          <cell r="C412">
            <v>47846</v>
          </cell>
          <cell r="D412">
            <v>789731.16</v>
          </cell>
        </row>
        <row r="413">
          <cell r="B413" t="str">
            <v>720G1000</v>
          </cell>
          <cell r="C413">
            <v>220529.3</v>
          </cell>
          <cell r="D413">
            <v>5820044.21</v>
          </cell>
        </row>
        <row r="414">
          <cell r="B414" t="str">
            <v>725C0100</v>
          </cell>
          <cell r="C414">
            <v>4222054.24</v>
          </cell>
          <cell r="D414">
            <v>22419108.030000001</v>
          </cell>
        </row>
        <row r="415">
          <cell r="B415" t="str">
            <v>729AC0202</v>
          </cell>
          <cell r="C415">
            <v>776159.03</v>
          </cell>
          <cell r="D415">
            <v>12282455.08</v>
          </cell>
        </row>
        <row r="416">
          <cell r="B416" t="str">
            <v>729C0200</v>
          </cell>
          <cell r="C416">
            <v>409682.57</v>
          </cell>
          <cell r="D416">
            <v>6478119.4699999997</v>
          </cell>
        </row>
        <row r="417">
          <cell r="B417" t="str">
            <v>763VG0227</v>
          </cell>
          <cell r="C417">
            <v>6910</v>
          </cell>
          <cell r="D417">
            <v>790504</v>
          </cell>
        </row>
        <row r="418">
          <cell r="B418" t="str">
            <v>831AF0234</v>
          </cell>
          <cell r="C418">
            <v>1497</v>
          </cell>
          <cell r="D418">
            <v>1382805.01</v>
          </cell>
        </row>
        <row r="419">
          <cell r="B419" t="str">
            <v>831AF0238</v>
          </cell>
          <cell r="C419">
            <v>202</v>
          </cell>
          <cell r="D419">
            <v>25216.99</v>
          </cell>
        </row>
        <row r="420">
          <cell r="B420" t="str">
            <v>831AF0239</v>
          </cell>
          <cell r="C420">
            <v>163</v>
          </cell>
          <cell r="D420">
            <v>22885.87</v>
          </cell>
        </row>
        <row r="421">
          <cell r="B421" t="str">
            <v>831AF0243</v>
          </cell>
          <cell r="C421">
            <v>5420</v>
          </cell>
          <cell r="D421">
            <v>4698045.68</v>
          </cell>
        </row>
        <row r="422">
          <cell r="B422" t="str">
            <v>831F0206</v>
          </cell>
          <cell r="C422">
            <v>52</v>
          </cell>
          <cell r="D422">
            <v>6553.07</v>
          </cell>
        </row>
        <row r="423">
          <cell r="B423" t="str">
            <v>831RG001</v>
          </cell>
          <cell r="C423">
            <v>212986</v>
          </cell>
          <cell r="D423">
            <v>36543529.32</v>
          </cell>
        </row>
        <row r="424">
          <cell r="B424" t="str">
            <v>831RG002</v>
          </cell>
          <cell r="C424">
            <v>268147</v>
          </cell>
          <cell r="D424">
            <v>38995090.799999997</v>
          </cell>
        </row>
        <row r="425">
          <cell r="B425" t="str">
            <v>831RG003</v>
          </cell>
          <cell r="C425">
            <v>157137</v>
          </cell>
          <cell r="D425">
            <v>21671730.690000001</v>
          </cell>
        </row>
        <row r="426">
          <cell r="B426" t="str">
            <v>831RG004</v>
          </cell>
          <cell r="C426">
            <v>73101</v>
          </cell>
          <cell r="D426">
            <v>8873174.0199999996</v>
          </cell>
        </row>
        <row r="427">
          <cell r="B427" t="str">
            <v>831RG005</v>
          </cell>
          <cell r="C427">
            <v>73269</v>
          </cell>
          <cell r="D427">
            <v>15222589.060000001</v>
          </cell>
        </row>
        <row r="428">
          <cell r="B428" t="str">
            <v>831RG006</v>
          </cell>
          <cell r="C428">
            <v>178922</v>
          </cell>
          <cell r="D428">
            <v>31142053.489999998</v>
          </cell>
        </row>
        <row r="429">
          <cell r="B429" t="str">
            <v>831RG007</v>
          </cell>
          <cell r="C429">
            <v>5845</v>
          </cell>
          <cell r="D429">
            <v>878489.8</v>
          </cell>
        </row>
        <row r="430">
          <cell r="B430" t="str">
            <v>831RG008</v>
          </cell>
          <cell r="C430">
            <v>69309</v>
          </cell>
          <cell r="D430">
            <v>10252564.01</v>
          </cell>
        </row>
        <row r="431">
          <cell r="B431" t="str">
            <v>831RG009</v>
          </cell>
          <cell r="C431">
            <v>43521</v>
          </cell>
          <cell r="D431">
            <v>5908490.7199999997</v>
          </cell>
        </row>
        <row r="432">
          <cell r="B432" t="str">
            <v>831RG010</v>
          </cell>
          <cell r="C432">
            <v>56726</v>
          </cell>
          <cell r="D432">
            <v>7807417.71</v>
          </cell>
        </row>
        <row r="433">
          <cell r="B433" t="str">
            <v>831RG011</v>
          </cell>
          <cell r="C433">
            <v>9287</v>
          </cell>
          <cell r="D433">
            <v>1087558.5900000001</v>
          </cell>
        </row>
        <row r="434">
          <cell r="B434" t="str">
            <v>831RG012</v>
          </cell>
          <cell r="C434">
            <v>64247</v>
          </cell>
          <cell r="D434">
            <v>7113464.3700000001</v>
          </cell>
        </row>
        <row r="435">
          <cell r="B435" t="str">
            <v>831RG013</v>
          </cell>
          <cell r="C435">
            <v>15589</v>
          </cell>
          <cell r="D435">
            <v>1652708.74</v>
          </cell>
        </row>
        <row r="436">
          <cell r="B436" t="str">
            <v>831RG014</v>
          </cell>
          <cell r="C436">
            <v>142095</v>
          </cell>
          <cell r="D436">
            <v>14113048.09</v>
          </cell>
        </row>
        <row r="437">
          <cell r="B437" t="str">
            <v>831RG015</v>
          </cell>
          <cell r="C437">
            <v>7102</v>
          </cell>
          <cell r="D437">
            <v>736445.8</v>
          </cell>
        </row>
        <row r="438">
          <cell r="B438" t="str">
            <v>831RG016</v>
          </cell>
          <cell r="C438">
            <v>45093</v>
          </cell>
          <cell r="D438">
            <v>4068450.97</v>
          </cell>
        </row>
        <row r="439">
          <cell r="B439" t="str">
            <v>831RG017</v>
          </cell>
          <cell r="C439">
            <v>1302</v>
          </cell>
          <cell r="D439">
            <v>123975.55</v>
          </cell>
        </row>
        <row r="440">
          <cell r="B440" t="str">
            <v>831RG018</v>
          </cell>
          <cell r="C440">
            <v>39238</v>
          </cell>
          <cell r="D440">
            <v>3387909.45</v>
          </cell>
        </row>
        <row r="441">
          <cell r="B441" t="str">
            <v>831RG019</v>
          </cell>
          <cell r="C441">
            <v>573</v>
          </cell>
          <cell r="D441">
            <v>41759.75</v>
          </cell>
        </row>
        <row r="442">
          <cell r="B442" t="str">
            <v>831RG020</v>
          </cell>
          <cell r="C442">
            <v>21973</v>
          </cell>
          <cell r="D442">
            <v>1648043.4</v>
          </cell>
        </row>
        <row r="443">
          <cell r="B443" t="str">
            <v>831RG021</v>
          </cell>
          <cell r="C443">
            <v>35</v>
          </cell>
          <cell r="D443">
            <v>3195.67</v>
          </cell>
        </row>
        <row r="444">
          <cell r="B444" t="str">
            <v>831RG022</v>
          </cell>
          <cell r="C444">
            <v>220</v>
          </cell>
          <cell r="D444">
            <v>21085.83</v>
          </cell>
        </row>
        <row r="445">
          <cell r="B445" t="str">
            <v>831RG024</v>
          </cell>
          <cell r="C445">
            <v>1202</v>
          </cell>
          <cell r="D445">
            <v>86352.42</v>
          </cell>
        </row>
        <row r="446">
          <cell r="B446" t="str">
            <v>831RG025</v>
          </cell>
          <cell r="C446">
            <v>7173</v>
          </cell>
          <cell r="D446">
            <v>718172.88</v>
          </cell>
        </row>
        <row r="447">
          <cell r="B447" t="str">
            <v>831RG026</v>
          </cell>
          <cell r="C447">
            <v>185591</v>
          </cell>
          <cell r="D447">
            <v>17212430.34</v>
          </cell>
        </row>
        <row r="448">
          <cell r="B448" t="str">
            <v>831RG027</v>
          </cell>
          <cell r="C448">
            <v>6107</v>
          </cell>
          <cell r="D448">
            <v>597762.1</v>
          </cell>
        </row>
        <row r="449">
          <cell r="B449" t="str">
            <v>831RG028</v>
          </cell>
          <cell r="C449">
            <v>210818</v>
          </cell>
          <cell r="D449">
            <v>18081040.59</v>
          </cell>
        </row>
        <row r="450">
          <cell r="B450" t="str">
            <v>831RG029</v>
          </cell>
          <cell r="C450">
            <v>90</v>
          </cell>
          <cell r="D450">
            <v>7205.42</v>
          </cell>
        </row>
        <row r="451">
          <cell r="B451" t="str">
            <v>831RG030</v>
          </cell>
          <cell r="C451">
            <v>7546</v>
          </cell>
          <cell r="D451">
            <v>654705.43000000005</v>
          </cell>
        </row>
        <row r="452">
          <cell r="B452" t="str">
            <v>831RG032</v>
          </cell>
          <cell r="C452">
            <v>5498</v>
          </cell>
          <cell r="D452">
            <v>444774.52</v>
          </cell>
        </row>
        <row r="453">
          <cell r="B453" t="str">
            <v>831RG033</v>
          </cell>
          <cell r="C453">
            <v>275</v>
          </cell>
          <cell r="D453">
            <v>21199.86</v>
          </cell>
        </row>
        <row r="454">
          <cell r="B454" t="str">
            <v>831RG034</v>
          </cell>
          <cell r="C454">
            <v>13126</v>
          </cell>
          <cell r="D454">
            <v>956534.61</v>
          </cell>
        </row>
        <row r="455">
          <cell r="B455" t="str">
            <v>831RG036</v>
          </cell>
          <cell r="C455">
            <v>28998</v>
          </cell>
          <cell r="D455">
            <v>1821860.58</v>
          </cell>
        </row>
        <row r="456">
          <cell r="B456" t="str">
            <v>BA1MP</v>
          </cell>
          <cell r="C456">
            <v>1432</v>
          </cell>
          <cell r="D456">
            <v>166535.95000000001</v>
          </cell>
        </row>
        <row r="457">
          <cell r="B457" t="str">
            <v>BA1SP</v>
          </cell>
          <cell r="C457">
            <v>23029</v>
          </cell>
          <cell r="D457">
            <v>2009966.97</v>
          </cell>
        </row>
        <row r="458">
          <cell r="B458" t="str">
            <v>BA2SP</v>
          </cell>
          <cell r="C458">
            <v>852</v>
          </cell>
          <cell r="D458">
            <v>84220.13</v>
          </cell>
        </row>
        <row r="459">
          <cell r="B459" t="str">
            <v>BB1MP</v>
          </cell>
          <cell r="C459">
            <v>389</v>
          </cell>
          <cell r="D459">
            <v>45761.49</v>
          </cell>
        </row>
        <row r="460">
          <cell r="B460" t="str">
            <v>BB1SP</v>
          </cell>
          <cell r="C460">
            <v>5035</v>
          </cell>
          <cell r="D460">
            <v>486445.59</v>
          </cell>
        </row>
        <row r="461">
          <cell r="B461" t="str">
            <v>BB2SP</v>
          </cell>
          <cell r="C461">
            <v>750</v>
          </cell>
          <cell r="D461">
            <v>81414.759999999995</v>
          </cell>
        </row>
        <row r="462">
          <cell r="B462" t="str">
            <v>BC1SP</v>
          </cell>
          <cell r="C462">
            <v>1</v>
          </cell>
          <cell r="D462">
            <v>217.37</v>
          </cell>
        </row>
        <row r="463">
          <cell r="B463" t="str">
            <v>CA1MP</v>
          </cell>
          <cell r="C463">
            <v>18340</v>
          </cell>
          <cell r="D463">
            <v>2712557.82</v>
          </cell>
        </row>
        <row r="464">
          <cell r="B464" t="str">
            <v>CA1SP</v>
          </cell>
          <cell r="C464">
            <v>273924</v>
          </cell>
          <cell r="D464">
            <v>28000464.120000001</v>
          </cell>
        </row>
        <row r="465">
          <cell r="B465" t="str">
            <v>CA2MP</v>
          </cell>
          <cell r="C465">
            <v>806</v>
          </cell>
          <cell r="D465">
            <v>113824.67</v>
          </cell>
        </row>
        <row r="466">
          <cell r="B466" t="str">
            <v>CA2SP</v>
          </cell>
          <cell r="C466">
            <v>19408</v>
          </cell>
          <cell r="D466">
            <v>2102917.9300000002</v>
          </cell>
        </row>
        <row r="467">
          <cell r="B467" t="str">
            <v>CB1MP</v>
          </cell>
          <cell r="C467">
            <v>30831</v>
          </cell>
          <cell r="D467">
            <v>4686836.08</v>
          </cell>
        </row>
        <row r="468">
          <cell r="B468" t="str">
            <v>CB1SP</v>
          </cell>
          <cell r="C468">
            <v>340587</v>
          </cell>
          <cell r="D468">
            <v>38416845.189999998</v>
          </cell>
        </row>
        <row r="469">
          <cell r="B469" t="str">
            <v>CB2MP</v>
          </cell>
          <cell r="C469">
            <v>1400</v>
          </cell>
          <cell r="D469">
            <v>215550.19</v>
          </cell>
        </row>
        <row r="470">
          <cell r="B470" t="str">
            <v>CB2SP</v>
          </cell>
          <cell r="C470">
            <v>25455</v>
          </cell>
          <cell r="D470">
            <v>2980289.16</v>
          </cell>
        </row>
        <row r="471">
          <cell r="B471" t="str">
            <v>CC1MP</v>
          </cell>
          <cell r="C471">
            <v>9457</v>
          </cell>
          <cell r="D471">
            <v>1488409.99</v>
          </cell>
        </row>
        <row r="472">
          <cell r="B472" t="str">
            <v>CC1SP</v>
          </cell>
          <cell r="C472">
            <v>79549</v>
          </cell>
          <cell r="D472">
            <v>10109684.390000001</v>
          </cell>
        </row>
        <row r="473">
          <cell r="B473" t="str">
            <v>CC2MP</v>
          </cell>
          <cell r="C473">
            <v>490</v>
          </cell>
          <cell r="D473">
            <v>64781.87</v>
          </cell>
        </row>
        <row r="474">
          <cell r="B474" t="str">
            <v>CC2SP</v>
          </cell>
          <cell r="C474">
            <v>8326</v>
          </cell>
          <cell r="D474">
            <v>1067438.03</v>
          </cell>
        </row>
        <row r="475">
          <cell r="B475" t="str">
            <v>Code expired 8/31/2019</v>
          </cell>
          <cell r="C475">
            <v>1074.7</v>
          </cell>
          <cell r="D475">
            <v>33476.79</v>
          </cell>
        </row>
        <row r="476">
          <cell r="B476" t="str">
            <v>Code expired 8/31/2019 - MDCP</v>
          </cell>
          <cell r="C476">
            <v>72</v>
          </cell>
          <cell r="D476">
            <v>215.28</v>
          </cell>
        </row>
        <row r="477">
          <cell r="B477" t="str">
            <v>Expired 11/13/2022</v>
          </cell>
          <cell r="C477">
            <v>14991</v>
          </cell>
          <cell r="D477">
            <v>440441.67000000004</v>
          </cell>
        </row>
        <row r="478">
          <cell r="B478" t="str">
            <v>G0162SKU1 - Children 6 - 14</v>
          </cell>
          <cell r="C478">
            <v>4</v>
          </cell>
          <cell r="D478">
            <v>44.2</v>
          </cell>
        </row>
        <row r="479">
          <cell r="B479" t="str">
            <v>G0162SKU1 - MDCP</v>
          </cell>
          <cell r="C479">
            <v>7</v>
          </cell>
          <cell r="D479">
            <v>77.349999999999994</v>
          </cell>
        </row>
        <row r="480">
          <cell r="B480" t="str">
            <v>G0162SKU2 - Children 15  -  20</v>
          </cell>
          <cell r="C480">
            <v>15</v>
          </cell>
          <cell r="D480">
            <v>165.75</v>
          </cell>
        </row>
        <row r="481">
          <cell r="B481" t="str">
            <v>H2023SPU3</v>
          </cell>
          <cell r="C481">
            <v>1666</v>
          </cell>
          <cell r="D481">
            <v>13565.82</v>
          </cell>
        </row>
        <row r="482">
          <cell r="B482" t="str">
            <v>IA1MP</v>
          </cell>
          <cell r="C482">
            <v>18330</v>
          </cell>
          <cell r="D482">
            <v>2308292.6800000002</v>
          </cell>
        </row>
        <row r="483">
          <cell r="B483" t="str">
            <v>IA1SP</v>
          </cell>
          <cell r="C483">
            <v>238841</v>
          </cell>
          <cell r="D483">
            <v>20681708.969999999</v>
          </cell>
        </row>
        <row r="484">
          <cell r="B484" t="str">
            <v>IA2MP</v>
          </cell>
          <cell r="C484">
            <v>355</v>
          </cell>
          <cell r="D484">
            <v>38546.129999999997</v>
          </cell>
        </row>
        <row r="485">
          <cell r="B485" t="str">
            <v>IA2SP</v>
          </cell>
          <cell r="C485">
            <v>12015</v>
          </cell>
          <cell r="D485">
            <v>1083670.8400000001</v>
          </cell>
        </row>
        <row r="486">
          <cell r="B486" t="str">
            <v>IB1MP</v>
          </cell>
          <cell r="C486">
            <v>13741</v>
          </cell>
          <cell r="D486">
            <v>1862660.98</v>
          </cell>
        </row>
        <row r="487">
          <cell r="B487" t="str">
            <v>IB1SP</v>
          </cell>
          <cell r="C487">
            <v>148132</v>
          </cell>
          <cell r="D487">
            <v>14621955.67</v>
          </cell>
        </row>
        <row r="488">
          <cell r="B488" t="str">
            <v>IB2MP</v>
          </cell>
          <cell r="C488">
            <v>1074</v>
          </cell>
          <cell r="D488">
            <v>175369.32</v>
          </cell>
        </row>
        <row r="489">
          <cell r="B489" t="str">
            <v>IB2SP</v>
          </cell>
          <cell r="C489">
            <v>12672</v>
          </cell>
          <cell r="D489">
            <v>1344327.83</v>
          </cell>
        </row>
        <row r="490">
          <cell r="B490" t="str">
            <v>PA1MP</v>
          </cell>
          <cell r="C490">
            <v>17598</v>
          </cell>
          <cell r="D490">
            <v>1919198.77</v>
          </cell>
        </row>
        <row r="491">
          <cell r="B491" t="str">
            <v>PA1SP</v>
          </cell>
          <cell r="C491">
            <v>332184</v>
          </cell>
          <cell r="D491">
            <v>26252848.73</v>
          </cell>
        </row>
        <row r="492">
          <cell r="B492" t="str">
            <v>PA2MP</v>
          </cell>
          <cell r="C492">
            <v>119</v>
          </cell>
          <cell r="D492">
            <v>12601.69</v>
          </cell>
        </row>
        <row r="493">
          <cell r="B493" t="str">
            <v>PA2SP</v>
          </cell>
          <cell r="C493">
            <v>11498</v>
          </cell>
          <cell r="D493">
            <v>918959.47</v>
          </cell>
        </row>
        <row r="494">
          <cell r="B494" t="str">
            <v>PB1MP</v>
          </cell>
          <cell r="C494">
            <v>5438</v>
          </cell>
          <cell r="D494">
            <v>648773.56999999995</v>
          </cell>
        </row>
        <row r="495">
          <cell r="B495" t="str">
            <v>PB1SP</v>
          </cell>
          <cell r="C495">
            <v>63676</v>
          </cell>
          <cell r="D495">
            <v>5614746.0199999996</v>
          </cell>
        </row>
        <row r="496">
          <cell r="B496" t="str">
            <v>PB2MP</v>
          </cell>
          <cell r="C496">
            <v>218</v>
          </cell>
          <cell r="D496">
            <v>24871.45</v>
          </cell>
        </row>
        <row r="497">
          <cell r="B497" t="str">
            <v>PB2SP</v>
          </cell>
          <cell r="C497">
            <v>4039</v>
          </cell>
          <cell r="D497">
            <v>347864.64</v>
          </cell>
        </row>
        <row r="498">
          <cell r="B498" t="str">
            <v>PC1MP</v>
          </cell>
          <cell r="C498">
            <v>3341</v>
          </cell>
          <cell r="D498">
            <v>443571.84</v>
          </cell>
        </row>
        <row r="499">
          <cell r="B499" t="str">
            <v>PC1SP</v>
          </cell>
          <cell r="C499">
            <v>51912</v>
          </cell>
          <cell r="D499">
            <v>4854903.1399999997</v>
          </cell>
        </row>
        <row r="500">
          <cell r="B500" t="str">
            <v>PC2MP</v>
          </cell>
          <cell r="C500">
            <v>37</v>
          </cell>
          <cell r="D500">
            <v>2479.62</v>
          </cell>
        </row>
        <row r="501">
          <cell r="B501" t="str">
            <v>PC2SP</v>
          </cell>
          <cell r="C501">
            <v>2492</v>
          </cell>
          <cell r="D501">
            <v>239668.53</v>
          </cell>
        </row>
        <row r="502">
          <cell r="B502" t="str">
            <v>PCEMP</v>
          </cell>
          <cell r="C502">
            <v>2177</v>
          </cell>
          <cell r="D502">
            <v>230483.20000000001</v>
          </cell>
        </row>
        <row r="503">
          <cell r="B503" t="str">
            <v>PCESP</v>
          </cell>
          <cell r="C503">
            <v>29631</v>
          </cell>
          <cell r="D503">
            <v>2402639.98</v>
          </cell>
        </row>
        <row r="504">
          <cell r="B504" t="str">
            <v>PD1MP</v>
          </cell>
          <cell r="C504">
            <v>39147</v>
          </cell>
          <cell r="D504">
            <v>5419984.5099999998</v>
          </cell>
        </row>
        <row r="505">
          <cell r="B505" t="str">
            <v>PD1SP</v>
          </cell>
          <cell r="C505">
            <v>453193</v>
          </cell>
          <cell r="D505">
            <v>45176630.549999997</v>
          </cell>
        </row>
        <row r="506">
          <cell r="B506" t="str">
            <v>PD2MP</v>
          </cell>
          <cell r="C506">
            <v>2292</v>
          </cell>
          <cell r="D506">
            <v>289130.93</v>
          </cell>
        </row>
        <row r="507">
          <cell r="B507" t="str">
            <v>PD2SP</v>
          </cell>
          <cell r="C507">
            <v>32957</v>
          </cell>
          <cell r="D507">
            <v>3529324.57</v>
          </cell>
        </row>
        <row r="508">
          <cell r="B508" t="str">
            <v>PE1MP</v>
          </cell>
          <cell r="C508">
            <v>17055</v>
          </cell>
          <cell r="D508">
            <v>2466968.86</v>
          </cell>
        </row>
        <row r="509">
          <cell r="B509" t="str">
            <v>PE1SP</v>
          </cell>
          <cell r="C509">
            <v>222596</v>
          </cell>
          <cell r="D509">
            <v>23523569.809999999</v>
          </cell>
        </row>
        <row r="510">
          <cell r="B510" t="str">
            <v>PE2MP</v>
          </cell>
          <cell r="C510">
            <v>2001</v>
          </cell>
          <cell r="D510">
            <v>271823.38</v>
          </cell>
        </row>
        <row r="511">
          <cell r="B511" t="str">
            <v>PE2SP</v>
          </cell>
          <cell r="C511">
            <v>21851</v>
          </cell>
          <cell r="D511">
            <v>2402254.79</v>
          </cell>
        </row>
        <row r="512">
          <cell r="B512" t="str">
            <v>RAAMP</v>
          </cell>
          <cell r="C512">
            <v>151414</v>
          </cell>
          <cell r="D512">
            <v>28189736.629999999</v>
          </cell>
        </row>
        <row r="513">
          <cell r="B513" t="str">
            <v>RAASP</v>
          </cell>
          <cell r="C513">
            <v>3020722</v>
          </cell>
          <cell r="D513">
            <v>404489986.77999997</v>
          </cell>
        </row>
        <row r="514">
          <cell r="B514" t="str">
            <v>RABMP</v>
          </cell>
          <cell r="C514">
            <v>146312</v>
          </cell>
          <cell r="D514">
            <v>31373631.530000001</v>
          </cell>
        </row>
        <row r="515">
          <cell r="B515" t="str">
            <v>RABSP</v>
          </cell>
          <cell r="C515">
            <v>2493576</v>
          </cell>
          <cell r="D515">
            <v>377258530.27999997</v>
          </cell>
        </row>
        <row r="516">
          <cell r="B516" t="str">
            <v>RACMP</v>
          </cell>
          <cell r="C516">
            <v>170959</v>
          </cell>
          <cell r="D516">
            <v>37686322.560000002</v>
          </cell>
        </row>
        <row r="517">
          <cell r="B517" t="str">
            <v>RACSP</v>
          </cell>
          <cell r="C517">
            <v>3003121</v>
          </cell>
          <cell r="D517">
            <v>489139653.35000002</v>
          </cell>
        </row>
        <row r="518">
          <cell r="B518" t="str">
            <v>RADMP</v>
          </cell>
          <cell r="C518">
            <v>79135</v>
          </cell>
          <cell r="D518">
            <v>19713182.84</v>
          </cell>
        </row>
        <row r="519">
          <cell r="B519" t="str">
            <v>RADSP</v>
          </cell>
          <cell r="C519">
            <v>1275387</v>
          </cell>
          <cell r="D519">
            <v>238386868.63</v>
          </cell>
        </row>
        <row r="520">
          <cell r="B520" t="str">
            <v>S5101MP</v>
          </cell>
          <cell r="C520">
            <v>582909.69999999995</v>
          </cell>
          <cell r="D520">
            <v>9115165.2300000004</v>
          </cell>
        </row>
        <row r="521">
          <cell r="B521" t="str">
            <v>S5101SK - Children 15 - 20</v>
          </cell>
          <cell r="C521">
            <v>25635</v>
          </cell>
          <cell r="D521">
            <v>394778.86</v>
          </cell>
        </row>
        <row r="522">
          <cell r="B522" t="str">
            <v>S5101SK - IDD</v>
          </cell>
          <cell r="C522">
            <v>425</v>
          </cell>
          <cell r="D522">
            <v>6495.19</v>
          </cell>
        </row>
        <row r="523">
          <cell r="B523" t="str">
            <v>S5101SP</v>
          </cell>
          <cell r="C523">
            <v>7943717.7000000002</v>
          </cell>
          <cell r="D523">
            <v>122525887.15000001</v>
          </cell>
        </row>
        <row r="524">
          <cell r="B524" t="str">
            <v>S5125MPU3</v>
          </cell>
          <cell r="C524">
            <v>4060299</v>
          </cell>
          <cell r="D524">
            <v>13376305.200000001</v>
          </cell>
        </row>
        <row r="525">
          <cell r="B525" t="str">
            <v>S5125MPU3U1</v>
          </cell>
          <cell r="C525">
            <v>1885409</v>
          </cell>
          <cell r="D525">
            <v>5799427.2700000005</v>
          </cell>
        </row>
        <row r="526">
          <cell r="B526" t="str">
            <v>S5125MPU3U1UC</v>
          </cell>
          <cell r="C526">
            <v>179043.8</v>
          </cell>
          <cell r="D526">
            <v>502084.80999999994</v>
          </cell>
        </row>
        <row r="527">
          <cell r="B527" t="str">
            <v>S5125MPU3U7</v>
          </cell>
          <cell r="C527">
            <v>13793298</v>
          </cell>
          <cell r="D527">
            <v>49198559.279999994</v>
          </cell>
        </row>
        <row r="528">
          <cell r="B528" t="str">
            <v>S5125MPU3U7UC</v>
          </cell>
          <cell r="C528">
            <v>1095343</v>
          </cell>
          <cell r="D528">
            <v>3524746.3600000003</v>
          </cell>
        </row>
        <row r="529">
          <cell r="B529" t="str">
            <v>S5125MPU3U7UD</v>
          </cell>
          <cell r="C529">
            <v>13098</v>
          </cell>
          <cell r="D529">
            <v>45540.909999999996</v>
          </cell>
        </row>
        <row r="530">
          <cell r="B530" t="str">
            <v>S5125MPU3UC</v>
          </cell>
          <cell r="C530">
            <v>307909.90000000002</v>
          </cell>
          <cell r="D530">
            <v>919612.46999999986</v>
          </cell>
        </row>
        <row r="531">
          <cell r="B531" t="str">
            <v>S5125MPU3UD</v>
          </cell>
          <cell r="C531">
            <v>368</v>
          </cell>
          <cell r="D531">
            <v>1067.2</v>
          </cell>
        </row>
        <row r="532">
          <cell r="B532" t="str">
            <v>S5125MPU5</v>
          </cell>
          <cell r="C532">
            <v>30053330</v>
          </cell>
          <cell r="D532">
            <v>97812446.98999998</v>
          </cell>
        </row>
        <row r="533">
          <cell r="B533" t="str">
            <v>S5125MPU5U7</v>
          </cell>
          <cell r="C533">
            <v>545735</v>
          </cell>
          <cell r="D533">
            <v>1931811.73</v>
          </cell>
        </row>
        <row r="534">
          <cell r="B534" t="str">
            <v>S5125MPU5U7UC</v>
          </cell>
          <cell r="C534">
            <v>31955.200000000001</v>
          </cell>
          <cell r="D534">
            <v>97757.720000000016</v>
          </cell>
        </row>
        <row r="535">
          <cell r="B535" t="str">
            <v>S5125MPU5UC</v>
          </cell>
          <cell r="C535">
            <v>1008002.9</v>
          </cell>
          <cell r="D535">
            <v>2875353.44</v>
          </cell>
        </row>
        <row r="536">
          <cell r="B536" t="str">
            <v>S5125MPU5UD</v>
          </cell>
          <cell r="C536">
            <v>2501</v>
          </cell>
          <cell r="D536">
            <v>7170.87</v>
          </cell>
        </row>
        <row r="537">
          <cell r="B537" t="str">
            <v>S5125SPU3</v>
          </cell>
          <cell r="C537">
            <v>66443619.5</v>
          </cell>
          <cell r="D537">
            <v>219266310.97</v>
          </cell>
        </row>
        <row r="538">
          <cell r="B538" t="str">
            <v>S5125SPU3U1</v>
          </cell>
          <cell r="C538">
            <v>16007062.9</v>
          </cell>
          <cell r="D538">
            <v>50070569.489999995</v>
          </cell>
        </row>
        <row r="539">
          <cell r="B539" t="str">
            <v>S5125SPU3U1UC</v>
          </cell>
          <cell r="C539">
            <v>2631560.7999999998</v>
          </cell>
          <cell r="D539">
            <v>7524640.2899999991</v>
          </cell>
        </row>
        <row r="540">
          <cell r="B540" t="str">
            <v>S5125SPU3U1UD</v>
          </cell>
          <cell r="C540">
            <v>4392</v>
          </cell>
          <cell r="D540">
            <v>14125.56</v>
          </cell>
        </row>
        <row r="541">
          <cell r="B541" t="str">
            <v>S5125SPU3U7</v>
          </cell>
          <cell r="C541">
            <v>178126101.30000001</v>
          </cell>
          <cell r="D541">
            <v>636433761.62999988</v>
          </cell>
        </row>
        <row r="542">
          <cell r="B542" t="str">
            <v>S5125SPU3U7UC</v>
          </cell>
          <cell r="C542">
            <v>18440139.199999999</v>
          </cell>
          <cell r="D542">
            <v>58466411.580000021</v>
          </cell>
        </row>
        <row r="543">
          <cell r="B543" t="str">
            <v>S5125SPU3U7UD</v>
          </cell>
          <cell r="C543">
            <v>178353</v>
          </cell>
          <cell r="D543">
            <v>609965.13</v>
          </cell>
        </row>
        <row r="544">
          <cell r="B544" t="str">
            <v>S5125SPU3UC</v>
          </cell>
          <cell r="C544">
            <v>6646700.6000000006</v>
          </cell>
          <cell r="D544">
            <v>19275958.220000003</v>
          </cell>
        </row>
        <row r="545">
          <cell r="B545" t="str">
            <v>S5125SPU3UD</v>
          </cell>
          <cell r="C545">
            <v>23819</v>
          </cell>
          <cell r="D545">
            <v>72844.399999999994</v>
          </cell>
        </row>
        <row r="546">
          <cell r="B546" t="str">
            <v>S5125SPU5</v>
          </cell>
          <cell r="C546">
            <v>376568888.89999998</v>
          </cell>
          <cell r="D546">
            <v>1226741725.9899998</v>
          </cell>
        </row>
        <row r="547">
          <cell r="B547" t="str">
            <v>S5125SPU5U7</v>
          </cell>
          <cell r="C547">
            <v>8839046</v>
          </cell>
          <cell r="D547">
            <v>31365574.189999998</v>
          </cell>
        </row>
        <row r="548">
          <cell r="B548" t="str">
            <v>S5125SPU5U7UC</v>
          </cell>
          <cell r="C548">
            <v>824347.29999999993</v>
          </cell>
          <cell r="D548">
            <v>2548415.4000000004</v>
          </cell>
        </row>
        <row r="549">
          <cell r="B549" t="str">
            <v>S5125SPU5U7UD</v>
          </cell>
          <cell r="C549">
            <v>9919</v>
          </cell>
          <cell r="D549">
            <v>36067.82</v>
          </cell>
        </row>
        <row r="550">
          <cell r="B550" t="str">
            <v>S5125SPU5UC</v>
          </cell>
          <cell r="C550">
            <v>15740805</v>
          </cell>
          <cell r="D550">
            <v>43788013.549999997</v>
          </cell>
        </row>
        <row r="551">
          <cell r="B551" t="str">
            <v>S5125SPU5UD</v>
          </cell>
          <cell r="C551">
            <v>151653</v>
          </cell>
          <cell r="D551">
            <v>471980.58999999997</v>
          </cell>
        </row>
        <row r="552">
          <cell r="B552" t="str">
            <v>S5140MPU1</v>
          </cell>
          <cell r="C552">
            <v>228</v>
          </cell>
          <cell r="D552">
            <v>13852.32</v>
          </cell>
        </row>
        <row r="553">
          <cell r="B553" t="str">
            <v>S5140MPU2</v>
          </cell>
          <cell r="C553">
            <v>1148</v>
          </cell>
          <cell r="D553">
            <v>37770.67</v>
          </cell>
        </row>
        <row r="554">
          <cell r="B554" t="str">
            <v>S5140MPU3</v>
          </cell>
          <cell r="C554">
            <v>5720</v>
          </cell>
          <cell r="D554">
            <v>372270.06</v>
          </cell>
        </row>
        <row r="555">
          <cell r="B555" t="str">
            <v>S5140SPU1</v>
          </cell>
          <cell r="C555">
            <v>577</v>
          </cell>
          <cell r="D555">
            <v>23102.1</v>
          </cell>
        </row>
        <row r="556">
          <cell r="B556" t="str">
            <v>S5140SPU2</v>
          </cell>
          <cell r="C556">
            <v>10680</v>
          </cell>
          <cell r="D556">
            <v>350636.61000000004</v>
          </cell>
        </row>
        <row r="557">
          <cell r="B557" t="str">
            <v>S5140SPU3</v>
          </cell>
          <cell r="C557">
            <v>21517</v>
          </cell>
          <cell r="D557">
            <v>1397025.9100000001</v>
          </cell>
        </row>
        <row r="558">
          <cell r="B558" t="str">
            <v>S5151MPU8UAU1</v>
          </cell>
          <cell r="C558">
            <v>8</v>
          </cell>
          <cell r="D558">
            <v>79.52</v>
          </cell>
        </row>
        <row r="559">
          <cell r="B559" t="str">
            <v>S5151MPUC</v>
          </cell>
          <cell r="C559">
            <v>123</v>
          </cell>
          <cell r="D559">
            <v>14437.36</v>
          </cell>
        </row>
        <row r="560">
          <cell r="B560" t="str">
            <v>S5151SH</v>
          </cell>
          <cell r="C560">
            <v>7481</v>
          </cell>
          <cell r="D560">
            <v>18333.060000000001</v>
          </cell>
        </row>
        <row r="561">
          <cell r="B561" t="str">
            <v>S5151SK - MDCP</v>
          </cell>
          <cell r="C561">
            <v>2633</v>
          </cell>
          <cell r="D561">
            <v>3910.86</v>
          </cell>
        </row>
        <row r="562">
          <cell r="B562" t="str">
            <v>S5151SPU8U9U4</v>
          </cell>
          <cell r="C562">
            <v>4</v>
          </cell>
          <cell r="D562">
            <v>425.32</v>
          </cell>
        </row>
        <row r="563">
          <cell r="B563" t="str">
            <v>S5151SPU8UAU3</v>
          </cell>
          <cell r="C563">
            <v>5</v>
          </cell>
          <cell r="D563">
            <v>9177</v>
          </cell>
        </row>
        <row r="564">
          <cell r="B564" t="str">
            <v>S5151SPU8UAU6</v>
          </cell>
          <cell r="C564">
            <v>31</v>
          </cell>
          <cell r="D564">
            <v>835</v>
          </cell>
        </row>
        <row r="565">
          <cell r="B565" t="str">
            <v>S5151SPU8UBU6</v>
          </cell>
          <cell r="C565">
            <v>1</v>
          </cell>
          <cell r="D565">
            <v>158.69999999999999</v>
          </cell>
        </row>
        <row r="566">
          <cell r="B566" t="str">
            <v>S5151SPUC</v>
          </cell>
          <cell r="C566">
            <v>1424</v>
          </cell>
          <cell r="D566">
            <v>152677.17000000001</v>
          </cell>
        </row>
        <row r="567">
          <cell r="B567" t="str">
            <v>S5160MP</v>
          </cell>
          <cell r="C567">
            <v>233</v>
          </cell>
          <cell r="D567">
            <v>8905</v>
          </cell>
        </row>
        <row r="568">
          <cell r="B568" t="str">
            <v>S5160SP</v>
          </cell>
          <cell r="C568">
            <v>2154</v>
          </cell>
          <cell r="D568">
            <v>99141.64</v>
          </cell>
        </row>
        <row r="569">
          <cell r="B569" t="str">
            <v>S5161MPU3</v>
          </cell>
          <cell r="C569">
            <v>4687</v>
          </cell>
          <cell r="D569">
            <v>138489.92000000001</v>
          </cell>
        </row>
        <row r="570">
          <cell r="B570" t="str">
            <v>S5161MPU3U7</v>
          </cell>
          <cell r="C570">
            <v>4537</v>
          </cell>
          <cell r="D570">
            <v>134935.62000000002</v>
          </cell>
        </row>
        <row r="571">
          <cell r="B571" t="str">
            <v>S5161MPU5U7</v>
          </cell>
          <cell r="C571">
            <v>401</v>
          </cell>
          <cell r="D571">
            <v>11927.61</v>
          </cell>
        </row>
        <row r="572">
          <cell r="B572" t="str">
            <v>S5161SPU3</v>
          </cell>
          <cell r="C572">
            <v>121034</v>
          </cell>
          <cell r="D572">
            <v>3587511.2800000007</v>
          </cell>
        </row>
        <row r="573">
          <cell r="B573" t="str">
            <v>S5161SPU3U7</v>
          </cell>
          <cell r="C573">
            <v>106403</v>
          </cell>
          <cell r="D573">
            <v>3164976.6599999997</v>
          </cell>
        </row>
        <row r="574">
          <cell r="B574" t="str">
            <v>S5161SPU5U7</v>
          </cell>
          <cell r="C574">
            <v>5310</v>
          </cell>
          <cell r="D574">
            <v>157726.99</v>
          </cell>
        </row>
        <row r="575">
          <cell r="B575" t="str">
            <v>S5170MP</v>
          </cell>
          <cell r="C575">
            <v>157492</v>
          </cell>
          <cell r="D575">
            <v>982526.8400000002</v>
          </cell>
        </row>
        <row r="576">
          <cell r="B576" t="str">
            <v>S5170SP</v>
          </cell>
          <cell r="C576">
            <v>5199571.5</v>
          </cell>
          <cell r="D576">
            <v>32342022.939999998</v>
          </cell>
        </row>
        <row r="577">
          <cell r="B577" t="str">
            <v>S9123MPU3</v>
          </cell>
          <cell r="C577">
            <v>5732</v>
          </cell>
          <cell r="D577">
            <v>228114.42</v>
          </cell>
        </row>
        <row r="578">
          <cell r="B578" t="str">
            <v>S9123MPU3UA</v>
          </cell>
          <cell r="C578">
            <v>185</v>
          </cell>
          <cell r="D578">
            <v>9218.48</v>
          </cell>
        </row>
        <row r="579">
          <cell r="B579" t="str">
            <v>S9123SPU3</v>
          </cell>
          <cell r="C579">
            <v>94879.2</v>
          </cell>
          <cell r="D579">
            <v>4045464.2800000003</v>
          </cell>
        </row>
        <row r="580">
          <cell r="B580" t="str">
            <v>S9123SPU3UA</v>
          </cell>
          <cell r="C580">
            <v>76009.3</v>
          </cell>
          <cell r="D580">
            <v>3851980.6000000006</v>
          </cell>
        </row>
        <row r="581">
          <cell r="B581" t="str">
            <v>S9123SPU3UC</v>
          </cell>
          <cell r="C581">
            <v>10173.199999999999</v>
          </cell>
          <cell r="D581">
            <v>439960.69</v>
          </cell>
        </row>
        <row r="582">
          <cell r="B582" t="str">
            <v>S9123SPU3UCUA</v>
          </cell>
          <cell r="C582">
            <v>5540.4</v>
          </cell>
          <cell r="D582">
            <v>267263.23</v>
          </cell>
        </row>
        <row r="583">
          <cell r="B583" t="str">
            <v>S9124MPU3</v>
          </cell>
          <cell r="C583">
            <v>78890.2</v>
          </cell>
          <cell r="D583">
            <v>2201524.13</v>
          </cell>
        </row>
        <row r="584">
          <cell r="B584" t="str">
            <v>S9124MPU3UA</v>
          </cell>
          <cell r="C584">
            <v>24271</v>
          </cell>
          <cell r="D584">
            <v>878235.7</v>
          </cell>
        </row>
        <row r="585">
          <cell r="B585" t="str">
            <v>S9124MPU3UC</v>
          </cell>
          <cell r="C585">
            <v>2948</v>
          </cell>
          <cell r="D585">
            <v>83882.47</v>
          </cell>
        </row>
        <row r="586">
          <cell r="B586" t="str">
            <v>S9124MPU3UDUA</v>
          </cell>
          <cell r="C586">
            <v>432</v>
          </cell>
          <cell r="D586">
            <v>13966.960000000001</v>
          </cell>
        </row>
        <row r="587">
          <cell r="B587" t="str">
            <v>S9124SPU3</v>
          </cell>
          <cell r="C587">
            <v>1663946.1</v>
          </cell>
          <cell r="D587">
            <v>55688669.700000003</v>
          </cell>
        </row>
        <row r="588">
          <cell r="B588" t="str">
            <v>S9124SPU3UA</v>
          </cell>
          <cell r="C588">
            <v>748551.8</v>
          </cell>
          <cell r="D588">
            <v>25546212.259999998</v>
          </cell>
        </row>
        <row r="589">
          <cell r="B589" t="str">
            <v>S9124SPU3UC</v>
          </cell>
          <cell r="C589">
            <v>128004.09999999999</v>
          </cell>
          <cell r="D589">
            <v>3663093.9699999993</v>
          </cell>
        </row>
        <row r="590">
          <cell r="B590" t="str">
            <v>S9124SPU3UCUA</v>
          </cell>
          <cell r="C590">
            <v>46418.1</v>
          </cell>
          <cell r="D590">
            <v>1531020.6400000001</v>
          </cell>
        </row>
        <row r="591">
          <cell r="B591" t="str">
            <v>S9124SPU3UDUA</v>
          </cell>
          <cell r="C591">
            <v>2211</v>
          </cell>
          <cell r="D591">
            <v>74735.839999999997</v>
          </cell>
        </row>
        <row r="592">
          <cell r="B592" t="str">
            <v>S9128SPU3</v>
          </cell>
          <cell r="C592">
            <v>456.2</v>
          </cell>
          <cell r="D592">
            <v>34786.340000000004</v>
          </cell>
        </row>
        <row r="593">
          <cell r="B593" t="str">
            <v>S9128SPU3UC</v>
          </cell>
          <cell r="C593">
            <v>8</v>
          </cell>
          <cell r="D593">
            <v>607.31999999999994</v>
          </cell>
        </row>
        <row r="594">
          <cell r="B594" t="str">
            <v>S9129MPU3</v>
          </cell>
          <cell r="C594">
            <v>8</v>
          </cell>
          <cell r="D594">
            <v>1600</v>
          </cell>
        </row>
        <row r="595">
          <cell r="B595" t="str">
            <v>S9129SPU3</v>
          </cell>
          <cell r="C595">
            <v>1216.5999999999999</v>
          </cell>
          <cell r="D595">
            <v>100245.02</v>
          </cell>
        </row>
        <row r="596">
          <cell r="B596" t="str">
            <v>S9129SPU3UC</v>
          </cell>
          <cell r="C596">
            <v>10</v>
          </cell>
          <cell r="D596">
            <v>724.5</v>
          </cell>
        </row>
        <row r="597">
          <cell r="B597" t="str">
            <v>S9131MPU3</v>
          </cell>
          <cell r="C597">
            <v>31</v>
          </cell>
          <cell r="D597">
            <v>4986.8700000000008</v>
          </cell>
        </row>
        <row r="598">
          <cell r="B598" t="str">
            <v>S9131SPU3</v>
          </cell>
          <cell r="C598">
            <v>3044</v>
          </cell>
          <cell r="D598">
            <v>256580.05</v>
          </cell>
        </row>
        <row r="599">
          <cell r="B599" t="str">
            <v>S9131SPU3UC</v>
          </cell>
          <cell r="C599">
            <v>113</v>
          </cell>
          <cell r="D599">
            <v>11280.900000000001</v>
          </cell>
        </row>
        <row r="600">
          <cell r="B600" t="str">
            <v>S9482SHU4U1</v>
          </cell>
          <cell r="C600">
            <v>1095</v>
          </cell>
          <cell r="D600">
            <v>82156.55</v>
          </cell>
        </row>
        <row r="601">
          <cell r="B601" t="str">
            <v>S9482SKTDU1 - MDCP</v>
          </cell>
          <cell r="C601">
            <v>484</v>
          </cell>
          <cell r="D601">
            <v>5251.4</v>
          </cell>
        </row>
        <row r="602">
          <cell r="B602" t="str">
            <v>S9482SKTEU7UC - MDCP</v>
          </cell>
          <cell r="C602">
            <v>1128</v>
          </cell>
          <cell r="D602">
            <v>9345.48</v>
          </cell>
        </row>
        <row r="603">
          <cell r="B603" t="str">
            <v>S9482SKTEUC - MDCP</v>
          </cell>
          <cell r="C603">
            <v>978</v>
          </cell>
          <cell r="D603">
            <v>7012.26</v>
          </cell>
        </row>
        <row r="604">
          <cell r="B604" t="str">
            <v>S9482SKU4TDU1 - MDCP</v>
          </cell>
          <cell r="C604">
            <v>2069</v>
          </cell>
          <cell r="D604">
            <v>6765.63</v>
          </cell>
        </row>
        <row r="605">
          <cell r="B605" t="str">
            <v>S9482SKU4U1 - MDCP</v>
          </cell>
          <cell r="C605">
            <v>49833</v>
          </cell>
          <cell r="D605">
            <v>142464.30000000002</v>
          </cell>
        </row>
        <row r="606">
          <cell r="B606" t="str">
            <v>S9482SKU4U1 - Children 15  -  20</v>
          </cell>
          <cell r="C606">
            <v>24</v>
          </cell>
          <cell r="D606">
            <v>72.48</v>
          </cell>
        </row>
        <row r="607">
          <cell r="B607" t="str">
            <v>S9482SKU4U1 - Children 6  -  14</v>
          </cell>
          <cell r="C607">
            <v>132</v>
          </cell>
          <cell r="D607">
            <v>396.52</v>
          </cell>
        </row>
        <row r="608">
          <cell r="B608" t="str">
            <v>S9482SKU4UC - MDCP</v>
          </cell>
          <cell r="C608">
            <v>112480.3</v>
          </cell>
          <cell r="D608">
            <v>315306.82</v>
          </cell>
        </row>
        <row r="609">
          <cell r="B609" t="str">
            <v>SE1MP</v>
          </cell>
          <cell r="C609">
            <v>5808</v>
          </cell>
          <cell r="D609">
            <v>1225405.48</v>
          </cell>
        </row>
        <row r="610">
          <cell r="B610" t="str">
            <v>SE1SP</v>
          </cell>
          <cell r="C610">
            <v>88597</v>
          </cell>
          <cell r="D610">
            <v>14841258.52</v>
          </cell>
        </row>
        <row r="611">
          <cell r="B611" t="str">
            <v>SE2MP</v>
          </cell>
          <cell r="C611">
            <v>76617</v>
          </cell>
          <cell r="D611">
            <v>19452718.239999998</v>
          </cell>
        </row>
        <row r="612">
          <cell r="B612" t="str">
            <v>SE2SP</v>
          </cell>
          <cell r="C612">
            <v>1426027</v>
          </cell>
          <cell r="D612">
            <v>272500266.49000001</v>
          </cell>
        </row>
        <row r="613">
          <cell r="B613" t="str">
            <v>SE3MP</v>
          </cell>
          <cell r="C613">
            <v>28128</v>
          </cell>
          <cell r="D613">
            <v>8353034.4000000004</v>
          </cell>
        </row>
        <row r="614">
          <cell r="B614" t="str">
            <v>SE3SP</v>
          </cell>
          <cell r="C614">
            <v>430977</v>
          </cell>
          <cell r="D614">
            <v>97568541.680000007</v>
          </cell>
        </row>
        <row r="615">
          <cell r="B615" t="str">
            <v>SSAMP</v>
          </cell>
          <cell r="C615">
            <v>23722</v>
          </cell>
          <cell r="D615">
            <v>4810252.92</v>
          </cell>
        </row>
        <row r="616">
          <cell r="B616" t="str">
            <v>SSASP</v>
          </cell>
          <cell r="C616">
            <v>494045</v>
          </cell>
          <cell r="D616">
            <v>75744372.120000005</v>
          </cell>
        </row>
        <row r="617">
          <cell r="B617" t="str">
            <v>SSBMP</v>
          </cell>
          <cell r="C617">
            <v>8119</v>
          </cell>
          <cell r="D617">
            <v>1564618.93</v>
          </cell>
        </row>
        <row r="618">
          <cell r="B618" t="str">
            <v>SSBSP</v>
          </cell>
          <cell r="C618">
            <v>112958</v>
          </cell>
          <cell r="D618">
            <v>17277939.289999999</v>
          </cell>
        </row>
        <row r="619">
          <cell r="B619" t="str">
            <v>SSCMP</v>
          </cell>
          <cell r="C619">
            <v>9806</v>
          </cell>
          <cell r="D619">
            <v>1954258.78</v>
          </cell>
        </row>
        <row r="620">
          <cell r="B620" t="str">
            <v>SSCSP</v>
          </cell>
          <cell r="C620">
            <v>118061</v>
          </cell>
          <cell r="D620">
            <v>19532089.989999998</v>
          </cell>
        </row>
        <row r="621">
          <cell r="B621" t="str">
            <v>T1001SP</v>
          </cell>
          <cell r="C621">
            <v>5307</v>
          </cell>
          <cell r="D621">
            <v>247431.08</v>
          </cell>
        </row>
        <row r="622">
          <cell r="B622" t="str">
            <v>T1005MPU3</v>
          </cell>
          <cell r="C622">
            <v>3039164</v>
          </cell>
          <cell r="D622">
            <v>7630445.7500000009</v>
          </cell>
        </row>
        <row r="623">
          <cell r="B623" t="str">
            <v>T1005MPU3UC</v>
          </cell>
          <cell r="C623">
            <v>234995.20000000001</v>
          </cell>
          <cell r="D623">
            <v>571192.8600000001</v>
          </cell>
        </row>
        <row r="624">
          <cell r="B624" t="str">
            <v>T1005MPU3UD</v>
          </cell>
          <cell r="C624">
            <v>4327</v>
          </cell>
          <cell r="D624">
            <v>5719.83</v>
          </cell>
        </row>
        <row r="625">
          <cell r="B625" t="str">
            <v>T1005SHTDU1</v>
          </cell>
          <cell r="C625">
            <v>3752</v>
          </cell>
          <cell r="D625">
            <v>36987.200000000004</v>
          </cell>
        </row>
        <row r="626">
          <cell r="B626" t="str">
            <v>T1005SHTEU1</v>
          </cell>
          <cell r="C626">
            <v>21357</v>
          </cell>
          <cell r="D626">
            <v>158473.33000000002</v>
          </cell>
        </row>
        <row r="627">
          <cell r="B627" t="str">
            <v>T1005SHTEU7UC</v>
          </cell>
          <cell r="C627">
            <v>1050</v>
          </cell>
          <cell r="D627">
            <v>7528.5</v>
          </cell>
        </row>
        <row r="628">
          <cell r="B628" t="str">
            <v>T1005SHTEUC</v>
          </cell>
          <cell r="C628">
            <v>3731</v>
          </cell>
          <cell r="D628">
            <v>26521.829999999998</v>
          </cell>
        </row>
        <row r="629">
          <cell r="B629" t="str">
            <v>T1005SHU4U1</v>
          </cell>
          <cell r="C629">
            <v>98446</v>
          </cell>
          <cell r="D629">
            <v>293730.52</v>
          </cell>
        </row>
        <row r="630">
          <cell r="B630" t="str">
            <v>T1005SHU4UC</v>
          </cell>
          <cell r="C630">
            <v>330972.79999999999</v>
          </cell>
          <cell r="D630">
            <v>924609.92999999993</v>
          </cell>
        </row>
        <row r="631">
          <cell r="B631" t="str">
            <v>T1005SKTDU1 - Avg SK Child Age</v>
          </cell>
          <cell r="C631">
            <v>96</v>
          </cell>
          <cell r="D631">
            <v>1041.5999999999999</v>
          </cell>
        </row>
        <row r="632">
          <cell r="B632" t="str">
            <v>T1005SKTDU1 - Children 15 - 20</v>
          </cell>
          <cell r="C632">
            <v>4</v>
          </cell>
          <cell r="D632">
            <v>43.4</v>
          </cell>
        </row>
        <row r="633">
          <cell r="B633" t="str">
            <v>T1005SKTDU1 - Children 6 - 14</v>
          </cell>
          <cell r="C633">
            <v>160</v>
          </cell>
          <cell r="D633">
            <v>1735.9900000000002</v>
          </cell>
        </row>
        <row r="634">
          <cell r="B634" t="str">
            <v>T1005SKTDU1 - MDCP</v>
          </cell>
          <cell r="C634">
            <v>134102.29999999999</v>
          </cell>
          <cell r="D634">
            <v>1450520.1800000004</v>
          </cell>
        </row>
        <row r="635">
          <cell r="B635" t="str">
            <v>T1005SKTDU1 - Children 6  -  14</v>
          </cell>
          <cell r="C635">
            <v>223</v>
          </cell>
          <cell r="D635">
            <v>2419.5500000000002</v>
          </cell>
        </row>
        <row r="636">
          <cell r="B636" t="str">
            <v>T1005SKTDU7U1 - Children 6 - 14</v>
          </cell>
          <cell r="C636">
            <v>112</v>
          </cell>
          <cell r="D636">
            <v>1397.76</v>
          </cell>
        </row>
        <row r="637">
          <cell r="B637" t="str">
            <v>T1005SKTDU7U1 - MDCP</v>
          </cell>
          <cell r="C637">
            <v>24133</v>
          </cell>
          <cell r="D637">
            <v>290596.03999999998</v>
          </cell>
        </row>
        <row r="638">
          <cell r="B638" t="str">
            <v>T1005SKTDU7U1 - Children 6  -  14</v>
          </cell>
          <cell r="C638">
            <v>313</v>
          </cell>
          <cell r="D638">
            <v>3906.24</v>
          </cell>
        </row>
        <row r="639">
          <cell r="B639" t="str">
            <v>T1005SKTDU7UC - MDCP</v>
          </cell>
          <cell r="C639">
            <v>5808</v>
          </cell>
          <cell r="D639">
            <v>71028.42</v>
          </cell>
        </row>
        <row r="640">
          <cell r="B640" t="str">
            <v>T1005SKTDU7UC - Children 1  -  5</v>
          </cell>
          <cell r="C640">
            <v>830</v>
          </cell>
          <cell r="D640">
            <v>10150.17</v>
          </cell>
        </row>
        <row r="641">
          <cell r="B641" t="str">
            <v>T1005SKTDUC - Children 15 - 20</v>
          </cell>
          <cell r="C641">
            <v>492</v>
          </cell>
          <cell r="D641">
            <v>5214.6499999999996</v>
          </cell>
        </row>
        <row r="642">
          <cell r="B642" t="str">
            <v>T1005SKTDUC - MDCP</v>
          </cell>
          <cell r="C642">
            <v>37425.1</v>
          </cell>
          <cell r="D642">
            <v>398834.6</v>
          </cell>
        </row>
        <row r="643">
          <cell r="B643" t="str">
            <v>T1005SKTDUC - Children 15  -  20</v>
          </cell>
          <cell r="C643">
            <v>653</v>
          </cell>
          <cell r="D643">
            <v>6920.3499999999995</v>
          </cell>
        </row>
        <row r="644">
          <cell r="B644" t="str">
            <v>T1005SKTEU1 - Avg SK Child Age</v>
          </cell>
          <cell r="C644">
            <v>4</v>
          </cell>
          <cell r="D644">
            <v>29.68</v>
          </cell>
        </row>
        <row r="645">
          <cell r="B645" t="str">
            <v>T1005SKTEU1 - Children 1 - 5</v>
          </cell>
          <cell r="C645">
            <v>329</v>
          </cell>
          <cell r="D645">
            <v>3512.51</v>
          </cell>
        </row>
        <row r="646">
          <cell r="B646" t="str">
            <v>T1005SKTEU1 - Children 15 - 20</v>
          </cell>
          <cell r="C646">
            <v>494</v>
          </cell>
          <cell r="D646">
            <v>3665.99</v>
          </cell>
        </row>
        <row r="647">
          <cell r="B647" t="str">
            <v>T1005SKTEU1 - MDCP</v>
          </cell>
          <cell r="C647">
            <v>889331.29999999993</v>
          </cell>
          <cell r="D647">
            <v>6647039.5700000003</v>
          </cell>
        </row>
        <row r="648">
          <cell r="B648" t="str">
            <v>T1005SKTEU1 - Children 15  -  20</v>
          </cell>
          <cell r="C648">
            <v>78</v>
          </cell>
          <cell r="D648">
            <v>578.96</v>
          </cell>
        </row>
        <row r="649">
          <cell r="B649" t="str">
            <v>T1005SKTEU7U1 - Avg SK Child Age</v>
          </cell>
          <cell r="C649">
            <v>41</v>
          </cell>
          <cell r="D649">
            <v>375.98</v>
          </cell>
        </row>
        <row r="650">
          <cell r="B650" t="str">
            <v>T1005SKTEU7U1 - Children 1 - 5</v>
          </cell>
          <cell r="C650">
            <v>68</v>
          </cell>
          <cell r="D650">
            <v>580.72</v>
          </cell>
        </row>
        <row r="651">
          <cell r="B651" t="str">
            <v>T1005SKTEU7U1 - Children 6 - 14</v>
          </cell>
          <cell r="C651">
            <v>243</v>
          </cell>
          <cell r="D651">
            <v>2075.2199999999998</v>
          </cell>
        </row>
        <row r="652">
          <cell r="B652" t="str">
            <v>T1005SKTEU7U1 - IDD</v>
          </cell>
          <cell r="C652">
            <v>1083</v>
          </cell>
          <cell r="D652">
            <v>9248.8200000000015</v>
          </cell>
        </row>
        <row r="653">
          <cell r="B653" t="str">
            <v>T1005SKTEU7U1 - MDCP</v>
          </cell>
          <cell r="C653">
            <v>210610.2</v>
          </cell>
          <cell r="D653">
            <v>1837306.0200000003</v>
          </cell>
        </row>
        <row r="654">
          <cell r="B654" t="str">
            <v>T1005SKTEU7UC - MDCP</v>
          </cell>
          <cell r="C654">
            <v>13105</v>
          </cell>
          <cell r="D654">
            <v>106357.36000000002</v>
          </cell>
        </row>
        <row r="655">
          <cell r="B655" t="str">
            <v>T1005SKTEUC - Children 6 - 14</v>
          </cell>
          <cell r="C655">
            <v>36</v>
          </cell>
          <cell r="D655">
            <v>258.12</v>
          </cell>
        </row>
        <row r="656">
          <cell r="B656" t="str">
            <v>T1005SKTEUC - MDCP</v>
          </cell>
          <cell r="C656">
            <v>88693.8</v>
          </cell>
          <cell r="D656">
            <v>637771.46999999986</v>
          </cell>
        </row>
        <row r="657">
          <cell r="B657" t="str">
            <v>T1005SKU4TDU1 - MDCP</v>
          </cell>
          <cell r="C657">
            <v>103290</v>
          </cell>
          <cell r="D657">
            <v>333684.02000000008</v>
          </cell>
        </row>
        <row r="658">
          <cell r="B658" t="str">
            <v>T1005SKU4TDU2 - MDCP</v>
          </cell>
          <cell r="C658">
            <v>2793</v>
          </cell>
          <cell r="D658">
            <v>9133.11</v>
          </cell>
        </row>
        <row r="659">
          <cell r="B659" t="str">
            <v>T1005SKU4TDUC - MDCP</v>
          </cell>
          <cell r="C659">
            <v>23817</v>
          </cell>
          <cell r="D659">
            <v>68651.38</v>
          </cell>
        </row>
        <row r="660">
          <cell r="B660" t="str">
            <v>T1005SKU4U1 - Avg SK Child Age</v>
          </cell>
          <cell r="C660">
            <v>2608</v>
          </cell>
          <cell r="D660">
            <v>7828.68</v>
          </cell>
        </row>
        <row r="661">
          <cell r="B661" t="str">
            <v>T1005SKU4U1 - Children 15 - 20</v>
          </cell>
          <cell r="C661">
            <v>5154</v>
          </cell>
          <cell r="D661">
            <v>15549.48</v>
          </cell>
        </row>
        <row r="662">
          <cell r="B662" t="str">
            <v>T1005SKU4U1 - Children 6 - 14</v>
          </cell>
          <cell r="C662">
            <v>3600</v>
          </cell>
          <cell r="D662">
            <v>10782.109999999999</v>
          </cell>
        </row>
        <row r="663">
          <cell r="B663" t="str">
            <v>T1005SKU4U1 - MDCP</v>
          </cell>
          <cell r="C663">
            <v>6303140.7000000002</v>
          </cell>
          <cell r="D663">
            <v>18706831.489999998</v>
          </cell>
        </row>
        <row r="664">
          <cell r="B664" t="str">
            <v>T1005SKU4U1 - Children 15  -  20</v>
          </cell>
          <cell r="C664">
            <v>613</v>
          </cell>
          <cell r="D664">
            <v>1851.26</v>
          </cell>
        </row>
        <row r="665">
          <cell r="B665" t="str">
            <v>T1005SKU4U1 - IDD</v>
          </cell>
          <cell r="C665">
            <v>11</v>
          </cell>
          <cell r="D665">
            <v>33.22</v>
          </cell>
        </row>
        <row r="666">
          <cell r="B666" t="str">
            <v>T1005SKU4U2 - MDCP</v>
          </cell>
          <cell r="C666">
            <v>2808</v>
          </cell>
          <cell r="D666">
            <v>7645.14</v>
          </cell>
        </row>
        <row r="667">
          <cell r="B667" t="str">
            <v>T1005SKU4UC - Avg SK Child Age</v>
          </cell>
          <cell r="C667">
            <v>35581.699999999997</v>
          </cell>
          <cell r="D667">
            <v>100268.87999999999</v>
          </cell>
        </row>
        <row r="668">
          <cell r="B668" t="str">
            <v>T1005SKU4UC - Children 15 - 20</v>
          </cell>
          <cell r="C668">
            <v>9288</v>
          </cell>
          <cell r="D668">
            <v>26192.06</v>
          </cell>
        </row>
        <row r="669">
          <cell r="B669" t="str">
            <v>T1005SKU4UC - Children 6 - 14</v>
          </cell>
          <cell r="C669">
            <v>5457</v>
          </cell>
          <cell r="D669">
            <v>15382.349999999999</v>
          </cell>
        </row>
        <row r="670">
          <cell r="B670" t="str">
            <v>T1005SKU4UC - IDD</v>
          </cell>
          <cell r="C670">
            <v>2515</v>
          </cell>
          <cell r="D670">
            <v>7040.01</v>
          </cell>
        </row>
        <row r="671">
          <cell r="B671" t="str">
            <v>T1005SKU4UC - MDCP</v>
          </cell>
          <cell r="C671">
            <v>13568143.000000002</v>
          </cell>
          <cell r="D671">
            <v>37940077.050000004</v>
          </cell>
        </row>
        <row r="672">
          <cell r="B672" t="str">
            <v>T1005SKU4UC - Children 1  -  5</v>
          </cell>
          <cell r="C672">
            <v>2799</v>
          </cell>
          <cell r="D672">
            <v>7893.18</v>
          </cell>
        </row>
        <row r="673">
          <cell r="B673" t="str">
            <v>T1005SKU4UC - Children 15  -  20</v>
          </cell>
          <cell r="C673">
            <v>4825</v>
          </cell>
          <cell r="D673">
            <v>13597.970000000001</v>
          </cell>
        </row>
        <row r="674">
          <cell r="B674" t="str">
            <v>T1005SKU4UC - Children 6  -  14</v>
          </cell>
          <cell r="C674">
            <v>199</v>
          </cell>
          <cell r="D674">
            <v>560.19000000000005</v>
          </cell>
        </row>
        <row r="675">
          <cell r="B675" t="str">
            <v>T1005SPU3</v>
          </cell>
          <cell r="C675">
            <v>33240428.800000001</v>
          </cell>
          <cell r="D675">
            <v>84658930.139999986</v>
          </cell>
        </row>
        <row r="676">
          <cell r="B676" t="str">
            <v>T1005SPU3UC</v>
          </cell>
          <cell r="C676">
            <v>3695491.7</v>
          </cell>
          <cell r="D676">
            <v>8876055.2100000009</v>
          </cell>
        </row>
        <row r="677">
          <cell r="B677" t="str">
            <v>T1005SPU3UD</v>
          </cell>
          <cell r="C677">
            <v>31223</v>
          </cell>
          <cell r="D677">
            <v>78877.509999999995</v>
          </cell>
        </row>
        <row r="678">
          <cell r="B678" t="str">
            <v>T1019SHU1</v>
          </cell>
          <cell r="C678">
            <v>371839</v>
          </cell>
          <cell r="D678">
            <v>1057142.8799999999</v>
          </cell>
        </row>
        <row r="679">
          <cell r="B679" t="str">
            <v>T1019SHU5</v>
          </cell>
          <cell r="C679">
            <v>2459</v>
          </cell>
          <cell r="D679">
            <v>9951.5</v>
          </cell>
        </row>
        <row r="680">
          <cell r="B680" t="str">
            <v>T1019SHU8</v>
          </cell>
          <cell r="C680">
            <v>353</v>
          </cell>
          <cell r="D680">
            <v>35528.839999999997</v>
          </cell>
        </row>
        <row r="681">
          <cell r="B681" t="str">
            <v>T1019SHU9U1</v>
          </cell>
          <cell r="C681">
            <v>14721</v>
          </cell>
          <cell r="D681">
            <v>46251.17</v>
          </cell>
        </row>
        <row r="682">
          <cell r="B682" t="str">
            <v>T1019SHU9UC</v>
          </cell>
          <cell r="C682">
            <v>102550.9</v>
          </cell>
          <cell r="D682">
            <v>314027.27</v>
          </cell>
        </row>
        <row r="683">
          <cell r="B683" t="str">
            <v>T1019SHU9UCU6</v>
          </cell>
          <cell r="C683">
            <v>15</v>
          </cell>
          <cell r="D683">
            <v>48.9</v>
          </cell>
        </row>
        <row r="684">
          <cell r="B684" t="str">
            <v>T1019SHUBU1</v>
          </cell>
          <cell r="C684">
            <v>50127</v>
          </cell>
          <cell r="D684">
            <v>168994.38999999998</v>
          </cell>
        </row>
        <row r="685">
          <cell r="B685" t="str">
            <v>T1019SHUBUC</v>
          </cell>
          <cell r="C685">
            <v>347150.4</v>
          </cell>
          <cell r="D685">
            <v>1058633.81</v>
          </cell>
        </row>
        <row r="686">
          <cell r="B686" t="str">
            <v>T1019SHUC</v>
          </cell>
          <cell r="C686">
            <v>167899.4</v>
          </cell>
          <cell r="D686">
            <v>439579.78</v>
          </cell>
        </row>
        <row r="687">
          <cell r="B687" t="str">
            <v>T1019SHUDU1</v>
          </cell>
          <cell r="C687">
            <v>33336</v>
          </cell>
          <cell r="D687">
            <v>93862.85</v>
          </cell>
        </row>
        <row r="688">
          <cell r="B688" t="str">
            <v>T1019SHUDUC</v>
          </cell>
          <cell r="C688">
            <v>104521.7</v>
          </cell>
          <cell r="D688">
            <v>276791.53999999998</v>
          </cell>
        </row>
        <row r="689">
          <cell r="B689" t="str">
            <v>T1019SKU1 - Avg SK Child Age</v>
          </cell>
          <cell r="C689">
            <v>1141</v>
          </cell>
          <cell r="D689">
            <v>3365.95</v>
          </cell>
        </row>
        <row r="690">
          <cell r="B690" t="str">
            <v>T1019SKU1 - Children 1 - 5</v>
          </cell>
          <cell r="C690">
            <v>134722</v>
          </cell>
          <cell r="D690">
            <v>393927.51</v>
          </cell>
        </row>
        <row r="691">
          <cell r="B691" t="str">
            <v>T1019SKU1 - Children 15 - 20</v>
          </cell>
          <cell r="C691">
            <v>2601310</v>
          </cell>
          <cell r="D691">
            <v>7613814.0500000007</v>
          </cell>
        </row>
        <row r="692">
          <cell r="B692" t="str">
            <v>T1019SKU1 - Children 6 - 14</v>
          </cell>
          <cell r="C692">
            <v>2447949</v>
          </cell>
          <cell r="D692">
            <v>7178785.7999999998</v>
          </cell>
        </row>
        <row r="693">
          <cell r="B693" t="str">
            <v>T1019SKU1 - IDD</v>
          </cell>
          <cell r="C693">
            <v>2139</v>
          </cell>
          <cell r="D693">
            <v>6309.57</v>
          </cell>
        </row>
        <row r="694">
          <cell r="B694" t="str">
            <v>T1019SKU1 - MDCP</v>
          </cell>
          <cell r="C694">
            <v>6068</v>
          </cell>
          <cell r="D694">
            <v>17811.230000000003</v>
          </cell>
        </row>
        <row r="695">
          <cell r="B695" t="str">
            <v>T1019SKU1 - YES</v>
          </cell>
          <cell r="C695">
            <v>14786</v>
          </cell>
          <cell r="D695">
            <v>43552.42</v>
          </cell>
        </row>
        <row r="696">
          <cell r="B696" t="str">
            <v>T1019SKU2 - Children 6 - 14</v>
          </cell>
          <cell r="C696">
            <v>5477</v>
          </cell>
          <cell r="D696">
            <v>16157.15</v>
          </cell>
        </row>
        <row r="697">
          <cell r="B697" t="str">
            <v>T1019SKU2</v>
          </cell>
          <cell r="C697">
            <v>520</v>
          </cell>
          <cell r="D697">
            <v>1518.4</v>
          </cell>
        </row>
        <row r="698">
          <cell r="B698" t="str">
            <v>T1019SKU9U1 - Avg SK Child Age</v>
          </cell>
          <cell r="C698">
            <v>2598</v>
          </cell>
          <cell r="D698">
            <v>8984.2199999999993</v>
          </cell>
        </row>
        <row r="699">
          <cell r="B699" t="str">
            <v>T1019SKU9U1 - Children 1 - 5</v>
          </cell>
          <cell r="C699">
            <v>35500</v>
          </cell>
          <cell r="D699">
            <v>121170.04</v>
          </cell>
        </row>
        <row r="700">
          <cell r="B700" t="str">
            <v>T1019SKU9U1 - Children 15 - 20</v>
          </cell>
          <cell r="C700">
            <v>1047560</v>
          </cell>
          <cell r="D700">
            <v>3575415.85</v>
          </cell>
        </row>
        <row r="701">
          <cell r="B701" t="str">
            <v>T1019SKU9U1 - Children 6 - 14</v>
          </cell>
          <cell r="C701">
            <v>820579</v>
          </cell>
          <cell r="D701">
            <v>2802938.3499999992</v>
          </cell>
        </row>
        <row r="702">
          <cell r="B702" t="str">
            <v>T1019SKU9U1 - IDD</v>
          </cell>
          <cell r="C702">
            <v>316</v>
          </cell>
          <cell r="D702">
            <v>1089.3400000000001</v>
          </cell>
        </row>
        <row r="703">
          <cell r="B703" t="str">
            <v>T1019SKU9U1 - MDCP</v>
          </cell>
          <cell r="C703">
            <v>262996</v>
          </cell>
          <cell r="D703">
            <v>893482.02</v>
          </cell>
        </row>
        <row r="704">
          <cell r="B704" t="str">
            <v>T1019SKU9U1 - YES</v>
          </cell>
          <cell r="C704">
            <v>22649</v>
          </cell>
          <cell r="D704">
            <v>78298.16</v>
          </cell>
        </row>
        <row r="705">
          <cell r="B705" t="str">
            <v>T1019SKU9U1U6 - Children 15 - 20</v>
          </cell>
          <cell r="C705">
            <v>8288</v>
          </cell>
          <cell r="D705">
            <v>28534.22</v>
          </cell>
        </row>
        <row r="706">
          <cell r="B706" t="str">
            <v>T1019SKU9U1U6 - Children 6 - 14</v>
          </cell>
          <cell r="C706">
            <v>36</v>
          </cell>
          <cell r="D706">
            <v>124.56</v>
          </cell>
        </row>
        <row r="707">
          <cell r="B707" t="str">
            <v>T1019SKU9U1U6 - MDCP</v>
          </cell>
          <cell r="C707">
            <v>503775.7</v>
          </cell>
          <cell r="D707">
            <v>1719088.96</v>
          </cell>
        </row>
        <row r="708">
          <cell r="B708" t="str">
            <v>T1019SKU9U1U6 - YES</v>
          </cell>
          <cell r="C708">
            <v>135</v>
          </cell>
          <cell r="D708">
            <v>463.05</v>
          </cell>
        </row>
        <row r="709">
          <cell r="B709" t="str">
            <v>T1019SKU9U2 - Children 15 - 20</v>
          </cell>
          <cell r="C709">
            <v>8426</v>
          </cell>
          <cell r="D709">
            <v>29139.109999999997</v>
          </cell>
        </row>
        <row r="710">
          <cell r="B710" t="str">
            <v>T1019SKU9U2 - Children 6 - 14</v>
          </cell>
          <cell r="C710">
            <v>2763</v>
          </cell>
          <cell r="D710">
            <v>9559.98</v>
          </cell>
        </row>
        <row r="711">
          <cell r="B711" t="str">
            <v>T1019SKU9UC - Avg SK Child Age</v>
          </cell>
          <cell r="C711">
            <v>1583</v>
          </cell>
          <cell r="D711">
            <v>5165.2</v>
          </cell>
        </row>
        <row r="712">
          <cell r="B712" t="str">
            <v>T1019SKU9UC - Children 1 - 5</v>
          </cell>
          <cell r="C712">
            <v>31300</v>
          </cell>
          <cell r="D712">
            <v>101985.81999999999</v>
          </cell>
        </row>
        <row r="713">
          <cell r="B713" t="str">
            <v>T1019SKU9UC - Children 15 - 20</v>
          </cell>
          <cell r="C713">
            <v>540075.6</v>
          </cell>
          <cell r="D713">
            <v>1753504.75</v>
          </cell>
        </row>
        <row r="714">
          <cell r="B714" t="str">
            <v>T1019SKU9UC - Children 6 - 14</v>
          </cell>
          <cell r="C714">
            <v>509405.9</v>
          </cell>
          <cell r="D714">
            <v>1654634.9600000002</v>
          </cell>
        </row>
        <row r="715">
          <cell r="B715" t="str">
            <v>T1019SKU9UC - MDCP</v>
          </cell>
          <cell r="C715">
            <v>395666.7</v>
          </cell>
          <cell r="D715">
            <v>1276971.1100000001</v>
          </cell>
        </row>
        <row r="716">
          <cell r="B716" t="str">
            <v>T1019SKU9UC - YES</v>
          </cell>
          <cell r="C716">
            <v>40406.300000000003</v>
          </cell>
          <cell r="D716">
            <v>131736.71</v>
          </cell>
        </row>
        <row r="717">
          <cell r="B717" t="str">
            <v>T1019SKU9UCU6 - Avg SK Child Age</v>
          </cell>
          <cell r="C717">
            <v>6715</v>
          </cell>
          <cell r="D717">
            <v>21890.9</v>
          </cell>
        </row>
        <row r="718">
          <cell r="B718" t="str">
            <v>T1019SKU9UCU6 - Children 15 - 20</v>
          </cell>
          <cell r="C718">
            <v>8831</v>
          </cell>
          <cell r="D718">
            <v>28102.1</v>
          </cell>
        </row>
        <row r="719">
          <cell r="B719" t="str">
            <v>T1019SKU9UCU6 - Children 6 - 14</v>
          </cell>
          <cell r="C719">
            <v>4249</v>
          </cell>
          <cell r="D719">
            <v>13817.11</v>
          </cell>
        </row>
        <row r="720">
          <cell r="B720" t="str">
            <v>T1019SKU9UCU6 - IDD</v>
          </cell>
          <cell r="C720">
            <v>51</v>
          </cell>
          <cell r="D720">
            <v>166.26</v>
          </cell>
        </row>
        <row r="721">
          <cell r="B721" t="str">
            <v>T1019SKU9UCU6 - MDCP</v>
          </cell>
          <cell r="C721">
            <v>1790472.4</v>
          </cell>
          <cell r="D721">
            <v>5772832.6900000004</v>
          </cell>
        </row>
        <row r="722">
          <cell r="B722" t="str">
            <v>T1019SKUBU1 - Avg SK Child Age</v>
          </cell>
          <cell r="C722">
            <v>4677</v>
          </cell>
          <cell r="D722">
            <v>15984.810000000001</v>
          </cell>
        </row>
        <row r="723">
          <cell r="B723" t="str">
            <v>T1019SKUBU1 - Children 1 - 5</v>
          </cell>
          <cell r="C723">
            <v>92086</v>
          </cell>
          <cell r="D723">
            <v>312618.73999999993</v>
          </cell>
        </row>
        <row r="724">
          <cell r="B724" t="str">
            <v>T1019SKUBU1 - Children 15 - 20</v>
          </cell>
          <cell r="C724">
            <v>2051843</v>
          </cell>
          <cell r="D724">
            <v>6947560.0499999998</v>
          </cell>
        </row>
        <row r="725">
          <cell r="B725" t="str">
            <v>T1019SKUBU1 - Children 6 - 14</v>
          </cell>
          <cell r="C725">
            <v>2338007</v>
          </cell>
          <cell r="D725">
            <v>7942810.5300000012</v>
          </cell>
        </row>
        <row r="726">
          <cell r="B726" t="str">
            <v>T1019SKUBU1 - IDD</v>
          </cell>
          <cell r="C726">
            <v>2984</v>
          </cell>
          <cell r="D726">
            <v>10041.93</v>
          </cell>
        </row>
        <row r="727">
          <cell r="B727" t="str">
            <v>T1019SKUBU1 - MDCP</v>
          </cell>
          <cell r="C727">
            <v>27026</v>
          </cell>
          <cell r="D727">
            <v>92668.19</v>
          </cell>
        </row>
        <row r="728">
          <cell r="B728" t="str">
            <v>T1019SKUBU1 - YES</v>
          </cell>
          <cell r="C728">
            <v>39928</v>
          </cell>
          <cell r="D728">
            <v>137729.09000000003</v>
          </cell>
        </row>
        <row r="729">
          <cell r="B729" t="str">
            <v>T1019SKUBU2 - Children 15 - 20</v>
          </cell>
          <cell r="C729">
            <v>98</v>
          </cell>
          <cell r="D729">
            <v>321.58</v>
          </cell>
        </row>
        <row r="730">
          <cell r="B730" t="str">
            <v>T1019SKUBU2 - Children 6 - 14</v>
          </cell>
          <cell r="C730">
            <v>2066</v>
          </cell>
          <cell r="D730">
            <v>6740.76</v>
          </cell>
        </row>
        <row r="731">
          <cell r="B731" t="str">
            <v>T1019SKUBU2 - MDCP</v>
          </cell>
          <cell r="C731">
            <v>5148</v>
          </cell>
          <cell r="D731">
            <v>16977.68</v>
          </cell>
        </row>
        <row r="732">
          <cell r="B732" t="str">
            <v>T1019SKUBUC - Children 1 - 5</v>
          </cell>
          <cell r="C732">
            <v>49119.3</v>
          </cell>
          <cell r="D732">
            <v>160014.35</v>
          </cell>
        </row>
        <row r="733">
          <cell r="B733" t="str">
            <v>T1019SKUBUC - Children 15 - 20</v>
          </cell>
          <cell r="C733">
            <v>805801.1</v>
          </cell>
          <cell r="D733">
            <v>2623404.4500000007</v>
          </cell>
        </row>
        <row r="734">
          <cell r="B734" t="str">
            <v>T1019SKUBUC - Children 6 - 14</v>
          </cell>
          <cell r="C734">
            <v>988357.2</v>
          </cell>
          <cell r="D734">
            <v>3205961.2</v>
          </cell>
        </row>
        <row r="735">
          <cell r="B735" t="str">
            <v>T1019SKUBUC - IDD</v>
          </cell>
          <cell r="C735">
            <v>2086</v>
          </cell>
          <cell r="D735">
            <v>6800.36</v>
          </cell>
        </row>
        <row r="736">
          <cell r="B736" t="str">
            <v>T1019SKUBUC - MDCP</v>
          </cell>
          <cell r="C736">
            <v>5321</v>
          </cell>
          <cell r="D736">
            <v>17159.59</v>
          </cell>
        </row>
        <row r="737">
          <cell r="B737" t="str">
            <v>T1019SKUBUC - YES</v>
          </cell>
          <cell r="C737">
            <v>9300</v>
          </cell>
          <cell r="D737">
            <v>30147.54</v>
          </cell>
        </row>
        <row r="738">
          <cell r="B738" t="str">
            <v>T1019SKUC - Children 1 - 5</v>
          </cell>
          <cell r="C738">
            <v>22647</v>
          </cell>
          <cell r="D738">
            <v>61987.95</v>
          </cell>
        </row>
        <row r="739">
          <cell r="B739" t="str">
            <v>T1019SKUC - Children 15 - 20</v>
          </cell>
          <cell r="C739">
            <v>410589.2</v>
          </cell>
          <cell r="D739">
            <v>1123712.95</v>
          </cell>
        </row>
        <row r="740">
          <cell r="B740" t="str">
            <v>T1019SKUC - Children 6 - 14</v>
          </cell>
          <cell r="C740">
            <v>528671.80000000005</v>
          </cell>
          <cell r="D740">
            <v>1444198.48</v>
          </cell>
        </row>
        <row r="741">
          <cell r="B741" t="str">
            <v>T1019SKUC - IDD</v>
          </cell>
          <cell r="C741">
            <v>130</v>
          </cell>
          <cell r="D741">
            <v>357.42</v>
          </cell>
        </row>
        <row r="742">
          <cell r="B742" t="str">
            <v>T1019SKUDU1 - Avg SK Child Age</v>
          </cell>
          <cell r="C742">
            <v>1041</v>
          </cell>
          <cell r="D742">
            <v>3063.6</v>
          </cell>
        </row>
        <row r="743">
          <cell r="B743" t="str">
            <v>T1019SKUDU1 - Children 1 - 5</v>
          </cell>
          <cell r="C743">
            <v>29598</v>
          </cell>
          <cell r="D743">
            <v>87190.96</v>
          </cell>
        </row>
        <row r="744">
          <cell r="B744" t="str">
            <v>T1019SKUDU1 - Children 15 - 20</v>
          </cell>
          <cell r="C744">
            <v>206555</v>
          </cell>
          <cell r="D744">
            <v>606126.30000000005</v>
          </cell>
        </row>
        <row r="745">
          <cell r="B745" t="str">
            <v>T1019SKUDU1 - Children 6 - 14</v>
          </cell>
          <cell r="C745">
            <v>224258</v>
          </cell>
          <cell r="D745">
            <v>654765.04999999993</v>
          </cell>
        </row>
        <row r="746">
          <cell r="B746" t="str">
            <v>T1019SKUDU1 - MDCP</v>
          </cell>
          <cell r="C746">
            <v>477782</v>
          </cell>
          <cell r="D746">
            <v>1395884.8399999999</v>
          </cell>
        </row>
        <row r="747">
          <cell r="B747" t="str">
            <v>T1019SKUDU1 - YES</v>
          </cell>
          <cell r="C747">
            <v>14679</v>
          </cell>
          <cell r="D747">
            <v>43297.77</v>
          </cell>
        </row>
        <row r="748">
          <cell r="B748" t="str">
            <v>T1019SKUDU1U6 - Children 15 - 20</v>
          </cell>
          <cell r="C748">
            <v>3249</v>
          </cell>
          <cell r="D748">
            <v>9582.24</v>
          </cell>
        </row>
        <row r="749">
          <cell r="B749" t="str">
            <v>T1019SKUDU1U6 - Children 6 - 14</v>
          </cell>
          <cell r="C749">
            <v>2068</v>
          </cell>
          <cell r="D749">
            <v>6193.7499999999991</v>
          </cell>
        </row>
        <row r="750">
          <cell r="B750" t="str">
            <v>T1019SKUDU1U6 - MDCP</v>
          </cell>
          <cell r="C750">
            <v>358764</v>
          </cell>
          <cell r="D750">
            <v>1057067.21</v>
          </cell>
        </row>
        <row r="751">
          <cell r="B751" t="str">
            <v>T1019SKUDU2 - Children 1 - 5</v>
          </cell>
          <cell r="C751">
            <v>1022</v>
          </cell>
          <cell r="D751">
            <v>3014.9</v>
          </cell>
        </row>
        <row r="752">
          <cell r="B752" t="str">
            <v>T1019SKUDU2 - Children 15 - 20</v>
          </cell>
          <cell r="C752">
            <v>468</v>
          </cell>
          <cell r="D752">
            <v>1198.3400000000001</v>
          </cell>
        </row>
        <row r="753">
          <cell r="B753" t="str">
            <v>T1019SKUDU2 - Children 6 - 14</v>
          </cell>
          <cell r="C753">
            <v>655</v>
          </cell>
          <cell r="D753">
            <v>1874.53</v>
          </cell>
        </row>
        <row r="754">
          <cell r="B754" t="str">
            <v>T1019SKUDUC - Avg SK Child Age</v>
          </cell>
          <cell r="C754">
            <v>537.1</v>
          </cell>
          <cell r="D754">
            <v>1478.17</v>
          </cell>
        </row>
        <row r="755">
          <cell r="B755" t="str">
            <v>T1019SKUDUC - Children 1 - 5</v>
          </cell>
          <cell r="C755">
            <v>11733</v>
          </cell>
          <cell r="D755">
            <v>32265.75</v>
          </cell>
        </row>
        <row r="756">
          <cell r="B756" t="str">
            <v>T1019SKUDUC - Children 15 - 20</v>
          </cell>
          <cell r="C756">
            <v>100293.1</v>
          </cell>
          <cell r="D756">
            <v>275438.21999999997</v>
          </cell>
        </row>
        <row r="757">
          <cell r="B757" t="str">
            <v>T1019SKUDUC - Children 6 - 14</v>
          </cell>
          <cell r="C757">
            <v>105507</v>
          </cell>
          <cell r="D757">
            <v>290051.95999999996</v>
          </cell>
        </row>
        <row r="758">
          <cell r="B758" t="str">
            <v>T1019SKUDUC - MDCP</v>
          </cell>
          <cell r="C758">
            <v>204797.5</v>
          </cell>
          <cell r="D758">
            <v>562619.11</v>
          </cell>
        </row>
        <row r="759">
          <cell r="B759" t="str">
            <v>T1019SKUDUC - YES</v>
          </cell>
          <cell r="C759">
            <v>1164.0999999999999</v>
          </cell>
          <cell r="D759">
            <v>3197.56</v>
          </cell>
        </row>
        <row r="760">
          <cell r="B760" t="str">
            <v>T1019SKUDUCU6 - Avg SK Child Age</v>
          </cell>
          <cell r="C760">
            <v>684.8</v>
          </cell>
          <cell r="D760">
            <v>1881.34</v>
          </cell>
        </row>
        <row r="761">
          <cell r="B761" t="str">
            <v>T1019SKUDUCU6 - Children 6 - 14</v>
          </cell>
          <cell r="C761">
            <v>9398</v>
          </cell>
          <cell r="D761">
            <v>25843.48</v>
          </cell>
        </row>
        <row r="762">
          <cell r="B762" t="str">
            <v>T1019SKUDUCU6 - MDCP</v>
          </cell>
          <cell r="C762">
            <v>611326.80000000005</v>
          </cell>
          <cell r="D762">
            <v>1678268.5299999998</v>
          </cell>
        </row>
        <row r="763">
          <cell r="B763" t="str">
            <v>T1019U4</v>
          </cell>
          <cell r="C763">
            <v>665473.19999999995</v>
          </cell>
          <cell r="D763">
            <v>2142336.2000000002</v>
          </cell>
        </row>
        <row r="764">
          <cell r="B764" t="str">
            <v>T1019U5</v>
          </cell>
          <cell r="C764">
            <v>1011</v>
          </cell>
          <cell r="D764">
            <v>115356.8</v>
          </cell>
        </row>
        <row r="765">
          <cell r="B765" t="str">
            <v>T1019U6</v>
          </cell>
          <cell r="C765">
            <v>421455.6</v>
          </cell>
          <cell r="D765">
            <v>1237136.93</v>
          </cell>
        </row>
        <row r="766">
          <cell r="B766" t="str">
            <v>T1019U7</v>
          </cell>
          <cell r="C766">
            <v>178756.2</v>
          </cell>
          <cell r="D766">
            <v>489591.24</v>
          </cell>
        </row>
        <row r="767">
          <cell r="B767" t="str">
            <v>T1019U8</v>
          </cell>
          <cell r="C767">
            <v>4272.8</v>
          </cell>
          <cell r="D767">
            <v>456586.62</v>
          </cell>
        </row>
        <row r="768">
          <cell r="B768" t="str">
            <v>T1019U9</v>
          </cell>
          <cell r="C768">
            <v>238663.8</v>
          </cell>
          <cell r="D768">
            <v>822707.76</v>
          </cell>
        </row>
        <row r="769">
          <cell r="B769" t="str">
            <v>T1019U9U1</v>
          </cell>
          <cell r="C769">
            <v>126</v>
          </cell>
          <cell r="D769">
            <v>435.96</v>
          </cell>
        </row>
        <row r="770">
          <cell r="B770" t="str">
            <v>T1019UA</v>
          </cell>
          <cell r="C770">
            <v>1242889.5</v>
          </cell>
          <cell r="D770">
            <v>4236412.62</v>
          </cell>
        </row>
        <row r="771">
          <cell r="B771" t="str">
            <v>T1019UB</v>
          </cell>
          <cell r="C771">
            <v>1243018.8</v>
          </cell>
          <cell r="D771">
            <v>4039769.74</v>
          </cell>
        </row>
        <row r="772">
          <cell r="B772" t="str">
            <v>T1019UD</v>
          </cell>
          <cell r="C772">
            <v>12494</v>
          </cell>
          <cell r="D772">
            <v>31931.73</v>
          </cell>
        </row>
        <row r="773">
          <cell r="B773" t="str">
            <v>T1019UDU1</v>
          </cell>
          <cell r="C773">
            <v>228</v>
          </cell>
          <cell r="D773">
            <v>672.6</v>
          </cell>
        </row>
        <row r="774">
          <cell r="B774" t="str">
            <v>T1025SH</v>
          </cell>
          <cell r="C774">
            <v>751</v>
          </cell>
          <cell r="D774">
            <v>233945.77</v>
          </cell>
        </row>
        <row r="775">
          <cell r="B775" t="str">
            <v>T1025SK - Avg SK Child Age</v>
          </cell>
          <cell r="C775">
            <v>31</v>
          </cell>
          <cell r="D775">
            <v>12071.09</v>
          </cell>
        </row>
        <row r="776">
          <cell r="B776" t="str">
            <v>T1025SK - Children &lt;1yr</v>
          </cell>
          <cell r="C776">
            <v>136</v>
          </cell>
          <cell r="D776">
            <v>41231.590000000004</v>
          </cell>
        </row>
        <row r="777">
          <cell r="B777" t="str">
            <v>T1025SK - Children 1 - 5</v>
          </cell>
          <cell r="C777">
            <v>8346</v>
          </cell>
          <cell r="D777">
            <v>2467237.86</v>
          </cell>
        </row>
        <row r="778">
          <cell r="B778" t="str">
            <v>T1025SK - Children 15 - 20</v>
          </cell>
          <cell r="C778">
            <v>1003</v>
          </cell>
          <cell r="D778">
            <v>318287.57999999996</v>
          </cell>
        </row>
        <row r="779">
          <cell r="B779" t="str">
            <v>T1025SK - Children 6 - 14</v>
          </cell>
          <cell r="C779">
            <v>3014</v>
          </cell>
          <cell r="D779">
            <v>911651.38</v>
          </cell>
        </row>
        <row r="780">
          <cell r="B780" t="str">
            <v>T1025SK - IDD</v>
          </cell>
          <cell r="C780">
            <v>1011</v>
          </cell>
          <cell r="D780">
            <v>297101.37</v>
          </cell>
        </row>
        <row r="781">
          <cell r="B781" t="str">
            <v>T1025SK - MDCP</v>
          </cell>
          <cell r="C781">
            <v>3383</v>
          </cell>
          <cell r="D781">
            <v>1000036.3300000001</v>
          </cell>
        </row>
        <row r="782">
          <cell r="B782" t="str">
            <v>T1025SKU6 - Children 1 - 5</v>
          </cell>
          <cell r="C782">
            <v>158</v>
          </cell>
          <cell r="D782">
            <v>49605.23</v>
          </cell>
        </row>
        <row r="783">
          <cell r="B783" t="str">
            <v>T1025SKU6 - MDCP</v>
          </cell>
          <cell r="C783">
            <v>187</v>
          </cell>
          <cell r="D783">
            <v>63478.71</v>
          </cell>
        </row>
        <row r="784">
          <cell r="B784" t="str">
            <v>T1026SH</v>
          </cell>
          <cell r="C784">
            <v>59</v>
          </cell>
          <cell r="D784">
            <v>1396.6299999999999</v>
          </cell>
        </row>
        <row r="785">
          <cell r="B785" t="str">
            <v>T1026SK - Children &lt;1yr</v>
          </cell>
          <cell r="C785">
            <v>12</v>
          </cell>
          <cell r="D785">
            <v>257.64</v>
          </cell>
        </row>
        <row r="786">
          <cell r="B786" t="str">
            <v>T1026SK - Children 1 - 5</v>
          </cell>
          <cell r="C786">
            <v>503.70000000000005</v>
          </cell>
          <cell r="D786">
            <v>11776.53</v>
          </cell>
        </row>
        <row r="787">
          <cell r="B787" t="str">
            <v>T1026SK - Children 6 - 14</v>
          </cell>
          <cell r="C787">
            <v>96.9</v>
          </cell>
          <cell r="D787">
            <v>2136.87</v>
          </cell>
        </row>
        <row r="788">
          <cell r="B788" t="str">
            <v>T1026SK - IDD</v>
          </cell>
          <cell r="C788">
            <v>49.8</v>
          </cell>
          <cell r="D788">
            <v>1178.7</v>
          </cell>
        </row>
        <row r="789">
          <cell r="B789" t="str">
            <v>T1026SK - MDCP</v>
          </cell>
          <cell r="C789">
            <v>311.10000000000002</v>
          </cell>
          <cell r="D789">
            <v>7594.38</v>
          </cell>
        </row>
        <row r="790">
          <cell r="B790" t="str">
            <v>T1026SKU6 - Children 1 - 5</v>
          </cell>
          <cell r="C790">
            <v>19</v>
          </cell>
          <cell r="D790">
            <v>260.97000000000003</v>
          </cell>
        </row>
        <row r="791">
          <cell r="B791" t="str">
            <v>T1026SKU6 - MDCP</v>
          </cell>
          <cell r="C791">
            <v>24.1</v>
          </cell>
          <cell r="D791">
            <v>613.9</v>
          </cell>
        </row>
        <row r="792">
          <cell r="B792" t="str">
            <v>T2002SH</v>
          </cell>
          <cell r="C792">
            <v>510</v>
          </cell>
          <cell r="D792">
            <v>19324.030000000002</v>
          </cell>
        </row>
        <row r="793">
          <cell r="B793" t="str">
            <v>T2002SK - Children &lt;1yr</v>
          </cell>
          <cell r="C793">
            <v>64</v>
          </cell>
          <cell r="D793">
            <v>2509.54</v>
          </cell>
        </row>
        <row r="794">
          <cell r="B794" t="str">
            <v>T2002SK - Children 1 - 5</v>
          </cell>
          <cell r="C794">
            <v>5792</v>
          </cell>
          <cell r="D794">
            <v>222999.61000000002</v>
          </cell>
        </row>
        <row r="795">
          <cell r="B795" t="str">
            <v>T2002SK - Children 15 - 20</v>
          </cell>
          <cell r="C795">
            <v>979</v>
          </cell>
          <cell r="D795">
            <v>37070.76</v>
          </cell>
        </row>
        <row r="796">
          <cell r="B796" t="str">
            <v>T2002SK - Children 6 - 14</v>
          </cell>
          <cell r="C796">
            <v>2604</v>
          </cell>
          <cell r="D796">
            <v>102322.25</v>
          </cell>
        </row>
        <row r="797">
          <cell r="B797" t="str">
            <v>T2002SK - IDD</v>
          </cell>
          <cell r="C797">
            <v>985</v>
          </cell>
          <cell r="D797">
            <v>37370.899999999994</v>
          </cell>
        </row>
        <row r="798">
          <cell r="B798" t="str">
            <v>T2002SK - MDCP</v>
          </cell>
          <cell r="C798">
            <v>2345</v>
          </cell>
          <cell r="D798">
            <v>90827.650000000009</v>
          </cell>
        </row>
        <row r="799">
          <cell r="B799" t="str">
            <v>T2002SKU6 - Children 6 - 14</v>
          </cell>
          <cell r="C799">
            <v>3</v>
          </cell>
          <cell r="D799">
            <v>113.82</v>
          </cell>
        </row>
        <row r="800">
          <cell r="B800" t="str">
            <v>T2002SKU6 - MDCP</v>
          </cell>
          <cell r="C800">
            <v>144</v>
          </cell>
          <cell r="D800">
            <v>5463.36</v>
          </cell>
        </row>
        <row r="801">
          <cell r="B801" t="str">
            <v>T2017MPU3U7</v>
          </cell>
          <cell r="C801">
            <v>169149</v>
          </cell>
          <cell r="D801">
            <v>603618.03999999992</v>
          </cell>
        </row>
        <row r="802">
          <cell r="B802" t="str">
            <v>T2017MPU3U7UC</v>
          </cell>
          <cell r="C802">
            <v>52698</v>
          </cell>
          <cell r="D802">
            <v>166988.67000000001</v>
          </cell>
        </row>
        <row r="803">
          <cell r="B803" t="str">
            <v>T2017MPU3U7UD</v>
          </cell>
          <cell r="C803">
            <v>769</v>
          </cell>
          <cell r="D803">
            <v>2460.8000000000002</v>
          </cell>
        </row>
        <row r="804">
          <cell r="B804" t="str">
            <v>T2017MPU5U7</v>
          </cell>
          <cell r="C804">
            <v>281609</v>
          </cell>
          <cell r="D804">
            <v>989184.73</v>
          </cell>
        </row>
        <row r="805">
          <cell r="B805" t="str">
            <v>T2017MPU5U7UC</v>
          </cell>
          <cell r="C805">
            <v>34170</v>
          </cell>
          <cell r="D805">
            <v>106508.49000000002</v>
          </cell>
        </row>
        <row r="806">
          <cell r="B806" t="str">
            <v>T2017SPU3U7</v>
          </cell>
          <cell r="C806">
            <v>4301206</v>
          </cell>
          <cell r="D806">
            <v>15215404.249999998</v>
          </cell>
        </row>
        <row r="807">
          <cell r="B807" t="str">
            <v>T2017SPU3U7UC</v>
          </cell>
          <cell r="C807">
            <v>2528802.2999999998</v>
          </cell>
          <cell r="D807">
            <v>7898241.71</v>
          </cell>
        </row>
        <row r="808">
          <cell r="B808" t="str">
            <v>T2017SPU3U7UD</v>
          </cell>
          <cell r="C808">
            <v>29433</v>
          </cell>
          <cell r="D808">
            <v>106663.19999999998</v>
          </cell>
        </row>
        <row r="809">
          <cell r="B809" t="str">
            <v>T2017SPU5U7</v>
          </cell>
          <cell r="C809">
            <v>6610611</v>
          </cell>
          <cell r="D809">
            <v>23481828.039999999</v>
          </cell>
        </row>
        <row r="810">
          <cell r="B810" t="str">
            <v>T2017SPU5U7UC</v>
          </cell>
          <cell r="C810">
            <v>3090055.2</v>
          </cell>
          <cell r="D810">
            <v>9560113.3599999994</v>
          </cell>
        </row>
        <row r="811">
          <cell r="B811" t="str">
            <v>T2017SPU5U7UD</v>
          </cell>
          <cell r="C811">
            <v>8544</v>
          </cell>
          <cell r="D811">
            <v>29947.38</v>
          </cell>
        </row>
        <row r="812">
          <cell r="B812" t="str">
            <v>T2027SK - MDCP</v>
          </cell>
          <cell r="C812">
            <v>38760</v>
          </cell>
          <cell r="D812">
            <v>133067.02000000002</v>
          </cell>
        </row>
        <row r="813">
          <cell r="B813" t="str">
            <v>T2031MPU1</v>
          </cell>
          <cell r="C813">
            <v>92</v>
          </cell>
          <cell r="D813">
            <v>5916.5199999999995</v>
          </cell>
        </row>
        <row r="814">
          <cell r="B814" t="str">
            <v>T2031MPU2</v>
          </cell>
          <cell r="C814">
            <v>4421</v>
          </cell>
          <cell r="D814">
            <v>244321.30000000005</v>
          </cell>
        </row>
        <row r="815">
          <cell r="B815" t="str">
            <v>T2031MPU3</v>
          </cell>
          <cell r="C815">
            <v>5578</v>
          </cell>
          <cell r="D815">
            <v>263871.66000000003</v>
          </cell>
        </row>
        <row r="816">
          <cell r="B816" t="str">
            <v>T2031MPU4</v>
          </cell>
          <cell r="C816">
            <v>1839</v>
          </cell>
          <cell r="D816">
            <v>88935.57</v>
          </cell>
        </row>
        <row r="817">
          <cell r="B817" t="str">
            <v>T2031MPU5</v>
          </cell>
          <cell r="C817">
            <v>6559</v>
          </cell>
          <cell r="D817">
            <v>268780.23999999993</v>
          </cell>
        </row>
        <row r="818">
          <cell r="B818" t="str">
            <v>T2031MPU6</v>
          </cell>
          <cell r="C818">
            <v>22305</v>
          </cell>
          <cell r="D818">
            <v>974868.44000000018</v>
          </cell>
        </row>
        <row r="819">
          <cell r="B819" t="str">
            <v>T2031MPUAU1</v>
          </cell>
          <cell r="C819">
            <v>31</v>
          </cell>
          <cell r="D819">
            <v>1201.56</v>
          </cell>
        </row>
        <row r="820">
          <cell r="B820" t="str">
            <v>T2031MPUAU3</v>
          </cell>
          <cell r="C820">
            <v>1596</v>
          </cell>
          <cell r="D820">
            <v>47550.649999999994</v>
          </cell>
        </row>
        <row r="821">
          <cell r="B821" t="str">
            <v>T2031MPUAU4</v>
          </cell>
          <cell r="C821">
            <v>92</v>
          </cell>
          <cell r="D821">
            <v>3043.36</v>
          </cell>
        </row>
        <row r="822">
          <cell r="B822" t="str">
            <v>T2031MPUAU5</v>
          </cell>
          <cell r="C822">
            <v>564</v>
          </cell>
          <cell r="D822">
            <v>13093.64</v>
          </cell>
        </row>
        <row r="823">
          <cell r="B823" t="str">
            <v>T2031MPUAU6</v>
          </cell>
          <cell r="C823">
            <v>6260</v>
          </cell>
          <cell r="D823">
            <v>138204.92000000001</v>
          </cell>
        </row>
        <row r="824">
          <cell r="B824" t="str">
            <v>T2031MPUBU2</v>
          </cell>
          <cell r="C824">
            <v>988</v>
          </cell>
          <cell r="D824">
            <v>49667.060000000005</v>
          </cell>
        </row>
        <row r="825">
          <cell r="B825" t="str">
            <v>T2031MPUBU3</v>
          </cell>
          <cell r="C825">
            <v>3918</v>
          </cell>
          <cell r="D825">
            <v>176357.12000000002</v>
          </cell>
        </row>
        <row r="826">
          <cell r="B826" t="str">
            <v>T2031MPUBU4</v>
          </cell>
          <cell r="C826">
            <v>11119</v>
          </cell>
          <cell r="D826">
            <v>53677.659999999996</v>
          </cell>
        </row>
        <row r="827">
          <cell r="B827" t="str">
            <v>T2031MPUBU5</v>
          </cell>
          <cell r="C827">
            <v>7970</v>
          </cell>
          <cell r="D827">
            <v>336456.11999999994</v>
          </cell>
        </row>
        <row r="828">
          <cell r="B828" t="str">
            <v>T2031MPUBU6</v>
          </cell>
          <cell r="C828">
            <v>11364</v>
          </cell>
          <cell r="D828">
            <v>439410.50000000012</v>
          </cell>
        </row>
        <row r="829">
          <cell r="B829" t="str">
            <v>T2031SPU1</v>
          </cell>
          <cell r="C829">
            <v>9887</v>
          </cell>
          <cell r="D829">
            <v>605828.65</v>
          </cell>
        </row>
        <row r="830">
          <cell r="B830" t="str">
            <v>T2031SPU2</v>
          </cell>
          <cell r="C830">
            <v>61918</v>
          </cell>
          <cell r="D830">
            <v>3363472.9799999995</v>
          </cell>
        </row>
        <row r="831">
          <cell r="B831" t="str">
            <v>T2031SPU3</v>
          </cell>
          <cell r="C831">
            <v>77670</v>
          </cell>
          <cell r="D831">
            <v>3711098.1999999997</v>
          </cell>
        </row>
        <row r="832">
          <cell r="B832" t="str">
            <v>T2031SPU4</v>
          </cell>
          <cell r="C832">
            <v>29637</v>
          </cell>
          <cell r="D832">
            <v>1421451.7000000002</v>
          </cell>
        </row>
        <row r="833">
          <cell r="B833" t="str">
            <v>T2031SPU5</v>
          </cell>
          <cell r="C833">
            <v>97092</v>
          </cell>
          <cell r="D833">
            <v>4372915.74</v>
          </cell>
        </row>
        <row r="834">
          <cell r="B834" t="str">
            <v>T2031SPU6</v>
          </cell>
          <cell r="C834">
            <v>324165</v>
          </cell>
          <cell r="D834">
            <v>14268143.869999999</v>
          </cell>
        </row>
        <row r="835">
          <cell r="B835" t="str">
            <v>T2031SPUAU1</v>
          </cell>
          <cell r="C835">
            <v>469</v>
          </cell>
          <cell r="D835">
            <v>18121.259999999998</v>
          </cell>
        </row>
        <row r="836">
          <cell r="B836" t="str">
            <v>T2031SPUAU2</v>
          </cell>
          <cell r="C836">
            <v>1927</v>
          </cell>
          <cell r="D836">
            <v>73024.67</v>
          </cell>
        </row>
        <row r="837">
          <cell r="B837" t="str">
            <v>T2031SPUAU3</v>
          </cell>
          <cell r="C837">
            <v>17239</v>
          </cell>
          <cell r="D837">
            <v>458270.05999999994</v>
          </cell>
        </row>
        <row r="838">
          <cell r="B838" t="str">
            <v>T2031SPUAU4</v>
          </cell>
          <cell r="C838">
            <v>2810</v>
          </cell>
          <cell r="D838">
            <v>78449.049999999988</v>
          </cell>
        </row>
        <row r="839">
          <cell r="B839" t="str">
            <v>T2031SPUAU5</v>
          </cell>
          <cell r="C839">
            <v>5005</v>
          </cell>
          <cell r="D839">
            <v>114567.13</v>
          </cell>
        </row>
        <row r="840">
          <cell r="B840" t="str">
            <v>T2031SPUAU6</v>
          </cell>
          <cell r="C840">
            <v>54778</v>
          </cell>
          <cell r="D840">
            <v>1161094.8400000003</v>
          </cell>
        </row>
        <row r="841">
          <cell r="B841" t="str">
            <v>T2031SPUBU1</v>
          </cell>
          <cell r="C841">
            <v>1197</v>
          </cell>
          <cell r="D841">
            <v>67148.069999999992</v>
          </cell>
        </row>
        <row r="842">
          <cell r="B842" t="str">
            <v>T2031SPUBU2</v>
          </cell>
          <cell r="C842">
            <v>11416</v>
          </cell>
          <cell r="D842">
            <v>567362.46</v>
          </cell>
        </row>
        <row r="843">
          <cell r="B843" t="str">
            <v>T2031SPUBU3</v>
          </cell>
          <cell r="C843">
            <v>30675</v>
          </cell>
          <cell r="D843">
            <v>1398434.62</v>
          </cell>
        </row>
        <row r="844">
          <cell r="B844" t="str">
            <v>T2031SPUBU4</v>
          </cell>
          <cell r="C844">
            <v>9342</v>
          </cell>
          <cell r="D844">
            <v>432784.44</v>
          </cell>
        </row>
        <row r="845">
          <cell r="B845" t="str">
            <v>T2031SPUBU5</v>
          </cell>
          <cell r="C845">
            <v>19361</v>
          </cell>
          <cell r="D845">
            <v>805707.78000000014</v>
          </cell>
        </row>
        <row r="846">
          <cell r="B846" t="str">
            <v>T2031SPUBU6</v>
          </cell>
          <cell r="C846">
            <v>114176</v>
          </cell>
          <cell r="D846">
            <v>4500862.8299999991</v>
          </cell>
        </row>
        <row r="847">
          <cell r="B847" t="str">
            <v>T2038MP</v>
          </cell>
          <cell r="C847">
            <v>209</v>
          </cell>
          <cell r="D847">
            <v>18677.29</v>
          </cell>
        </row>
        <row r="848">
          <cell r="B848" t="str">
            <v>T2038SP</v>
          </cell>
          <cell r="C848">
            <v>4544</v>
          </cell>
          <cell r="D848">
            <v>544310.40999999992</v>
          </cell>
        </row>
        <row r="849">
          <cell r="B849" t="str">
            <v>T2040MPU3U9</v>
          </cell>
          <cell r="C849">
            <v>232018.7</v>
          </cell>
          <cell r="D849">
            <v>234702.51</v>
          </cell>
        </row>
        <row r="850">
          <cell r="B850" t="str">
            <v>T2040MPU3U9U7</v>
          </cell>
          <cell r="C850">
            <v>15857</v>
          </cell>
          <cell r="D850">
            <v>276408.40999999997</v>
          </cell>
        </row>
        <row r="851">
          <cell r="B851" t="str">
            <v>T2040MPU5U9</v>
          </cell>
          <cell r="C851">
            <v>118945.60000000001</v>
          </cell>
          <cell r="D851">
            <v>254856.99000000005</v>
          </cell>
        </row>
        <row r="852">
          <cell r="B852" t="str">
            <v>T2040MPU5U9U7</v>
          </cell>
          <cell r="C852">
            <v>1067</v>
          </cell>
          <cell r="D852">
            <v>13947.58</v>
          </cell>
        </row>
        <row r="853">
          <cell r="B853" t="str">
            <v>T2040SHU9U1</v>
          </cell>
          <cell r="C853">
            <v>2392</v>
          </cell>
          <cell r="D853">
            <v>272224.82999999996</v>
          </cell>
        </row>
        <row r="854">
          <cell r="B854" t="str">
            <v>T2040SHU9U2</v>
          </cell>
          <cell r="C854">
            <v>168</v>
          </cell>
          <cell r="D854">
            <v>19115.159999999996</v>
          </cell>
        </row>
        <row r="855">
          <cell r="B855" t="str">
            <v>T2040SHU9U2U6</v>
          </cell>
          <cell r="C855">
            <v>219</v>
          </cell>
          <cell r="D855">
            <v>45211.44</v>
          </cell>
        </row>
        <row r="856">
          <cell r="B856" t="str">
            <v>T2040SHU9U6</v>
          </cell>
          <cell r="C856">
            <v>347</v>
          </cell>
          <cell r="D856">
            <v>71634.62</v>
          </cell>
        </row>
        <row r="857">
          <cell r="B857" t="str">
            <v>T2040SKU9U1 - Avg SK Child Age</v>
          </cell>
          <cell r="C857">
            <v>37</v>
          </cell>
          <cell r="D857">
            <v>4216.2999999999993</v>
          </cell>
        </row>
        <row r="858">
          <cell r="B858" t="str">
            <v>T2040SKU9U1 - Children 1 - 5</v>
          </cell>
          <cell r="C858">
            <v>958</v>
          </cell>
          <cell r="D858">
            <v>109546.79999999997</v>
          </cell>
        </row>
        <row r="859">
          <cell r="B859" t="str">
            <v>T2040SKU9U1 - Children 15 - 20</v>
          </cell>
          <cell r="C859">
            <v>8030</v>
          </cell>
          <cell r="D859">
            <v>919251.12000000011</v>
          </cell>
        </row>
        <row r="860">
          <cell r="B860" t="str">
            <v>T2040SKU9U1 - Children 6 - 14</v>
          </cell>
          <cell r="C860">
            <v>10772</v>
          </cell>
          <cell r="D860">
            <v>1234691.24</v>
          </cell>
        </row>
        <row r="861">
          <cell r="B861" t="str">
            <v>T2040SKU9U1 - IDD</v>
          </cell>
          <cell r="C861">
            <v>19</v>
          </cell>
          <cell r="D861">
            <v>2167.7000000000003</v>
          </cell>
        </row>
        <row r="862">
          <cell r="B862" t="str">
            <v>T2040SKU9U1 - MDCP</v>
          </cell>
          <cell r="C862">
            <v>168</v>
          </cell>
          <cell r="D862">
            <v>19934.439999999999</v>
          </cell>
        </row>
        <row r="863">
          <cell r="B863" t="str">
            <v>T2040SKU9U1 - YES</v>
          </cell>
          <cell r="C863">
            <v>66</v>
          </cell>
          <cell r="D863">
            <v>7550.4</v>
          </cell>
        </row>
        <row r="864">
          <cell r="B864" t="str">
            <v>T2040SKU9U1 - Children 1  -  5</v>
          </cell>
          <cell r="C864">
            <v>1003</v>
          </cell>
          <cell r="D864">
            <v>114909.63000000002</v>
          </cell>
        </row>
        <row r="865">
          <cell r="B865" t="str">
            <v>T2040SKU9U1 - Children 6  -  14</v>
          </cell>
          <cell r="C865">
            <v>2901</v>
          </cell>
          <cell r="D865">
            <v>328379.12999999995</v>
          </cell>
        </row>
        <row r="866">
          <cell r="B866" t="str">
            <v>T2040SKU9U1 - Children 15  -  20</v>
          </cell>
          <cell r="C866">
            <v>3016</v>
          </cell>
          <cell r="D866">
            <v>295706.55</v>
          </cell>
        </row>
        <row r="867">
          <cell r="B867" t="str">
            <v>T2040SKU9U1 - Children &lt;1yr</v>
          </cell>
          <cell r="C867">
            <v>1</v>
          </cell>
          <cell r="D867">
            <v>113.08</v>
          </cell>
        </row>
        <row r="868">
          <cell r="B868" t="str">
            <v>T2040SKU9U2 - Avg SK Child Age</v>
          </cell>
          <cell r="C868">
            <v>16</v>
          </cell>
          <cell r="D868">
            <v>1830.4</v>
          </cell>
        </row>
        <row r="869">
          <cell r="B869" t="str">
            <v>T2040SKU9U2 - Children 1 - 5</v>
          </cell>
          <cell r="C869">
            <v>147</v>
          </cell>
          <cell r="D869">
            <v>17194.019999999997</v>
          </cell>
        </row>
        <row r="870">
          <cell r="B870" t="str">
            <v>T2040SKU9U2 - Children 15 - 20</v>
          </cell>
          <cell r="C870">
            <v>2872</v>
          </cell>
          <cell r="D870">
            <v>338445.22</v>
          </cell>
        </row>
        <row r="871">
          <cell r="B871" t="str">
            <v>T2040SKU9U2 - Children 6 - 14</v>
          </cell>
          <cell r="C871">
            <v>3075</v>
          </cell>
          <cell r="D871">
            <v>360410.94</v>
          </cell>
        </row>
        <row r="872">
          <cell r="B872" t="str">
            <v>T2040SKU9U2 - IDD</v>
          </cell>
          <cell r="C872">
            <v>14</v>
          </cell>
          <cell r="D872">
            <v>1792.96</v>
          </cell>
        </row>
        <row r="873">
          <cell r="B873" t="str">
            <v>T2040SKU9U2 - MDCP</v>
          </cell>
          <cell r="C873">
            <v>938</v>
          </cell>
          <cell r="D873">
            <v>60943.990000000005</v>
          </cell>
        </row>
        <row r="874">
          <cell r="B874" t="str">
            <v>T2040SKU9U2 - YES</v>
          </cell>
          <cell r="C874">
            <v>231</v>
          </cell>
          <cell r="D874">
            <v>27093.94</v>
          </cell>
        </row>
        <row r="875">
          <cell r="B875" t="str">
            <v>T2040SKU9U2 - Children 1  -  5</v>
          </cell>
          <cell r="C875">
            <v>58</v>
          </cell>
          <cell r="D875">
            <v>6564.8</v>
          </cell>
        </row>
        <row r="876">
          <cell r="B876" t="str">
            <v>T2040SKU9U2 - Children 15  -  20</v>
          </cell>
          <cell r="C876">
            <v>942</v>
          </cell>
          <cell r="D876">
            <v>107221.65999999999</v>
          </cell>
        </row>
        <row r="877">
          <cell r="B877" t="str">
            <v>T2040SKU9U2 - Children 6  -  14</v>
          </cell>
          <cell r="C877">
            <v>974</v>
          </cell>
          <cell r="D877">
            <v>110759.26000000001</v>
          </cell>
        </row>
        <row r="878">
          <cell r="B878" t="str">
            <v>T2040SKU9U2U6 - Avg SK Child Age</v>
          </cell>
          <cell r="C878">
            <v>36</v>
          </cell>
          <cell r="D878">
            <v>7562.88</v>
          </cell>
        </row>
        <row r="879">
          <cell r="B879" t="str">
            <v>T2040SKU9U2U6 - Children 15 - 20</v>
          </cell>
          <cell r="C879">
            <v>62</v>
          </cell>
          <cell r="D879">
            <v>12834.9</v>
          </cell>
        </row>
        <row r="880">
          <cell r="B880" t="str">
            <v>T2040SKU9U2U6 - Children 6 - 14</v>
          </cell>
          <cell r="C880">
            <v>48</v>
          </cell>
          <cell r="D880">
            <v>9901.8599999999988</v>
          </cell>
        </row>
        <row r="881">
          <cell r="B881" t="str">
            <v>T2040SKU9U2U6 - IDD</v>
          </cell>
          <cell r="C881">
            <v>8</v>
          </cell>
          <cell r="D881">
            <v>1648.32</v>
          </cell>
        </row>
        <row r="882">
          <cell r="B882" t="str">
            <v>T2040SKU9U2U6 - MDCP</v>
          </cell>
          <cell r="C882">
            <v>19884</v>
          </cell>
          <cell r="D882">
            <v>3469599.9899999993</v>
          </cell>
        </row>
        <row r="883">
          <cell r="B883" t="str">
            <v>T2040SKU9U2U6 - Children 6  -  14</v>
          </cell>
          <cell r="C883">
            <v>38</v>
          </cell>
          <cell r="D883">
            <v>7513.12</v>
          </cell>
        </row>
        <row r="884">
          <cell r="B884" t="str">
            <v>T2040SKU9U2U6 - Children 15  -  20</v>
          </cell>
          <cell r="C884">
            <v>43</v>
          </cell>
          <cell r="D884">
            <v>8603.92</v>
          </cell>
        </row>
        <row r="885">
          <cell r="B885" t="str">
            <v>T2040SKU9U2U6 - Children 1  -  5</v>
          </cell>
          <cell r="C885">
            <v>3</v>
          </cell>
          <cell r="D885">
            <v>606</v>
          </cell>
        </row>
        <row r="886">
          <cell r="B886" t="str">
            <v>T2040SKU9U2U6 - YES</v>
          </cell>
          <cell r="C886">
            <v>3</v>
          </cell>
          <cell r="D886">
            <v>630.24</v>
          </cell>
        </row>
        <row r="887">
          <cell r="B887" t="str">
            <v>T2040SKU9U6 - Avg SK Child Age</v>
          </cell>
          <cell r="C887">
            <v>42</v>
          </cell>
          <cell r="D887">
            <v>8815.2800000000007</v>
          </cell>
        </row>
        <row r="888">
          <cell r="B888" t="str">
            <v>T2040SKU9U6 - Children 1 - 5</v>
          </cell>
          <cell r="C888">
            <v>1</v>
          </cell>
          <cell r="D888">
            <v>210.08</v>
          </cell>
        </row>
        <row r="889">
          <cell r="B889" t="str">
            <v>T2040SKU9U6 - Children 15 - 20</v>
          </cell>
          <cell r="C889">
            <v>50</v>
          </cell>
          <cell r="D889">
            <v>10394.74</v>
          </cell>
        </row>
        <row r="890">
          <cell r="B890" t="str">
            <v>T2040SKU9U6 - Children 6 - 14</v>
          </cell>
          <cell r="C890">
            <v>40</v>
          </cell>
          <cell r="D890">
            <v>8387.0400000000009</v>
          </cell>
        </row>
        <row r="891">
          <cell r="B891" t="str">
            <v>T2040SKU9U6 - IDD</v>
          </cell>
          <cell r="C891">
            <v>1</v>
          </cell>
          <cell r="D891">
            <v>210.08</v>
          </cell>
        </row>
        <row r="892">
          <cell r="B892" t="str">
            <v>T2040SKU9U6 - MDCP</v>
          </cell>
          <cell r="C892">
            <v>20860</v>
          </cell>
          <cell r="D892">
            <v>3535718.1100000003</v>
          </cell>
        </row>
        <row r="893">
          <cell r="B893" t="str">
            <v>T2040SKU9U6 - Children 6  -  14</v>
          </cell>
          <cell r="C893">
            <v>34</v>
          </cell>
          <cell r="D893">
            <v>7118.48</v>
          </cell>
        </row>
        <row r="894">
          <cell r="B894" t="str">
            <v>T2040SKU9U6 - Children 15  -  20</v>
          </cell>
          <cell r="C894">
            <v>27</v>
          </cell>
          <cell r="D894">
            <v>5023.2</v>
          </cell>
        </row>
        <row r="895">
          <cell r="B895" t="str">
            <v>T2040SKU9U6 - Children 1  -  5</v>
          </cell>
          <cell r="C895">
            <v>2</v>
          </cell>
          <cell r="D895">
            <v>420.16</v>
          </cell>
        </row>
        <row r="896">
          <cell r="B896" t="str">
            <v>T2040SPU3U9</v>
          </cell>
          <cell r="C896">
            <v>3917495.6999999997</v>
          </cell>
          <cell r="D896">
            <v>5135478.9300000025</v>
          </cell>
        </row>
        <row r="897">
          <cell r="B897" t="str">
            <v>T2040SPU3U9U7</v>
          </cell>
          <cell r="C897">
            <v>236105</v>
          </cell>
          <cell r="D897">
            <v>4790781</v>
          </cell>
        </row>
        <row r="898">
          <cell r="B898" t="str">
            <v>T2040SPU5U9</v>
          </cell>
          <cell r="C898">
            <v>2328385.5</v>
          </cell>
          <cell r="D898">
            <v>4608290.5900000017</v>
          </cell>
        </row>
        <row r="899">
          <cell r="B899" t="str">
            <v>T2040SPU5U9U7</v>
          </cell>
          <cell r="C899">
            <v>54074</v>
          </cell>
          <cell r="D899">
            <v>628770.89999999991</v>
          </cell>
        </row>
        <row r="900">
          <cell r="B900" t="str">
            <v>S9131SPU7U5</v>
          </cell>
          <cell r="C900">
            <v>939</v>
          </cell>
          <cell r="D900">
            <v>100178.02</v>
          </cell>
        </row>
        <row r="901">
          <cell r="B901" t="str">
            <v>S5170SPU7</v>
          </cell>
          <cell r="C901">
            <v>35588</v>
          </cell>
          <cell r="D901">
            <v>218915.56000000003</v>
          </cell>
        </row>
        <row r="902">
          <cell r="B902" t="str">
            <v>S5170MPU7</v>
          </cell>
          <cell r="C902">
            <v>3557</v>
          </cell>
          <cell r="D902">
            <v>22097.700000000004</v>
          </cell>
        </row>
        <row r="903">
          <cell r="B903" t="str">
            <v>S9129SPU7U5</v>
          </cell>
          <cell r="C903">
            <v>315</v>
          </cell>
          <cell r="D903">
            <v>34589.299999999996</v>
          </cell>
        </row>
        <row r="904">
          <cell r="B904" t="str">
            <v>S9131MPU7U5</v>
          </cell>
          <cell r="C904">
            <v>79</v>
          </cell>
          <cell r="D904">
            <v>6116.9699999999993</v>
          </cell>
        </row>
        <row r="905">
          <cell r="B905" t="str">
            <v>S9128SPU7U5</v>
          </cell>
          <cell r="C905">
            <v>18</v>
          </cell>
          <cell r="D905">
            <v>1225.01</v>
          </cell>
        </row>
        <row r="906">
          <cell r="B906" t="str">
            <v>S9129MPU7U5</v>
          </cell>
          <cell r="C906">
            <v>30</v>
          </cell>
          <cell r="D906">
            <v>2188.5</v>
          </cell>
        </row>
        <row r="907">
          <cell r="B907"/>
          <cell r="C907"/>
          <cell r="D907"/>
        </row>
        <row r="908">
          <cell r="B908"/>
          <cell r="C908"/>
          <cell r="D908"/>
        </row>
        <row r="909">
          <cell r="B909"/>
          <cell r="C909"/>
          <cell r="D909"/>
        </row>
        <row r="910">
          <cell r="B910"/>
          <cell r="C910"/>
          <cell r="D910"/>
        </row>
        <row r="911">
          <cell r="B911"/>
          <cell r="C911"/>
          <cell r="D911"/>
        </row>
        <row r="912">
          <cell r="B912"/>
          <cell r="C912"/>
          <cell r="D912"/>
        </row>
        <row r="913">
          <cell r="B913"/>
          <cell r="C913"/>
          <cell r="D913"/>
        </row>
        <row r="914">
          <cell r="B914"/>
          <cell r="C914"/>
          <cell r="D914"/>
        </row>
        <row r="915">
          <cell r="B915"/>
          <cell r="C915"/>
          <cell r="D915"/>
        </row>
        <row r="916">
          <cell r="B916"/>
          <cell r="C916"/>
          <cell r="D916"/>
        </row>
        <row r="917">
          <cell r="B917"/>
          <cell r="C917"/>
          <cell r="D917"/>
        </row>
        <row r="918">
          <cell r="B918"/>
          <cell r="C918"/>
          <cell r="D918"/>
        </row>
        <row r="919">
          <cell r="B919"/>
          <cell r="C919"/>
          <cell r="D919"/>
        </row>
        <row r="920">
          <cell r="B920"/>
          <cell r="C920"/>
          <cell r="D920"/>
        </row>
        <row r="921">
          <cell r="B921"/>
          <cell r="C921"/>
          <cell r="D921"/>
        </row>
        <row r="922">
          <cell r="B922"/>
          <cell r="C922"/>
          <cell r="D922"/>
        </row>
        <row r="923">
          <cell r="B923"/>
          <cell r="C923"/>
          <cell r="D923"/>
        </row>
        <row r="924">
          <cell r="B924"/>
          <cell r="C924"/>
          <cell r="D924"/>
        </row>
        <row r="925">
          <cell r="B925"/>
          <cell r="C925"/>
          <cell r="D925"/>
        </row>
        <row r="926">
          <cell r="B926"/>
          <cell r="C926"/>
          <cell r="D926"/>
        </row>
        <row r="927">
          <cell r="B927"/>
          <cell r="C927"/>
          <cell r="D927"/>
        </row>
        <row r="928">
          <cell r="B928"/>
          <cell r="C928"/>
          <cell r="D928"/>
        </row>
        <row r="929">
          <cell r="B929"/>
          <cell r="C929"/>
          <cell r="D929"/>
        </row>
        <row r="930">
          <cell r="B930"/>
          <cell r="C930"/>
          <cell r="D930"/>
        </row>
        <row r="931">
          <cell r="B931"/>
          <cell r="C931"/>
          <cell r="D931"/>
        </row>
        <row r="932">
          <cell r="B932"/>
          <cell r="C932"/>
          <cell r="D932"/>
        </row>
        <row r="933">
          <cell r="B933"/>
          <cell r="C933"/>
          <cell r="D933"/>
        </row>
        <row r="934">
          <cell r="B934"/>
          <cell r="C934"/>
          <cell r="D934"/>
        </row>
        <row r="935">
          <cell r="B935"/>
          <cell r="C935"/>
          <cell r="D935"/>
        </row>
        <row r="936">
          <cell r="B936"/>
          <cell r="C936"/>
          <cell r="D936"/>
        </row>
        <row r="937">
          <cell r="B937"/>
          <cell r="C937"/>
          <cell r="D937"/>
        </row>
        <row r="938">
          <cell r="B938"/>
          <cell r="C938"/>
          <cell r="D938"/>
        </row>
        <row r="939">
          <cell r="B939"/>
          <cell r="C939"/>
          <cell r="D939"/>
        </row>
        <row r="940">
          <cell r="B940"/>
          <cell r="C940"/>
          <cell r="D940"/>
        </row>
        <row r="941">
          <cell r="B941"/>
          <cell r="C941"/>
          <cell r="D941"/>
        </row>
        <row r="942">
          <cell r="B942"/>
          <cell r="C942"/>
          <cell r="D942"/>
        </row>
        <row r="943">
          <cell r="B943"/>
          <cell r="C943"/>
          <cell r="D943"/>
        </row>
        <row r="944">
          <cell r="B944"/>
          <cell r="C944"/>
          <cell r="D944"/>
        </row>
        <row r="945">
          <cell r="B945"/>
          <cell r="C945"/>
          <cell r="D945"/>
        </row>
        <row r="946">
          <cell r="B946"/>
          <cell r="C946"/>
          <cell r="D946"/>
        </row>
        <row r="947">
          <cell r="B947"/>
          <cell r="C947"/>
          <cell r="D947"/>
        </row>
        <row r="948">
          <cell r="B948"/>
          <cell r="C948"/>
          <cell r="D948"/>
        </row>
        <row r="949">
          <cell r="B949"/>
          <cell r="C949"/>
          <cell r="D949"/>
        </row>
        <row r="950">
          <cell r="B950"/>
          <cell r="C950"/>
          <cell r="D950"/>
        </row>
        <row r="951">
          <cell r="B951"/>
          <cell r="C951"/>
          <cell r="D951"/>
        </row>
        <row r="952">
          <cell r="B952"/>
          <cell r="C952"/>
          <cell r="D952"/>
        </row>
        <row r="953">
          <cell r="B953"/>
          <cell r="C953"/>
          <cell r="D953"/>
        </row>
        <row r="954">
          <cell r="B954"/>
          <cell r="C954"/>
          <cell r="D954"/>
        </row>
        <row r="955">
          <cell r="B955"/>
          <cell r="C955"/>
          <cell r="D955"/>
        </row>
        <row r="956">
          <cell r="B956"/>
          <cell r="C956"/>
          <cell r="D956"/>
        </row>
        <row r="957">
          <cell r="B957"/>
          <cell r="C957"/>
          <cell r="D957"/>
        </row>
        <row r="958">
          <cell r="B958"/>
          <cell r="C958"/>
          <cell r="D958"/>
        </row>
        <row r="959">
          <cell r="B959"/>
          <cell r="C959"/>
          <cell r="D959"/>
        </row>
        <row r="960">
          <cell r="B960"/>
          <cell r="C960"/>
          <cell r="D960"/>
        </row>
        <row r="961">
          <cell r="B961"/>
          <cell r="C961"/>
          <cell r="D961"/>
        </row>
        <row r="962">
          <cell r="B962"/>
          <cell r="C962"/>
          <cell r="D962"/>
        </row>
        <row r="963">
          <cell r="B963"/>
          <cell r="C963"/>
          <cell r="D963"/>
        </row>
        <row r="964">
          <cell r="B964"/>
          <cell r="C964"/>
          <cell r="D964"/>
        </row>
        <row r="965">
          <cell r="B965"/>
          <cell r="C965"/>
          <cell r="D965"/>
        </row>
        <row r="966">
          <cell r="B966"/>
          <cell r="C966"/>
          <cell r="D966"/>
        </row>
        <row r="967">
          <cell r="B967"/>
          <cell r="C967"/>
          <cell r="D967"/>
        </row>
        <row r="968">
          <cell r="B968"/>
          <cell r="C968"/>
          <cell r="D968"/>
        </row>
        <row r="969">
          <cell r="B969"/>
          <cell r="C969"/>
          <cell r="D969"/>
        </row>
        <row r="970">
          <cell r="B970"/>
          <cell r="C970"/>
          <cell r="D970"/>
        </row>
        <row r="971">
          <cell r="B971"/>
          <cell r="C971"/>
          <cell r="D971"/>
        </row>
        <row r="972">
          <cell r="B972"/>
          <cell r="C972"/>
          <cell r="D972"/>
        </row>
        <row r="973">
          <cell r="B973"/>
          <cell r="C973"/>
          <cell r="D973"/>
        </row>
        <row r="974">
          <cell r="B974"/>
          <cell r="C974"/>
          <cell r="D974"/>
        </row>
        <row r="975">
          <cell r="B975"/>
          <cell r="C975"/>
          <cell r="D975"/>
        </row>
        <row r="976">
          <cell r="B976"/>
          <cell r="C976"/>
          <cell r="D976"/>
        </row>
        <row r="977">
          <cell r="B977"/>
          <cell r="C977"/>
          <cell r="D977"/>
        </row>
        <row r="978">
          <cell r="B978"/>
          <cell r="C978"/>
          <cell r="D978"/>
        </row>
        <row r="979">
          <cell r="B979"/>
          <cell r="C979"/>
          <cell r="D979"/>
        </row>
        <row r="980">
          <cell r="B980"/>
          <cell r="C980"/>
          <cell r="D980"/>
        </row>
        <row r="981">
          <cell r="B981"/>
          <cell r="C981"/>
          <cell r="D981"/>
        </row>
        <row r="982">
          <cell r="B982"/>
          <cell r="C982"/>
          <cell r="D982"/>
        </row>
        <row r="983">
          <cell r="B983"/>
          <cell r="C983"/>
          <cell r="D983"/>
        </row>
        <row r="984">
          <cell r="B984"/>
          <cell r="C984"/>
          <cell r="D984"/>
        </row>
        <row r="985">
          <cell r="B985"/>
          <cell r="C985"/>
          <cell r="D985"/>
        </row>
        <row r="986">
          <cell r="B986"/>
          <cell r="C986"/>
          <cell r="D986"/>
        </row>
        <row r="987">
          <cell r="B987"/>
          <cell r="C987"/>
          <cell r="D987"/>
        </row>
        <row r="988">
          <cell r="B988"/>
          <cell r="C988"/>
          <cell r="D988"/>
        </row>
        <row r="989">
          <cell r="B989"/>
          <cell r="C989"/>
          <cell r="D989"/>
        </row>
        <row r="990">
          <cell r="B990"/>
          <cell r="C990"/>
          <cell r="D990"/>
        </row>
        <row r="991">
          <cell r="B991"/>
          <cell r="C991"/>
          <cell r="D991"/>
        </row>
        <row r="992">
          <cell r="B992"/>
          <cell r="C992"/>
          <cell r="D992"/>
        </row>
        <row r="993">
          <cell r="B993"/>
          <cell r="C993"/>
          <cell r="D993"/>
        </row>
        <row r="994">
          <cell r="B994"/>
          <cell r="C994"/>
          <cell r="D994"/>
        </row>
        <row r="995">
          <cell r="B995"/>
          <cell r="C995"/>
          <cell r="D995"/>
        </row>
        <row r="996">
          <cell r="B996"/>
          <cell r="C996"/>
          <cell r="D996"/>
        </row>
        <row r="997">
          <cell r="B997"/>
          <cell r="C997"/>
          <cell r="D997"/>
        </row>
        <row r="998">
          <cell r="B998"/>
          <cell r="C998"/>
          <cell r="D998"/>
        </row>
        <row r="999">
          <cell r="B999"/>
          <cell r="C999"/>
          <cell r="D999"/>
        </row>
        <row r="1000">
          <cell r="B1000"/>
          <cell r="C1000"/>
          <cell r="D1000"/>
        </row>
        <row r="1001">
          <cell r="B1001"/>
          <cell r="C1001"/>
          <cell r="D1001"/>
        </row>
        <row r="1002">
          <cell r="B1002"/>
          <cell r="C1002"/>
          <cell r="D1002"/>
        </row>
        <row r="1003">
          <cell r="B1003"/>
          <cell r="C1003"/>
          <cell r="D1003"/>
        </row>
        <row r="1004">
          <cell r="B1004"/>
          <cell r="C1004"/>
          <cell r="D1004"/>
        </row>
        <row r="1005">
          <cell r="B1005"/>
          <cell r="C1005"/>
          <cell r="D1005"/>
        </row>
        <row r="1006">
          <cell r="B1006"/>
          <cell r="C1006"/>
          <cell r="D1006"/>
        </row>
        <row r="1007">
          <cell r="B1007"/>
          <cell r="C1007"/>
          <cell r="D1007"/>
        </row>
        <row r="1008">
          <cell r="B1008"/>
          <cell r="C1008"/>
          <cell r="D1008"/>
        </row>
        <row r="1009">
          <cell r="B1009"/>
          <cell r="C1009"/>
          <cell r="D1009"/>
        </row>
        <row r="1010">
          <cell r="B1010"/>
          <cell r="C1010"/>
          <cell r="D1010"/>
        </row>
        <row r="1011">
          <cell r="B1011"/>
          <cell r="C1011"/>
          <cell r="D1011"/>
        </row>
        <row r="1012">
          <cell r="B1012"/>
          <cell r="C1012"/>
          <cell r="D1012"/>
        </row>
        <row r="1013">
          <cell r="B1013"/>
          <cell r="C1013"/>
          <cell r="D1013"/>
        </row>
        <row r="1014">
          <cell r="B1014"/>
          <cell r="C1014"/>
          <cell r="D1014"/>
        </row>
        <row r="1015">
          <cell r="B1015"/>
          <cell r="C1015"/>
          <cell r="D1015"/>
        </row>
        <row r="1016">
          <cell r="B1016"/>
          <cell r="C1016"/>
          <cell r="D1016"/>
        </row>
        <row r="1017">
          <cell r="B1017"/>
          <cell r="C1017"/>
          <cell r="D1017"/>
        </row>
        <row r="1018">
          <cell r="B1018"/>
          <cell r="C1018"/>
          <cell r="D1018"/>
        </row>
        <row r="1019">
          <cell r="B1019"/>
          <cell r="C1019"/>
          <cell r="D1019"/>
        </row>
        <row r="1020">
          <cell r="B1020"/>
          <cell r="C1020"/>
          <cell r="D1020"/>
        </row>
        <row r="1021">
          <cell r="B1021"/>
          <cell r="C1021"/>
          <cell r="D1021"/>
        </row>
        <row r="1022">
          <cell r="B1022"/>
          <cell r="C1022"/>
          <cell r="D1022"/>
        </row>
        <row r="1023">
          <cell r="B1023"/>
          <cell r="C1023"/>
          <cell r="D1023"/>
        </row>
        <row r="1024">
          <cell r="B1024"/>
          <cell r="C1024"/>
          <cell r="D1024"/>
        </row>
        <row r="1025">
          <cell r="B1025"/>
          <cell r="C1025"/>
          <cell r="D1025"/>
        </row>
        <row r="1026">
          <cell r="B1026"/>
          <cell r="C1026"/>
          <cell r="D1026"/>
        </row>
        <row r="1027">
          <cell r="B1027"/>
          <cell r="C1027"/>
          <cell r="D1027"/>
        </row>
        <row r="1028">
          <cell r="B1028"/>
          <cell r="C1028"/>
          <cell r="D1028"/>
        </row>
        <row r="1029">
          <cell r="B1029"/>
          <cell r="C1029"/>
          <cell r="D1029"/>
        </row>
        <row r="1030">
          <cell r="B1030"/>
          <cell r="C1030"/>
          <cell r="D1030"/>
        </row>
        <row r="1031">
          <cell r="B1031"/>
          <cell r="C1031"/>
          <cell r="D1031"/>
        </row>
        <row r="1032">
          <cell r="B1032"/>
          <cell r="C1032"/>
          <cell r="D1032"/>
        </row>
        <row r="1033">
          <cell r="B1033"/>
          <cell r="C1033"/>
          <cell r="D1033"/>
        </row>
        <row r="1034">
          <cell r="B1034"/>
          <cell r="C1034"/>
          <cell r="D1034"/>
        </row>
        <row r="1035">
          <cell r="B1035"/>
          <cell r="C1035"/>
          <cell r="D1035"/>
        </row>
        <row r="1036">
          <cell r="B1036"/>
          <cell r="C1036"/>
          <cell r="D1036"/>
        </row>
        <row r="1037">
          <cell r="B1037"/>
          <cell r="C1037"/>
          <cell r="D1037"/>
        </row>
        <row r="1038">
          <cell r="B1038"/>
          <cell r="C1038"/>
          <cell r="D1038"/>
        </row>
        <row r="1039">
          <cell r="B1039"/>
          <cell r="C1039"/>
          <cell r="D1039"/>
        </row>
        <row r="1040">
          <cell r="B1040"/>
          <cell r="C1040"/>
          <cell r="D1040"/>
        </row>
        <row r="1041">
          <cell r="B1041"/>
          <cell r="C1041"/>
          <cell r="D1041"/>
        </row>
        <row r="1042">
          <cell r="B1042"/>
          <cell r="C1042"/>
          <cell r="D1042"/>
        </row>
        <row r="1043">
          <cell r="B1043"/>
          <cell r="C1043"/>
          <cell r="D1043"/>
        </row>
        <row r="1044">
          <cell r="B1044"/>
          <cell r="C1044"/>
          <cell r="D1044"/>
        </row>
        <row r="1045">
          <cell r="B1045"/>
          <cell r="C1045"/>
          <cell r="D1045"/>
        </row>
        <row r="1046">
          <cell r="B1046"/>
          <cell r="C1046"/>
          <cell r="D1046"/>
        </row>
        <row r="1047">
          <cell r="B1047"/>
          <cell r="C1047"/>
          <cell r="D1047"/>
        </row>
        <row r="1048">
          <cell r="B1048"/>
          <cell r="C1048"/>
          <cell r="D1048"/>
        </row>
        <row r="1049">
          <cell r="B1049"/>
          <cell r="C1049"/>
          <cell r="D1049"/>
        </row>
        <row r="1050">
          <cell r="B1050"/>
          <cell r="C1050"/>
          <cell r="D1050"/>
        </row>
        <row r="1051">
          <cell r="B1051"/>
          <cell r="C1051"/>
          <cell r="D1051"/>
        </row>
        <row r="1052">
          <cell r="B1052"/>
          <cell r="C1052"/>
          <cell r="D1052"/>
        </row>
        <row r="1053">
          <cell r="B1053"/>
          <cell r="C1053"/>
          <cell r="D1053"/>
        </row>
        <row r="1054">
          <cell r="B1054"/>
          <cell r="C1054"/>
          <cell r="D1054"/>
        </row>
        <row r="1055">
          <cell r="B1055"/>
          <cell r="C1055"/>
          <cell r="D1055"/>
        </row>
        <row r="1056">
          <cell r="B1056"/>
          <cell r="C1056"/>
          <cell r="D1056"/>
        </row>
        <row r="1057">
          <cell r="B1057"/>
          <cell r="C1057"/>
          <cell r="D1057"/>
        </row>
        <row r="1058">
          <cell r="B1058"/>
          <cell r="C1058"/>
          <cell r="D1058"/>
        </row>
        <row r="1059">
          <cell r="B1059"/>
          <cell r="C1059"/>
          <cell r="D1059"/>
        </row>
        <row r="1060">
          <cell r="B1060"/>
          <cell r="C1060"/>
          <cell r="D1060"/>
        </row>
        <row r="1061">
          <cell r="B1061"/>
          <cell r="C1061"/>
          <cell r="D1061"/>
        </row>
        <row r="1062">
          <cell r="B1062"/>
          <cell r="C1062"/>
          <cell r="D1062"/>
        </row>
        <row r="1063">
          <cell r="B1063"/>
          <cell r="C1063"/>
          <cell r="D1063"/>
        </row>
        <row r="1064">
          <cell r="B1064"/>
          <cell r="C1064"/>
          <cell r="D1064"/>
        </row>
        <row r="1065">
          <cell r="B1065"/>
          <cell r="C1065"/>
          <cell r="D1065"/>
        </row>
        <row r="1066">
          <cell r="B1066"/>
          <cell r="C1066"/>
          <cell r="D1066"/>
        </row>
        <row r="1067">
          <cell r="B1067"/>
          <cell r="C1067"/>
          <cell r="D1067"/>
        </row>
        <row r="1068">
          <cell r="B1068"/>
          <cell r="C1068"/>
          <cell r="D1068"/>
        </row>
        <row r="1069">
          <cell r="B1069"/>
          <cell r="C1069"/>
          <cell r="D1069"/>
        </row>
        <row r="1070">
          <cell r="B1070"/>
          <cell r="C1070"/>
          <cell r="D1070"/>
        </row>
        <row r="1071">
          <cell r="B1071"/>
          <cell r="C1071"/>
          <cell r="D1071"/>
        </row>
        <row r="1072">
          <cell r="B1072"/>
          <cell r="C1072"/>
          <cell r="D1072"/>
        </row>
        <row r="1073">
          <cell r="B1073"/>
          <cell r="C1073"/>
          <cell r="D1073"/>
        </row>
        <row r="1074">
          <cell r="B1074"/>
          <cell r="C1074"/>
          <cell r="D1074"/>
        </row>
        <row r="1075">
          <cell r="B1075"/>
          <cell r="C1075"/>
          <cell r="D1075"/>
        </row>
        <row r="1076">
          <cell r="B1076"/>
          <cell r="C1076"/>
          <cell r="D1076"/>
        </row>
        <row r="1077">
          <cell r="B1077"/>
          <cell r="C1077"/>
          <cell r="D1077"/>
        </row>
        <row r="1078">
          <cell r="B1078"/>
          <cell r="C1078"/>
          <cell r="D1078"/>
        </row>
        <row r="1079">
          <cell r="B1079"/>
          <cell r="C1079"/>
          <cell r="D1079"/>
        </row>
        <row r="1080">
          <cell r="B1080"/>
          <cell r="C1080"/>
          <cell r="D1080"/>
        </row>
        <row r="1081">
          <cell r="B1081"/>
          <cell r="C1081"/>
          <cell r="D1081"/>
        </row>
        <row r="1082">
          <cell r="B1082"/>
          <cell r="C1082"/>
          <cell r="D1082"/>
        </row>
        <row r="1083">
          <cell r="B1083"/>
          <cell r="C1083"/>
          <cell r="D1083"/>
        </row>
        <row r="1084">
          <cell r="B1084"/>
          <cell r="C1084"/>
          <cell r="D1084"/>
        </row>
        <row r="1085">
          <cell r="B1085"/>
          <cell r="C1085"/>
          <cell r="D1085"/>
        </row>
        <row r="1086">
          <cell r="B1086"/>
          <cell r="C1086"/>
          <cell r="D1086"/>
        </row>
        <row r="1087">
          <cell r="B1087"/>
          <cell r="C1087"/>
          <cell r="D1087"/>
        </row>
        <row r="1088">
          <cell r="B1088"/>
          <cell r="C1088"/>
          <cell r="D1088"/>
        </row>
        <row r="1089">
          <cell r="B1089"/>
          <cell r="C1089"/>
          <cell r="D1089"/>
        </row>
        <row r="1090">
          <cell r="B1090"/>
          <cell r="C1090"/>
          <cell r="D1090"/>
        </row>
        <row r="1091">
          <cell r="B1091"/>
          <cell r="C1091"/>
          <cell r="D1091"/>
        </row>
        <row r="1092">
          <cell r="B1092"/>
          <cell r="C1092"/>
          <cell r="D1092"/>
        </row>
        <row r="1093">
          <cell r="B1093"/>
          <cell r="C1093"/>
          <cell r="D1093"/>
        </row>
        <row r="1094">
          <cell r="B1094"/>
          <cell r="C1094"/>
          <cell r="D1094"/>
        </row>
        <row r="1095">
          <cell r="B1095"/>
          <cell r="C1095"/>
          <cell r="D1095"/>
        </row>
        <row r="1096">
          <cell r="B1096"/>
          <cell r="C1096"/>
          <cell r="D1096"/>
        </row>
        <row r="1097">
          <cell r="B1097"/>
          <cell r="C1097"/>
          <cell r="D1097"/>
        </row>
        <row r="1098">
          <cell r="B1098"/>
          <cell r="C1098"/>
          <cell r="D1098"/>
        </row>
        <row r="1099">
          <cell r="B1099"/>
          <cell r="C1099"/>
          <cell r="D1099"/>
        </row>
        <row r="1100">
          <cell r="B1100"/>
          <cell r="C1100"/>
          <cell r="D1100"/>
        </row>
        <row r="1101">
          <cell r="B1101"/>
          <cell r="C1101"/>
          <cell r="D1101"/>
        </row>
        <row r="1102">
          <cell r="B1102"/>
          <cell r="C1102"/>
          <cell r="D1102"/>
        </row>
        <row r="1103">
          <cell r="B1103"/>
          <cell r="C1103"/>
          <cell r="D1103"/>
        </row>
        <row r="1104">
          <cell r="B1104"/>
          <cell r="C1104"/>
          <cell r="D1104"/>
        </row>
        <row r="1105">
          <cell r="B1105"/>
          <cell r="C1105"/>
          <cell r="D1105"/>
        </row>
        <row r="1106">
          <cell r="B1106"/>
          <cell r="C1106"/>
          <cell r="D1106"/>
        </row>
        <row r="1107">
          <cell r="B1107"/>
          <cell r="C1107"/>
          <cell r="D1107"/>
        </row>
        <row r="1108">
          <cell r="B1108"/>
          <cell r="C1108"/>
          <cell r="D1108"/>
        </row>
        <row r="1109">
          <cell r="B1109"/>
          <cell r="C1109"/>
          <cell r="D1109"/>
        </row>
        <row r="1110">
          <cell r="B1110"/>
          <cell r="C1110"/>
          <cell r="D1110"/>
        </row>
        <row r="1111">
          <cell r="B1111"/>
          <cell r="C1111"/>
          <cell r="D1111"/>
        </row>
        <row r="1112">
          <cell r="B1112"/>
          <cell r="C1112"/>
          <cell r="D1112"/>
        </row>
        <row r="1113">
          <cell r="B1113"/>
          <cell r="C1113"/>
          <cell r="D1113"/>
        </row>
        <row r="1114">
          <cell r="B1114"/>
          <cell r="C1114"/>
          <cell r="D1114"/>
        </row>
        <row r="1115">
          <cell r="B1115"/>
          <cell r="C1115"/>
          <cell r="D1115"/>
        </row>
        <row r="1116">
          <cell r="B1116"/>
          <cell r="C1116"/>
          <cell r="D1116"/>
        </row>
        <row r="1117">
          <cell r="B1117"/>
          <cell r="C1117"/>
          <cell r="D1117"/>
        </row>
        <row r="1118">
          <cell r="B1118"/>
          <cell r="C1118"/>
          <cell r="D1118"/>
        </row>
        <row r="1119">
          <cell r="B1119"/>
          <cell r="C1119"/>
          <cell r="D1119"/>
        </row>
        <row r="1120">
          <cell r="B1120"/>
          <cell r="C1120"/>
          <cell r="D1120"/>
        </row>
        <row r="1121">
          <cell r="B1121"/>
          <cell r="C1121"/>
          <cell r="D1121"/>
        </row>
        <row r="1122">
          <cell r="B1122"/>
          <cell r="C1122"/>
          <cell r="D1122"/>
        </row>
        <row r="1123">
          <cell r="B1123"/>
          <cell r="C1123"/>
          <cell r="D1123"/>
        </row>
        <row r="1124">
          <cell r="B1124"/>
          <cell r="C1124"/>
          <cell r="D1124"/>
        </row>
        <row r="1125">
          <cell r="B1125"/>
          <cell r="C1125"/>
          <cell r="D1125"/>
        </row>
        <row r="1126">
          <cell r="B1126"/>
          <cell r="C1126"/>
          <cell r="D1126"/>
        </row>
        <row r="1127">
          <cell r="B1127"/>
          <cell r="C1127"/>
          <cell r="D1127"/>
        </row>
        <row r="1128">
          <cell r="B1128"/>
          <cell r="C1128"/>
          <cell r="D1128"/>
        </row>
        <row r="1129">
          <cell r="B1129"/>
          <cell r="C1129"/>
          <cell r="D1129"/>
        </row>
        <row r="1130">
          <cell r="B1130"/>
          <cell r="C1130"/>
          <cell r="D1130"/>
        </row>
        <row r="1131">
          <cell r="B1131"/>
          <cell r="C1131"/>
          <cell r="D1131"/>
        </row>
        <row r="1132">
          <cell r="B1132"/>
          <cell r="C1132"/>
          <cell r="D1132"/>
        </row>
        <row r="1133">
          <cell r="B1133"/>
          <cell r="C1133"/>
          <cell r="D1133"/>
        </row>
        <row r="1134">
          <cell r="B1134"/>
          <cell r="C1134"/>
          <cell r="D1134"/>
        </row>
        <row r="1135">
          <cell r="B1135"/>
          <cell r="C1135"/>
          <cell r="D1135"/>
        </row>
        <row r="1136">
          <cell r="B1136"/>
          <cell r="C1136"/>
          <cell r="D1136"/>
        </row>
        <row r="1137">
          <cell r="B1137"/>
          <cell r="C1137"/>
          <cell r="D1137"/>
        </row>
        <row r="1138">
          <cell r="B1138"/>
          <cell r="C1138"/>
          <cell r="D1138"/>
        </row>
        <row r="1139">
          <cell r="B1139"/>
          <cell r="C1139"/>
          <cell r="D1139"/>
        </row>
        <row r="1140">
          <cell r="B1140"/>
          <cell r="C1140"/>
          <cell r="D1140"/>
        </row>
        <row r="1141">
          <cell r="B1141"/>
          <cell r="C1141"/>
          <cell r="D1141"/>
        </row>
        <row r="1142">
          <cell r="B1142"/>
          <cell r="C1142"/>
          <cell r="D1142"/>
        </row>
        <row r="1143">
          <cell r="B1143"/>
          <cell r="C1143"/>
          <cell r="D1143"/>
        </row>
        <row r="1144">
          <cell r="B1144"/>
          <cell r="C1144"/>
          <cell r="D1144"/>
        </row>
        <row r="1145">
          <cell r="B1145"/>
          <cell r="C1145"/>
          <cell r="D1145"/>
        </row>
        <row r="1146">
          <cell r="B1146"/>
          <cell r="C1146"/>
          <cell r="D1146"/>
        </row>
        <row r="1147">
          <cell r="B1147"/>
          <cell r="C1147"/>
          <cell r="D1147"/>
        </row>
        <row r="1148">
          <cell r="B1148"/>
          <cell r="C1148"/>
          <cell r="D1148"/>
        </row>
        <row r="1149">
          <cell r="B1149"/>
          <cell r="C1149"/>
          <cell r="D1149"/>
        </row>
        <row r="1150">
          <cell r="B1150"/>
          <cell r="C1150"/>
          <cell r="D1150"/>
        </row>
        <row r="1151">
          <cell r="B1151"/>
          <cell r="C1151"/>
          <cell r="D1151"/>
        </row>
        <row r="1152">
          <cell r="B1152"/>
          <cell r="C1152"/>
          <cell r="D1152"/>
        </row>
        <row r="1153">
          <cell r="B1153"/>
          <cell r="C1153"/>
          <cell r="D1153"/>
        </row>
        <row r="1154">
          <cell r="B1154"/>
          <cell r="C1154"/>
          <cell r="D1154"/>
        </row>
        <row r="1155">
          <cell r="B1155"/>
          <cell r="C1155"/>
          <cell r="D1155"/>
        </row>
        <row r="1156">
          <cell r="B1156"/>
          <cell r="C1156"/>
          <cell r="D1156"/>
        </row>
        <row r="1157">
          <cell r="B1157"/>
          <cell r="C1157"/>
          <cell r="D1157"/>
        </row>
        <row r="1158">
          <cell r="B1158"/>
          <cell r="C1158"/>
          <cell r="D1158"/>
        </row>
        <row r="1159">
          <cell r="B1159"/>
          <cell r="C1159"/>
          <cell r="D1159"/>
        </row>
        <row r="1160">
          <cell r="B1160"/>
          <cell r="C1160"/>
          <cell r="D1160"/>
        </row>
        <row r="1161">
          <cell r="B1161"/>
          <cell r="C1161"/>
          <cell r="D1161"/>
        </row>
        <row r="1162">
          <cell r="B1162"/>
          <cell r="C1162"/>
          <cell r="D1162"/>
        </row>
        <row r="1163">
          <cell r="B1163"/>
          <cell r="C1163"/>
          <cell r="D1163"/>
        </row>
        <row r="1164">
          <cell r="B1164"/>
          <cell r="C1164"/>
          <cell r="D1164"/>
        </row>
        <row r="1165">
          <cell r="B1165"/>
          <cell r="C1165"/>
          <cell r="D1165"/>
        </row>
        <row r="1166">
          <cell r="B1166"/>
          <cell r="C1166"/>
          <cell r="D1166"/>
        </row>
        <row r="1167">
          <cell r="B1167"/>
          <cell r="C1167"/>
          <cell r="D1167"/>
        </row>
        <row r="1168">
          <cell r="B1168"/>
          <cell r="C1168"/>
          <cell r="D1168"/>
        </row>
        <row r="1169">
          <cell r="B1169"/>
          <cell r="C1169"/>
          <cell r="D1169"/>
        </row>
        <row r="1170">
          <cell r="B1170"/>
          <cell r="C1170"/>
          <cell r="D1170"/>
        </row>
        <row r="1171">
          <cell r="B1171"/>
          <cell r="C1171"/>
          <cell r="D1171"/>
        </row>
        <row r="1172">
          <cell r="B1172"/>
          <cell r="C1172"/>
          <cell r="D1172"/>
        </row>
        <row r="1173">
          <cell r="B1173"/>
          <cell r="C1173"/>
          <cell r="D1173"/>
        </row>
        <row r="1174">
          <cell r="B1174"/>
          <cell r="C1174"/>
          <cell r="D1174"/>
        </row>
        <row r="1175">
          <cell r="B1175"/>
          <cell r="C1175"/>
          <cell r="D1175"/>
        </row>
        <row r="1176">
          <cell r="B1176"/>
          <cell r="C1176"/>
          <cell r="D1176"/>
        </row>
        <row r="1177">
          <cell r="B1177"/>
          <cell r="C1177"/>
          <cell r="D1177"/>
        </row>
        <row r="1178">
          <cell r="B1178"/>
          <cell r="C1178"/>
          <cell r="D1178"/>
        </row>
        <row r="1179">
          <cell r="B1179"/>
          <cell r="C1179"/>
          <cell r="D1179"/>
        </row>
        <row r="1180">
          <cell r="B1180"/>
          <cell r="C1180"/>
          <cell r="D1180"/>
        </row>
        <row r="1181">
          <cell r="B1181"/>
          <cell r="C1181"/>
          <cell r="D1181"/>
        </row>
        <row r="1182">
          <cell r="B1182"/>
          <cell r="C1182"/>
          <cell r="D1182"/>
        </row>
        <row r="1183">
          <cell r="B1183"/>
          <cell r="C1183"/>
          <cell r="D1183"/>
        </row>
        <row r="1184">
          <cell r="B1184"/>
          <cell r="C1184"/>
          <cell r="D1184"/>
        </row>
        <row r="1185">
          <cell r="B1185"/>
          <cell r="C1185"/>
          <cell r="D1185"/>
        </row>
        <row r="1186">
          <cell r="B1186"/>
          <cell r="C1186"/>
          <cell r="D1186"/>
        </row>
        <row r="1187">
          <cell r="B1187"/>
          <cell r="C1187"/>
          <cell r="D1187"/>
        </row>
        <row r="1188">
          <cell r="B1188"/>
          <cell r="C1188"/>
          <cell r="D1188"/>
        </row>
        <row r="1189">
          <cell r="B1189"/>
          <cell r="C1189"/>
          <cell r="D1189"/>
        </row>
        <row r="1190">
          <cell r="B1190"/>
          <cell r="C1190"/>
          <cell r="D1190"/>
        </row>
        <row r="1191">
          <cell r="B1191"/>
          <cell r="C1191"/>
          <cell r="D1191"/>
        </row>
        <row r="1192">
          <cell r="B1192"/>
          <cell r="C1192"/>
          <cell r="D1192"/>
        </row>
        <row r="1193">
          <cell r="B1193"/>
          <cell r="C1193"/>
          <cell r="D1193"/>
        </row>
        <row r="1194">
          <cell r="B1194"/>
          <cell r="C1194"/>
          <cell r="D1194"/>
        </row>
        <row r="1195">
          <cell r="B1195"/>
          <cell r="C1195"/>
          <cell r="D1195"/>
        </row>
        <row r="1196">
          <cell r="B1196"/>
          <cell r="C1196"/>
          <cell r="D1196"/>
        </row>
        <row r="1197">
          <cell r="B1197"/>
          <cell r="C1197"/>
          <cell r="D1197"/>
        </row>
        <row r="1198">
          <cell r="B1198"/>
          <cell r="C1198"/>
          <cell r="D1198"/>
        </row>
        <row r="1199">
          <cell r="B1199"/>
          <cell r="C1199"/>
          <cell r="D1199"/>
        </row>
        <row r="1200">
          <cell r="B1200"/>
          <cell r="C1200"/>
          <cell r="D1200"/>
        </row>
        <row r="1201">
          <cell r="B1201"/>
          <cell r="C1201"/>
          <cell r="D1201"/>
        </row>
        <row r="1202">
          <cell r="B1202"/>
          <cell r="C1202"/>
          <cell r="D1202"/>
        </row>
        <row r="1203">
          <cell r="B1203"/>
          <cell r="C1203"/>
          <cell r="D1203"/>
        </row>
        <row r="1204">
          <cell r="B1204"/>
          <cell r="C1204"/>
          <cell r="D1204"/>
        </row>
        <row r="1205">
          <cell r="B1205"/>
          <cell r="C1205"/>
          <cell r="D1205"/>
        </row>
        <row r="1206">
          <cell r="B1206"/>
          <cell r="C1206"/>
          <cell r="D1206"/>
        </row>
        <row r="1207">
          <cell r="B1207"/>
          <cell r="C1207"/>
          <cell r="D1207"/>
        </row>
        <row r="1208">
          <cell r="B1208"/>
          <cell r="C1208"/>
          <cell r="D1208"/>
        </row>
        <row r="1209">
          <cell r="B1209"/>
          <cell r="C1209"/>
          <cell r="D1209"/>
        </row>
        <row r="1210">
          <cell r="B1210"/>
          <cell r="C1210"/>
          <cell r="D1210"/>
        </row>
        <row r="1211">
          <cell r="B1211"/>
          <cell r="C1211"/>
          <cell r="D1211"/>
        </row>
        <row r="1212">
          <cell r="B1212"/>
          <cell r="C1212"/>
          <cell r="D1212"/>
        </row>
        <row r="1213">
          <cell r="B1213"/>
          <cell r="C1213"/>
          <cell r="D1213"/>
        </row>
        <row r="1214">
          <cell r="B1214"/>
          <cell r="C1214"/>
          <cell r="D1214"/>
        </row>
        <row r="1215">
          <cell r="B1215"/>
          <cell r="C1215"/>
          <cell r="D1215"/>
        </row>
        <row r="1216">
          <cell r="B1216"/>
          <cell r="C1216"/>
          <cell r="D1216"/>
        </row>
        <row r="1217">
          <cell r="B1217"/>
          <cell r="C1217"/>
          <cell r="D1217"/>
        </row>
        <row r="1218">
          <cell r="B1218"/>
          <cell r="C1218"/>
          <cell r="D1218"/>
        </row>
        <row r="1219">
          <cell r="B1219"/>
          <cell r="C1219"/>
          <cell r="D1219"/>
        </row>
        <row r="1220">
          <cell r="B1220"/>
          <cell r="C1220"/>
          <cell r="D1220"/>
        </row>
        <row r="1221">
          <cell r="B1221"/>
          <cell r="C1221"/>
          <cell r="D1221"/>
        </row>
        <row r="1222">
          <cell r="B1222"/>
          <cell r="C1222"/>
          <cell r="D1222"/>
        </row>
        <row r="1223">
          <cell r="B1223"/>
          <cell r="C1223"/>
          <cell r="D1223"/>
        </row>
        <row r="1224">
          <cell r="B1224"/>
          <cell r="C1224"/>
          <cell r="D1224"/>
        </row>
        <row r="1225">
          <cell r="B1225"/>
          <cell r="C1225"/>
          <cell r="D1225"/>
        </row>
        <row r="1226">
          <cell r="B1226"/>
          <cell r="C1226"/>
          <cell r="D1226"/>
        </row>
        <row r="1227">
          <cell r="B1227"/>
          <cell r="C1227"/>
          <cell r="D1227"/>
        </row>
        <row r="1228">
          <cell r="B1228"/>
          <cell r="C1228"/>
          <cell r="D1228"/>
        </row>
        <row r="1229">
          <cell r="B1229"/>
          <cell r="C1229"/>
          <cell r="D1229"/>
        </row>
        <row r="1230">
          <cell r="B1230"/>
          <cell r="C1230"/>
          <cell r="D1230"/>
        </row>
        <row r="1231">
          <cell r="B1231"/>
          <cell r="C1231"/>
          <cell r="D1231"/>
        </row>
        <row r="1232">
          <cell r="B1232"/>
          <cell r="C1232"/>
          <cell r="D1232"/>
        </row>
        <row r="1233">
          <cell r="B1233"/>
          <cell r="C1233"/>
          <cell r="D1233"/>
        </row>
        <row r="1234">
          <cell r="B1234"/>
          <cell r="C1234"/>
          <cell r="D1234"/>
        </row>
        <row r="1235">
          <cell r="B1235"/>
          <cell r="C1235"/>
          <cell r="D1235"/>
        </row>
        <row r="1236">
          <cell r="B1236"/>
          <cell r="C1236"/>
          <cell r="D1236"/>
        </row>
        <row r="1237">
          <cell r="B1237"/>
          <cell r="C1237"/>
          <cell r="D1237"/>
        </row>
        <row r="1238">
          <cell r="B1238"/>
          <cell r="C1238"/>
          <cell r="D1238"/>
        </row>
        <row r="1239">
          <cell r="B1239"/>
          <cell r="C1239"/>
          <cell r="D1239"/>
        </row>
        <row r="1240">
          <cell r="B1240"/>
          <cell r="C1240"/>
          <cell r="D1240"/>
        </row>
        <row r="1241">
          <cell r="B1241"/>
          <cell r="C1241"/>
          <cell r="D1241"/>
        </row>
        <row r="1242">
          <cell r="B1242"/>
          <cell r="C1242"/>
          <cell r="D1242"/>
        </row>
        <row r="1243">
          <cell r="B1243"/>
          <cell r="C1243"/>
          <cell r="D1243"/>
        </row>
        <row r="1244">
          <cell r="B1244"/>
          <cell r="C1244"/>
          <cell r="D1244"/>
        </row>
        <row r="1245">
          <cell r="B1245"/>
          <cell r="C1245"/>
          <cell r="D1245"/>
        </row>
        <row r="1246">
          <cell r="B1246"/>
          <cell r="C1246"/>
          <cell r="D1246"/>
        </row>
        <row r="1247">
          <cell r="B1247"/>
          <cell r="C1247"/>
          <cell r="D1247"/>
        </row>
        <row r="1248">
          <cell r="B1248"/>
          <cell r="C1248"/>
          <cell r="D1248"/>
        </row>
        <row r="1249">
          <cell r="B1249"/>
          <cell r="C1249"/>
          <cell r="D1249"/>
        </row>
        <row r="1250">
          <cell r="B1250"/>
          <cell r="C1250"/>
          <cell r="D1250"/>
        </row>
        <row r="1251">
          <cell r="B1251"/>
          <cell r="C1251"/>
          <cell r="D1251"/>
        </row>
        <row r="1252">
          <cell r="B1252"/>
          <cell r="C1252"/>
          <cell r="D1252"/>
        </row>
        <row r="1253">
          <cell r="B1253"/>
          <cell r="C1253"/>
          <cell r="D1253"/>
        </row>
        <row r="1254">
          <cell r="B1254"/>
          <cell r="C1254"/>
          <cell r="D1254"/>
        </row>
        <row r="1255">
          <cell r="B1255"/>
          <cell r="C1255"/>
          <cell r="D1255"/>
        </row>
        <row r="1256">
          <cell r="B1256"/>
          <cell r="C1256"/>
          <cell r="D1256"/>
        </row>
        <row r="1257">
          <cell r="B1257"/>
          <cell r="C1257"/>
          <cell r="D1257"/>
        </row>
        <row r="1258">
          <cell r="B1258"/>
          <cell r="C1258"/>
          <cell r="D1258"/>
        </row>
        <row r="1259">
          <cell r="B1259"/>
          <cell r="C1259"/>
          <cell r="D1259"/>
        </row>
        <row r="1260">
          <cell r="B1260"/>
          <cell r="C1260"/>
          <cell r="D1260"/>
        </row>
        <row r="1261">
          <cell r="B1261"/>
          <cell r="C1261"/>
          <cell r="D1261"/>
        </row>
        <row r="1262">
          <cell r="B1262"/>
          <cell r="C1262"/>
          <cell r="D1262"/>
        </row>
        <row r="1263">
          <cell r="B1263"/>
          <cell r="C1263"/>
          <cell r="D1263"/>
        </row>
        <row r="1264">
          <cell r="B1264"/>
          <cell r="C1264"/>
          <cell r="D1264"/>
        </row>
        <row r="1265">
          <cell r="B1265"/>
          <cell r="C1265"/>
          <cell r="D1265"/>
        </row>
        <row r="1266">
          <cell r="B1266"/>
          <cell r="C1266"/>
          <cell r="D1266"/>
        </row>
        <row r="1267">
          <cell r="B1267"/>
          <cell r="C1267"/>
          <cell r="D1267"/>
        </row>
        <row r="1268">
          <cell r="B1268"/>
          <cell r="C1268"/>
          <cell r="D1268"/>
        </row>
        <row r="1269">
          <cell r="B1269"/>
          <cell r="C1269"/>
          <cell r="D1269"/>
        </row>
        <row r="1270">
          <cell r="B1270"/>
          <cell r="C1270"/>
          <cell r="D1270"/>
        </row>
        <row r="1271">
          <cell r="B1271"/>
          <cell r="C1271"/>
          <cell r="D1271"/>
        </row>
        <row r="1272">
          <cell r="B1272"/>
          <cell r="C1272"/>
          <cell r="D1272"/>
        </row>
        <row r="1273">
          <cell r="B1273"/>
          <cell r="C1273"/>
          <cell r="D1273"/>
        </row>
        <row r="1274">
          <cell r="B1274"/>
          <cell r="C1274"/>
          <cell r="D1274"/>
        </row>
        <row r="1275">
          <cell r="B1275"/>
          <cell r="C1275"/>
          <cell r="D1275"/>
        </row>
        <row r="1276">
          <cell r="B1276"/>
          <cell r="C1276"/>
          <cell r="D1276"/>
        </row>
        <row r="1277">
          <cell r="B1277"/>
          <cell r="C1277"/>
          <cell r="D1277"/>
        </row>
        <row r="1278">
          <cell r="B1278"/>
          <cell r="C1278"/>
          <cell r="D1278"/>
        </row>
        <row r="1279">
          <cell r="B1279"/>
          <cell r="C1279"/>
          <cell r="D1279"/>
        </row>
        <row r="1280">
          <cell r="B1280"/>
          <cell r="C1280"/>
          <cell r="D1280"/>
        </row>
        <row r="1281">
          <cell r="B1281"/>
          <cell r="C1281"/>
          <cell r="D1281"/>
        </row>
        <row r="1282">
          <cell r="B1282"/>
          <cell r="C1282"/>
          <cell r="D1282"/>
        </row>
        <row r="1283">
          <cell r="B1283"/>
          <cell r="C1283"/>
          <cell r="D1283"/>
        </row>
        <row r="1284">
          <cell r="B1284"/>
          <cell r="C1284"/>
          <cell r="D1284"/>
        </row>
        <row r="1285">
          <cell r="B1285"/>
          <cell r="C1285"/>
          <cell r="D1285"/>
        </row>
        <row r="1286">
          <cell r="B1286"/>
          <cell r="C1286"/>
          <cell r="D1286"/>
        </row>
        <row r="1287">
          <cell r="B1287"/>
          <cell r="C1287"/>
          <cell r="D1287"/>
        </row>
        <row r="1288">
          <cell r="B1288"/>
          <cell r="C1288"/>
          <cell r="D1288"/>
        </row>
        <row r="1289">
          <cell r="B1289"/>
          <cell r="C1289"/>
          <cell r="D1289"/>
        </row>
        <row r="1290">
          <cell r="B1290"/>
          <cell r="C1290"/>
          <cell r="D1290"/>
        </row>
        <row r="1291">
          <cell r="B1291"/>
          <cell r="C1291"/>
          <cell r="D1291"/>
        </row>
        <row r="1292">
          <cell r="B1292"/>
          <cell r="C1292"/>
          <cell r="D1292"/>
        </row>
        <row r="1293">
          <cell r="B1293"/>
          <cell r="C1293"/>
          <cell r="D1293"/>
        </row>
        <row r="1294">
          <cell r="B1294"/>
          <cell r="C1294"/>
          <cell r="D1294"/>
        </row>
        <row r="1295">
          <cell r="B1295"/>
          <cell r="C1295"/>
          <cell r="D1295"/>
        </row>
        <row r="1296">
          <cell r="B1296"/>
          <cell r="C1296"/>
          <cell r="D1296"/>
        </row>
        <row r="1297">
          <cell r="B1297"/>
          <cell r="C1297"/>
          <cell r="D1297"/>
        </row>
        <row r="1298">
          <cell r="B1298"/>
          <cell r="C1298"/>
          <cell r="D1298"/>
        </row>
        <row r="1299">
          <cell r="B1299"/>
          <cell r="C1299"/>
          <cell r="D1299"/>
        </row>
        <row r="1300">
          <cell r="B1300"/>
          <cell r="C1300"/>
          <cell r="D1300"/>
        </row>
        <row r="1301">
          <cell r="B1301"/>
          <cell r="C1301"/>
          <cell r="D1301"/>
        </row>
        <row r="1302">
          <cell r="B1302"/>
          <cell r="C1302"/>
          <cell r="D1302"/>
        </row>
        <row r="1303">
          <cell r="B1303"/>
          <cell r="C1303"/>
          <cell r="D1303"/>
        </row>
        <row r="1304">
          <cell r="B1304"/>
          <cell r="C1304"/>
          <cell r="D1304"/>
        </row>
        <row r="1305">
          <cell r="B1305"/>
          <cell r="C1305"/>
          <cell r="D1305"/>
        </row>
        <row r="1306">
          <cell r="B1306"/>
          <cell r="C1306"/>
          <cell r="D1306"/>
        </row>
        <row r="1307">
          <cell r="B1307"/>
          <cell r="C1307"/>
          <cell r="D1307"/>
        </row>
        <row r="1308">
          <cell r="B1308"/>
          <cell r="C1308"/>
          <cell r="D1308"/>
        </row>
        <row r="1309">
          <cell r="B1309"/>
          <cell r="C1309"/>
          <cell r="D1309"/>
        </row>
        <row r="1310">
          <cell r="B1310"/>
          <cell r="C1310"/>
          <cell r="D1310"/>
        </row>
        <row r="1311">
          <cell r="B1311"/>
          <cell r="C1311"/>
          <cell r="D1311"/>
        </row>
        <row r="1312">
          <cell r="B1312"/>
          <cell r="C1312"/>
          <cell r="D1312"/>
        </row>
        <row r="1313">
          <cell r="B1313"/>
          <cell r="C1313"/>
          <cell r="D1313"/>
        </row>
        <row r="1314">
          <cell r="B1314"/>
          <cell r="C1314"/>
          <cell r="D1314"/>
        </row>
        <row r="1315">
          <cell r="B1315"/>
          <cell r="C1315"/>
          <cell r="D1315"/>
        </row>
        <row r="1316">
          <cell r="B1316"/>
          <cell r="C1316"/>
          <cell r="D1316"/>
        </row>
        <row r="1317">
          <cell r="B1317"/>
          <cell r="C1317"/>
          <cell r="D1317"/>
        </row>
        <row r="1318">
          <cell r="B1318"/>
          <cell r="C1318"/>
          <cell r="D1318"/>
        </row>
        <row r="1319">
          <cell r="B1319"/>
          <cell r="C1319"/>
          <cell r="D1319"/>
        </row>
        <row r="1320">
          <cell r="B1320"/>
          <cell r="C1320"/>
          <cell r="D1320"/>
        </row>
        <row r="1321">
          <cell r="B1321"/>
          <cell r="C1321"/>
          <cell r="D1321"/>
        </row>
        <row r="1322">
          <cell r="B1322"/>
          <cell r="C1322"/>
          <cell r="D1322"/>
        </row>
        <row r="1323">
          <cell r="B1323"/>
          <cell r="C1323"/>
          <cell r="D1323"/>
        </row>
        <row r="1324">
          <cell r="B1324"/>
          <cell r="C1324"/>
          <cell r="D1324"/>
        </row>
        <row r="1325">
          <cell r="B1325"/>
          <cell r="C1325"/>
          <cell r="D1325"/>
        </row>
        <row r="1326">
          <cell r="B1326"/>
          <cell r="C1326"/>
          <cell r="D1326"/>
        </row>
        <row r="1327">
          <cell r="B1327"/>
          <cell r="C1327"/>
          <cell r="D1327"/>
        </row>
        <row r="1328">
          <cell r="B1328"/>
          <cell r="C1328"/>
          <cell r="D1328"/>
        </row>
        <row r="1329">
          <cell r="B1329"/>
          <cell r="C1329"/>
          <cell r="D1329"/>
        </row>
        <row r="1330">
          <cell r="B1330"/>
          <cell r="C1330"/>
          <cell r="D1330"/>
        </row>
        <row r="1331">
          <cell r="B1331"/>
          <cell r="C1331"/>
          <cell r="D1331"/>
        </row>
        <row r="1332">
          <cell r="B1332"/>
          <cell r="C1332"/>
          <cell r="D1332"/>
        </row>
        <row r="1333">
          <cell r="B1333"/>
          <cell r="C1333"/>
          <cell r="D1333"/>
        </row>
        <row r="1334">
          <cell r="B1334"/>
          <cell r="C1334"/>
          <cell r="D1334"/>
        </row>
        <row r="1335">
          <cell r="B1335"/>
          <cell r="C1335"/>
          <cell r="D1335"/>
        </row>
        <row r="1336">
          <cell r="B1336"/>
          <cell r="C1336"/>
          <cell r="D1336"/>
        </row>
        <row r="1337">
          <cell r="B1337"/>
          <cell r="C1337"/>
          <cell r="D1337"/>
        </row>
        <row r="1338">
          <cell r="B1338"/>
          <cell r="C1338"/>
          <cell r="D1338"/>
        </row>
        <row r="1339">
          <cell r="B1339"/>
          <cell r="C1339"/>
          <cell r="D1339"/>
        </row>
        <row r="1340">
          <cell r="B1340"/>
          <cell r="C1340"/>
          <cell r="D1340"/>
        </row>
        <row r="1341">
          <cell r="B1341"/>
          <cell r="C1341"/>
          <cell r="D1341"/>
        </row>
        <row r="1342">
          <cell r="B1342"/>
          <cell r="C1342"/>
          <cell r="D1342"/>
        </row>
        <row r="1343">
          <cell r="B1343"/>
          <cell r="C1343"/>
          <cell r="D1343"/>
        </row>
        <row r="1344">
          <cell r="B1344"/>
          <cell r="C1344"/>
          <cell r="D1344"/>
        </row>
        <row r="1345">
          <cell r="B1345"/>
          <cell r="C1345"/>
          <cell r="D1345"/>
        </row>
        <row r="1346">
          <cell r="B1346"/>
          <cell r="C1346"/>
          <cell r="D1346"/>
        </row>
        <row r="1347">
          <cell r="B1347"/>
          <cell r="C1347"/>
          <cell r="D1347"/>
        </row>
        <row r="1348">
          <cell r="B1348"/>
          <cell r="C1348"/>
          <cell r="D1348"/>
        </row>
        <row r="1349">
          <cell r="B1349"/>
          <cell r="C1349"/>
          <cell r="D1349"/>
        </row>
        <row r="1350">
          <cell r="B1350"/>
          <cell r="C1350"/>
          <cell r="D1350"/>
        </row>
        <row r="1351">
          <cell r="B1351"/>
          <cell r="C1351"/>
          <cell r="D1351"/>
        </row>
        <row r="1352">
          <cell r="B1352"/>
          <cell r="C1352"/>
          <cell r="D1352"/>
        </row>
        <row r="1353">
          <cell r="B1353"/>
          <cell r="C1353"/>
          <cell r="D1353"/>
        </row>
        <row r="1354">
          <cell r="B1354"/>
          <cell r="C1354"/>
          <cell r="D1354"/>
        </row>
        <row r="1355">
          <cell r="B1355"/>
          <cell r="C1355"/>
          <cell r="D1355"/>
        </row>
        <row r="1356">
          <cell r="B1356"/>
          <cell r="C1356"/>
          <cell r="D1356"/>
        </row>
        <row r="1357">
          <cell r="B1357"/>
          <cell r="C1357"/>
          <cell r="D1357"/>
        </row>
        <row r="1358">
          <cell r="B1358"/>
          <cell r="C1358"/>
          <cell r="D1358"/>
        </row>
        <row r="1359">
          <cell r="B1359"/>
          <cell r="C1359"/>
          <cell r="D1359"/>
        </row>
        <row r="1360">
          <cell r="B1360"/>
          <cell r="C1360"/>
          <cell r="D1360"/>
        </row>
        <row r="1361">
          <cell r="B1361"/>
          <cell r="C1361"/>
          <cell r="D1361"/>
        </row>
        <row r="1362">
          <cell r="B1362"/>
          <cell r="C1362"/>
          <cell r="D1362"/>
        </row>
        <row r="1363">
          <cell r="B1363"/>
          <cell r="C1363"/>
          <cell r="D1363"/>
        </row>
        <row r="1364">
          <cell r="B1364"/>
          <cell r="C1364"/>
          <cell r="D1364"/>
        </row>
        <row r="1365">
          <cell r="B1365"/>
          <cell r="C1365"/>
          <cell r="D1365"/>
        </row>
        <row r="1366">
          <cell r="B1366"/>
          <cell r="C1366"/>
          <cell r="D1366"/>
        </row>
        <row r="1367">
          <cell r="B1367"/>
          <cell r="C1367"/>
          <cell r="D1367"/>
        </row>
        <row r="1368">
          <cell r="B1368"/>
          <cell r="C1368"/>
          <cell r="D1368"/>
        </row>
        <row r="1369">
          <cell r="B1369"/>
          <cell r="C1369"/>
          <cell r="D1369"/>
        </row>
        <row r="1370">
          <cell r="B1370"/>
          <cell r="C1370"/>
          <cell r="D1370"/>
        </row>
        <row r="1371">
          <cell r="B1371"/>
          <cell r="C1371"/>
          <cell r="D1371"/>
        </row>
        <row r="1372">
          <cell r="B1372"/>
          <cell r="C1372"/>
          <cell r="D1372"/>
        </row>
        <row r="1373">
          <cell r="B1373"/>
          <cell r="C1373"/>
          <cell r="D1373"/>
        </row>
        <row r="1374">
          <cell r="B1374"/>
          <cell r="C1374"/>
          <cell r="D1374"/>
        </row>
        <row r="1375">
          <cell r="B1375"/>
          <cell r="C1375"/>
          <cell r="D1375"/>
        </row>
        <row r="1376">
          <cell r="B1376"/>
          <cell r="C1376"/>
          <cell r="D1376"/>
        </row>
        <row r="1377">
          <cell r="B1377"/>
          <cell r="C1377"/>
          <cell r="D1377"/>
        </row>
        <row r="1378">
          <cell r="B1378"/>
          <cell r="C1378"/>
          <cell r="D1378"/>
        </row>
        <row r="1379">
          <cell r="B1379"/>
          <cell r="C1379"/>
          <cell r="D1379"/>
        </row>
        <row r="1380">
          <cell r="B1380"/>
          <cell r="C1380"/>
          <cell r="D1380"/>
        </row>
        <row r="1381">
          <cell r="B1381"/>
          <cell r="C1381"/>
          <cell r="D1381"/>
        </row>
        <row r="1382">
          <cell r="B1382"/>
          <cell r="C1382"/>
          <cell r="D1382"/>
        </row>
        <row r="1383">
          <cell r="B1383"/>
          <cell r="C1383"/>
          <cell r="D1383"/>
        </row>
        <row r="1384">
          <cell r="B1384"/>
          <cell r="C1384"/>
          <cell r="D1384"/>
        </row>
        <row r="1385">
          <cell r="B1385"/>
          <cell r="C1385"/>
          <cell r="D1385"/>
        </row>
        <row r="1386">
          <cell r="B1386"/>
          <cell r="C1386"/>
          <cell r="D1386"/>
        </row>
        <row r="1387">
          <cell r="B1387"/>
          <cell r="C1387"/>
          <cell r="D1387"/>
        </row>
        <row r="1388">
          <cell r="B1388"/>
          <cell r="C1388"/>
          <cell r="D1388"/>
        </row>
        <row r="1389">
          <cell r="B1389"/>
          <cell r="C1389"/>
          <cell r="D1389"/>
        </row>
        <row r="1390">
          <cell r="B1390"/>
          <cell r="C1390"/>
          <cell r="D1390"/>
        </row>
        <row r="1391">
          <cell r="B1391"/>
          <cell r="C1391"/>
          <cell r="D1391"/>
        </row>
        <row r="1392">
          <cell r="B1392"/>
          <cell r="C1392"/>
          <cell r="D1392"/>
        </row>
        <row r="1393">
          <cell r="B1393"/>
          <cell r="C1393"/>
          <cell r="D1393"/>
        </row>
        <row r="1394">
          <cell r="B1394"/>
          <cell r="C1394"/>
          <cell r="D1394"/>
        </row>
        <row r="1395">
          <cell r="B1395"/>
          <cell r="C1395"/>
          <cell r="D1395"/>
        </row>
        <row r="1396">
          <cell r="B1396"/>
          <cell r="C1396"/>
          <cell r="D1396"/>
        </row>
        <row r="1397">
          <cell r="B1397"/>
          <cell r="C1397"/>
          <cell r="D1397"/>
        </row>
        <row r="1398">
          <cell r="B1398"/>
          <cell r="C1398"/>
          <cell r="D1398"/>
        </row>
        <row r="1399">
          <cell r="B1399"/>
          <cell r="C1399"/>
          <cell r="D1399"/>
        </row>
        <row r="1400">
          <cell r="B1400"/>
          <cell r="C1400"/>
          <cell r="D1400"/>
        </row>
        <row r="1401">
          <cell r="B1401"/>
          <cell r="C1401"/>
          <cell r="D1401"/>
        </row>
        <row r="1402">
          <cell r="B1402"/>
          <cell r="C1402"/>
          <cell r="D1402"/>
        </row>
        <row r="1403">
          <cell r="B1403"/>
          <cell r="C1403"/>
          <cell r="D1403"/>
        </row>
        <row r="1404">
          <cell r="B1404"/>
          <cell r="C1404"/>
          <cell r="D1404"/>
        </row>
        <row r="1405">
          <cell r="B1405"/>
          <cell r="C1405"/>
          <cell r="D1405"/>
        </row>
        <row r="1406">
          <cell r="B1406"/>
          <cell r="C1406"/>
          <cell r="D1406"/>
        </row>
        <row r="1407">
          <cell r="B1407"/>
          <cell r="C1407"/>
          <cell r="D1407"/>
        </row>
        <row r="1408">
          <cell r="B1408"/>
          <cell r="C1408"/>
          <cell r="D1408"/>
        </row>
        <row r="1409">
          <cell r="B1409"/>
          <cell r="C1409"/>
          <cell r="D1409"/>
        </row>
        <row r="1410">
          <cell r="B1410"/>
          <cell r="C1410"/>
          <cell r="D1410"/>
        </row>
        <row r="1411">
          <cell r="B1411"/>
          <cell r="C1411"/>
          <cell r="D1411"/>
        </row>
        <row r="1412">
          <cell r="B1412"/>
          <cell r="C1412"/>
          <cell r="D1412"/>
        </row>
        <row r="1413">
          <cell r="B1413"/>
          <cell r="C1413"/>
          <cell r="D1413"/>
        </row>
        <row r="1414">
          <cell r="B1414"/>
          <cell r="C1414"/>
          <cell r="D1414"/>
        </row>
        <row r="1415">
          <cell r="B1415"/>
          <cell r="C1415"/>
          <cell r="D1415"/>
        </row>
        <row r="1416">
          <cell r="B1416"/>
          <cell r="C1416"/>
          <cell r="D1416"/>
        </row>
        <row r="1417">
          <cell r="B1417"/>
          <cell r="C1417"/>
          <cell r="D1417"/>
        </row>
        <row r="1418">
          <cell r="B1418"/>
          <cell r="C1418"/>
          <cell r="D1418"/>
        </row>
        <row r="1419">
          <cell r="B1419"/>
          <cell r="C1419"/>
          <cell r="D1419"/>
        </row>
        <row r="1420">
          <cell r="B1420"/>
          <cell r="C1420"/>
          <cell r="D1420"/>
        </row>
        <row r="1421">
          <cell r="B1421"/>
          <cell r="C1421"/>
          <cell r="D1421"/>
        </row>
        <row r="1422">
          <cell r="B1422"/>
          <cell r="C1422"/>
          <cell r="D1422"/>
        </row>
        <row r="1423">
          <cell r="B1423"/>
          <cell r="C1423"/>
          <cell r="D1423"/>
        </row>
        <row r="1424">
          <cell r="B1424"/>
          <cell r="C1424"/>
          <cell r="D1424"/>
        </row>
        <row r="1425">
          <cell r="B1425"/>
          <cell r="C1425"/>
          <cell r="D1425"/>
        </row>
        <row r="1426">
          <cell r="B1426"/>
          <cell r="C1426"/>
          <cell r="D1426"/>
        </row>
        <row r="1427">
          <cell r="B1427"/>
          <cell r="C1427"/>
          <cell r="D1427"/>
        </row>
        <row r="1428">
          <cell r="B1428"/>
          <cell r="C1428"/>
          <cell r="D1428"/>
        </row>
        <row r="1429">
          <cell r="B1429"/>
          <cell r="C1429"/>
          <cell r="D1429"/>
        </row>
        <row r="1430">
          <cell r="B1430"/>
          <cell r="C1430"/>
          <cell r="D1430"/>
        </row>
        <row r="1431">
          <cell r="B1431"/>
          <cell r="C1431"/>
          <cell r="D1431"/>
        </row>
        <row r="1432">
          <cell r="B1432"/>
          <cell r="C1432"/>
          <cell r="D1432"/>
        </row>
        <row r="1433">
          <cell r="B1433"/>
          <cell r="C1433"/>
          <cell r="D1433"/>
        </row>
        <row r="1434">
          <cell r="B1434"/>
          <cell r="C1434"/>
          <cell r="D1434"/>
        </row>
        <row r="1435">
          <cell r="B1435"/>
          <cell r="C1435"/>
          <cell r="D1435"/>
        </row>
        <row r="1436">
          <cell r="B1436"/>
          <cell r="C1436"/>
          <cell r="D1436"/>
        </row>
        <row r="1437">
          <cell r="B1437"/>
          <cell r="C1437"/>
          <cell r="D1437"/>
        </row>
        <row r="1438">
          <cell r="B1438"/>
          <cell r="C1438"/>
          <cell r="D1438"/>
        </row>
        <row r="1439">
          <cell r="B1439"/>
          <cell r="C1439"/>
          <cell r="D1439"/>
        </row>
        <row r="1440">
          <cell r="B1440"/>
          <cell r="C1440"/>
          <cell r="D1440"/>
        </row>
        <row r="1441">
          <cell r="B1441"/>
          <cell r="C1441"/>
          <cell r="D1441"/>
        </row>
        <row r="1442">
          <cell r="B1442"/>
          <cell r="C1442"/>
          <cell r="D1442"/>
        </row>
        <row r="1443">
          <cell r="B1443"/>
          <cell r="C1443"/>
          <cell r="D1443"/>
        </row>
        <row r="1444">
          <cell r="B1444"/>
          <cell r="C1444"/>
          <cell r="D1444"/>
        </row>
        <row r="1445">
          <cell r="B1445"/>
          <cell r="C1445"/>
          <cell r="D1445"/>
        </row>
        <row r="1446">
          <cell r="B1446"/>
          <cell r="C1446"/>
          <cell r="D1446"/>
        </row>
        <row r="1447">
          <cell r="B1447"/>
          <cell r="C1447"/>
          <cell r="D1447"/>
        </row>
        <row r="1448">
          <cell r="B1448"/>
          <cell r="C1448"/>
          <cell r="D1448"/>
        </row>
        <row r="1449">
          <cell r="B1449"/>
          <cell r="C1449"/>
          <cell r="D1449"/>
        </row>
        <row r="1450">
          <cell r="B1450"/>
          <cell r="C1450"/>
          <cell r="D1450"/>
        </row>
        <row r="1451">
          <cell r="B1451"/>
          <cell r="C1451"/>
          <cell r="D1451"/>
        </row>
        <row r="1452">
          <cell r="B1452"/>
          <cell r="C1452"/>
          <cell r="D1452"/>
        </row>
        <row r="1453">
          <cell r="B1453"/>
          <cell r="C1453"/>
          <cell r="D1453"/>
        </row>
        <row r="1454">
          <cell r="B1454"/>
          <cell r="C1454"/>
          <cell r="D1454"/>
        </row>
        <row r="1455">
          <cell r="B1455"/>
          <cell r="C1455"/>
          <cell r="D1455"/>
        </row>
        <row r="1456">
          <cell r="B1456"/>
          <cell r="C1456"/>
          <cell r="D1456"/>
        </row>
        <row r="1457">
          <cell r="B1457"/>
          <cell r="C1457"/>
          <cell r="D1457"/>
        </row>
        <row r="1458">
          <cell r="B1458"/>
          <cell r="C1458"/>
          <cell r="D1458"/>
        </row>
        <row r="1459">
          <cell r="B1459"/>
          <cell r="C1459"/>
          <cell r="D1459"/>
        </row>
        <row r="1460">
          <cell r="B1460"/>
          <cell r="C1460"/>
          <cell r="D1460"/>
        </row>
        <row r="1461">
          <cell r="B1461"/>
          <cell r="C1461"/>
          <cell r="D1461"/>
        </row>
        <row r="1462">
          <cell r="B1462"/>
          <cell r="C1462"/>
          <cell r="D1462"/>
        </row>
        <row r="1463">
          <cell r="B1463"/>
          <cell r="C1463"/>
          <cell r="D1463"/>
        </row>
        <row r="1464">
          <cell r="B1464"/>
          <cell r="C1464"/>
          <cell r="D1464"/>
        </row>
        <row r="1465">
          <cell r="B1465"/>
          <cell r="C1465"/>
          <cell r="D1465"/>
        </row>
        <row r="1466">
          <cell r="B1466"/>
          <cell r="C1466"/>
          <cell r="D1466"/>
        </row>
        <row r="1467">
          <cell r="B1467"/>
          <cell r="C1467"/>
          <cell r="D1467"/>
        </row>
        <row r="1468">
          <cell r="B1468"/>
          <cell r="C1468"/>
          <cell r="D1468"/>
        </row>
        <row r="1469">
          <cell r="B1469"/>
          <cell r="C1469"/>
          <cell r="D1469"/>
        </row>
        <row r="1470">
          <cell r="B1470"/>
          <cell r="C1470"/>
          <cell r="D1470"/>
        </row>
        <row r="1471">
          <cell r="B1471"/>
          <cell r="C1471"/>
          <cell r="D1471"/>
        </row>
        <row r="1472">
          <cell r="B1472"/>
          <cell r="C1472"/>
          <cell r="D1472"/>
        </row>
        <row r="1473">
          <cell r="B1473"/>
          <cell r="C1473"/>
          <cell r="D1473"/>
        </row>
        <row r="1474">
          <cell r="B1474"/>
          <cell r="C1474"/>
          <cell r="D1474"/>
        </row>
        <row r="1475">
          <cell r="B1475"/>
          <cell r="C1475"/>
          <cell r="D1475"/>
        </row>
        <row r="1476">
          <cell r="B1476"/>
          <cell r="C1476"/>
          <cell r="D1476"/>
        </row>
        <row r="1477">
          <cell r="B1477"/>
          <cell r="C1477"/>
          <cell r="D1477"/>
        </row>
        <row r="1478">
          <cell r="B1478"/>
          <cell r="C1478"/>
          <cell r="D1478"/>
        </row>
        <row r="1479">
          <cell r="B1479"/>
          <cell r="C1479"/>
          <cell r="D1479"/>
        </row>
        <row r="1480">
          <cell r="B1480"/>
          <cell r="C1480"/>
          <cell r="D1480"/>
        </row>
        <row r="1481">
          <cell r="B1481"/>
          <cell r="C1481"/>
          <cell r="D1481"/>
        </row>
        <row r="1482">
          <cell r="B1482"/>
          <cell r="C1482"/>
          <cell r="D1482"/>
        </row>
        <row r="1483">
          <cell r="B1483"/>
          <cell r="C1483"/>
          <cell r="D1483"/>
        </row>
        <row r="1484">
          <cell r="B1484"/>
          <cell r="C1484"/>
          <cell r="D1484"/>
        </row>
        <row r="1485">
          <cell r="B1485"/>
          <cell r="C1485"/>
          <cell r="D1485"/>
        </row>
        <row r="1486">
          <cell r="B1486"/>
          <cell r="C1486"/>
          <cell r="D1486"/>
        </row>
        <row r="1487">
          <cell r="B1487"/>
          <cell r="C1487"/>
          <cell r="D1487"/>
        </row>
        <row r="1488">
          <cell r="B1488"/>
          <cell r="C1488"/>
          <cell r="D1488"/>
        </row>
        <row r="1489">
          <cell r="B1489"/>
          <cell r="C1489"/>
          <cell r="D1489"/>
        </row>
        <row r="1490">
          <cell r="B1490"/>
          <cell r="C1490"/>
          <cell r="D1490"/>
        </row>
        <row r="1491">
          <cell r="B1491"/>
          <cell r="C1491"/>
          <cell r="D1491"/>
        </row>
        <row r="1492">
          <cell r="B1492"/>
          <cell r="C1492"/>
          <cell r="D1492"/>
        </row>
        <row r="1493">
          <cell r="B1493"/>
          <cell r="C1493"/>
          <cell r="D1493"/>
        </row>
        <row r="1494">
          <cell r="B1494"/>
          <cell r="C1494"/>
          <cell r="D1494"/>
        </row>
        <row r="1495">
          <cell r="B1495"/>
          <cell r="C1495"/>
          <cell r="D1495"/>
        </row>
        <row r="1496">
          <cell r="B1496"/>
          <cell r="C1496"/>
          <cell r="D1496"/>
        </row>
        <row r="1497">
          <cell r="B1497"/>
          <cell r="C1497"/>
          <cell r="D1497"/>
        </row>
        <row r="1498">
          <cell r="B1498"/>
          <cell r="C1498"/>
          <cell r="D1498"/>
        </row>
        <row r="1499">
          <cell r="B1499"/>
          <cell r="C1499"/>
          <cell r="D1499"/>
        </row>
        <row r="1500">
          <cell r="B1500"/>
          <cell r="C1500"/>
          <cell r="D1500"/>
        </row>
        <row r="1501">
          <cell r="B1501"/>
          <cell r="C1501"/>
          <cell r="D1501"/>
        </row>
        <row r="1502">
          <cell r="B1502"/>
          <cell r="C1502"/>
          <cell r="D1502"/>
        </row>
        <row r="1503">
          <cell r="B1503"/>
          <cell r="C1503"/>
          <cell r="D1503"/>
        </row>
        <row r="1504">
          <cell r="B1504"/>
          <cell r="C1504"/>
          <cell r="D1504"/>
        </row>
        <row r="1505">
          <cell r="B1505"/>
          <cell r="C1505"/>
          <cell r="D1505"/>
        </row>
        <row r="1506">
          <cell r="B1506"/>
          <cell r="C1506"/>
          <cell r="D1506"/>
        </row>
        <row r="1507">
          <cell r="B1507"/>
          <cell r="C1507"/>
          <cell r="D1507"/>
        </row>
        <row r="1508">
          <cell r="B1508"/>
          <cell r="C1508"/>
          <cell r="D1508"/>
        </row>
        <row r="1509">
          <cell r="B1509"/>
          <cell r="C1509"/>
          <cell r="D1509"/>
        </row>
        <row r="1510">
          <cell r="B1510"/>
          <cell r="C1510"/>
          <cell r="D1510"/>
        </row>
        <row r="1511">
          <cell r="B1511"/>
          <cell r="C1511"/>
          <cell r="D1511"/>
        </row>
        <row r="1512">
          <cell r="B1512"/>
          <cell r="C1512"/>
          <cell r="D1512"/>
        </row>
        <row r="1513">
          <cell r="B1513"/>
          <cell r="C1513"/>
          <cell r="D1513"/>
        </row>
        <row r="1514">
          <cell r="B1514"/>
          <cell r="C1514"/>
          <cell r="D1514"/>
        </row>
        <row r="1515">
          <cell r="B1515"/>
          <cell r="C1515"/>
          <cell r="D1515"/>
        </row>
        <row r="1516">
          <cell r="B1516"/>
          <cell r="C1516"/>
          <cell r="D1516"/>
        </row>
        <row r="1517">
          <cell r="B1517"/>
          <cell r="C1517"/>
          <cell r="D1517"/>
        </row>
        <row r="1518">
          <cell r="B1518"/>
          <cell r="C1518"/>
          <cell r="D1518"/>
        </row>
        <row r="1519">
          <cell r="B1519"/>
          <cell r="C1519"/>
          <cell r="D1519"/>
        </row>
        <row r="1520">
          <cell r="B1520"/>
          <cell r="C1520"/>
          <cell r="D1520"/>
        </row>
        <row r="1521">
          <cell r="B1521"/>
          <cell r="C1521"/>
          <cell r="D1521"/>
        </row>
        <row r="1522">
          <cell r="B1522"/>
          <cell r="C1522"/>
          <cell r="D1522"/>
        </row>
        <row r="1523">
          <cell r="B1523"/>
          <cell r="C1523"/>
          <cell r="D1523"/>
        </row>
        <row r="1524">
          <cell r="B1524"/>
          <cell r="C1524"/>
          <cell r="D1524"/>
        </row>
        <row r="1525">
          <cell r="B1525"/>
          <cell r="C1525"/>
          <cell r="D1525"/>
        </row>
        <row r="1526">
          <cell r="B1526"/>
          <cell r="C1526"/>
          <cell r="D1526"/>
        </row>
        <row r="1527">
          <cell r="B1527"/>
          <cell r="C1527"/>
          <cell r="D1527"/>
        </row>
        <row r="1528">
          <cell r="B1528"/>
          <cell r="C1528"/>
          <cell r="D1528"/>
        </row>
        <row r="1529">
          <cell r="B1529"/>
          <cell r="C1529"/>
          <cell r="D1529"/>
        </row>
        <row r="1530">
          <cell r="B1530"/>
          <cell r="C1530"/>
          <cell r="D1530"/>
        </row>
        <row r="1531">
          <cell r="B1531"/>
          <cell r="C1531"/>
          <cell r="D1531"/>
        </row>
        <row r="1532">
          <cell r="B1532"/>
          <cell r="C1532"/>
          <cell r="D1532"/>
        </row>
        <row r="1533">
          <cell r="B1533"/>
          <cell r="C1533"/>
          <cell r="D1533"/>
        </row>
        <row r="1534">
          <cell r="B1534"/>
          <cell r="C1534"/>
          <cell r="D1534"/>
        </row>
        <row r="1535">
          <cell r="B1535"/>
          <cell r="C1535"/>
          <cell r="D1535"/>
        </row>
        <row r="1536">
          <cell r="B1536"/>
          <cell r="C1536"/>
          <cell r="D1536"/>
        </row>
        <row r="1537">
          <cell r="B1537"/>
          <cell r="C1537"/>
          <cell r="D1537"/>
        </row>
        <row r="1538">
          <cell r="B1538"/>
          <cell r="C1538"/>
          <cell r="D1538"/>
        </row>
        <row r="1539">
          <cell r="B1539"/>
          <cell r="C1539"/>
          <cell r="D1539"/>
        </row>
        <row r="1540">
          <cell r="B1540"/>
          <cell r="C1540"/>
          <cell r="D1540"/>
        </row>
        <row r="1541">
          <cell r="B1541"/>
          <cell r="C1541"/>
          <cell r="D1541"/>
        </row>
        <row r="1542">
          <cell r="B1542"/>
          <cell r="C1542"/>
          <cell r="D1542"/>
        </row>
        <row r="1543">
          <cell r="B1543"/>
          <cell r="C1543"/>
          <cell r="D1543"/>
        </row>
        <row r="1544">
          <cell r="B1544"/>
          <cell r="C1544"/>
          <cell r="D1544"/>
        </row>
        <row r="1545">
          <cell r="B1545"/>
          <cell r="C1545"/>
          <cell r="D1545"/>
        </row>
        <row r="1546">
          <cell r="B1546"/>
          <cell r="C1546"/>
          <cell r="D1546"/>
        </row>
        <row r="1547">
          <cell r="B1547"/>
          <cell r="C1547"/>
          <cell r="D1547"/>
        </row>
        <row r="1548">
          <cell r="B1548"/>
          <cell r="C1548"/>
          <cell r="D1548"/>
        </row>
        <row r="1549">
          <cell r="B1549"/>
          <cell r="C1549"/>
          <cell r="D1549"/>
        </row>
        <row r="1550">
          <cell r="B1550"/>
          <cell r="C1550"/>
          <cell r="D1550"/>
        </row>
        <row r="1551">
          <cell r="B1551"/>
          <cell r="C1551"/>
          <cell r="D1551"/>
        </row>
        <row r="1552">
          <cell r="B1552"/>
          <cell r="C1552"/>
          <cell r="D1552"/>
        </row>
        <row r="1553">
          <cell r="B1553"/>
          <cell r="C1553"/>
          <cell r="D1553"/>
        </row>
        <row r="1554">
          <cell r="B1554"/>
          <cell r="C1554"/>
          <cell r="D1554"/>
        </row>
        <row r="1555">
          <cell r="B1555"/>
          <cell r="C1555"/>
          <cell r="D1555"/>
        </row>
        <row r="1556">
          <cell r="B1556"/>
          <cell r="C1556"/>
          <cell r="D1556"/>
        </row>
        <row r="1557">
          <cell r="B1557"/>
          <cell r="C1557"/>
          <cell r="D1557"/>
        </row>
        <row r="1558">
          <cell r="B1558"/>
          <cell r="C1558"/>
          <cell r="D1558"/>
        </row>
        <row r="1559">
          <cell r="B1559"/>
          <cell r="C1559"/>
          <cell r="D1559"/>
        </row>
        <row r="1560">
          <cell r="B1560"/>
          <cell r="C1560"/>
          <cell r="D1560"/>
        </row>
        <row r="1561">
          <cell r="B1561"/>
          <cell r="C1561"/>
          <cell r="D1561"/>
        </row>
        <row r="1562">
          <cell r="B1562"/>
          <cell r="C1562"/>
          <cell r="D1562"/>
        </row>
        <row r="1563">
          <cell r="B1563"/>
          <cell r="C1563"/>
          <cell r="D1563"/>
        </row>
        <row r="1564">
          <cell r="B1564"/>
          <cell r="C1564"/>
          <cell r="D1564"/>
        </row>
        <row r="1565">
          <cell r="B1565"/>
          <cell r="C1565"/>
          <cell r="D1565"/>
        </row>
        <row r="1566">
          <cell r="B1566"/>
          <cell r="C1566"/>
          <cell r="D1566"/>
        </row>
        <row r="1567">
          <cell r="B1567"/>
          <cell r="C1567"/>
          <cell r="D1567"/>
        </row>
        <row r="1568">
          <cell r="B1568"/>
          <cell r="C1568"/>
          <cell r="D1568"/>
        </row>
        <row r="1569">
          <cell r="B1569"/>
          <cell r="C1569"/>
          <cell r="D1569"/>
        </row>
        <row r="1570">
          <cell r="B1570"/>
          <cell r="C1570"/>
          <cell r="D1570"/>
        </row>
        <row r="1571">
          <cell r="B1571"/>
          <cell r="C1571"/>
          <cell r="D1571"/>
        </row>
        <row r="1572">
          <cell r="B1572"/>
          <cell r="C1572"/>
          <cell r="D1572"/>
        </row>
        <row r="1573">
          <cell r="B1573"/>
          <cell r="C1573"/>
          <cell r="D1573"/>
        </row>
        <row r="1574">
          <cell r="B1574"/>
          <cell r="C1574"/>
          <cell r="D1574"/>
        </row>
        <row r="1575">
          <cell r="B1575"/>
          <cell r="C1575"/>
          <cell r="D1575"/>
        </row>
        <row r="1576">
          <cell r="B1576"/>
          <cell r="C1576"/>
          <cell r="D1576"/>
        </row>
        <row r="1577">
          <cell r="B1577"/>
          <cell r="C1577"/>
          <cell r="D1577"/>
        </row>
        <row r="1578">
          <cell r="B1578"/>
          <cell r="C1578"/>
          <cell r="D1578"/>
        </row>
        <row r="1579">
          <cell r="B1579"/>
          <cell r="C1579"/>
          <cell r="D1579"/>
        </row>
        <row r="1580">
          <cell r="B1580"/>
          <cell r="C1580"/>
          <cell r="D1580"/>
        </row>
        <row r="1581">
          <cell r="B1581"/>
          <cell r="C1581"/>
          <cell r="D1581"/>
        </row>
        <row r="1582">
          <cell r="B1582"/>
          <cell r="C1582"/>
          <cell r="D1582"/>
        </row>
        <row r="1583">
          <cell r="B1583"/>
          <cell r="C1583"/>
          <cell r="D1583"/>
        </row>
        <row r="1584">
          <cell r="B1584"/>
          <cell r="C1584"/>
          <cell r="D1584"/>
        </row>
        <row r="1585">
          <cell r="B1585"/>
          <cell r="C1585"/>
          <cell r="D1585"/>
        </row>
        <row r="1586">
          <cell r="B1586"/>
          <cell r="C1586"/>
          <cell r="D1586"/>
        </row>
        <row r="1587">
          <cell r="B1587"/>
          <cell r="C1587"/>
          <cell r="D1587"/>
        </row>
        <row r="1588">
          <cell r="B1588"/>
          <cell r="C1588"/>
          <cell r="D1588"/>
        </row>
        <row r="1589">
          <cell r="B1589"/>
          <cell r="C1589"/>
          <cell r="D1589"/>
        </row>
        <row r="1590">
          <cell r="B1590"/>
          <cell r="C1590"/>
          <cell r="D1590"/>
        </row>
        <row r="1591">
          <cell r="B1591"/>
          <cell r="C1591"/>
          <cell r="D1591"/>
        </row>
        <row r="1592">
          <cell r="B1592"/>
          <cell r="C1592"/>
          <cell r="D1592"/>
        </row>
        <row r="1593">
          <cell r="B1593"/>
          <cell r="C1593"/>
          <cell r="D1593"/>
        </row>
        <row r="1594">
          <cell r="B1594"/>
          <cell r="C1594"/>
          <cell r="D1594"/>
        </row>
        <row r="1595">
          <cell r="B1595"/>
          <cell r="C1595"/>
          <cell r="D1595"/>
        </row>
        <row r="1596">
          <cell r="B1596"/>
          <cell r="C1596"/>
          <cell r="D1596"/>
        </row>
        <row r="1597">
          <cell r="B1597"/>
          <cell r="C1597"/>
          <cell r="D1597"/>
        </row>
        <row r="1598">
          <cell r="B1598"/>
          <cell r="C1598"/>
          <cell r="D1598"/>
        </row>
        <row r="1599">
          <cell r="B1599"/>
          <cell r="C1599"/>
          <cell r="D1599"/>
        </row>
        <row r="1600">
          <cell r="B1600"/>
          <cell r="C1600"/>
          <cell r="D1600"/>
        </row>
        <row r="1601">
          <cell r="B1601"/>
          <cell r="C1601"/>
          <cell r="D1601"/>
        </row>
        <row r="1602">
          <cell r="B1602"/>
          <cell r="C1602"/>
          <cell r="D1602"/>
        </row>
        <row r="1603">
          <cell r="B1603"/>
          <cell r="C1603"/>
          <cell r="D1603"/>
        </row>
        <row r="1604">
          <cell r="B1604"/>
          <cell r="C1604"/>
          <cell r="D1604"/>
        </row>
        <row r="1605">
          <cell r="B1605"/>
          <cell r="C1605"/>
          <cell r="D1605"/>
        </row>
        <row r="1606">
          <cell r="B1606"/>
          <cell r="C1606"/>
          <cell r="D1606"/>
        </row>
        <row r="1607">
          <cell r="B1607"/>
          <cell r="C1607"/>
          <cell r="D1607"/>
        </row>
        <row r="1608">
          <cell r="B1608"/>
          <cell r="C1608"/>
          <cell r="D1608"/>
        </row>
        <row r="1609">
          <cell r="B1609"/>
          <cell r="C1609"/>
          <cell r="D1609"/>
        </row>
        <row r="1610">
          <cell r="B1610"/>
          <cell r="C1610"/>
          <cell r="D1610"/>
        </row>
        <row r="1611">
          <cell r="B1611"/>
          <cell r="C1611"/>
          <cell r="D1611"/>
        </row>
        <row r="1612">
          <cell r="B1612"/>
          <cell r="C1612"/>
          <cell r="D1612"/>
        </row>
        <row r="1613">
          <cell r="B1613"/>
          <cell r="C1613"/>
          <cell r="D1613"/>
        </row>
        <row r="1614">
          <cell r="B1614"/>
          <cell r="C1614"/>
          <cell r="D1614"/>
        </row>
        <row r="1615">
          <cell r="B1615"/>
          <cell r="C1615"/>
          <cell r="D1615"/>
        </row>
        <row r="1616">
          <cell r="B1616"/>
          <cell r="C1616"/>
          <cell r="D1616"/>
        </row>
        <row r="1617">
          <cell r="B1617"/>
          <cell r="C1617"/>
          <cell r="D1617"/>
        </row>
        <row r="1618">
          <cell r="B1618"/>
          <cell r="C1618"/>
          <cell r="D1618"/>
        </row>
        <row r="1619">
          <cell r="B1619"/>
          <cell r="C1619"/>
          <cell r="D1619"/>
        </row>
        <row r="1620">
          <cell r="B1620"/>
          <cell r="C1620"/>
          <cell r="D1620"/>
        </row>
        <row r="1621">
          <cell r="B1621"/>
          <cell r="C1621"/>
          <cell r="D1621"/>
        </row>
        <row r="1622">
          <cell r="B1622"/>
          <cell r="C1622"/>
          <cell r="D1622"/>
        </row>
        <row r="1623">
          <cell r="B1623"/>
          <cell r="C1623"/>
          <cell r="D1623"/>
        </row>
        <row r="1624">
          <cell r="B1624"/>
          <cell r="C1624"/>
          <cell r="D1624"/>
        </row>
        <row r="1625">
          <cell r="B1625"/>
          <cell r="C1625"/>
          <cell r="D1625"/>
        </row>
        <row r="1626">
          <cell r="B1626"/>
          <cell r="C1626"/>
          <cell r="D1626"/>
        </row>
        <row r="1627">
          <cell r="B1627"/>
          <cell r="C1627"/>
          <cell r="D1627"/>
        </row>
        <row r="1628">
          <cell r="B1628"/>
          <cell r="C1628"/>
          <cell r="D1628"/>
        </row>
        <row r="1629">
          <cell r="B1629"/>
          <cell r="C1629"/>
          <cell r="D1629"/>
        </row>
        <row r="1630">
          <cell r="B1630"/>
          <cell r="C1630"/>
          <cell r="D1630"/>
        </row>
        <row r="1631">
          <cell r="B1631"/>
          <cell r="C1631"/>
          <cell r="D1631"/>
        </row>
        <row r="1632">
          <cell r="B1632"/>
          <cell r="C1632"/>
          <cell r="D1632"/>
        </row>
        <row r="1633">
          <cell r="B1633"/>
          <cell r="C1633"/>
          <cell r="D1633"/>
        </row>
        <row r="1634">
          <cell r="B1634"/>
          <cell r="C1634"/>
          <cell r="D1634"/>
        </row>
        <row r="1635">
          <cell r="B1635"/>
          <cell r="C1635"/>
          <cell r="D1635"/>
        </row>
        <row r="1636">
          <cell r="B1636"/>
          <cell r="C1636"/>
          <cell r="D1636"/>
        </row>
        <row r="1637">
          <cell r="B1637"/>
          <cell r="C1637"/>
          <cell r="D1637"/>
        </row>
        <row r="1638">
          <cell r="B1638"/>
          <cell r="C1638"/>
          <cell r="D1638"/>
        </row>
        <row r="1639">
          <cell r="B1639"/>
          <cell r="C1639"/>
          <cell r="D1639"/>
        </row>
        <row r="1640">
          <cell r="B1640"/>
          <cell r="C1640"/>
          <cell r="D1640"/>
        </row>
        <row r="1641">
          <cell r="B1641"/>
          <cell r="C1641"/>
          <cell r="D1641"/>
        </row>
        <row r="1642">
          <cell r="B1642"/>
          <cell r="C1642"/>
          <cell r="D1642"/>
        </row>
        <row r="1643">
          <cell r="B1643"/>
          <cell r="C1643"/>
          <cell r="D1643"/>
        </row>
        <row r="1644">
          <cell r="B1644"/>
          <cell r="C1644"/>
          <cell r="D1644"/>
        </row>
        <row r="1645">
          <cell r="B1645"/>
          <cell r="C1645"/>
          <cell r="D1645"/>
        </row>
        <row r="1646">
          <cell r="B1646"/>
          <cell r="C1646"/>
          <cell r="D1646"/>
        </row>
        <row r="1647">
          <cell r="B1647"/>
          <cell r="C1647"/>
          <cell r="D1647"/>
        </row>
        <row r="1648">
          <cell r="B1648"/>
          <cell r="C1648"/>
          <cell r="D1648"/>
        </row>
        <row r="1649">
          <cell r="B1649"/>
          <cell r="C1649"/>
          <cell r="D1649"/>
        </row>
        <row r="1650">
          <cell r="B1650"/>
          <cell r="C1650"/>
          <cell r="D1650"/>
        </row>
        <row r="1651">
          <cell r="B1651"/>
          <cell r="C1651"/>
          <cell r="D1651"/>
        </row>
        <row r="1652">
          <cell r="B1652"/>
          <cell r="C1652"/>
          <cell r="D1652"/>
        </row>
        <row r="1653">
          <cell r="B1653"/>
          <cell r="C1653"/>
          <cell r="D1653"/>
        </row>
        <row r="1654">
          <cell r="B1654"/>
          <cell r="C1654"/>
          <cell r="D1654"/>
        </row>
        <row r="1655">
          <cell r="B1655"/>
          <cell r="C1655"/>
          <cell r="D1655"/>
        </row>
        <row r="1656">
          <cell r="B1656"/>
          <cell r="C1656"/>
          <cell r="D1656"/>
        </row>
        <row r="1657">
          <cell r="B1657"/>
          <cell r="C1657"/>
          <cell r="D1657"/>
        </row>
        <row r="1658">
          <cell r="B1658"/>
          <cell r="C1658"/>
          <cell r="D1658"/>
        </row>
        <row r="1659">
          <cell r="B1659"/>
          <cell r="C1659"/>
          <cell r="D1659"/>
        </row>
        <row r="1660">
          <cell r="B1660"/>
          <cell r="C1660"/>
          <cell r="D1660"/>
        </row>
        <row r="1661">
          <cell r="B1661"/>
          <cell r="C1661"/>
          <cell r="D1661"/>
        </row>
        <row r="1662">
          <cell r="B1662"/>
          <cell r="C1662"/>
          <cell r="D1662"/>
        </row>
        <row r="1663">
          <cell r="B1663"/>
          <cell r="C1663"/>
          <cell r="D1663"/>
        </row>
        <row r="1664">
          <cell r="B1664"/>
          <cell r="C1664"/>
          <cell r="D1664"/>
        </row>
        <row r="1665">
          <cell r="B1665"/>
          <cell r="C1665"/>
          <cell r="D1665"/>
        </row>
        <row r="1666">
          <cell r="B1666"/>
          <cell r="C1666"/>
          <cell r="D1666"/>
        </row>
        <row r="1667">
          <cell r="B1667"/>
          <cell r="C1667"/>
          <cell r="D1667"/>
        </row>
        <row r="1668">
          <cell r="B1668"/>
          <cell r="C1668"/>
          <cell r="D1668"/>
        </row>
        <row r="1669">
          <cell r="B1669"/>
          <cell r="C1669"/>
          <cell r="D1669"/>
        </row>
        <row r="1670">
          <cell r="B1670"/>
          <cell r="C1670"/>
          <cell r="D1670"/>
        </row>
        <row r="1671">
          <cell r="B1671"/>
          <cell r="C1671"/>
          <cell r="D1671"/>
        </row>
        <row r="1672">
          <cell r="B1672"/>
          <cell r="C1672"/>
          <cell r="D1672"/>
        </row>
        <row r="1673">
          <cell r="B1673"/>
          <cell r="C1673"/>
          <cell r="D1673"/>
        </row>
        <row r="1674">
          <cell r="B1674"/>
          <cell r="C1674"/>
          <cell r="D1674"/>
        </row>
        <row r="1675">
          <cell r="B1675"/>
          <cell r="C1675"/>
          <cell r="D1675"/>
        </row>
        <row r="1676">
          <cell r="B1676"/>
          <cell r="C1676"/>
          <cell r="D1676"/>
        </row>
        <row r="1677">
          <cell r="B1677"/>
          <cell r="C1677"/>
          <cell r="D1677"/>
        </row>
        <row r="1678">
          <cell r="B1678"/>
          <cell r="C1678"/>
          <cell r="D1678"/>
        </row>
        <row r="1679">
          <cell r="B1679"/>
          <cell r="C1679"/>
          <cell r="D1679"/>
        </row>
        <row r="1680">
          <cell r="B1680"/>
          <cell r="C1680"/>
          <cell r="D1680"/>
        </row>
        <row r="1681">
          <cell r="B1681"/>
          <cell r="C1681"/>
          <cell r="D1681"/>
        </row>
        <row r="1682">
          <cell r="B1682"/>
          <cell r="C1682"/>
          <cell r="D1682"/>
        </row>
        <row r="1683">
          <cell r="B1683"/>
          <cell r="C1683"/>
          <cell r="D1683"/>
        </row>
        <row r="1684">
          <cell r="B1684"/>
          <cell r="C1684"/>
          <cell r="D1684"/>
        </row>
        <row r="1685">
          <cell r="B1685"/>
          <cell r="C1685"/>
          <cell r="D1685"/>
        </row>
        <row r="1686">
          <cell r="B1686"/>
          <cell r="C1686"/>
          <cell r="D1686"/>
        </row>
        <row r="1687">
          <cell r="B1687"/>
          <cell r="C1687"/>
          <cell r="D1687"/>
        </row>
        <row r="1688">
          <cell r="B1688"/>
          <cell r="C1688"/>
          <cell r="D1688"/>
        </row>
        <row r="1689">
          <cell r="B1689"/>
          <cell r="C1689"/>
          <cell r="D1689"/>
        </row>
        <row r="1690">
          <cell r="B1690"/>
          <cell r="C1690"/>
          <cell r="D1690"/>
        </row>
        <row r="1691">
          <cell r="B1691"/>
          <cell r="C1691"/>
          <cell r="D1691"/>
        </row>
        <row r="1692">
          <cell r="B1692"/>
          <cell r="C1692"/>
          <cell r="D1692"/>
        </row>
        <row r="1693">
          <cell r="B1693"/>
          <cell r="C1693"/>
          <cell r="D1693"/>
        </row>
        <row r="1694">
          <cell r="B1694"/>
          <cell r="C1694"/>
          <cell r="D1694"/>
        </row>
        <row r="1695">
          <cell r="B1695"/>
          <cell r="C1695"/>
          <cell r="D1695"/>
        </row>
        <row r="1696">
          <cell r="B1696"/>
          <cell r="C1696"/>
          <cell r="D1696"/>
        </row>
        <row r="1697">
          <cell r="B1697"/>
          <cell r="C1697"/>
          <cell r="D1697"/>
        </row>
        <row r="1698">
          <cell r="B1698"/>
          <cell r="C1698"/>
          <cell r="D1698"/>
        </row>
        <row r="1699">
          <cell r="B1699"/>
          <cell r="C1699"/>
          <cell r="D1699"/>
        </row>
        <row r="1700">
          <cell r="B1700"/>
          <cell r="C1700"/>
          <cell r="D1700"/>
        </row>
        <row r="1701">
          <cell r="B1701"/>
          <cell r="C1701"/>
          <cell r="D1701"/>
        </row>
        <row r="1702">
          <cell r="B1702"/>
          <cell r="C1702"/>
          <cell r="D1702"/>
        </row>
        <row r="1703">
          <cell r="B1703"/>
          <cell r="C1703"/>
          <cell r="D1703"/>
        </row>
        <row r="1704">
          <cell r="B1704"/>
          <cell r="C1704"/>
          <cell r="D1704"/>
        </row>
        <row r="1705">
          <cell r="B1705"/>
          <cell r="C1705"/>
          <cell r="D1705"/>
        </row>
        <row r="1706">
          <cell r="B1706"/>
          <cell r="C1706"/>
          <cell r="D1706"/>
        </row>
        <row r="1707">
          <cell r="B1707"/>
          <cell r="C1707"/>
          <cell r="D1707"/>
        </row>
        <row r="1708">
          <cell r="B1708"/>
          <cell r="C1708"/>
          <cell r="D1708"/>
        </row>
        <row r="1709">
          <cell r="B1709"/>
          <cell r="C1709"/>
          <cell r="D1709"/>
        </row>
        <row r="1710">
          <cell r="B1710"/>
          <cell r="C1710"/>
          <cell r="D1710"/>
        </row>
        <row r="1711">
          <cell r="B1711"/>
          <cell r="C1711"/>
          <cell r="D1711"/>
        </row>
        <row r="1712">
          <cell r="B1712"/>
          <cell r="C1712"/>
          <cell r="D1712"/>
        </row>
        <row r="1713">
          <cell r="B1713"/>
          <cell r="C1713"/>
          <cell r="D1713"/>
        </row>
        <row r="1714">
          <cell r="B1714"/>
          <cell r="C1714"/>
          <cell r="D1714"/>
        </row>
        <row r="1715">
          <cell r="B1715"/>
          <cell r="C1715"/>
          <cell r="D1715"/>
        </row>
        <row r="1716">
          <cell r="B1716"/>
          <cell r="C1716"/>
          <cell r="D1716"/>
        </row>
        <row r="1717">
          <cell r="B1717"/>
          <cell r="C1717"/>
          <cell r="D1717"/>
        </row>
        <row r="1718">
          <cell r="B1718"/>
          <cell r="C1718"/>
          <cell r="D1718"/>
        </row>
        <row r="1719">
          <cell r="B1719"/>
          <cell r="C1719"/>
          <cell r="D1719"/>
        </row>
        <row r="1720">
          <cell r="B1720"/>
          <cell r="C1720"/>
          <cell r="D1720"/>
        </row>
        <row r="1721">
          <cell r="B1721"/>
          <cell r="C1721"/>
          <cell r="D1721"/>
        </row>
        <row r="1722">
          <cell r="B1722"/>
          <cell r="C1722"/>
          <cell r="D1722"/>
        </row>
        <row r="1723">
          <cell r="B1723"/>
          <cell r="C1723"/>
          <cell r="D1723"/>
        </row>
        <row r="1724">
          <cell r="B1724"/>
          <cell r="C1724"/>
          <cell r="D1724"/>
        </row>
        <row r="1725">
          <cell r="B1725"/>
          <cell r="C1725"/>
          <cell r="D1725"/>
        </row>
        <row r="1726">
          <cell r="B1726"/>
          <cell r="C1726"/>
          <cell r="D1726"/>
        </row>
        <row r="1727">
          <cell r="B1727"/>
          <cell r="C1727"/>
          <cell r="D1727"/>
        </row>
        <row r="1728">
          <cell r="B1728"/>
          <cell r="C1728"/>
          <cell r="D1728"/>
        </row>
        <row r="1729">
          <cell r="B1729"/>
          <cell r="C1729"/>
          <cell r="D1729"/>
        </row>
        <row r="1730">
          <cell r="B1730"/>
          <cell r="C1730"/>
          <cell r="D1730"/>
        </row>
        <row r="1731">
          <cell r="B1731"/>
          <cell r="C1731"/>
          <cell r="D1731"/>
        </row>
        <row r="1732">
          <cell r="B1732"/>
          <cell r="C1732"/>
          <cell r="D1732"/>
        </row>
        <row r="1733">
          <cell r="B1733"/>
          <cell r="C1733"/>
          <cell r="D1733"/>
        </row>
        <row r="1734">
          <cell r="B1734"/>
          <cell r="C1734"/>
          <cell r="D1734"/>
        </row>
        <row r="1735">
          <cell r="B1735"/>
          <cell r="C1735"/>
          <cell r="D1735"/>
        </row>
        <row r="1736">
          <cell r="B1736"/>
          <cell r="C1736"/>
          <cell r="D1736"/>
        </row>
        <row r="1737">
          <cell r="B1737"/>
          <cell r="C1737"/>
          <cell r="D1737"/>
        </row>
        <row r="1738">
          <cell r="B1738"/>
          <cell r="C1738"/>
          <cell r="D1738"/>
        </row>
        <row r="1739">
          <cell r="B1739"/>
          <cell r="C1739"/>
          <cell r="D1739"/>
        </row>
        <row r="1740">
          <cell r="B1740"/>
          <cell r="C1740"/>
          <cell r="D1740"/>
        </row>
        <row r="1741">
          <cell r="B1741"/>
          <cell r="C1741"/>
          <cell r="D1741"/>
        </row>
        <row r="1742">
          <cell r="B1742"/>
          <cell r="C1742"/>
          <cell r="D1742"/>
        </row>
        <row r="1743">
          <cell r="B1743"/>
          <cell r="C1743"/>
          <cell r="D1743"/>
        </row>
        <row r="1744">
          <cell r="B1744"/>
          <cell r="C1744"/>
          <cell r="D1744"/>
        </row>
        <row r="1745">
          <cell r="B1745"/>
          <cell r="C1745"/>
          <cell r="D1745"/>
        </row>
        <row r="1746">
          <cell r="B1746"/>
          <cell r="C1746"/>
          <cell r="D1746"/>
        </row>
        <row r="1747">
          <cell r="B1747"/>
          <cell r="C1747"/>
          <cell r="D1747"/>
        </row>
        <row r="1748">
          <cell r="B1748"/>
          <cell r="C1748"/>
          <cell r="D1748"/>
        </row>
        <row r="1749">
          <cell r="B1749"/>
          <cell r="C1749"/>
          <cell r="D1749"/>
        </row>
        <row r="1750">
          <cell r="B1750"/>
          <cell r="C1750"/>
          <cell r="D1750"/>
        </row>
        <row r="1751">
          <cell r="B1751"/>
          <cell r="C1751"/>
          <cell r="D1751"/>
        </row>
        <row r="1752">
          <cell r="B1752"/>
          <cell r="C1752"/>
          <cell r="D1752"/>
        </row>
        <row r="1753">
          <cell r="B1753"/>
          <cell r="C1753"/>
          <cell r="D1753"/>
        </row>
        <row r="1754">
          <cell r="B1754"/>
          <cell r="C1754"/>
          <cell r="D1754"/>
        </row>
        <row r="1755">
          <cell r="B1755"/>
          <cell r="C1755"/>
          <cell r="D1755"/>
        </row>
        <row r="1756">
          <cell r="B1756"/>
          <cell r="C1756"/>
          <cell r="D1756"/>
        </row>
        <row r="1757">
          <cell r="B1757"/>
          <cell r="C1757"/>
          <cell r="D1757"/>
        </row>
        <row r="1758">
          <cell r="B1758"/>
          <cell r="C1758"/>
          <cell r="D1758"/>
        </row>
        <row r="1759">
          <cell r="B1759"/>
          <cell r="C1759"/>
          <cell r="D1759"/>
        </row>
        <row r="1760">
          <cell r="B1760"/>
          <cell r="C1760"/>
          <cell r="D1760"/>
        </row>
        <row r="1761">
          <cell r="B1761"/>
          <cell r="C1761"/>
          <cell r="D1761"/>
        </row>
        <row r="1762">
          <cell r="B1762"/>
          <cell r="C1762"/>
          <cell r="D1762"/>
        </row>
        <row r="1763">
          <cell r="B1763"/>
          <cell r="C1763"/>
          <cell r="D1763"/>
        </row>
        <row r="1764">
          <cell r="B1764"/>
          <cell r="C1764"/>
          <cell r="D1764"/>
        </row>
        <row r="1765">
          <cell r="B1765"/>
          <cell r="C1765"/>
          <cell r="D1765"/>
        </row>
        <row r="1766">
          <cell r="B1766"/>
          <cell r="C1766"/>
          <cell r="D1766"/>
        </row>
        <row r="1767">
          <cell r="B1767"/>
          <cell r="C1767"/>
          <cell r="D1767"/>
        </row>
        <row r="1768">
          <cell r="B1768"/>
          <cell r="C1768"/>
          <cell r="D1768"/>
        </row>
        <row r="1769">
          <cell r="B1769"/>
          <cell r="C1769"/>
          <cell r="D1769"/>
        </row>
        <row r="1770">
          <cell r="B1770"/>
          <cell r="C1770"/>
          <cell r="D1770"/>
        </row>
        <row r="1771">
          <cell r="B1771"/>
          <cell r="C1771"/>
          <cell r="D1771"/>
        </row>
        <row r="1772">
          <cell r="B1772"/>
          <cell r="C1772"/>
          <cell r="D1772"/>
        </row>
        <row r="1773">
          <cell r="B1773"/>
          <cell r="C1773"/>
          <cell r="D1773"/>
        </row>
        <row r="1774">
          <cell r="B1774"/>
          <cell r="C1774"/>
          <cell r="D1774"/>
        </row>
        <row r="1775">
          <cell r="B1775"/>
          <cell r="C1775"/>
          <cell r="D1775"/>
        </row>
        <row r="1776">
          <cell r="B1776"/>
          <cell r="C1776"/>
          <cell r="D1776"/>
        </row>
        <row r="1777">
          <cell r="B1777"/>
          <cell r="C1777"/>
          <cell r="D1777"/>
        </row>
        <row r="1778">
          <cell r="B1778"/>
          <cell r="C1778"/>
          <cell r="D1778"/>
        </row>
        <row r="1779">
          <cell r="B1779"/>
          <cell r="C1779"/>
          <cell r="D1779"/>
        </row>
        <row r="1780">
          <cell r="B1780"/>
          <cell r="C1780"/>
          <cell r="D1780"/>
        </row>
        <row r="1781">
          <cell r="B1781"/>
          <cell r="C1781"/>
          <cell r="D1781"/>
        </row>
        <row r="1782">
          <cell r="B1782"/>
          <cell r="C1782"/>
          <cell r="D1782"/>
        </row>
        <row r="1783">
          <cell r="B1783"/>
          <cell r="C1783"/>
          <cell r="D1783"/>
        </row>
        <row r="1784">
          <cell r="B1784"/>
          <cell r="C1784"/>
          <cell r="D1784"/>
        </row>
        <row r="1785">
          <cell r="B1785"/>
          <cell r="C1785"/>
          <cell r="D1785"/>
        </row>
        <row r="1786">
          <cell r="B1786"/>
          <cell r="C1786"/>
          <cell r="D1786"/>
        </row>
        <row r="1787">
          <cell r="B1787"/>
          <cell r="C1787"/>
          <cell r="D1787"/>
        </row>
        <row r="1788">
          <cell r="B1788"/>
          <cell r="C1788"/>
          <cell r="D1788"/>
        </row>
        <row r="1789">
          <cell r="B1789"/>
          <cell r="C1789"/>
          <cell r="D1789"/>
        </row>
        <row r="1790">
          <cell r="B1790"/>
          <cell r="C1790"/>
          <cell r="D1790"/>
        </row>
        <row r="1791">
          <cell r="B1791"/>
          <cell r="C1791"/>
          <cell r="D1791"/>
        </row>
        <row r="1792">
          <cell r="B1792"/>
          <cell r="C1792"/>
          <cell r="D1792"/>
        </row>
        <row r="1793">
          <cell r="B1793"/>
          <cell r="C1793"/>
          <cell r="D1793"/>
        </row>
        <row r="1794">
          <cell r="B1794"/>
          <cell r="C1794"/>
          <cell r="D1794"/>
        </row>
        <row r="1795">
          <cell r="B1795"/>
          <cell r="C1795"/>
          <cell r="D1795"/>
        </row>
        <row r="1796">
          <cell r="B1796"/>
          <cell r="C1796"/>
          <cell r="D1796"/>
        </row>
        <row r="1797">
          <cell r="B1797"/>
          <cell r="C1797"/>
          <cell r="D1797"/>
        </row>
        <row r="1798">
          <cell r="B1798"/>
          <cell r="C1798"/>
          <cell r="D1798"/>
        </row>
        <row r="1799">
          <cell r="B1799"/>
          <cell r="C1799"/>
          <cell r="D1799"/>
        </row>
        <row r="1800">
          <cell r="B1800"/>
          <cell r="C1800"/>
          <cell r="D1800"/>
        </row>
        <row r="1801">
          <cell r="B1801"/>
          <cell r="C1801"/>
          <cell r="D1801"/>
        </row>
        <row r="1802">
          <cell r="B1802"/>
          <cell r="C1802"/>
          <cell r="D1802"/>
        </row>
        <row r="1803">
          <cell r="B1803"/>
          <cell r="C1803"/>
          <cell r="D1803"/>
        </row>
        <row r="1804">
          <cell r="B1804"/>
          <cell r="C1804"/>
          <cell r="D1804"/>
        </row>
        <row r="1805">
          <cell r="B1805"/>
          <cell r="C1805"/>
          <cell r="D1805"/>
        </row>
        <row r="1806">
          <cell r="B1806"/>
          <cell r="C1806"/>
          <cell r="D1806"/>
        </row>
        <row r="1807">
          <cell r="B1807"/>
          <cell r="C1807"/>
          <cell r="D1807"/>
        </row>
        <row r="1808">
          <cell r="B1808"/>
          <cell r="C1808"/>
          <cell r="D1808"/>
        </row>
        <row r="1809">
          <cell r="B1809"/>
          <cell r="C1809"/>
          <cell r="D1809"/>
        </row>
        <row r="1810">
          <cell r="B1810"/>
          <cell r="C1810"/>
          <cell r="D1810"/>
        </row>
        <row r="1811">
          <cell r="B1811"/>
          <cell r="C1811"/>
          <cell r="D1811"/>
        </row>
        <row r="1812">
          <cell r="B1812"/>
          <cell r="C1812"/>
          <cell r="D1812"/>
        </row>
        <row r="1813">
          <cell r="B1813"/>
          <cell r="C1813"/>
          <cell r="D1813"/>
        </row>
        <row r="1814">
          <cell r="B1814"/>
          <cell r="C1814"/>
          <cell r="D1814"/>
        </row>
        <row r="1815">
          <cell r="B1815"/>
          <cell r="C1815"/>
          <cell r="D1815"/>
        </row>
        <row r="1816">
          <cell r="B1816"/>
          <cell r="C1816"/>
          <cell r="D1816"/>
        </row>
        <row r="1817">
          <cell r="B1817"/>
          <cell r="C1817"/>
          <cell r="D1817"/>
        </row>
        <row r="1818">
          <cell r="B1818"/>
          <cell r="C1818"/>
          <cell r="D1818"/>
        </row>
        <row r="1819">
          <cell r="B1819"/>
          <cell r="C1819"/>
          <cell r="D1819"/>
        </row>
        <row r="1820">
          <cell r="B1820"/>
          <cell r="C1820"/>
          <cell r="D1820"/>
        </row>
        <row r="1821">
          <cell r="B1821"/>
          <cell r="C1821"/>
          <cell r="D1821"/>
        </row>
        <row r="1822">
          <cell r="B1822"/>
          <cell r="C1822"/>
          <cell r="D1822"/>
        </row>
        <row r="1823">
          <cell r="B1823"/>
          <cell r="C1823"/>
          <cell r="D1823"/>
        </row>
        <row r="1824">
          <cell r="B1824"/>
          <cell r="C1824"/>
          <cell r="D1824"/>
        </row>
        <row r="1825">
          <cell r="B1825"/>
          <cell r="C1825"/>
          <cell r="D1825"/>
        </row>
        <row r="1826">
          <cell r="B1826"/>
          <cell r="C1826"/>
          <cell r="D1826"/>
        </row>
        <row r="1827">
          <cell r="B1827"/>
          <cell r="C1827"/>
          <cell r="D1827"/>
        </row>
        <row r="1828">
          <cell r="B1828"/>
          <cell r="C1828"/>
          <cell r="D1828"/>
        </row>
        <row r="1829">
          <cell r="B1829"/>
          <cell r="C1829"/>
          <cell r="D1829"/>
        </row>
        <row r="1830">
          <cell r="B1830"/>
          <cell r="C1830"/>
          <cell r="D1830"/>
        </row>
        <row r="1831">
          <cell r="B1831"/>
          <cell r="C1831"/>
          <cell r="D1831"/>
        </row>
        <row r="1832">
          <cell r="B1832"/>
          <cell r="C1832"/>
          <cell r="D1832"/>
        </row>
        <row r="1833">
          <cell r="B1833"/>
          <cell r="C1833"/>
          <cell r="D1833"/>
        </row>
        <row r="1834">
          <cell r="B1834"/>
          <cell r="C1834"/>
          <cell r="D1834"/>
        </row>
        <row r="1835">
          <cell r="B1835"/>
          <cell r="C1835"/>
          <cell r="D1835"/>
        </row>
        <row r="1836">
          <cell r="B1836"/>
          <cell r="C1836"/>
          <cell r="D1836"/>
        </row>
        <row r="1837">
          <cell r="B1837"/>
          <cell r="C1837"/>
          <cell r="D1837"/>
        </row>
        <row r="1838">
          <cell r="B1838"/>
          <cell r="C1838"/>
          <cell r="D1838"/>
        </row>
        <row r="1839">
          <cell r="B1839"/>
          <cell r="C1839"/>
          <cell r="D1839"/>
        </row>
        <row r="1840">
          <cell r="B1840"/>
          <cell r="C1840"/>
          <cell r="D1840"/>
        </row>
        <row r="1841">
          <cell r="B1841"/>
          <cell r="C1841"/>
          <cell r="D1841"/>
        </row>
        <row r="1842">
          <cell r="B1842"/>
          <cell r="C1842"/>
          <cell r="D1842"/>
        </row>
        <row r="1843">
          <cell r="B1843"/>
          <cell r="C1843"/>
          <cell r="D1843"/>
        </row>
        <row r="1844">
          <cell r="B1844"/>
          <cell r="C1844"/>
          <cell r="D1844"/>
        </row>
        <row r="1845">
          <cell r="B1845"/>
          <cell r="C1845"/>
          <cell r="D1845"/>
        </row>
        <row r="1846">
          <cell r="B1846"/>
          <cell r="C1846"/>
          <cell r="D1846"/>
        </row>
        <row r="1847">
          <cell r="B1847"/>
          <cell r="C1847"/>
          <cell r="D1847"/>
        </row>
        <row r="1848">
          <cell r="B1848"/>
          <cell r="C1848"/>
          <cell r="D1848"/>
        </row>
        <row r="1849">
          <cell r="B1849"/>
          <cell r="C1849"/>
          <cell r="D1849"/>
        </row>
        <row r="1850">
          <cell r="B1850"/>
          <cell r="C1850"/>
          <cell r="D1850"/>
        </row>
        <row r="1851">
          <cell r="B1851"/>
          <cell r="C1851"/>
          <cell r="D1851"/>
        </row>
        <row r="1852">
          <cell r="B1852"/>
          <cell r="C1852"/>
          <cell r="D1852"/>
        </row>
        <row r="1853">
          <cell r="B1853"/>
          <cell r="C1853"/>
          <cell r="D1853"/>
        </row>
        <row r="1854">
          <cell r="B1854"/>
          <cell r="C1854"/>
          <cell r="D1854"/>
        </row>
        <row r="1855">
          <cell r="B1855"/>
          <cell r="C1855"/>
          <cell r="D1855"/>
        </row>
        <row r="1856">
          <cell r="B1856"/>
          <cell r="C1856"/>
          <cell r="D1856"/>
        </row>
        <row r="1857">
          <cell r="B1857"/>
          <cell r="C1857"/>
          <cell r="D1857"/>
        </row>
        <row r="1858">
          <cell r="B1858"/>
          <cell r="C1858"/>
          <cell r="D1858"/>
        </row>
        <row r="1859">
          <cell r="B1859"/>
          <cell r="C1859"/>
          <cell r="D1859"/>
        </row>
        <row r="1860">
          <cell r="B1860"/>
          <cell r="C1860"/>
          <cell r="D1860"/>
        </row>
        <row r="1861">
          <cell r="B1861"/>
          <cell r="C1861"/>
          <cell r="D1861"/>
        </row>
        <row r="1862">
          <cell r="B1862"/>
          <cell r="C1862"/>
          <cell r="D1862"/>
        </row>
        <row r="1863">
          <cell r="B1863"/>
          <cell r="C1863"/>
          <cell r="D1863"/>
        </row>
        <row r="1864">
          <cell r="B1864"/>
          <cell r="C1864"/>
          <cell r="D1864"/>
        </row>
        <row r="1865">
          <cell r="B1865"/>
          <cell r="C1865"/>
          <cell r="D1865"/>
        </row>
        <row r="1866">
          <cell r="B1866"/>
          <cell r="C1866"/>
          <cell r="D1866"/>
        </row>
        <row r="1867">
          <cell r="B1867"/>
          <cell r="C1867"/>
          <cell r="D1867"/>
        </row>
        <row r="1868">
          <cell r="B1868"/>
          <cell r="C1868"/>
          <cell r="D1868"/>
        </row>
        <row r="1869">
          <cell r="B1869"/>
          <cell r="C1869"/>
          <cell r="D1869"/>
        </row>
        <row r="1870">
          <cell r="B1870"/>
          <cell r="C1870"/>
          <cell r="D1870"/>
        </row>
        <row r="1871">
          <cell r="B1871"/>
          <cell r="C1871"/>
          <cell r="D1871"/>
        </row>
        <row r="1872">
          <cell r="B1872"/>
          <cell r="C1872"/>
          <cell r="D1872"/>
        </row>
        <row r="1873">
          <cell r="B1873"/>
          <cell r="C1873"/>
          <cell r="D1873"/>
        </row>
        <row r="1874">
          <cell r="B1874"/>
          <cell r="C1874"/>
          <cell r="D1874"/>
        </row>
        <row r="1875">
          <cell r="B1875"/>
          <cell r="C1875"/>
          <cell r="D1875"/>
        </row>
        <row r="1876">
          <cell r="B1876"/>
          <cell r="C1876"/>
          <cell r="D1876"/>
        </row>
        <row r="1877">
          <cell r="B1877"/>
          <cell r="C1877"/>
          <cell r="D1877"/>
        </row>
        <row r="1878">
          <cell r="B1878"/>
          <cell r="C1878"/>
          <cell r="D1878"/>
        </row>
        <row r="1879">
          <cell r="B1879"/>
          <cell r="C1879"/>
          <cell r="D1879"/>
        </row>
        <row r="1880">
          <cell r="B1880"/>
          <cell r="C1880"/>
          <cell r="D1880"/>
        </row>
        <row r="1881">
          <cell r="B1881"/>
          <cell r="C1881"/>
          <cell r="D1881"/>
        </row>
        <row r="1882">
          <cell r="B1882"/>
          <cell r="C1882"/>
          <cell r="D1882"/>
        </row>
        <row r="1883">
          <cell r="B1883"/>
          <cell r="C1883"/>
          <cell r="D1883"/>
        </row>
        <row r="1884">
          <cell r="B1884"/>
          <cell r="C1884"/>
          <cell r="D1884"/>
        </row>
        <row r="1885">
          <cell r="B1885"/>
          <cell r="C1885"/>
          <cell r="D1885"/>
        </row>
        <row r="1886">
          <cell r="B1886"/>
          <cell r="C1886"/>
          <cell r="D1886"/>
        </row>
        <row r="1887">
          <cell r="B1887"/>
          <cell r="C1887"/>
          <cell r="D1887"/>
        </row>
        <row r="1888">
          <cell r="B1888"/>
          <cell r="C1888"/>
          <cell r="D1888"/>
        </row>
        <row r="1889">
          <cell r="B1889"/>
          <cell r="C1889"/>
          <cell r="D1889"/>
        </row>
        <row r="1890">
          <cell r="B1890"/>
          <cell r="C1890"/>
          <cell r="D1890"/>
        </row>
        <row r="1891">
          <cell r="B1891"/>
          <cell r="C1891"/>
          <cell r="D1891"/>
        </row>
        <row r="1892">
          <cell r="B1892"/>
          <cell r="C1892"/>
          <cell r="D1892"/>
        </row>
        <row r="1893">
          <cell r="B1893"/>
          <cell r="C1893"/>
          <cell r="D1893"/>
        </row>
        <row r="1894">
          <cell r="B1894"/>
          <cell r="C1894"/>
          <cell r="D1894"/>
        </row>
        <row r="1895">
          <cell r="B1895"/>
          <cell r="C1895"/>
          <cell r="D1895"/>
        </row>
        <row r="1896">
          <cell r="B1896"/>
          <cell r="C1896"/>
          <cell r="D1896"/>
        </row>
        <row r="1897">
          <cell r="B1897"/>
          <cell r="C1897"/>
          <cell r="D1897"/>
        </row>
        <row r="1898">
          <cell r="B1898"/>
          <cell r="C1898"/>
          <cell r="D1898"/>
        </row>
        <row r="1899">
          <cell r="B1899"/>
          <cell r="C1899"/>
          <cell r="D1899"/>
        </row>
        <row r="1900">
          <cell r="B1900"/>
          <cell r="C1900"/>
          <cell r="D1900"/>
        </row>
        <row r="1901">
          <cell r="B1901"/>
          <cell r="C1901"/>
          <cell r="D1901"/>
        </row>
        <row r="1902">
          <cell r="B1902"/>
          <cell r="C1902"/>
          <cell r="D1902"/>
        </row>
        <row r="1903">
          <cell r="B1903"/>
          <cell r="C1903"/>
          <cell r="D1903"/>
        </row>
        <row r="1904">
          <cell r="B1904"/>
          <cell r="C1904"/>
          <cell r="D1904"/>
        </row>
        <row r="1905">
          <cell r="B1905"/>
          <cell r="C1905"/>
          <cell r="D1905"/>
        </row>
        <row r="1906">
          <cell r="B1906"/>
          <cell r="C1906"/>
          <cell r="D1906"/>
        </row>
        <row r="1907">
          <cell r="B1907"/>
          <cell r="C1907"/>
          <cell r="D1907"/>
        </row>
        <row r="1908">
          <cell r="B1908"/>
          <cell r="C1908"/>
          <cell r="D1908"/>
        </row>
        <row r="1909">
          <cell r="B1909"/>
          <cell r="C1909"/>
          <cell r="D1909"/>
        </row>
        <row r="1910">
          <cell r="B1910"/>
          <cell r="C1910"/>
          <cell r="D1910"/>
        </row>
        <row r="1911">
          <cell r="B1911"/>
          <cell r="C1911"/>
          <cell r="D1911"/>
        </row>
        <row r="1912">
          <cell r="B1912"/>
          <cell r="C1912"/>
          <cell r="D1912"/>
        </row>
        <row r="1913">
          <cell r="B1913"/>
          <cell r="C1913"/>
          <cell r="D1913"/>
        </row>
        <row r="1914">
          <cell r="B1914"/>
          <cell r="C1914"/>
          <cell r="D1914"/>
        </row>
        <row r="1915">
          <cell r="B1915"/>
          <cell r="C1915"/>
          <cell r="D1915"/>
        </row>
        <row r="1916">
          <cell r="B1916"/>
          <cell r="C1916"/>
          <cell r="D1916"/>
        </row>
        <row r="1917">
          <cell r="B1917"/>
          <cell r="C1917"/>
          <cell r="D1917"/>
        </row>
        <row r="1918">
          <cell r="B1918"/>
          <cell r="C1918"/>
          <cell r="D1918"/>
        </row>
        <row r="1919">
          <cell r="B1919"/>
          <cell r="C1919"/>
          <cell r="D1919"/>
        </row>
        <row r="1920">
          <cell r="B1920"/>
          <cell r="C1920"/>
          <cell r="D1920"/>
        </row>
        <row r="1921">
          <cell r="B1921"/>
          <cell r="C1921"/>
          <cell r="D1921"/>
        </row>
        <row r="1922">
          <cell r="B1922"/>
          <cell r="C1922"/>
          <cell r="D1922"/>
        </row>
        <row r="1923">
          <cell r="B1923"/>
          <cell r="C1923"/>
          <cell r="D1923"/>
        </row>
        <row r="1924">
          <cell r="B1924"/>
          <cell r="C1924"/>
          <cell r="D1924"/>
        </row>
        <row r="1925">
          <cell r="B1925"/>
          <cell r="C1925"/>
          <cell r="D1925"/>
        </row>
        <row r="1926">
          <cell r="B1926"/>
          <cell r="C1926"/>
          <cell r="D1926"/>
        </row>
        <row r="1927">
          <cell r="B1927"/>
          <cell r="C1927"/>
          <cell r="D1927"/>
        </row>
        <row r="1928">
          <cell r="B1928"/>
          <cell r="C1928"/>
          <cell r="D1928"/>
        </row>
        <row r="1929">
          <cell r="B1929"/>
          <cell r="C1929"/>
          <cell r="D1929"/>
        </row>
        <row r="1930">
          <cell r="B1930"/>
          <cell r="C1930"/>
          <cell r="D1930"/>
        </row>
        <row r="1931">
          <cell r="B1931"/>
          <cell r="C1931"/>
          <cell r="D1931"/>
        </row>
        <row r="1932">
          <cell r="B1932"/>
          <cell r="C1932"/>
          <cell r="D1932"/>
        </row>
        <row r="1933">
          <cell r="B1933"/>
          <cell r="C1933"/>
          <cell r="D1933"/>
        </row>
        <row r="1934">
          <cell r="B1934"/>
          <cell r="C1934"/>
          <cell r="D1934"/>
        </row>
        <row r="1935">
          <cell r="B1935"/>
          <cell r="C1935"/>
          <cell r="D1935"/>
        </row>
        <row r="1936">
          <cell r="B1936"/>
          <cell r="C1936"/>
          <cell r="D1936"/>
        </row>
        <row r="1937">
          <cell r="B1937"/>
          <cell r="C1937"/>
          <cell r="D1937"/>
        </row>
        <row r="1938">
          <cell r="B1938"/>
          <cell r="C1938"/>
          <cell r="D1938"/>
        </row>
        <row r="1939">
          <cell r="B1939"/>
          <cell r="C1939"/>
          <cell r="D1939"/>
        </row>
        <row r="1940">
          <cell r="B1940"/>
          <cell r="C1940"/>
          <cell r="D1940"/>
        </row>
        <row r="1941">
          <cell r="B1941"/>
          <cell r="C1941"/>
          <cell r="D1941"/>
        </row>
        <row r="1942">
          <cell r="B1942"/>
          <cell r="C1942"/>
          <cell r="D1942"/>
        </row>
        <row r="1943">
          <cell r="B1943"/>
          <cell r="C1943"/>
          <cell r="D1943"/>
        </row>
        <row r="1944">
          <cell r="B1944"/>
          <cell r="C1944"/>
          <cell r="D1944"/>
        </row>
        <row r="1945">
          <cell r="B1945"/>
          <cell r="C1945"/>
          <cell r="D1945"/>
        </row>
        <row r="1946">
          <cell r="B1946"/>
          <cell r="C1946"/>
          <cell r="D1946"/>
        </row>
        <row r="1947">
          <cell r="B1947"/>
          <cell r="C1947"/>
          <cell r="D1947"/>
        </row>
        <row r="1948">
          <cell r="B1948"/>
          <cell r="C1948"/>
          <cell r="D1948"/>
        </row>
        <row r="1949">
          <cell r="B1949"/>
          <cell r="C1949"/>
          <cell r="D1949"/>
        </row>
        <row r="1950">
          <cell r="B1950"/>
          <cell r="C1950"/>
          <cell r="D1950"/>
        </row>
        <row r="1951">
          <cell r="B1951"/>
          <cell r="C1951"/>
          <cell r="D1951"/>
        </row>
        <row r="1952">
          <cell r="B1952"/>
          <cell r="C1952"/>
          <cell r="D1952"/>
        </row>
        <row r="1953">
          <cell r="B1953"/>
          <cell r="C1953"/>
          <cell r="D1953"/>
        </row>
        <row r="1954">
          <cell r="B1954"/>
          <cell r="C1954"/>
          <cell r="D1954"/>
        </row>
        <row r="1955">
          <cell r="B1955"/>
          <cell r="C1955"/>
          <cell r="D1955"/>
        </row>
        <row r="1956">
          <cell r="B1956"/>
          <cell r="C1956"/>
          <cell r="D1956"/>
        </row>
        <row r="1957">
          <cell r="B1957"/>
          <cell r="C1957"/>
          <cell r="D1957"/>
        </row>
        <row r="1958">
          <cell r="B1958"/>
          <cell r="C1958"/>
          <cell r="D1958"/>
        </row>
        <row r="1959">
          <cell r="B1959"/>
          <cell r="C1959"/>
          <cell r="D1959"/>
        </row>
        <row r="1960">
          <cell r="B1960"/>
          <cell r="C1960"/>
          <cell r="D1960"/>
        </row>
        <row r="1961">
          <cell r="B1961"/>
          <cell r="C1961"/>
          <cell r="D1961"/>
        </row>
        <row r="1962">
          <cell r="B1962"/>
          <cell r="C1962"/>
          <cell r="D1962"/>
        </row>
        <row r="1963">
          <cell r="B1963"/>
          <cell r="C1963"/>
          <cell r="D1963"/>
        </row>
        <row r="1964">
          <cell r="B1964"/>
          <cell r="C1964"/>
          <cell r="D1964"/>
        </row>
        <row r="1965">
          <cell r="B1965"/>
          <cell r="C1965"/>
          <cell r="D1965"/>
        </row>
        <row r="1966">
          <cell r="B1966"/>
          <cell r="C1966"/>
          <cell r="D1966"/>
        </row>
        <row r="1967">
          <cell r="B1967"/>
          <cell r="C1967"/>
          <cell r="D1967"/>
        </row>
        <row r="1968">
          <cell r="B1968"/>
          <cell r="C1968"/>
          <cell r="D1968"/>
        </row>
        <row r="1969">
          <cell r="B1969"/>
          <cell r="C1969"/>
          <cell r="D1969"/>
        </row>
        <row r="1970">
          <cell r="B1970"/>
          <cell r="C1970"/>
          <cell r="D1970"/>
        </row>
        <row r="1971">
          <cell r="B1971"/>
          <cell r="C1971"/>
          <cell r="D1971"/>
        </row>
        <row r="1972">
          <cell r="B1972"/>
          <cell r="C1972"/>
          <cell r="D1972"/>
        </row>
        <row r="1973">
          <cell r="B1973"/>
          <cell r="C1973"/>
          <cell r="D1973"/>
        </row>
        <row r="1974">
          <cell r="B1974"/>
          <cell r="C1974"/>
          <cell r="D1974"/>
        </row>
        <row r="1975">
          <cell r="B1975"/>
          <cell r="C1975"/>
          <cell r="D1975"/>
        </row>
        <row r="1976">
          <cell r="B1976"/>
          <cell r="C1976"/>
          <cell r="D1976"/>
        </row>
        <row r="1977">
          <cell r="B1977"/>
          <cell r="C1977"/>
          <cell r="D1977"/>
        </row>
        <row r="1978">
          <cell r="B1978"/>
          <cell r="C1978"/>
          <cell r="D1978"/>
        </row>
        <row r="1979">
          <cell r="B1979"/>
          <cell r="C1979"/>
          <cell r="D1979"/>
        </row>
        <row r="1980">
          <cell r="B1980"/>
          <cell r="C1980"/>
          <cell r="D1980"/>
        </row>
        <row r="1981">
          <cell r="B1981"/>
          <cell r="C1981"/>
          <cell r="D1981"/>
        </row>
        <row r="1982">
          <cell r="B1982"/>
          <cell r="C1982"/>
          <cell r="D1982"/>
        </row>
        <row r="1983">
          <cell r="B1983"/>
          <cell r="C1983"/>
          <cell r="D1983"/>
        </row>
        <row r="1984">
          <cell r="B1984"/>
          <cell r="C1984"/>
          <cell r="D1984"/>
        </row>
        <row r="1985">
          <cell r="B1985"/>
          <cell r="C1985"/>
          <cell r="D1985"/>
        </row>
        <row r="1986">
          <cell r="B1986"/>
          <cell r="C1986"/>
          <cell r="D1986"/>
        </row>
        <row r="1987">
          <cell r="B1987"/>
          <cell r="C1987"/>
          <cell r="D1987"/>
        </row>
        <row r="1988">
          <cell r="B1988"/>
          <cell r="C1988"/>
          <cell r="D1988"/>
        </row>
        <row r="1989">
          <cell r="B1989"/>
          <cell r="C1989"/>
          <cell r="D1989"/>
        </row>
        <row r="1990">
          <cell r="B1990"/>
          <cell r="C1990"/>
          <cell r="D1990"/>
        </row>
        <row r="1991">
          <cell r="B1991"/>
          <cell r="C1991"/>
          <cell r="D1991"/>
        </row>
        <row r="1992">
          <cell r="B1992"/>
          <cell r="C1992"/>
          <cell r="D1992"/>
        </row>
        <row r="1993">
          <cell r="B1993"/>
          <cell r="C1993"/>
          <cell r="D1993"/>
        </row>
        <row r="1994">
          <cell r="B1994"/>
          <cell r="C1994"/>
          <cell r="D1994"/>
        </row>
        <row r="1995">
          <cell r="B1995"/>
          <cell r="C1995"/>
          <cell r="D1995"/>
        </row>
        <row r="1996">
          <cell r="B1996"/>
          <cell r="C1996"/>
          <cell r="D1996"/>
        </row>
        <row r="1997">
          <cell r="B1997"/>
          <cell r="C1997"/>
          <cell r="D1997"/>
        </row>
        <row r="1998">
          <cell r="B1998"/>
          <cell r="C1998"/>
          <cell r="D1998"/>
        </row>
        <row r="1999">
          <cell r="B1999"/>
          <cell r="C1999"/>
          <cell r="D1999"/>
        </row>
        <row r="2000">
          <cell r="B2000"/>
          <cell r="C2000"/>
          <cell r="D2000"/>
        </row>
        <row r="2001">
          <cell r="B2001"/>
          <cell r="C2001"/>
          <cell r="D2001"/>
        </row>
        <row r="2002">
          <cell r="B2002"/>
          <cell r="C2002"/>
          <cell r="D2002"/>
        </row>
        <row r="2003">
          <cell r="B2003"/>
          <cell r="C2003"/>
          <cell r="D2003"/>
        </row>
        <row r="2004">
          <cell r="B2004"/>
          <cell r="C2004"/>
          <cell r="D2004"/>
        </row>
        <row r="2005">
          <cell r="B2005"/>
          <cell r="C2005"/>
          <cell r="D2005"/>
        </row>
        <row r="2006">
          <cell r="B2006"/>
          <cell r="C2006"/>
          <cell r="D2006"/>
        </row>
        <row r="2007">
          <cell r="B2007"/>
          <cell r="C2007"/>
          <cell r="D2007"/>
        </row>
        <row r="2008">
          <cell r="B2008"/>
          <cell r="C2008"/>
          <cell r="D2008"/>
        </row>
        <row r="2009">
          <cell r="B2009"/>
          <cell r="C2009"/>
          <cell r="D2009"/>
        </row>
        <row r="2010">
          <cell r="B2010"/>
          <cell r="C2010"/>
          <cell r="D2010"/>
        </row>
        <row r="2011">
          <cell r="B2011"/>
          <cell r="C2011"/>
          <cell r="D2011"/>
        </row>
        <row r="2012">
          <cell r="B2012"/>
          <cell r="C2012"/>
          <cell r="D2012"/>
        </row>
        <row r="2013">
          <cell r="B2013"/>
          <cell r="C2013"/>
          <cell r="D2013"/>
        </row>
        <row r="2014">
          <cell r="B2014"/>
          <cell r="C2014"/>
          <cell r="D2014"/>
        </row>
        <row r="2015">
          <cell r="B2015"/>
          <cell r="C2015"/>
          <cell r="D2015"/>
        </row>
        <row r="2016">
          <cell r="B2016"/>
          <cell r="C2016"/>
          <cell r="D2016"/>
        </row>
        <row r="2017">
          <cell r="B2017"/>
          <cell r="C2017"/>
          <cell r="D2017"/>
        </row>
        <row r="2018">
          <cell r="B2018"/>
          <cell r="C2018"/>
          <cell r="D2018"/>
        </row>
        <row r="2019">
          <cell r="B2019"/>
          <cell r="C2019"/>
          <cell r="D2019"/>
        </row>
        <row r="2020">
          <cell r="B2020"/>
          <cell r="C2020"/>
          <cell r="D2020"/>
        </row>
        <row r="2021">
          <cell r="B2021"/>
          <cell r="C2021"/>
          <cell r="D2021"/>
        </row>
        <row r="2022">
          <cell r="B2022"/>
          <cell r="C2022"/>
          <cell r="D2022"/>
        </row>
        <row r="2023">
          <cell r="B2023"/>
          <cell r="C2023"/>
          <cell r="D2023"/>
        </row>
        <row r="2024">
          <cell r="B2024"/>
          <cell r="C2024"/>
          <cell r="D2024"/>
        </row>
        <row r="2025">
          <cell r="B2025"/>
          <cell r="C2025"/>
          <cell r="D2025"/>
        </row>
        <row r="2026">
          <cell r="B2026"/>
          <cell r="C2026"/>
          <cell r="D2026"/>
        </row>
        <row r="2027">
          <cell r="B2027"/>
          <cell r="C2027"/>
          <cell r="D2027"/>
        </row>
        <row r="2028">
          <cell r="B2028"/>
          <cell r="C2028"/>
          <cell r="D2028"/>
        </row>
        <row r="2029">
          <cell r="B2029"/>
          <cell r="C2029"/>
          <cell r="D2029"/>
        </row>
        <row r="2030">
          <cell r="B2030"/>
          <cell r="C2030"/>
          <cell r="D2030"/>
        </row>
        <row r="2031">
          <cell r="B2031"/>
          <cell r="C2031"/>
          <cell r="D2031"/>
        </row>
        <row r="2032">
          <cell r="B2032"/>
          <cell r="C2032"/>
          <cell r="D2032"/>
        </row>
        <row r="2033">
          <cell r="B2033"/>
          <cell r="C2033"/>
          <cell r="D2033"/>
        </row>
        <row r="2034">
          <cell r="B2034"/>
          <cell r="C2034"/>
          <cell r="D2034"/>
        </row>
        <row r="2035">
          <cell r="B2035"/>
          <cell r="C2035"/>
          <cell r="D2035"/>
        </row>
        <row r="2036">
          <cell r="B2036"/>
          <cell r="C2036"/>
          <cell r="D2036"/>
        </row>
        <row r="2037">
          <cell r="B2037"/>
          <cell r="C2037"/>
          <cell r="D2037"/>
        </row>
        <row r="2038">
          <cell r="B2038"/>
          <cell r="C2038"/>
          <cell r="D2038"/>
        </row>
        <row r="2039">
          <cell r="B2039"/>
          <cell r="C2039"/>
          <cell r="D2039"/>
        </row>
        <row r="2040">
          <cell r="B2040"/>
          <cell r="C2040"/>
          <cell r="D2040"/>
        </row>
        <row r="2041">
          <cell r="B2041"/>
          <cell r="C2041"/>
          <cell r="D2041"/>
        </row>
        <row r="2042">
          <cell r="B2042"/>
          <cell r="C2042"/>
          <cell r="D2042"/>
        </row>
        <row r="2043">
          <cell r="B2043"/>
          <cell r="C2043"/>
          <cell r="D2043"/>
        </row>
        <row r="2044">
          <cell r="B2044"/>
          <cell r="C2044"/>
          <cell r="D2044"/>
        </row>
        <row r="2045">
          <cell r="B2045"/>
          <cell r="C2045"/>
          <cell r="D2045"/>
        </row>
        <row r="2046">
          <cell r="B2046"/>
          <cell r="C2046"/>
          <cell r="D2046"/>
        </row>
        <row r="2047">
          <cell r="B2047"/>
          <cell r="C2047"/>
          <cell r="D2047"/>
        </row>
        <row r="2048">
          <cell r="B2048"/>
          <cell r="C2048"/>
          <cell r="D2048"/>
        </row>
        <row r="2049">
          <cell r="B2049"/>
          <cell r="C2049"/>
          <cell r="D2049"/>
        </row>
        <row r="2050">
          <cell r="B2050"/>
          <cell r="C2050"/>
          <cell r="D2050"/>
        </row>
        <row r="2051">
          <cell r="B2051"/>
          <cell r="C2051"/>
          <cell r="D2051"/>
        </row>
        <row r="2052">
          <cell r="B2052"/>
          <cell r="C2052"/>
          <cell r="D2052"/>
        </row>
        <row r="2053">
          <cell r="B2053"/>
          <cell r="C2053"/>
          <cell r="D2053"/>
        </row>
        <row r="2054">
          <cell r="B2054"/>
          <cell r="C2054"/>
          <cell r="D2054"/>
        </row>
        <row r="2055">
          <cell r="B2055"/>
          <cell r="C2055"/>
          <cell r="D2055"/>
        </row>
        <row r="2056">
          <cell r="B2056"/>
          <cell r="C2056"/>
          <cell r="D2056"/>
        </row>
        <row r="2057">
          <cell r="B2057"/>
          <cell r="C2057"/>
          <cell r="D2057"/>
        </row>
        <row r="2058">
          <cell r="B2058"/>
          <cell r="C2058"/>
          <cell r="D2058"/>
        </row>
        <row r="2059">
          <cell r="B2059"/>
          <cell r="C2059"/>
          <cell r="D2059"/>
        </row>
        <row r="2060">
          <cell r="B2060"/>
          <cell r="C2060"/>
          <cell r="D2060"/>
        </row>
        <row r="2061">
          <cell r="B2061"/>
          <cell r="C2061"/>
          <cell r="D2061"/>
        </row>
        <row r="2062">
          <cell r="B2062"/>
          <cell r="C2062"/>
          <cell r="D2062"/>
        </row>
        <row r="2063">
          <cell r="B2063"/>
          <cell r="C2063"/>
          <cell r="D2063"/>
        </row>
        <row r="2064">
          <cell r="B2064"/>
          <cell r="C2064"/>
          <cell r="D2064"/>
        </row>
        <row r="2065">
          <cell r="B2065"/>
          <cell r="C2065"/>
          <cell r="D2065"/>
        </row>
        <row r="2066">
          <cell r="B2066"/>
          <cell r="C2066"/>
          <cell r="D2066"/>
        </row>
        <row r="2067">
          <cell r="B2067"/>
          <cell r="C2067"/>
          <cell r="D2067"/>
        </row>
        <row r="2068">
          <cell r="B2068"/>
          <cell r="C2068"/>
          <cell r="D2068"/>
        </row>
        <row r="2069">
          <cell r="B2069"/>
          <cell r="C2069"/>
          <cell r="D2069"/>
        </row>
        <row r="2070">
          <cell r="B2070"/>
          <cell r="C2070"/>
          <cell r="D2070"/>
        </row>
        <row r="2071">
          <cell r="B2071"/>
          <cell r="C2071"/>
          <cell r="D2071"/>
        </row>
        <row r="2072">
          <cell r="B2072"/>
          <cell r="C2072"/>
          <cell r="D2072"/>
        </row>
        <row r="2073">
          <cell r="B2073"/>
          <cell r="C2073"/>
          <cell r="D2073"/>
        </row>
        <row r="2074">
          <cell r="B2074"/>
          <cell r="C2074"/>
          <cell r="D2074"/>
        </row>
        <row r="2075">
          <cell r="B2075"/>
          <cell r="C2075"/>
          <cell r="D2075"/>
        </row>
        <row r="2076">
          <cell r="B2076"/>
          <cell r="C2076"/>
          <cell r="D2076"/>
        </row>
        <row r="2077">
          <cell r="B2077"/>
          <cell r="C2077"/>
          <cell r="D2077"/>
        </row>
        <row r="2078">
          <cell r="B2078"/>
          <cell r="C2078"/>
          <cell r="D2078"/>
        </row>
        <row r="2079">
          <cell r="B2079"/>
          <cell r="C2079"/>
          <cell r="D2079"/>
        </row>
        <row r="2080">
          <cell r="B2080"/>
          <cell r="C2080"/>
          <cell r="D2080"/>
        </row>
        <row r="2081">
          <cell r="B2081"/>
          <cell r="C2081"/>
          <cell r="D2081"/>
        </row>
        <row r="2082">
          <cell r="B2082"/>
          <cell r="C2082"/>
          <cell r="D2082"/>
        </row>
        <row r="2083">
          <cell r="B2083"/>
          <cell r="C2083"/>
          <cell r="D2083"/>
        </row>
        <row r="2084">
          <cell r="B2084"/>
          <cell r="C2084"/>
          <cell r="D2084"/>
        </row>
        <row r="2085">
          <cell r="B2085"/>
          <cell r="C2085"/>
          <cell r="D2085"/>
        </row>
        <row r="2086">
          <cell r="B2086"/>
          <cell r="C2086"/>
          <cell r="D2086"/>
        </row>
        <row r="2087">
          <cell r="B2087"/>
          <cell r="C2087"/>
          <cell r="D2087"/>
        </row>
        <row r="2088">
          <cell r="B2088"/>
          <cell r="C2088"/>
          <cell r="D2088"/>
        </row>
        <row r="2089">
          <cell r="B2089"/>
          <cell r="C2089"/>
          <cell r="D2089"/>
        </row>
        <row r="2090">
          <cell r="B2090"/>
          <cell r="C2090"/>
          <cell r="D2090"/>
        </row>
        <row r="2091">
          <cell r="B2091"/>
          <cell r="C2091"/>
          <cell r="D2091"/>
        </row>
        <row r="2092">
          <cell r="B2092"/>
          <cell r="C2092"/>
          <cell r="D2092"/>
        </row>
        <row r="2093">
          <cell r="B2093"/>
          <cell r="C2093"/>
          <cell r="D2093"/>
        </row>
        <row r="2094">
          <cell r="B2094"/>
          <cell r="C2094"/>
          <cell r="D2094"/>
        </row>
        <row r="2095">
          <cell r="B2095"/>
          <cell r="C2095"/>
          <cell r="D2095"/>
        </row>
        <row r="2096">
          <cell r="B2096"/>
          <cell r="C2096"/>
          <cell r="D2096"/>
        </row>
        <row r="2097">
          <cell r="B2097"/>
          <cell r="C2097"/>
          <cell r="D2097"/>
        </row>
        <row r="2098">
          <cell r="B2098"/>
          <cell r="C2098"/>
          <cell r="D2098"/>
        </row>
        <row r="2099">
          <cell r="B2099"/>
          <cell r="C2099"/>
          <cell r="D2099"/>
        </row>
        <row r="2100">
          <cell r="B2100"/>
          <cell r="C2100"/>
          <cell r="D2100"/>
        </row>
        <row r="2101">
          <cell r="B2101"/>
          <cell r="C2101"/>
          <cell r="D2101"/>
        </row>
        <row r="2102">
          <cell r="B2102"/>
          <cell r="C2102"/>
          <cell r="D2102"/>
        </row>
        <row r="2103">
          <cell r="B2103"/>
          <cell r="C2103"/>
          <cell r="D2103"/>
        </row>
        <row r="2104">
          <cell r="B2104"/>
          <cell r="C2104"/>
          <cell r="D2104"/>
        </row>
        <row r="2105">
          <cell r="B2105"/>
          <cell r="C2105"/>
          <cell r="D2105"/>
        </row>
        <row r="2106">
          <cell r="B2106"/>
          <cell r="C2106"/>
          <cell r="D2106"/>
        </row>
        <row r="2107">
          <cell r="B2107"/>
          <cell r="C2107"/>
          <cell r="D2107"/>
        </row>
        <row r="2108">
          <cell r="B2108"/>
          <cell r="C2108"/>
          <cell r="D2108"/>
        </row>
        <row r="2109">
          <cell r="B2109"/>
          <cell r="C2109"/>
          <cell r="D2109"/>
        </row>
        <row r="2110">
          <cell r="B2110"/>
          <cell r="C2110"/>
          <cell r="D2110"/>
        </row>
        <row r="2111">
          <cell r="B2111"/>
          <cell r="C2111"/>
          <cell r="D2111"/>
        </row>
        <row r="2112">
          <cell r="B2112"/>
          <cell r="C2112"/>
          <cell r="D2112"/>
        </row>
        <row r="2113">
          <cell r="B2113"/>
          <cell r="C2113"/>
          <cell r="D2113"/>
        </row>
        <row r="2114">
          <cell r="B2114"/>
          <cell r="C2114"/>
          <cell r="D2114"/>
        </row>
        <row r="2115">
          <cell r="B2115"/>
          <cell r="C2115"/>
          <cell r="D2115"/>
        </row>
        <row r="2116">
          <cell r="B2116"/>
          <cell r="C2116"/>
          <cell r="D2116"/>
        </row>
        <row r="2117">
          <cell r="B2117"/>
          <cell r="C2117"/>
          <cell r="D2117"/>
        </row>
        <row r="2118">
          <cell r="B2118"/>
          <cell r="C2118"/>
          <cell r="D2118"/>
        </row>
        <row r="2119">
          <cell r="B2119"/>
          <cell r="C2119"/>
          <cell r="D2119"/>
        </row>
        <row r="2120">
          <cell r="B2120"/>
          <cell r="C2120"/>
          <cell r="D2120"/>
        </row>
        <row r="2121">
          <cell r="B2121"/>
          <cell r="C2121"/>
          <cell r="D2121"/>
        </row>
        <row r="2122">
          <cell r="B2122"/>
          <cell r="C2122"/>
          <cell r="D2122"/>
        </row>
        <row r="2123">
          <cell r="B2123"/>
          <cell r="C2123"/>
          <cell r="D2123"/>
        </row>
        <row r="2124">
          <cell r="B2124"/>
          <cell r="C2124"/>
          <cell r="D2124"/>
        </row>
        <row r="2125">
          <cell r="B2125"/>
          <cell r="C2125"/>
          <cell r="D2125"/>
        </row>
        <row r="2126">
          <cell r="B2126"/>
          <cell r="C2126"/>
          <cell r="D2126"/>
        </row>
        <row r="2127">
          <cell r="B2127"/>
          <cell r="C2127"/>
          <cell r="D2127"/>
        </row>
        <row r="2128">
          <cell r="B2128"/>
          <cell r="C2128"/>
          <cell r="D2128"/>
        </row>
        <row r="2129">
          <cell r="B2129"/>
          <cell r="C2129"/>
          <cell r="D2129"/>
        </row>
        <row r="2130">
          <cell r="B2130"/>
          <cell r="C2130"/>
          <cell r="D2130"/>
        </row>
        <row r="2131">
          <cell r="B2131"/>
          <cell r="C2131"/>
          <cell r="D2131"/>
        </row>
        <row r="2132">
          <cell r="B2132"/>
          <cell r="C2132"/>
          <cell r="D2132"/>
        </row>
        <row r="2133">
          <cell r="B2133"/>
          <cell r="C2133"/>
          <cell r="D2133"/>
        </row>
        <row r="2134">
          <cell r="B2134"/>
          <cell r="C2134"/>
          <cell r="D2134"/>
        </row>
        <row r="2135">
          <cell r="B2135"/>
          <cell r="C2135"/>
          <cell r="D2135"/>
        </row>
        <row r="2136">
          <cell r="B2136"/>
          <cell r="C2136"/>
          <cell r="D2136"/>
        </row>
        <row r="2137">
          <cell r="B2137"/>
          <cell r="C2137"/>
          <cell r="D2137"/>
        </row>
        <row r="2138">
          <cell r="B2138"/>
          <cell r="C2138"/>
          <cell r="D2138"/>
        </row>
        <row r="2139">
          <cell r="B2139"/>
          <cell r="C2139"/>
          <cell r="D2139"/>
        </row>
        <row r="2140">
          <cell r="B2140"/>
          <cell r="C2140"/>
          <cell r="D2140"/>
        </row>
        <row r="2141">
          <cell r="B2141"/>
          <cell r="C2141"/>
          <cell r="D2141"/>
        </row>
        <row r="2142">
          <cell r="B2142"/>
          <cell r="C2142"/>
          <cell r="D2142"/>
        </row>
        <row r="2143">
          <cell r="B2143"/>
          <cell r="C2143"/>
          <cell r="D2143"/>
        </row>
        <row r="2144">
          <cell r="B2144"/>
          <cell r="C2144"/>
          <cell r="D2144"/>
        </row>
        <row r="2145">
          <cell r="B2145"/>
          <cell r="C2145"/>
          <cell r="D2145"/>
        </row>
        <row r="2146">
          <cell r="B2146"/>
          <cell r="C2146"/>
          <cell r="D2146"/>
        </row>
        <row r="2147">
          <cell r="B2147"/>
          <cell r="C2147"/>
          <cell r="D2147"/>
        </row>
        <row r="2148">
          <cell r="B2148"/>
          <cell r="C2148"/>
          <cell r="D2148"/>
        </row>
        <row r="2149">
          <cell r="B2149"/>
          <cell r="C2149"/>
          <cell r="D2149"/>
        </row>
        <row r="2150">
          <cell r="B2150"/>
          <cell r="C2150"/>
          <cell r="D2150"/>
        </row>
        <row r="2151">
          <cell r="B2151"/>
          <cell r="C2151"/>
          <cell r="D2151"/>
        </row>
        <row r="2152">
          <cell r="B2152"/>
          <cell r="C2152"/>
          <cell r="D2152"/>
        </row>
        <row r="2153">
          <cell r="B2153"/>
          <cell r="C2153"/>
          <cell r="D2153"/>
        </row>
        <row r="2154">
          <cell r="B2154"/>
          <cell r="C2154"/>
          <cell r="D2154"/>
        </row>
        <row r="2155">
          <cell r="B2155"/>
          <cell r="C2155"/>
          <cell r="D2155"/>
        </row>
        <row r="2156">
          <cell r="B2156"/>
          <cell r="C2156"/>
          <cell r="D2156"/>
        </row>
        <row r="2157">
          <cell r="B2157"/>
          <cell r="C2157"/>
          <cell r="D2157"/>
        </row>
        <row r="2158">
          <cell r="B2158"/>
          <cell r="C2158"/>
          <cell r="D2158"/>
        </row>
        <row r="2159">
          <cell r="B2159"/>
          <cell r="C2159"/>
          <cell r="D2159"/>
        </row>
        <row r="2160">
          <cell r="B2160"/>
          <cell r="C2160"/>
          <cell r="D2160"/>
        </row>
        <row r="2161">
          <cell r="B2161"/>
          <cell r="C2161"/>
          <cell r="D2161"/>
        </row>
        <row r="2162">
          <cell r="B2162"/>
          <cell r="C2162"/>
          <cell r="D2162"/>
        </row>
        <row r="2163">
          <cell r="B2163"/>
          <cell r="C2163"/>
          <cell r="D2163"/>
        </row>
        <row r="2164">
          <cell r="B2164"/>
          <cell r="C2164"/>
          <cell r="D2164"/>
        </row>
        <row r="2165">
          <cell r="B2165"/>
          <cell r="C2165"/>
          <cell r="D2165"/>
        </row>
        <row r="2166">
          <cell r="B2166"/>
          <cell r="C2166"/>
          <cell r="D2166"/>
        </row>
        <row r="2167">
          <cell r="B2167"/>
          <cell r="C2167"/>
          <cell r="D2167"/>
        </row>
        <row r="2168">
          <cell r="B2168"/>
          <cell r="C2168"/>
          <cell r="D2168"/>
        </row>
        <row r="2169">
          <cell r="B2169"/>
          <cell r="C2169"/>
          <cell r="D2169"/>
        </row>
        <row r="2170">
          <cell r="B2170"/>
          <cell r="C2170"/>
          <cell r="D2170"/>
        </row>
        <row r="2171">
          <cell r="B2171"/>
          <cell r="C2171"/>
          <cell r="D2171"/>
        </row>
        <row r="2172">
          <cell r="B2172"/>
          <cell r="C2172"/>
          <cell r="D2172"/>
        </row>
        <row r="2173">
          <cell r="B2173"/>
          <cell r="C2173"/>
          <cell r="D2173"/>
        </row>
        <row r="2174">
          <cell r="B2174"/>
          <cell r="C2174"/>
          <cell r="D2174"/>
        </row>
        <row r="2175">
          <cell r="B2175"/>
          <cell r="C2175"/>
          <cell r="D2175"/>
        </row>
        <row r="2176">
          <cell r="B2176"/>
          <cell r="C2176"/>
          <cell r="D2176"/>
        </row>
        <row r="2177">
          <cell r="B2177"/>
          <cell r="C2177"/>
          <cell r="D2177"/>
        </row>
        <row r="2178">
          <cell r="B2178"/>
          <cell r="C2178"/>
          <cell r="D2178"/>
        </row>
        <row r="2179">
          <cell r="B2179"/>
          <cell r="C2179"/>
          <cell r="D2179"/>
        </row>
        <row r="2180">
          <cell r="B2180"/>
          <cell r="C2180"/>
          <cell r="D2180"/>
        </row>
        <row r="2181">
          <cell r="B2181"/>
          <cell r="C2181"/>
          <cell r="D2181"/>
        </row>
        <row r="2182">
          <cell r="B2182"/>
          <cell r="C2182"/>
          <cell r="D2182"/>
        </row>
        <row r="2183">
          <cell r="B2183"/>
          <cell r="C2183"/>
          <cell r="D2183"/>
        </row>
        <row r="2184">
          <cell r="B2184"/>
          <cell r="C2184"/>
          <cell r="D2184"/>
        </row>
        <row r="2185">
          <cell r="B2185"/>
          <cell r="C2185"/>
          <cell r="D2185"/>
        </row>
        <row r="2186">
          <cell r="B2186"/>
          <cell r="C2186"/>
          <cell r="D2186"/>
        </row>
        <row r="2187">
          <cell r="B2187"/>
          <cell r="C2187"/>
          <cell r="D2187"/>
        </row>
        <row r="2188">
          <cell r="B2188"/>
          <cell r="C2188"/>
          <cell r="D2188"/>
        </row>
        <row r="2189">
          <cell r="B2189"/>
          <cell r="C2189"/>
          <cell r="D2189"/>
        </row>
        <row r="2190">
          <cell r="B2190"/>
          <cell r="C2190"/>
          <cell r="D2190"/>
        </row>
        <row r="2191">
          <cell r="B2191"/>
          <cell r="C2191"/>
          <cell r="D2191"/>
        </row>
        <row r="2192">
          <cell r="B2192"/>
          <cell r="C2192"/>
          <cell r="D2192"/>
        </row>
        <row r="2193">
          <cell r="B2193"/>
          <cell r="C2193"/>
          <cell r="D2193"/>
        </row>
        <row r="2194">
          <cell r="B2194"/>
          <cell r="C2194"/>
          <cell r="D2194"/>
        </row>
        <row r="2195">
          <cell r="B2195"/>
          <cell r="C2195"/>
          <cell r="D2195"/>
        </row>
        <row r="2196">
          <cell r="B2196"/>
          <cell r="C2196"/>
          <cell r="D2196"/>
        </row>
        <row r="2197">
          <cell r="B2197"/>
          <cell r="C2197"/>
          <cell r="D2197"/>
        </row>
        <row r="2198">
          <cell r="B2198"/>
          <cell r="C2198"/>
          <cell r="D2198"/>
        </row>
        <row r="2199">
          <cell r="B2199"/>
          <cell r="C2199"/>
          <cell r="D2199"/>
        </row>
        <row r="2200">
          <cell r="B2200"/>
          <cell r="C2200"/>
          <cell r="D2200"/>
        </row>
        <row r="2201">
          <cell r="B2201"/>
          <cell r="C2201"/>
          <cell r="D2201"/>
        </row>
        <row r="2202">
          <cell r="B2202"/>
          <cell r="C2202"/>
          <cell r="D2202"/>
        </row>
        <row r="2203">
          <cell r="B2203"/>
          <cell r="C2203"/>
          <cell r="D2203"/>
        </row>
        <row r="2204">
          <cell r="B2204"/>
          <cell r="C2204"/>
          <cell r="D2204"/>
        </row>
        <row r="2205">
          <cell r="B2205"/>
          <cell r="C2205"/>
          <cell r="D2205"/>
        </row>
        <row r="2206">
          <cell r="B2206"/>
          <cell r="C2206"/>
          <cell r="D2206"/>
        </row>
        <row r="2207">
          <cell r="B2207"/>
          <cell r="C2207"/>
          <cell r="D2207"/>
        </row>
        <row r="2208">
          <cell r="B2208"/>
          <cell r="C2208"/>
          <cell r="D2208"/>
        </row>
        <row r="2209">
          <cell r="B2209"/>
          <cell r="C2209"/>
          <cell r="D2209"/>
        </row>
        <row r="2210">
          <cell r="B2210"/>
          <cell r="C2210"/>
          <cell r="D2210"/>
        </row>
        <row r="2211">
          <cell r="B2211"/>
          <cell r="C2211"/>
          <cell r="D2211"/>
        </row>
        <row r="2212">
          <cell r="B2212"/>
          <cell r="C2212"/>
          <cell r="D2212"/>
        </row>
        <row r="2213">
          <cell r="B2213"/>
          <cell r="C2213"/>
          <cell r="D2213"/>
        </row>
        <row r="2214">
          <cell r="B2214"/>
          <cell r="C2214"/>
          <cell r="D2214"/>
        </row>
        <row r="2215">
          <cell r="B2215"/>
          <cell r="C2215"/>
          <cell r="D2215"/>
        </row>
        <row r="2216">
          <cell r="B2216"/>
          <cell r="C2216"/>
          <cell r="D2216"/>
        </row>
        <row r="2217">
          <cell r="B2217"/>
          <cell r="C2217"/>
          <cell r="D2217"/>
        </row>
        <row r="2218">
          <cell r="B2218"/>
          <cell r="C2218"/>
          <cell r="D2218"/>
        </row>
        <row r="2219">
          <cell r="B2219"/>
          <cell r="C2219"/>
          <cell r="D2219"/>
        </row>
        <row r="2220">
          <cell r="B2220"/>
          <cell r="C2220"/>
          <cell r="D2220"/>
        </row>
        <row r="2221">
          <cell r="B2221"/>
          <cell r="C2221"/>
          <cell r="D2221"/>
        </row>
        <row r="2222">
          <cell r="B2222"/>
          <cell r="C2222"/>
          <cell r="D2222"/>
        </row>
        <row r="2223">
          <cell r="B2223"/>
          <cell r="C2223"/>
          <cell r="D2223"/>
        </row>
        <row r="2224">
          <cell r="B2224"/>
          <cell r="C2224"/>
          <cell r="D2224"/>
        </row>
        <row r="2225">
          <cell r="B2225"/>
          <cell r="C2225"/>
          <cell r="D2225"/>
        </row>
        <row r="2226">
          <cell r="B2226"/>
          <cell r="C2226"/>
          <cell r="D2226"/>
        </row>
        <row r="2227">
          <cell r="B2227"/>
          <cell r="C2227"/>
          <cell r="D2227"/>
        </row>
        <row r="2228">
          <cell r="B2228"/>
          <cell r="C2228"/>
          <cell r="D2228"/>
        </row>
        <row r="2229">
          <cell r="B2229"/>
          <cell r="C2229"/>
          <cell r="D2229"/>
        </row>
        <row r="2230">
          <cell r="B2230"/>
          <cell r="C2230"/>
          <cell r="D2230"/>
        </row>
        <row r="2231">
          <cell r="B2231"/>
          <cell r="C2231"/>
          <cell r="D2231"/>
        </row>
        <row r="2232">
          <cell r="B2232"/>
          <cell r="C2232"/>
          <cell r="D2232"/>
        </row>
        <row r="2233">
          <cell r="B2233"/>
          <cell r="C2233"/>
          <cell r="D2233"/>
        </row>
        <row r="2234">
          <cell r="B2234"/>
          <cell r="C2234"/>
          <cell r="D2234"/>
        </row>
        <row r="2235">
          <cell r="B2235"/>
          <cell r="C2235"/>
          <cell r="D2235"/>
        </row>
        <row r="2236">
          <cell r="B2236"/>
          <cell r="C2236"/>
          <cell r="D2236"/>
        </row>
        <row r="2237">
          <cell r="B2237"/>
          <cell r="C2237"/>
          <cell r="D2237"/>
        </row>
        <row r="2238">
          <cell r="B2238"/>
          <cell r="C2238"/>
          <cell r="D2238"/>
        </row>
        <row r="2239">
          <cell r="B2239"/>
          <cell r="C2239"/>
          <cell r="D2239"/>
        </row>
        <row r="2240">
          <cell r="B2240"/>
          <cell r="C2240"/>
          <cell r="D2240"/>
        </row>
        <row r="2241">
          <cell r="B2241"/>
          <cell r="C2241"/>
          <cell r="D2241"/>
        </row>
        <row r="2242">
          <cell r="B2242"/>
          <cell r="C2242"/>
          <cell r="D2242"/>
        </row>
        <row r="2243">
          <cell r="B2243"/>
          <cell r="C2243"/>
          <cell r="D2243"/>
        </row>
        <row r="2244">
          <cell r="B2244"/>
          <cell r="C2244"/>
          <cell r="D2244"/>
        </row>
        <row r="2245">
          <cell r="B2245"/>
          <cell r="C2245"/>
          <cell r="D2245"/>
        </row>
        <row r="2246">
          <cell r="B2246"/>
          <cell r="C2246"/>
          <cell r="D2246"/>
        </row>
        <row r="2247">
          <cell r="B2247"/>
          <cell r="C2247"/>
          <cell r="D2247"/>
        </row>
        <row r="2248">
          <cell r="B2248"/>
          <cell r="C2248"/>
          <cell r="D2248"/>
        </row>
        <row r="2249">
          <cell r="B2249"/>
          <cell r="C2249"/>
          <cell r="D2249"/>
        </row>
        <row r="2250">
          <cell r="B2250"/>
          <cell r="C2250"/>
          <cell r="D2250"/>
        </row>
        <row r="2251">
          <cell r="B2251"/>
          <cell r="C2251"/>
          <cell r="D2251"/>
        </row>
        <row r="2252">
          <cell r="B2252"/>
          <cell r="C2252"/>
          <cell r="D2252"/>
        </row>
        <row r="2253">
          <cell r="B2253"/>
          <cell r="C2253"/>
          <cell r="D2253"/>
        </row>
        <row r="2254">
          <cell r="B2254"/>
          <cell r="C2254"/>
          <cell r="D2254"/>
        </row>
        <row r="2255">
          <cell r="B2255"/>
          <cell r="C2255"/>
          <cell r="D2255"/>
        </row>
        <row r="2256">
          <cell r="B2256"/>
          <cell r="C2256"/>
          <cell r="D2256"/>
        </row>
        <row r="2257">
          <cell r="B2257"/>
          <cell r="C2257"/>
          <cell r="D2257"/>
        </row>
        <row r="2258">
          <cell r="B2258"/>
          <cell r="C2258"/>
          <cell r="D2258"/>
        </row>
        <row r="2259">
          <cell r="B2259"/>
          <cell r="C2259"/>
          <cell r="D2259"/>
        </row>
        <row r="2260">
          <cell r="B2260"/>
          <cell r="C2260"/>
          <cell r="D2260"/>
        </row>
        <row r="2261">
          <cell r="B2261"/>
          <cell r="C2261"/>
          <cell r="D2261"/>
        </row>
        <row r="2262">
          <cell r="B2262"/>
          <cell r="C2262"/>
          <cell r="D2262"/>
        </row>
        <row r="2263">
          <cell r="B2263"/>
          <cell r="C2263"/>
          <cell r="D2263"/>
        </row>
        <row r="2264">
          <cell r="B2264"/>
          <cell r="C2264"/>
          <cell r="D2264"/>
        </row>
        <row r="2265">
          <cell r="B2265"/>
          <cell r="C2265"/>
          <cell r="D2265"/>
        </row>
        <row r="2266">
          <cell r="B2266"/>
          <cell r="C2266"/>
          <cell r="D2266"/>
        </row>
        <row r="2267">
          <cell r="B2267"/>
          <cell r="C2267"/>
          <cell r="D2267"/>
        </row>
        <row r="2268">
          <cell r="B2268"/>
          <cell r="C2268"/>
          <cell r="D2268"/>
        </row>
        <row r="2269">
          <cell r="B2269"/>
          <cell r="C2269"/>
          <cell r="D2269"/>
        </row>
        <row r="2270">
          <cell r="B2270"/>
          <cell r="C2270"/>
          <cell r="D2270"/>
        </row>
        <row r="2271">
          <cell r="B2271"/>
          <cell r="C2271"/>
          <cell r="D2271"/>
        </row>
        <row r="2272">
          <cell r="B2272"/>
          <cell r="C2272"/>
          <cell r="D2272"/>
        </row>
        <row r="2273">
          <cell r="B2273"/>
          <cell r="C2273"/>
          <cell r="D2273"/>
        </row>
        <row r="2274">
          <cell r="B2274"/>
          <cell r="C2274"/>
          <cell r="D2274"/>
        </row>
        <row r="2275">
          <cell r="B2275"/>
          <cell r="C2275"/>
          <cell r="D2275"/>
        </row>
        <row r="2276">
          <cell r="B2276"/>
          <cell r="C2276"/>
          <cell r="D2276"/>
        </row>
        <row r="2277">
          <cell r="B2277"/>
          <cell r="C2277"/>
          <cell r="D2277"/>
        </row>
        <row r="2278">
          <cell r="B2278"/>
          <cell r="C2278"/>
          <cell r="D2278"/>
        </row>
        <row r="2279">
          <cell r="B2279"/>
          <cell r="C2279"/>
          <cell r="D2279"/>
        </row>
        <row r="2280">
          <cell r="B2280"/>
          <cell r="C2280"/>
          <cell r="D2280"/>
        </row>
        <row r="2281">
          <cell r="B2281"/>
          <cell r="C2281"/>
          <cell r="D2281"/>
        </row>
        <row r="2282">
          <cell r="B2282"/>
          <cell r="C2282"/>
          <cell r="D2282"/>
        </row>
        <row r="2283">
          <cell r="B2283"/>
          <cell r="C2283"/>
          <cell r="D2283"/>
        </row>
        <row r="2284">
          <cell r="B2284"/>
          <cell r="C2284"/>
          <cell r="D2284"/>
        </row>
        <row r="2285">
          <cell r="B2285"/>
          <cell r="C2285"/>
          <cell r="D2285"/>
        </row>
        <row r="2286">
          <cell r="B2286"/>
          <cell r="C2286"/>
          <cell r="D2286"/>
        </row>
        <row r="2287">
          <cell r="B2287"/>
          <cell r="C2287"/>
          <cell r="D2287"/>
        </row>
        <row r="2288">
          <cell r="B2288"/>
          <cell r="C2288"/>
          <cell r="D2288"/>
        </row>
        <row r="2289">
          <cell r="B2289"/>
          <cell r="C2289"/>
          <cell r="D2289"/>
        </row>
        <row r="2290">
          <cell r="B2290"/>
          <cell r="C2290"/>
          <cell r="D2290"/>
        </row>
        <row r="2291">
          <cell r="B2291"/>
          <cell r="C2291"/>
          <cell r="D2291"/>
        </row>
        <row r="2292">
          <cell r="B2292"/>
          <cell r="C2292"/>
          <cell r="D2292"/>
        </row>
        <row r="2293">
          <cell r="B2293"/>
          <cell r="C2293"/>
          <cell r="D2293"/>
        </row>
        <row r="2294">
          <cell r="B2294"/>
          <cell r="C2294"/>
          <cell r="D2294"/>
        </row>
        <row r="2295">
          <cell r="B2295"/>
          <cell r="C2295"/>
          <cell r="D2295"/>
        </row>
        <row r="2296">
          <cell r="B2296"/>
          <cell r="C2296"/>
          <cell r="D2296"/>
        </row>
        <row r="2297">
          <cell r="B2297"/>
          <cell r="C2297"/>
          <cell r="D2297"/>
        </row>
        <row r="2298">
          <cell r="B2298"/>
          <cell r="C2298"/>
          <cell r="D2298"/>
        </row>
        <row r="2299">
          <cell r="B2299"/>
          <cell r="C2299"/>
          <cell r="D2299"/>
        </row>
        <row r="2300">
          <cell r="B2300"/>
          <cell r="C2300"/>
          <cell r="D2300"/>
        </row>
        <row r="2301">
          <cell r="B2301"/>
          <cell r="C2301"/>
          <cell r="D2301"/>
        </row>
        <row r="2302">
          <cell r="B2302"/>
          <cell r="C2302"/>
          <cell r="D2302"/>
        </row>
        <row r="2303">
          <cell r="B2303"/>
          <cell r="C2303"/>
          <cell r="D2303"/>
        </row>
        <row r="2304">
          <cell r="B2304"/>
          <cell r="C2304"/>
          <cell r="D2304"/>
        </row>
        <row r="2305">
          <cell r="B2305"/>
          <cell r="C2305"/>
          <cell r="D2305"/>
        </row>
        <row r="2306">
          <cell r="B2306"/>
          <cell r="C2306"/>
          <cell r="D2306"/>
        </row>
        <row r="2307">
          <cell r="B2307"/>
          <cell r="C2307"/>
          <cell r="D2307"/>
        </row>
        <row r="2308">
          <cell r="B2308"/>
          <cell r="C2308"/>
          <cell r="D2308"/>
        </row>
        <row r="2309">
          <cell r="B2309"/>
          <cell r="C2309"/>
          <cell r="D2309"/>
        </row>
        <row r="2310">
          <cell r="B2310"/>
          <cell r="C2310"/>
          <cell r="D2310"/>
        </row>
        <row r="2311">
          <cell r="B2311"/>
          <cell r="C2311"/>
          <cell r="D2311"/>
        </row>
        <row r="2312">
          <cell r="B2312"/>
          <cell r="C2312"/>
          <cell r="D2312"/>
        </row>
        <row r="2313">
          <cell r="B2313"/>
          <cell r="C2313"/>
          <cell r="D2313"/>
        </row>
        <row r="2314">
          <cell r="B2314"/>
          <cell r="C2314"/>
          <cell r="D2314"/>
        </row>
        <row r="2315">
          <cell r="B2315"/>
          <cell r="C2315"/>
          <cell r="D2315"/>
        </row>
        <row r="2316">
          <cell r="B2316"/>
          <cell r="C2316"/>
          <cell r="D2316"/>
        </row>
        <row r="2317">
          <cell r="B2317"/>
          <cell r="C2317"/>
          <cell r="D2317"/>
        </row>
        <row r="2318">
          <cell r="B2318"/>
          <cell r="C2318"/>
          <cell r="D2318"/>
        </row>
        <row r="2319">
          <cell r="B2319"/>
          <cell r="C2319"/>
          <cell r="D2319"/>
        </row>
        <row r="2320">
          <cell r="B2320"/>
          <cell r="C2320"/>
          <cell r="D2320"/>
        </row>
        <row r="2321">
          <cell r="B2321"/>
          <cell r="C2321"/>
          <cell r="D2321"/>
        </row>
        <row r="2322">
          <cell r="B2322"/>
          <cell r="C2322"/>
          <cell r="D2322"/>
        </row>
        <row r="2323">
          <cell r="B2323"/>
          <cell r="C2323"/>
          <cell r="D2323"/>
        </row>
        <row r="2324">
          <cell r="B2324"/>
          <cell r="C2324"/>
          <cell r="D2324"/>
        </row>
        <row r="2325">
          <cell r="B2325"/>
          <cell r="C2325"/>
          <cell r="D2325"/>
        </row>
        <row r="2326">
          <cell r="B2326"/>
          <cell r="C2326"/>
          <cell r="D2326"/>
        </row>
        <row r="2327">
          <cell r="B2327"/>
          <cell r="C2327"/>
          <cell r="D2327"/>
        </row>
        <row r="2328">
          <cell r="B2328"/>
          <cell r="C2328"/>
          <cell r="D2328"/>
        </row>
        <row r="2329">
          <cell r="B2329"/>
          <cell r="C2329"/>
          <cell r="D2329"/>
        </row>
        <row r="2330">
          <cell r="B2330"/>
          <cell r="C2330"/>
          <cell r="D2330"/>
        </row>
        <row r="2331">
          <cell r="B2331"/>
          <cell r="C2331"/>
          <cell r="D2331"/>
        </row>
        <row r="2332">
          <cell r="B2332"/>
          <cell r="C2332"/>
          <cell r="D2332"/>
        </row>
        <row r="2333">
          <cell r="B2333"/>
          <cell r="C2333"/>
          <cell r="D2333"/>
        </row>
        <row r="2334">
          <cell r="B2334"/>
          <cell r="C2334"/>
          <cell r="D2334"/>
        </row>
        <row r="2335">
          <cell r="B2335"/>
          <cell r="C2335"/>
          <cell r="D2335"/>
        </row>
        <row r="2336">
          <cell r="B2336"/>
          <cell r="C2336"/>
          <cell r="D2336"/>
        </row>
        <row r="2337">
          <cell r="B2337"/>
          <cell r="C2337"/>
          <cell r="D2337"/>
        </row>
        <row r="2338">
          <cell r="B2338"/>
          <cell r="C2338"/>
          <cell r="D2338"/>
        </row>
        <row r="2339">
          <cell r="B2339"/>
          <cell r="C2339"/>
          <cell r="D2339"/>
        </row>
        <row r="2340">
          <cell r="B2340"/>
          <cell r="C2340"/>
          <cell r="D2340"/>
        </row>
        <row r="2341">
          <cell r="B2341"/>
          <cell r="C2341"/>
          <cell r="D2341"/>
        </row>
        <row r="2342">
          <cell r="B2342"/>
          <cell r="C2342"/>
          <cell r="D2342"/>
        </row>
        <row r="2343">
          <cell r="B2343"/>
          <cell r="C2343"/>
          <cell r="D2343"/>
        </row>
        <row r="2344">
          <cell r="B2344"/>
          <cell r="C2344"/>
          <cell r="D2344"/>
        </row>
        <row r="2345">
          <cell r="B2345"/>
          <cell r="C2345"/>
          <cell r="D2345"/>
        </row>
        <row r="2346">
          <cell r="B2346"/>
          <cell r="C2346"/>
          <cell r="D2346"/>
        </row>
        <row r="2347">
          <cell r="B2347"/>
          <cell r="C2347"/>
          <cell r="D2347"/>
        </row>
        <row r="2348">
          <cell r="B2348"/>
          <cell r="C2348"/>
          <cell r="D2348"/>
        </row>
        <row r="2349">
          <cell r="B2349"/>
          <cell r="C2349"/>
          <cell r="D2349"/>
        </row>
        <row r="2350">
          <cell r="B2350"/>
          <cell r="C2350"/>
          <cell r="D2350"/>
        </row>
        <row r="2351">
          <cell r="B2351"/>
          <cell r="C2351"/>
          <cell r="D2351"/>
        </row>
        <row r="2352">
          <cell r="B2352"/>
          <cell r="C2352"/>
          <cell r="D2352"/>
        </row>
        <row r="2353">
          <cell r="B2353"/>
          <cell r="C2353"/>
          <cell r="D2353"/>
        </row>
        <row r="2354">
          <cell r="B2354"/>
          <cell r="C2354"/>
          <cell r="D2354"/>
        </row>
        <row r="2355">
          <cell r="B2355"/>
          <cell r="C2355"/>
          <cell r="D2355"/>
        </row>
        <row r="2356">
          <cell r="B2356"/>
          <cell r="C2356"/>
          <cell r="D2356"/>
        </row>
        <row r="2357">
          <cell r="B2357"/>
          <cell r="C2357"/>
          <cell r="D2357"/>
        </row>
        <row r="2358">
          <cell r="B2358"/>
          <cell r="C2358"/>
          <cell r="D2358"/>
        </row>
        <row r="2359">
          <cell r="B2359"/>
          <cell r="C2359"/>
          <cell r="D2359"/>
        </row>
        <row r="2360">
          <cell r="B2360"/>
          <cell r="C2360"/>
          <cell r="D2360"/>
        </row>
        <row r="2361">
          <cell r="B2361"/>
          <cell r="C2361"/>
          <cell r="D2361"/>
        </row>
        <row r="2362">
          <cell r="B2362"/>
          <cell r="C2362"/>
          <cell r="D2362"/>
        </row>
        <row r="2363">
          <cell r="B2363"/>
          <cell r="C2363"/>
          <cell r="D2363"/>
        </row>
        <row r="2364">
          <cell r="B2364"/>
          <cell r="C2364"/>
          <cell r="D2364"/>
        </row>
        <row r="2365">
          <cell r="B2365"/>
          <cell r="C2365"/>
          <cell r="D2365"/>
        </row>
        <row r="2366">
          <cell r="B2366"/>
          <cell r="C2366"/>
          <cell r="D2366"/>
        </row>
        <row r="2367">
          <cell r="B2367"/>
          <cell r="C2367"/>
          <cell r="D2367"/>
        </row>
        <row r="2368">
          <cell r="B2368"/>
          <cell r="C2368"/>
          <cell r="D2368"/>
        </row>
        <row r="2369">
          <cell r="B2369"/>
          <cell r="C2369"/>
          <cell r="D2369"/>
        </row>
        <row r="2370">
          <cell r="B2370"/>
          <cell r="C2370"/>
          <cell r="D2370"/>
        </row>
        <row r="2371">
          <cell r="B2371"/>
          <cell r="C2371"/>
          <cell r="D2371"/>
        </row>
        <row r="2372">
          <cell r="B2372"/>
          <cell r="C2372"/>
          <cell r="D2372"/>
        </row>
        <row r="2373">
          <cell r="B2373"/>
          <cell r="C2373"/>
          <cell r="D2373"/>
        </row>
        <row r="2374">
          <cell r="B2374"/>
          <cell r="C2374"/>
          <cell r="D2374"/>
        </row>
        <row r="2375">
          <cell r="B2375"/>
          <cell r="C2375"/>
          <cell r="D2375"/>
        </row>
        <row r="2376">
          <cell r="B2376"/>
          <cell r="C2376"/>
          <cell r="D2376"/>
        </row>
        <row r="2377">
          <cell r="B2377"/>
          <cell r="C2377"/>
          <cell r="D2377"/>
        </row>
        <row r="2378">
          <cell r="B2378"/>
          <cell r="C2378"/>
          <cell r="D2378"/>
        </row>
        <row r="2379">
          <cell r="B2379"/>
          <cell r="C2379"/>
          <cell r="D2379"/>
        </row>
        <row r="2380">
          <cell r="B2380"/>
          <cell r="C2380"/>
          <cell r="D2380"/>
        </row>
        <row r="2381">
          <cell r="B2381"/>
          <cell r="C2381"/>
          <cell r="D2381"/>
        </row>
        <row r="2382">
          <cell r="B2382"/>
          <cell r="C2382"/>
          <cell r="D2382"/>
        </row>
        <row r="2383">
          <cell r="B2383"/>
          <cell r="C2383"/>
          <cell r="D2383"/>
        </row>
        <row r="2384">
          <cell r="B2384"/>
          <cell r="C2384"/>
          <cell r="D2384"/>
        </row>
        <row r="2385">
          <cell r="B2385"/>
          <cell r="C2385"/>
          <cell r="D2385"/>
        </row>
        <row r="2386">
          <cell r="B2386"/>
          <cell r="C2386"/>
          <cell r="D2386"/>
        </row>
        <row r="2387">
          <cell r="B2387"/>
          <cell r="C2387"/>
          <cell r="D2387"/>
        </row>
        <row r="2388">
          <cell r="B2388"/>
          <cell r="C2388"/>
          <cell r="D2388"/>
        </row>
        <row r="2389">
          <cell r="B2389"/>
          <cell r="C2389"/>
          <cell r="D2389"/>
        </row>
        <row r="2390">
          <cell r="B2390"/>
          <cell r="C2390"/>
          <cell r="D2390"/>
        </row>
        <row r="2391">
          <cell r="B2391"/>
          <cell r="C2391"/>
          <cell r="D2391"/>
        </row>
        <row r="2392">
          <cell r="B2392"/>
          <cell r="C2392"/>
          <cell r="D2392"/>
        </row>
        <row r="2393">
          <cell r="B2393"/>
          <cell r="C2393"/>
          <cell r="D2393"/>
        </row>
        <row r="2394">
          <cell r="B2394"/>
          <cell r="C2394"/>
          <cell r="D2394"/>
        </row>
        <row r="2395">
          <cell r="B2395"/>
          <cell r="C2395"/>
          <cell r="D2395"/>
        </row>
        <row r="2396">
          <cell r="B2396"/>
          <cell r="C2396"/>
          <cell r="D2396"/>
        </row>
        <row r="2397">
          <cell r="B2397"/>
          <cell r="C2397"/>
          <cell r="D2397"/>
        </row>
        <row r="2398">
          <cell r="B2398"/>
          <cell r="C2398"/>
          <cell r="D2398"/>
        </row>
        <row r="2399">
          <cell r="B2399"/>
          <cell r="C2399"/>
          <cell r="D2399"/>
        </row>
        <row r="2400">
          <cell r="B2400"/>
          <cell r="C2400"/>
          <cell r="D2400"/>
        </row>
        <row r="2401">
          <cell r="B2401"/>
          <cell r="C2401"/>
          <cell r="D2401"/>
        </row>
        <row r="2402">
          <cell r="B2402"/>
          <cell r="C2402"/>
          <cell r="D2402"/>
        </row>
        <row r="2403">
          <cell r="B2403"/>
          <cell r="C2403"/>
          <cell r="D2403"/>
        </row>
        <row r="2404">
          <cell r="B2404"/>
          <cell r="C2404"/>
          <cell r="D2404"/>
        </row>
        <row r="2405">
          <cell r="B2405"/>
          <cell r="C2405"/>
          <cell r="D2405"/>
        </row>
        <row r="2406">
          <cell r="B2406"/>
          <cell r="C2406"/>
          <cell r="D2406"/>
        </row>
        <row r="2407">
          <cell r="B2407"/>
          <cell r="C2407"/>
          <cell r="D2407"/>
        </row>
        <row r="2408">
          <cell r="B2408"/>
          <cell r="C2408"/>
          <cell r="D2408"/>
        </row>
        <row r="2409">
          <cell r="B2409"/>
          <cell r="C2409"/>
          <cell r="D2409"/>
        </row>
        <row r="2410">
          <cell r="B2410"/>
          <cell r="C2410"/>
          <cell r="D2410"/>
        </row>
        <row r="2411">
          <cell r="B2411"/>
          <cell r="C2411"/>
          <cell r="D2411"/>
        </row>
        <row r="2412">
          <cell r="B2412"/>
          <cell r="C2412"/>
          <cell r="D2412"/>
        </row>
        <row r="2413">
          <cell r="B2413"/>
          <cell r="C2413"/>
          <cell r="D2413"/>
        </row>
        <row r="2414">
          <cell r="B2414"/>
          <cell r="C2414"/>
          <cell r="D2414"/>
        </row>
        <row r="2415">
          <cell r="B2415"/>
          <cell r="C2415"/>
          <cell r="D2415"/>
        </row>
        <row r="2416">
          <cell r="B2416"/>
          <cell r="C2416"/>
          <cell r="D2416"/>
        </row>
        <row r="2417">
          <cell r="B2417"/>
          <cell r="C2417"/>
          <cell r="D2417"/>
        </row>
        <row r="2418">
          <cell r="B2418"/>
          <cell r="C2418"/>
          <cell r="D2418"/>
        </row>
        <row r="2419">
          <cell r="B2419"/>
          <cell r="C2419"/>
          <cell r="D2419"/>
        </row>
        <row r="2420">
          <cell r="B2420"/>
          <cell r="C2420"/>
          <cell r="D2420"/>
        </row>
        <row r="2421">
          <cell r="B2421"/>
          <cell r="C2421"/>
          <cell r="D2421"/>
        </row>
        <row r="2422">
          <cell r="B2422"/>
          <cell r="C2422"/>
          <cell r="D2422"/>
        </row>
        <row r="2423">
          <cell r="B2423"/>
          <cell r="C2423"/>
          <cell r="D2423"/>
        </row>
        <row r="2424">
          <cell r="B2424"/>
          <cell r="C2424"/>
          <cell r="D2424"/>
        </row>
        <row r="2425">
          <cell r="B2425"/>
          <cell r="C2425"/>
          <cell r="D2425"/>
        </row>
        <row r="2426">
          <cell r="B2426"/>
          <cell r="C2426"/>
          <cell r="D2426"/>
        </row>
        <row r="2427">
          <cell r="B2427"/>
          <cell r="C2427"/>
          <cell r="D2427"/>
        </row>
        <row r="2428">
          <cell r="B2428"/>
          <cell r="C2428"/>
          <cell r="D2428"/>
        </row>
        <row r="2429">
          <cell r="B2429"/>
          <cell r="C2429"/>
          <cell r="D2429"/>
        </row>
        <row r="2430">
          <cell r="B2430"/>
          <cell r="C2430"/>
          <cell r="D2430"/>
        </row>
        <row r="2431">
          <cell r="B2431"/>
          <cell r="C2431"/>
          <cell r="D2431"/>
        </row>
        <row r="2432">
          <cell r="B2432"/>
          <cell r="C2432"/>
          <cell r="D2432"/>
        </row>
        <row r="2433">
          <cell r="B2433"/>
          <cell r="C2433"/>
          <cell r="D2433"/>
        </row>
        <row r="2434">
          <cell r="B2434"/>
          <cell r="C2434"/>
          <cell r="D2434"/>
        </row>
        <row r="2435">
          <cell r="B2435"/>
          <cell r="C2435"/>
          <cell r="D2435"/>
        </row>
        <row r="2436">
          <cell r="B2436"/>
          <cell r="C2436"/>
          <cell r="D2436"/>
        </row>
        <row r="2437">
          <cell r="B2437"/>
          <cell r="C2437"/>
          <cell r="D2437"/>
        </row>
        <row r="2438">
          <cell r="B2438"/>
          <cell r="C2438"/>
          <cell r="D2438"/>
        </row>
        <row r="2439">
          <cell r="B2439"/>
          <cell r="C2439"/>
          <cell r="D2439"/>
        </row>
        <row r="2440">
          <cell r="B2440"/>
          <cell r="C2440"/>
          <cell r="D2440"/>
        </row>
        <row r="2441">
          <cell r="B2441"/>
          <cell r="C2441"/>
          <cell r="D2441"/>
        </row>
        <row r="2442">
          <cell r="B2442"/>
          <cell r="C2442"/>
          <cell r="D2442"/>
        </row>
        <row r="2443">
          <cell r="B2443"/>
          <cell r="C2443"/>
          <cell r="D2443"/>
        </row>
        <row r="2444">
          <cell r="B2444"/>
          <cell r="C2444"/>
          <cell r="D2444"/>
        </row>
        <row r="2445">
          <cell r="B2445"/>
          <cell r="C2445"/>
          <cell r="D2445"/>
        </row>
        <row r="2446">
          <cell r="B2446"/>
          <cell r="C2446"/>
          <cell r="D2446"/>
        </row>
        <row r="2447">
          <cell r="B2447"/>
          <cell r="C2447"/>
          <cell r="D2447"/>
        </row>
        <row r="2448">
          <cell r="B2448"/>
          <cell r="C2448"/>
          <cell r="D2448"/>
        </row>
        <row r="2449">
          <cell r="B2449"/>
          <cell r="C2449"/>
          <cell r="D2449"/>
        </row>
        <row r="2450">
          <cell r="B2450"/>
          <cell r="C2450"/>
          <cell r="D2450"/>
        </row>
        <row r="2451">
          <cell r="B2451"/>
          <cell r="C2451"/>
          <cell r="D2451"/>
        </row>
        <row r="2452">
          <cell r="B2452"/>
          <cell r="C2452"/>
          <cell r="D2452"/>
        </row>
        <row r="2453">
          <cell r="B2453"/>
          <cell r="C2453"/>
          <cell r="D2453"/>
        </row>
        <row r="2454">
          <cell r="B2454"/>
          <cell r="C2454"/>
          <cell r="D2454"/>
        </row>
        <row r="2455">
          <cell r="B2455"/>
          <cell r="C2455"/>
          <cell r="D2455"/>
        </row>
        <row r="2456">
          <cell r="B2456"/>
          <cell r="C2456"/>
          <cell r="D2456"/>
        </row>
        <row r="2457">
          <cell r="B2457"/>
          <cell r="C2457"/>
          <cell r="D2457"/>
        </row>
        <row r="2458">
          <cell r="B2458"/>
          <cell r="C2458"/>
          <cell r="D2458"/>
        </row>
        <row r="2459">
          <cell r="B2459"/>
          <cell r="C2459"/>
          <cell r="D2459"/>
        </row>
        <row r="2460">
          <cell r="B2460"/>
          <cell r="C2460"/>
          <cell r="D2460"/>
        </row>
        <row r="2461">
          <cell r="B2461"/>
          <cell r="C2461"/>
          <cell r="D2461"/>
        </row>
        <row r="2462">
          <cell r="B2462"/>
          <cell r="C2462"/>
          <cell r="D2462"/>
        </row>
        <row r="2463">
          <cell r="B2463"/>
          <cell r="C2463"/>
          <cell r="D2463"/>
        </row>
        <row r="2464">
          <cell r="B2464"/>
          <cell r="C2464"/>
          <cell r="D2464"/>
        </row>
        <row r="2465">
          <cell r="B2465"/>
          <cell r="C2465"/>
          <cell r="D2465"/>
        </row>
        <row r="2466">
          <cell r="B2466"/>
          <cell r="C2466"/>
          <cell r="D2466"/>
        </row>
        <row r="2467">
          <cell r="B2467"/>
          <cell r="C2467"/>
          <cell r="D2467"/>
        </row>
        <row r="2468">
          <cell r="B2468"/>
          <cell r="C2468"/>
          <cell r="D2468"/>
        </row>
        <row r="2469">
          <cell r="B2469"/>
          <cell r="C2469"/>
          <cell r="D2469"/>
        </row>
        <row r="2470">
          <cell r="B2470"/>
          <cell r="C2470"/>
          <cell r="D2470"/>
        </row>
        <row r="2471">
          <cell r="B2471"/>
          <cell r="C2471"/>
          <cell r="D2471"/>
        </row>
        <row r="2472">
          <cell r="B2472"/>
          <cell r="C2472"/>
          <cell r="D2472"/>
        </row>
        <row r="2473">
          <cell r="B2473"/>
          <cell r="C2473"/>
          <cell r="D2473"/>
        </row>
        <row r="2474">
          <cell r="B2474"/>
          <cell r="C2474"/>
          <cell r="D2474"/>
        </row>
        <row r="2475">
          <cell r="B2475"/>
          <cell r="C2475"/>
          <cell r="D2475"/>
        </row>
        <row r="2476">
          <cell r="B2476"/>
          <cell r="C2476"/>
          <cell r="D2476"/>
        </row>
        <row r="2477">
          <cell r="B2477"/>
          <cell r="C2477"/>
          <cell r="D2477"/>
        </row>
        <row r="2478">
          <cell r="B2478"/>
          <cell r="C2478"/>
          <cell r="D2478"/>
        </row>
        <row r="2479">
          <cell r="B2479"/>
          <cell r="C2479"/>
          <cell r="D2479"/>
        </row>
        <row r="2480">
          <cell r="B2480"/>
          <cell r="C2480"/>
          <cell r="D2480"/>
        </row>
        <row r="2481">
          <cell r="B2481"/>
          <cell r="C2481"/>
          <cell r="D2481"/>
        </row>
        <row r="2482">
          <cell r="B2482"/>
          <cell r="C2482"/>
          <cell r="D2482"/>
        </row>
        <row r="2483">
          <cell r="B2483"/>
          <cell r="C2483"/>
          <cell r="D2483"/>
        </row>
        <row r="2484">
          <cell r="B2484"/>
          <cell r="C2484"/>
          <cell r="D2484"/>
        </row>
        <row r="2485">
          <cell r="B2485"/>
          <cell r="C2485"/>
          <cell r="D2485"/>
        </row>
        <row r="2486">
          <cell r="B2486"/>
          <cell r="C2486"/>
          <cell r="D2486"/>
        </row>
        <row r="2487">
          <cell r="B2487"/>
          <cell r="C2487"/>
          <cell r="D2487"/>
        </row>
        <row r="2488">
          <cell r="B2488"/>
          <cell r="C2488"/>
          <cell r="D2488"/>
        </row>
        <row r="2489">
          <cell r="B2489"/>
          <cell r="C2489"/>
          <cell r="D2489"/>
        </row>
        <row r="2490">
          <cell r="B2490"/>
          <cell r="C2490"/>
          <cell r="D2490"/>
        </row>
        <row r="2491">
          <cell r="B2491"/>
          <cell r="C2491"/>
          <cell r="D2491"/>
        </row>
        <row r="2492">
          <cell r="B2492"/>
          <cell r="C2492"/>
          <cell r="D2492"/>
        </row>
        <row r="2493">
          <cell r="B2493"/>
          <cell r="C2493"/>
          <cell r="D2493"/>
        </row>
        <row r="2494">
          <cell r="B2494"/>
          <cell r="C2494"/>
          <cell r="D2494"/>
        </row>
        <row r="2495">
          <cell r="B2495"/>
          <cell r="C2495"/>
          <cell r="D2495"/>
        </row>
        <row r="2496">
          <cell r="B2496"/>
          <cell r="C2496"/>
          <cell r="D2496"/>
        </row>
        <row r="2497">
          <cell r="B2497"/>
          <cell r="C2497"/>
          <cell r="D2497"/>
        </row>
        <row r="2498">
          <cell r="B2498"/>
          <cell r="C2498"/>
          <cell r="D2498"/>
        </row>
        <row r="2499">
          <cell r="B2499"/>
          <cell r="C2499"/>
          <cell r="D2499"/>
        </row>
        <row r="2500">
          <cell r="B2500"/>
          <cell r="C2500"/>
          <cell r="D2500"/>
        </row>
        <row r="2501">
          <cell r="B2501"/>
          <cell r="C2501"/>
          <cell r="D2501"/>
        </row>
        <row r="2502">
          <cell r="B2502"/>
          <cell r="C2502"/>
          <cell r="D2502"/>
        </row>
        <row r="2503">
          <cell r="B2503"/>
          <cell r="C2503"/>
          <cell r="D2503"/>
        </row>
        <row r="2504">
          <cell r="B2504"/>
          <cell r="C2504"/>
          <cell r="D2504"/>
        </row>
        <row r="2505">
          <cell r="B2505"/>
          <cell r="C2505"/>
          <cell r="D2505"/>
        </row>
        <row r="2506">
          <cell r="B2506"/>
          <cell r="C2506"/>
          <cell r="D2506"/>
        </row>
        <row r="2507">
          <cell r="B2507"/>
          <cell r="C2507"/>
          <cell r="D2507"/>
        </row>
        <row r="2508">
          <cell r="B2508"/>
          <cell r="C2508"/>
          <cell r="D2508"/>
        </row>
        <row r="2509">
          <cell r="B2509"/>
          <cell r="C2509"/>
          <cell r="D2509"/>
        </row>
        <row r="2510">
          <cell r="B2510"/>
          <cell r="C2510"/>
          <cell r="D2510"/>
        </row>
        <row r="2511">
          <cell r="B2511"/>
          <cell r="C2511"/>
          <cell r="D2511"/>
        </row>
        <row r="2512">
          <cell r="B2512"/>
          <cell r="C2512"/>
          <cell r="D2512"/>
        </row>
        <row r="2513">
          <cell r="B2513"/>
          <cell r="C2513"/>
          <cell r="D2513"/>
        </row>
        <row r="2514">
          <cell r="B2514"/>
          <cell r="C2514"/>
          <cell r="D2514"/>
        </row>
        <row r="2515">
          <cell r="B2515"/>
          <cell r="C2515"/>
          <cell r="D2515"/>
        </row>
        <row r="2516">
          <cell r="B2516"/>
          <cell r="C2516"/>
          <cell r="D2516"/>
        </row>
        <row r="2517">
          <cell r="B2517"/>
          <cell r="C2517"/>
          <cell r="D2517"/>
        </row>
        <row r="2518">
          <cell r="B2518"/>
          <cell r="C2518"/>
          <cell r="D2518"/>
        </row>
        <row r="2519">
          <cell r="B2519"/>
          <cell r="C2519"/>
          <cell r="D2519"/>
        </row>
        <row r="2520">
          <cell r="B2520"/>
          <cell r="C2520"/>
          <cell r="D2520"/>
        </row>
        <row r="2521">
          <cell r="B2521"/>
          <cell r="C2521"/>
          <cell r="D2521"/>
        </row>
        <row r="2522">
          <cell r="B2522"/>
          <cell r="C2522"/>
          <cell r="D2522"/>
        </row>
        <row r="2523">
          <cell r="B2523"/>
          <cell r="C2523"/>
          <cell r="D2523"/>
        </row>
        <row r="2524">
          <cell r="B2524"/>
          <cell r="C2524"/>
          <cell r="D2524"/>
        </row>
        <row r="2525">
          <cell r="B2525"/>
          <cell r="C2525"/>
          <cell r="D2525"/>
        </row>
        <row r="2526">
          <cell r="B2526"/>
          <cell r="C2526"/>
          <cell r="D2526"/>
        </row>
        <row r="2527">
          <cell r="B2527"/>
          <cell r="C2527"/>
          <cell r="D2527"/>
        </row>
        <row r="2528">
          <cell r="B2528"/>
          <cell r="C2528"/>
          <cell r="D2528"/>
        </row>
        <row r="2529">
          <cell r="B2529"/>
          <cell r="C2529"/>
          <cell r="D2529"/>
        </row>
        <row r="2530">
          <cell r="B2530"/>
          <cell r="C2530"/>
          <cell r="D2530"/>
        </row>
        <row r="2531">
          <cell r="B2531"/>
          <cell r="C2531"/>
          <cell r="D2531"/>
        </row>
        <row r="2532">
          <cell r="B2532"/>
          <cell r="C2532"/>
          <cell r="D2532"/>
        </row>
        <row r="2533">
          <cell r="B2533"/>
          <cell r="C2533"/>
          <cell r="D2533"/>
        </row>
        <row r="2534">
          <cell r="B2534"/>
          <cell r="C2534"/>
          <cell r="D2534"/>
        </row>
        <row r="2535">
          <cell r="B2535"/>
          <cell r="C2535"/>
          <cell r="D2535"/>
        </row>
        <row r="2536">
          <cell r="B2536"/>
          <cell r="C2536"/>
          <cell r="D2536"/>
        </row>
        <row r="2537">
          <cell r="B2537"/>
          <cell r="C2537"/>
          <cell r="D2537"/>
        </row>
        <row r="2538">
          <cell r="B2538"/>
          <cell r="C2538"/>
          <cell r="D2538"/>
        </row>
        <row r="2539">
          <cell r="B2539"/>
          <cell r="C2539"/>
          <cell r="D2539"/>
        </row>
        <row r="2540">
          <cell r="B2540"/>
          <cell r="C2540"/>
          <cell r="D2540"/>
        </row>
        <row r="2541">
          <cell r="B2541"/>
          <cell r="C2541"/>
          <cell r="D2541"/>
        </row>
        <row r="2542">
          <cell r="B2542"/>
          <cell r="C2542"/>
          <cell r="D2542"/>
        </row>
        <row r="2543">
          <cell r="B2543"/>
          <cell r="C2543"/>
          <cell r="D2543"/>
        </row>
        <row r="2544">
          <cell r="B2544"/>
          <cell r="C2544"/>
          <cell r="D2544"/>
        </row>
        <row r="2545">
          <cell r="B2545"/>
          <cell r="C2545"/>
          <cell r="D2545"/>
        </row>
        <row r="2546">
          <cell r="B2546"/>
          <cell r="C2546"/>
          <cell r="D2546"/>
        </row>
        <row r="2547">
          <cell r="B2547"/>
          <cell r="C2547"/>
          <cell r="D2547"/>
        </row>
        <row r="2548">
          <cell r="B2548"/>
          <cell r="C2548"/>
          <cell r="D2548"/>
        </row>
        <row r="2549">
          <cell r="B2549"/>
          <cell r="C2549"/>
          <cell r="D2549"/>
        </row>
        <row r="2550">
          <cell r="B2550"/>
          <cell r="C2550"/>
          <cell r="D2550"/>
        </row>
        <row r="2551">
          <cell r="B2551"/>
          <cell r="C2551"/>
          <cell r="D2551"/>
        </row>
        <row r="2552">
          <cell r="B2552"/>
          <cell r="C2552"/>
          <cell r="D2552"/>
        </row>
        <row r="2553">
          <cell r="B2553"/>
          <cell r="C2553"/>
          <cell r="D2553"/>
        </row>
        <row r="2554">
          <cell r="B2554"/>
          <cell r="C2554"/>
          <cell r="D2554"/>
        </row>
        <row r="2555">
          <cell r="B2555"/>
          <cell r="C2555"/>
          <cell r="D2555"/>
        </row>
        <row r="2556">
          <cell r="B2556"/>
          <cell r="C2556"/>
          <cell r="D2556"/>
        </row>
        <row r="2557">
          <cell r="B2557"/>
          <cell r="C2557"/>
          <cell r="D2557"/>
        </row>
        <row r="2558">
          <cell r="B2558"/>
          <cell r="C2558"/>
          <cell r="D2558"/>
        </row>
        <row r="2559">
          <cell r="B2559"/>
          <cell r="C2559"/>
          <cell r="D2559"/>
        </row>
        <row r="2560">
          <cell r="B2560"/>
          <cell r="C2560"/>
          <cell r="D2560"/>
        </row>
        <row r="2561">
          <cell r="B2561"/>
          <cell r="C2561"/>
          <cell r="D2561"/>
        </row>
        <row r="2562">
          <cell r="B2562"/>
          <cell r="C2562"/>
          <cell r="D2562"/>
        </row>
        <row r="2563">
          <cell r="B2563"/>
          <cell r="C2563"/>
          <cell r="D2563"/>
        </row>
        <row r="2564">
          <cell r="B2564"/>
          <cell r="C2564"/>
          <cell r="D2564"/>
        </row>
        <row r="2565">
          <cell r="B2565"/>
          <cell r="C2565"/>
          <cell r="D2565"/>
        </row>
        <row r="2566">
          <cell r="B2566"/>
          <cell r="C2566"/>
          <cell r="D2566"/>
        </row>
        <row r="2567">
          <cell r="B2567"/>
          <cell r="C2567"/>
          <cell r="D2567"/>
        </row>
        <row r="2568">
          <cell r="B2568"/>
          <cell r="C2568"/>
          <cell r="D2568"/>
        </row>
        <row r="2569">
          <cell r="B2569"/>
          <cell r="C2569"/>
          <cell r="D2569"/>
        </row>
        <row r="2570">
          <cell r="B2570"/>
          <cell r="C2570"/>
          <cell r="D2570"/>
        </row>
        <row r="2571">
          <cell r="B2571"/>
          <cell r="C2571"/>
          <cell r="D2571"/>
        </row>
        <row r="2572">
          <cell r="B2572"/>
          <cell r="C2572"/>
          <cell r="D2572"/>
        </row>
        <row r="2573">
          <cell r="B2573"/>
          <cell r="C2573"/>
          <cell r="D2573"/>
        </row>
        <row r="2574">
          <cell r="B2574"/>
          <cell r="C2574"/>
          <cell r="D2574"/>
        </row>
        <row r="2575">
          <cell r="B2575"/>
          <cell r="C2575"/>
          <cell r="D2575"/>
        </row>
        <row r="2576">
          <cell r="B2576"/>
          <cell r="C2576"/>
          <cell r="D2576"/>
        </row>
        <row r="2577">
          <cell r="B2577"/>
          <cell r="C2577"/>
          <cell r="D2577"/>
        </row>
        <row r="2578">
          <cell r="B2578"/>
          <cell r="C2578"/>
          <cell r="D2578"/>
        </row>
        <row r="2579">
          <cell r="B2579"/>
          <cell r="C2579"/>
          <cell r="D2579"/>
        </row>
        <row r="2580">
          <cell r="B2580"/>
          <cell r="C2580"/>
          <cell r="D2580"/>
        </row>
        <row r="2581">
          <cell r="B2581"/>
          <cell r="C2581"/>
          <cell r="D2581"/>
        </row>
        <row r="2582">
          <cell r="B2582"/>
          <cell r="C2582"/>
          <cell r="D2582"/>
        </row>
        <row r="2583">
          <cell r="B2583"/>
          <cell r="C2583"/>
          <cell r="D2583"/>
        </row>
        <row r="2584">
          <cell r="B2584"/>
          <cell r="C2584"/>
          <cell r="D2584"/>
        </row>
        <row r="2585">
          <cell r="B2585"/>
          <cell r="C2585"/>
          <cell r="D2585"/>
        </row>
        <row r="2586">
          <cell r="B2586"/>
          <cell r="C2586"/>
          <cell r="D2586"/>
        </row>
        <row r="2587">
          <cell r="B2587"/>
          <cell r="C2587"/>
          <cell r="D2587"/>
        </row>
        <row r="2588">
          <cell r="B2588"/>
          <cell r="C2588"/>
          <cell r="D2588"/>
        </row>
        <row r="2589">
          <cell r="B2589"/>
          <cell r="C2589"/>
          <cell r="D2589"/>
        </row>
        <row r="2590">
          <cell r="B2590"/>
          <cell r="C2590"/>
          <cell r="D2590"/>
        </row>
        <row r="2591">
          <cell r="B2591"/>
          <cell r="C2591"/>
          <cell r="D2591"/>
        </row>
        <row r="2592">
          <cell r="B2592"/>
          <cell r="C2592"/>
          <cell r="D2592"/>
        </row>
        <row r="2593">
          <cell r="B2593"/>
          <cell r="C2593"/>
          <cell r="D2593"/>
        </row>
        <row r="2594">
          <cell r="B2594"/>
          <cell r="C2594"/>
          <cell r="D2594"/>
        </row>
        <row r="2595">
          <cell r="B2595"/>
          <cell r="C2595"/>
          <cell r="D2595"/>
        </row>
        <row r="2596">
          <cell r="B2596"/>
          <cell r="C2596"/>
          <cell r="D2596"/>
        </row>
        <row r="2597">
          <cell r="B2597"/>
          <cell r="C2597"/>
          <cell r="D2597"/>
        </row>
        <row r="2598">
          <cell r="B2598"/>
          <cell r="C2598"/>
          <cell r="D2598"/>
        </row>
        <row r="2599">
          <cell r="B2599"/>
          <cell r="C2599"/>
          <cell r="D2599"/>
        </row>
        <row r="2600">
          <cell r="B2600"/>
          <cell r="C2600"/>
          <cell r="D2600"/>
        </row>
        <row r="2601">
          <cell r="B2601"/>
          <cell r="C2601"/>
          <cell r="D2601"/>
        </row>
        <row r="2602">
          <cell r="B2602"/>
          <cell r="C2602"/>
          <cell r="D2602"/>
        </row>
        <row r="2603">
          <cell r="B2603"/>
          <cell r="C2603"/>
          <cell r="D2603"/>
        </row>
        <row r="2604">
          <cell r="B2604"/>
          <cell r="C2604"/>
          <cell r="D2604"/>
        </row>
        <row r="2605">
          <cell r="B2605"/>
          <cell r="C2605"/>
          <cell r="D2605"/>
        </row>
        <row r="2606">
          <cell r="B2606"/>
          <cell r="C2606"/>
          <cell r="D2606"/>
        </row>
        <row r="2607">
          <cell r="B2607"/>
          <cell r="C2607"/>
          <cell r="D2607"/>
        </row>
        <row r="2608">
          <cell r="B2608"/>
          <cell r="C2608"/>
          <cell r="D2608"/>
        </row>
        <row r="2609">
          <cell r="B2609"/>
          <cell r="C2609"/>
          <cell r="D2609"/>
        </row>
        <row r="2610">
          <cell r="B2610"/>
          <cell r="C2610"/>
          <cell r="D2610"/>
        </row>
        <row r="2611">
          <cell r="B2611"/>
          <cell r="C2611"/>
          <cell r="D2611"/>
        </row>
        <row r="2612">
          <cell r="B2612"/>
          <cell r="C2612"/>
          <cell r="D2612"/>
        </row>
        <row r="2613">
          <cell r="B2613"/>
          <cell r="C2613"/>
          <cell r="D2613"/>
        </row>
        <row r="2614">
          <cell r="B2614"/>
          <cell r="C2614"/>
          <cell r="D2614"/>
        </row>
        <row r="2615">
          <cell r="B2615"/>
          <cell r="C2615"/>
          <cell r="D2615"/>
        </row>
        <row r="2616">
          <cell r="B2616"/>
          <cell r="C2616"/>
          <cell r="D2616"/>
        </row>
        <row r="2617">
          <cell r="B2617"/>
          <cell r="C2617"/>
          <cell r="D2617"/>
        </row>
        <row r="2618">
          <cell r="B2618"/>
          <cell r="C2618"/>
          <cell r="D2618"/>
        </row>
        <row r="2619">
          <cell r="B2619"/>
          <cell r="C2619"/>
          <cell r="D2619"/>
        </row>
        <row r="2620">
          <cell r="B2620"/>
          <cell r="C2620"/>
          <cell r="D2620"/>
        </row>
        <row r="2621">
          <cell r="B2621"/>
          <cell r="C2621"/>
          <cell r="D2621"/>
        </row>
        <row r="2622">
          <cell r="B2622"/>
          <cell r="C2622"/>
          <cell r="D2622"/>
        </row>
        <row r="2623">
          <cell r="B2623"/>
          <cell r="C2623"/>
          <cell r="D2623"/>
        </row>
        <row r="2624">
          <cell r="B2624"/>
          <cell r="C2624"/>
          <cell r="D2624"/>
        </row>
        <row r="2625">
          <cell r="B2625"/>
          <cell r="C2625"/>
          <cell r="D2625"/>
        </row>
        <row r="2626">
          <cell r="B2626"/>
          <cell r="C2626"/>
          <cell r="D2626"/>
        </row>
        <row r="2627">
          <cell r="B2627"/>
          <cell r="C2627"/>
          <cell r="D2627"/>
        </row>
        <row r="2628">
          <cell r="B2628"/>
          <cell r="C2628"/>
          <cell r="D2628"/>
        </row>
        <row r="2629">
          <cell r="B2629"/>
          <cell r="C2629"/>
          <cell r="D2629"/>
        </row>
        <row r="2630">
          <cell r="B2630"/>
          <cell r="C2630"/>
          <cell r="D2630"/>
        </row>
        <row r="2631">
          <cell r="B2631"/>
          <cell r="C2631"/>
          <cell r="D2631"/>
        </row>
        <row r="2632">
          <cell r="B2632"/>
          <cell r="C2632"/>
          <cell r="D2632"/>
        </row>
        <row r="2633">
          <cell r="B2633"/>
          <cell r="C2633"/>
          <cell r="D2633"/>
        </row>
        <row r="2634">
          <cell r="B2634"/>
          <cell r="C2634"/>
          <cell r="D2634"/>
        </row>
        <row r="2635">
          <cell r="B2635"/>
          <cell r="C2635"/>
          <cell r="D2635"/>
        </row>
        <row r="2636">
          <cell r="B2636"/>
          <cell r="C2636"/>
          <cell r="D2636"/>
        </row>
        <row r="2637">
          <cell r="B2637"/>
          <cell r="C2637"/>
          <cell r="D2637"/>
        </row>
        <row r="2638">
          <cell r="B2638"/>
          <cell r="C2638"/>
          <cell r="D2638"/>
        </row>
        <row r="2639">
          <cell r="B2639"/>
          <cell r="C2639"/>
          <cell r="D2639"/>
        </row>
        <row r="2640">
          <cell r="B2640"/>
          <cell r="C2640"/>
          <cell r="D2640"/>
        </row>
        <row r="2641">
          <cell r="B2641"/>
          <cell r="C2641"/>
          <cell r="D2641"/>
        </row>
        <row r="2642">
          <cell r="B2642"/>
          <cell r="C2642"/>
          <cell r="D2642"/>
        </row>
        <row r="2643">
          <cell r="B2643"/>
          <cell r="C2643"/>
          <cell r="D2643"/>
        </row>
        <row r="2644">
          <cell r="B2644"/>
          <cell r="C2644"/>
          <cell r="D2644"/>
        </row>
        <row r="2645">
          <cell r="B2645"/>
          <cell r="C2645"/>
          <cell r="D2645"/>
        </row>
        <row r="2646">
          <cell r="B2646"/>
          <cell r="C2646"/>
          <cell r="D2646"/>
        </row>
        <row r="2647">
          <cell r="B2647"/>
          <cell r="C2647"/>
          <cell r="D2647"/>
        </row>
        <row r="2648">
          <cell r="B2648"/>
          <cell r="C2648"/>
          <cell r="D2648"/>
        </row>
        <row r="2649">
          <cell r="B2649"/>
          <cell r="C2649"/>
          <cell r="D2649"/>
        </row>
        <row r="2650">
          <cell r="B2650"/>
          <cell r="C2650"/>
          <cell r="D2650"/>
        </row>
        <row r="2651">
          <cell r="B2651"/>
          <cell r="C2651"/>
          <cell r="D2651"/>
        </row>
        <row r="2652">
          <cell r="B2652"/>
          <cell r="C2652"/>
          <cell r="D2652"/>
        </row>
        <row r="2653">
          <cell r="B2653"/>
          <cell r="C2653"/>
          <cell r="D2653"/>
        </row>
        <row r="2654">
          <cell r="B2654"/>
          <cell r="C2654"/>
          <cell r="D2654"/>
        </row>
        <row r="2655">
          <cell r="B2655"/>
          <cell r="C2655"/>
          <cell r="D2655"/>
        </row>
        <row r="2656">
          <cell r="B2656"/>
          <cell r="C2656"/>
          <cell r="D2656"/>
        </row>
        <row r="2657">
          <cell r="B2657"/>
          <cell r="C2657"/>
          <cell r="D2657"/>
        </row>
        <row r="2658">
          <cell r="B2658"/>
          <cell r="C2658"/>
          <cell r="D2658"/>
        </row>
        <row r="2659">
          <cell r="B2659"/>
          <cell r="C2659"/>
          <cell r="D2659"/>
        </row>
        <row r="2660">
          <cell r="B2660"/>
          <cell r="C2660"/>
          <cell r="D2660"/>
        </row>
        <row r="2661">
          <cell r="B2661"/>
          <cell r="C2661"/>
          <cell r="D2661"/>
        </row>
        <row r="2662">
          <cell r="B2662"/>
          <cell r="C2662"/>
          <cell r="D2662"/>
        </row>
        <row r="2663">
          <cell r="B2663"/>
          <cell r="C2663"/>
          <cell r="D2663"/>
        </row>
        <row r="2664">
          <cell r="B2664"/>
          <cell r="C2664"/>
          <cell r="D2664"/>
        </row>
        <row r="2665">
          <cell r="B2665"/>
          <cell r="C2665"/>
          <cell r="D2665"/>
        </row>
        <row r="2666">
          <cell r="B2666"/>
          <cell r="C2666"/>
          <cell r="D2666"/>
        </row>
        <row r="2667">
          <cell r="B2667"/>
          <cell r="C2667"/>
          <cell r="D2667"/>
        </row>
        <row r="2668">
          <cell r="B2668"/>
          <cell r="C2668"/>
          <cell r="D2668"/>
        </row>
        <row r="2669">
          <cell r="B2669"/>
          <cell r="C2669"/>
          <cell r="D2669"/>
        </row>
        <row r="2670">
          <cell r="B2670"/>
          <cell r="C2670"/>
          <cell r="D2670"/>
        </row>
        <row r="2671">
          <cell r="B2671"/>
          <cell r="C2671"/>
          <cell r="D2671"/>
        </row>
        <row r="2672">
          <cell r="B2672"/>
          <cell r="C2672"/>
          <cell r="D2672"/>
        </row>
        <row r="2673">
          <cell r="B2673"/>
          <cell r="C2673"/>
          <cell r="D2673"/>
        </row>
        <row r="2674">
          <cell r="B2674"/>
          <cell r="C2674"/>
          <cell r="D2674"/>
        </row>
        <row r="2675">
          <cell r="B2675"/>
          <cell r="C2675"/>
          <cell r="D2675"/>
        </row>
        <row r="2676">
          <cell r="B2676"/>
          <cell r="C2676"/>
          <cell r="D2676"/>
        </row>
        <row r="2677">
          <cell r="B2677"/>
          <cell r="C2677"/>
          <cell r="D2677"/>
        </row>
        <row r="2678">
          <cell r="B2678"/>
          <cell r="C2678"/>
          <cell r="D2678"/>
        </row>
        <row r="2679">
          <cell r="B2679"/>
          <cell r="C2679"/>
          <cell r="D2679"/>
        </row>
        <row r="2680">
          <cell r="B2680"/>
          <cell r="C2680"/>
          <cell r="D2680"/>
        </row>
        <row r="2681">
          <cell r="B2681"/>
          <cell r="C2681"/>
          <cell r="D2681"/>
        </row>
        <row r="2682">
          <cell r="B2682"/>
          <cell r="C2682"/>
          <cell r="D2682"/>
        </row>
        <row r="2683">
          <cell r="B2683"/>
          <cell r="C2683"/>
          <cell r="D2683"/>
        </row>
        <row r="2684">
          <cell r="B2684"/>
          <cell r="C2684"/>
          <cell r="D2684"/>
        </row>
        <row r="2685">
          <cell r="B2685"/>
          <cell r="C2685"/>
          <cell r="D2685"/>
        </row>
        <row r="2686">
          <cell r="B2686"/>
          <cell r="C2686"/>
          <cell r="D2686"/>
        </row>
        <row r="2687">
          <cell r="B2687"/>
          <cell r="C2687"/>
          <cell r="D2687"/>
        </row>
        <row r="2688">
          <cell r="B2688"/>
          <cell r="C2688"/>
          <cell r="D2688"/>
        </row>
        <row r="2689">
          <cell r="B2689"/>
          <cell r="C2689"/>
          <cell r="D2689"/>
        </row>
        <row r="2690">
          <cell r="B2690"/>
          <cell r="C2690"/>
          <cell r="D2690"/>
        </row>
        <row r="2691">
          <cell r="B2691"/>
          <cell r="C2691"/>
          <cell r="D2691"/>
        </row>
        <row r="2692">
          <cell r="B2692"/>
          <cell r="C2692"/>
          <cell r="D2692"/>
        </row>
        <row r="2693">
          <cell r="B2693"/>
          <cell r="C2693"/>
          <cell r="D2693"/>
        </row>
        <row r="2694">
          <cell r="B2694"/>
          <cell r="C2694"/>
          <cell r="D2694"/>
        </row>
        <row r="2695">
          <cell r="B2695"/>
          <cell r="C2695"/>
          <cell r="D2695"/>
        </row>
        <row r="2696">
          <cell r="B2696"/>
          <cell r="C2696"/>
          <cell r="D2696"/>
        </row>
        <row r="2697">
          <cell r="B2697"/>
          <cell r="C2697"/>
          <cell r="D2697"/>
        </row>
        <row r="2698">
          <cell r="B2698"/>
          <cell r="C2698"/>
          <cell r="D2698"/>
        </row>
        <row r="2699">
          <cell r="B2699"/>
          <cell r="C2699"/>
          <cell r="D2699"/>
        </row>
        <row r="2700">
          <cell r="B2700"/>
          <cell r="C2700"/>
          <cell r="D2700"/>
        </row>
        <row r="2701">
          <cell r="B2701"/>
          <cell r="C2701"/>
          <cell r="D2701"/>
        </row>
        <row r="2702">
          <cell r="B2702"/>
          <cell r="C2702"/>
          <cell r="D2702"/>
        </row>
        <row r="2703">
          <cell r="B2703"/>
          <cell r="C2703"/>
          <cell r="D2703"/>
        </row>
        <row r="2704">
          <cell r="B2704"/>
          <cell r="C2704"/>
          <cell r="D2704"/>
        </row>
        <row r="2705">
          <cell r="B2705"/>
          <cell r="C2705"/>
          <cell r="D2705"/>
        </row>
        <row r="2706">
          <cell r="B2706"/>
          <cell r="C2706"/>
          <cell r="D2706"/>
        </row>
        <row r="2707">
          <cell r="B2707"/>
          <cell r="C2707"/>
          <cell r="D2707"/>
        </row>
        <row r="2708">
          <cell r="B2708"/>
          <cell r="C2708"/>
          <cell r="D2708"/>
        </row>
        <row r="2709">
          <cell r="B2709"/>
          <cell r="C2709"/>
          <cell r="D2709"/>
        </row>
        <row r="2710">
          <cell r="B2710"/>
          <cell r="C2710"/>
          <cell r="D2710"/>
        </row>
        <row r="2711">
          <cell r="B2711"/>
          <cell r="C2711"/>
          <cell r="D2711"/>
        </row>
        <row r="2712">
          <cell r="B2712"/>
          <cell r="C2712"/>
          <cell r="D2712"/>
        </row>
        <row r="2713">
          <cell r="B2713"/>
          <cell r="C2713"/>
          <cell r="D2713"/>
        </row>
        <row r="2714">
          <cell r="B2714"/>
          <cell r="C2714"/>
          <cell r="D2714"/>
        </row>
        <row r="2715">
          <cell r="B2715"/>
          <cell r="C2715"/>
          <cell r="D2715"/>
        </row>
        <row r="2716">
          <cell r="B2716"/>
          <cell r="C2716"/>
          <cell r="D2716"/>
        </row>
        <row r="2717">
          <cell r="B2717"/>
          <cell r="C2717"/>
          <cell r="D2717"/>
        </row>
        <row r="2718">
          <cell r="B2718"/>
          <cell r="C2718"/>
          <cell r="D2718"/>
        </row>
        <row r="2719">
          <cell r="B2719"/>
          <cell r="C2719"/>
          <cell r="D2719"/>
        </row>
        <row r="2720">
          <cell r="B2720"/>
          <cell r="C2720"/>
          <cell r="D2720"/>
        </row>
        <row r="2721">
          <cell r="B2721"/>
          <cell r="C2721"/>
          <cell r="D2721"/>
        </row>
        <row r="2722">
          <cell r="B2722"/>
          <cell r="C2722"/>
          <cell r="D2722"/>
        </row>
        <row r="2723">
          <cell r="B2723"/>
          <cell r="C2723"/>
          <cell r="D2723"/>
        </row>
        <row r="2724">
          <cell r="B2724"/>
          <cell r="C2724"/>
          <cell r="D2724"/>
        </row>
        <row r="2725">
          <cell r="B2725"/>
          <cell r="C2725"/>
          <cell r="D2725"/>
        </row>
        <row r="2726">
          <cell r="B2726"/>
          <cell r="C2726"/>
          <cell r="D2726"/>
        </row>
        <row r="2727">
          <cell r="B2727"/>
          <cell r="C2727"/>
          <cell r="D2727"/>
        </row>
        <row r="2728">
          <cell r="B2728"/>
          <cell r="C2728"/>
          <cell r="D2728"/>
        </row>
        <row r="2729">
          <cell r="B2729"/>
          <cell r="C2729"/>
          <cell r="D2729"/>
        </row>
        <row r="2730">
          <cell r="B2730"/>
          <cell r="C2730"/>
          <cell r="D2730"/>
        </row>
        <row r="2731">
          <cell r="B2731"/>
          <cell r="C2731"/>
          <cell r="D2731"/>
        </row>
        <row r="2732">
          <cell r="B2732"/>
          <cell r="C2732"/>
          <cell r="D2732"/>
        </row>
        <row r="2733">
          <cell r="B2733"/>
          <cell r="C2733"/>
          <cell r="D2733"/>
        </row>
        <row r="2734">
          <cell r="B2734"/>
          <cell r="C2734"/>
          <cell r="D2734"/>
        </row>
        <row r="2735">
          <cell r="B2735"/>
          <cell r="C2735"/>
          <cell r="D2735"/>
        </row>
        <row r="2736">
          <cell r="B2736"/>
          <cell r="C2736"/>
          <cell r="D2736"/>
        </row>
        <row r="2737">
          <cell r="B2737"/>
          <cell r="C2737"/>
          <cell r="D2737"/>
        </row>
        <row r="2738">
          <cell r="B2738"/>
          <cell r="C2738"/>
          <cell r="D2738"/>
        </row>
        <row r="2739">
          <cell r="B2739"/>
          <cell r="C2739"/>
          <cell r="D2739"/>
        </row>
        <row r="2740">
          <cell r="B2740"/>
          <cell r="C2740"/>
          <cell r="D2740"/>
        </row>
        <row r="2741">
          <cell r="B2741"/>
          <cell r="C2741"/>
          <cell r="D2741"/>
        </row>
        <row r="2742">
          <cell r="B2742"/>
          <cell r="C2742"/>
          <cell r="D2742"/>
        </row>
        <row r="2743">
          <cell r="B2743"/>
          <cell r="C2743"/>
          <cell r="D2743"/>
        </row>
        <row r="2744">
          <cell r="B2744"/>
          <cell r="C2744"/>
          <cell r="D2744"/>
        </row>
        <row r="2745">
          <cell r="B2745"/>
          <cell r="C2745"/>
          <cell r="D2745"/>
        </row>
        <row r="2746">
          <cell r="B2746"/>
          <cell r="C2746"/>
          <cell r="D2746"/>
        </row>
        <row r="2747">
          <cell r="B2747"/>
          <cell r="C2747"/>
          <cell r="D2747"/>
        </row>
        <row r="2748">
          <cell r="B2748"/>
          <cell r="C2748"/>
          <cell r="D2748"/>
        </row>
        <row r="2749">
          <cell r="B2749"/>
          <cell r="C2749"/>
          <cell r="D2749"/>
        </row>
        <row r="2750">
          <cell r="B2750"/>
          <cell r="C2750"/>
          <cell r="D2750"/>
        </row>
        <row r="2751">
          <cell r="B2751"/>
          <cell r="C2751"/>
          <cell r="D2751"/>
        </row>
        <row r="2752">
          <cell r="B2752"/>
          <cell r="C2752"/>
          <cell r="D2752"/>
        </row>
        <row r="2753">
          <cell r="B2753"/>
          <cell r="C2753"/>
          <cell r="D2753"/>
        </row>
        <row r="2754">
          <cell r="B2754"/>
          <cell r="C2754"/>
          <cell r="D2754"/>
        </row>
        <row r="2755">
          <cell r="B2755"/>
          <cell r="C2755"/>
          <cell r="D2755"/>
        </row>
        <row r="2756">
          <cell r="B2756"/>
          <cell r="C2756"/>
          <cell r="D2756"/>
        </row>
        <row r="2757">
          <cell r="B2757"/>
          <cell r="C2757"/>
          <cell r="D2757"/>
        </row>
        <row r="2758">
          <cell r="B2758"/>
          <cell r="C2758"/>
          <cell r="D2758"/>
        </row>
        <row r="2759">
          <cell r="B2759"/>
          <cell r="C2759"/>
          <cell r="D2759"/>
        </row>
        <row r="2760">
          <cell r="B2760"/>
          <cell r="C2760"/>
          <cell r="D2760"/>
        </row>
        <row r="2761">
          <cell r="B2761"/>
          <cell r="C2761"/>
          <cell r="D2761"/>
        </row>
        <row r="2762">
          <cell r="B2762"/>
          <cell r="C2762"/>
          <cell r="D2762"/>
        </row>
        <row r="2763">
          <cell r="B2763"/>
          <cell r="C2763"/>
          <cell r="D2763"/>
        </row>
        <row r="2764">
          <cell r="B2764"/>
          <cell r="C2764"/>
          <cell r="D2764"/>
        </row>
        <row r="2765">
          <cell r="B2765"/>
          <cell r="C2765"/>
          <cell r="D2765"/>
        </row>
        <row r="2766">
          <cell r="B2766"/>
          <cell r="C2766"/>
          <cell r="D2766"/>
        </row>
        <row r="2767">
          <cell r="B2767"/>
          <cell r="C2767"/>
          <cell r="D2767"/>
        </row>
        <row r="2768">
          <cell r="B2768"/>
          <cell r="C2768"/>
          <cell r="D2768"/>
        </row>
        <row r="2769">
          <cell r="B2769"/>
          <cell r="C2769"/>
          <cell r="D2769"/>
        </row>
        <row r="2770">
          <cell r="B2770"/>
          <cell r="C2770"/>
          <cell r="D2770"/>
        </row>
        <row r="2771">
          <cell r="B2771"/>
          <cell r="C2771"/>
          <cell r="D2771"/>
        </row>
        <row r="2772">
          <cell r="B2772"/>
          <cell r="C2772"/>
          <cell r="D2772"/>
        </row>
        <row r="2773">
          <cell r="B2773"/>
          <cell r="C2773"/>
          <cell r="D2773"/>
        </row>
        <row r="2774">
          <cell r="B2774"/>
          <cell r="C2774"/>
          <cell r="D2774"/>
        </row>
        <row r="2775">
          <cell r="B2775"/>
          <cell r="C2775"/>
          <cell r="D2775"/>
        </row>
        <row r="2776">
          <cell r="B2776"/>
          <cell r="C2776"/>
          <cell r="D2776"/>
        </row>
        <row r="2777">
          <cell r="B2777"/>
          <cell r="C2777"/>
          <cell r="D2777"/>
        </row>
        <row r="2778">
          <cell r="B2778"/>
          <cell r="C2778"/>
          <cell r="D2778"/>
        </row>
        <row r="2779">
          <cell r="B2779"/>
          <cell r="C2779"/>
          <cell r="D2779"/>
        </row>
        <row r="2780">
          <cell r="B2780"/>
          <cell r="C2780"/>
          <cell r="D2780"/>
        </row>
        <row r="2781">
          <cell r="B2781"/>
          <cell r="C2781"/>
          <cell r="D2781"/>
        </row>
        <row r="2782">
          <cell r="B2782"/>
          <cell r="C2782"/>
          <cell r="D2782"/>
        </row>
        <row r="2783">
          <cell r="B2783"/>
          <cell r="C2783"/>
          <cell r="D2783"/>
        </row>
        <row r="2784">
          <cell r="B2784"/>
          <cell r="C2784"/>
          <cell r="D2784"/>
        </row>
        <row r="2785">
          <cell r="B2785"/>
          <cell r="C2785"/>
          <cell r="D2785"/>
        </row>
        <row r="2786">
          <cell r="B2786"/>
          <cell r="C2786"/>
          <cell r="D2786"/>
        </row>
        <row r="2787">
          <cell r="B2787"/>
          <cell r="C2787"/>
          <cell r="D2787"/>
        </row>
        <row r="2788">
          <cell r="B2788"/>
          <cell r="C2788"/>
          <cell r="D2788"/>
        </row>
        <row r="2789">
          <cell r="B2789"/>
          <cell r="C2789"/>
          <cell r="D2789"/>
        </row>
        <row r="2790">
          <cell r="B2790"/>
          <cell r="C2790"/>
          <cell r="D2790"/>
        </row>
        <row r="2791">
          <cell r="B2791"/>
          <cell r="C2791"/>
          <cell r="D2791"/>
        </row>
        <row r="2792">
          <cell r="B2792"/>
          <cell r="C2792"/>
          <cell r="D2792"/>
        </row>
        <row r="2793">
          <cell r="B2793"/>
          <cell r="C2793"/>
          <cell r="D2793"/>
        </row>
        <row r="2794">
          <cell r="B2794"/>
          <cell r="C2794"/>
          <cell r="D2794"/>
        </row>
        <row r="2795">
          <cell r="B2795"/>
          <cell r="C2795"/>
          <cell r="D2795"/>
        </row>
        <row r="2796">
          <cell r="B2796"/>
          <cell r="C2796"/>
          <cell r="D2796"/>
        </row>
        <row r="2797">
          <cell r="B2797"/>
          <cell r="C2797"/>
          <cell r="D2797"/>
        </row>
        <row r="2798">
          <cell r="B2798"/>
          <cell r="C2798"/>
          <cell r="D2798"/>
        </row>
        <row r="2799">
          <cell r="B2799"/>
          <cell r="C2799"/>
          <cell r="D2799"/>
        </row>
        <row r="2800">
          <cell r="B2800"/>
          <cell r="C2800"/>
          <cell r="D2800"/>
        </row>
        <row r="2801">
          <cell r="B2801"/>
          <cell r="C2801"/>
          <cell r="D2801"/>
        </row>
        <row r="2802">
          <cell r="B2802"/>
          <cell r="C2802"/>
          <cell r="D2802"/>
        </row>
        <row r="2803">
          <cell r="B2803"/>
          <cell r="C2803"/>
          <cell r="D2803"/>
        </row>
        <row r="2804">
          <cell r="B2804"/>
          <cell r="C2804"/>
          <cell r="D2804"/>
        </row>
        <row r="2805">
          <cell r="B2805"/>
          <cell r="C2805"/>
          <cell r="D2805"/>
        </row>
        <row r="2806">
          <cell r="B2806"/>
          <cell r="C2806"/>
          <cell r="D2806"/>
        </row>
        <row r="2807">
          <cell r="B2807"/>
          <cell r="C2807"/>
          <cell r="D2807"/>
        </row>
        <row r="2808">
          <cell r="B2808"/>
          <cell r="C2808"/>
          <cell r="D2808"/>
        </row>
        <row r="2809">
          <cell r="B2809"/>
          <cell r="C2809"/>
          <cell r="D2809"/>
        </row>
        <row r="2810">
          <cell r="B2810"/>
          <cell r="C2810"/>
          <cell r="D2810"/>
        </row>
        <row r="2811">
          <cell r="B2811"/>
          <cell r="C2811"/>
          <cell r="D2811"/>
        </row>
        <row r="2812">
          <cell r="B2812"/>
          <cell r="C2812"/>
          <cell r="D2812"/>
        </row>
        <row r="2813">
          <cell r="B2813"/>
          <cell r="C2813"/>
          <cell r="D2813"/>
        </row>
        <row r="2814">
          <cell r="B2814"/>
          <cell r="C2814"/>
          <cell r="D2814"/>
        </row>
        <row r="2815">
          <cell r="B2815"/>
          <cell r="C2815"/>
          <cell r="D2815"/>
        </row>
        <row r="2816">
          <cell r="B2816"/>
          <cell r="C2816"/>
          <cell r="D2816"/>
        </row>
        <row r="2817">
          <cell r="B2817"/>
          <cell r="C2817"/>
          <cell r="D2817"/>
        </row>
        <row r="2818">
          <cell r="B2818"/>
          <cell r="C2818"/>
          <cell r="D2818"/>
        </row>
        <row r="2819">
          <cell r="B2819"/>
          <cell r="C2819"/>
          <cell r="D2819"/>
        </row>
        <row r="2820">
          <cell r="B2820"/>
          <cell r="C2820"/>
          <cell r="D2820"/>
        </row>
        <row r="2821">
          <cell r="B2821"/>
          <cell r="C2821"/>
          <cell r="D2821"/>
        </row>
        <row r="2822">
          <cell r="B2822"/>
          <cell r="C2822"/>
          <cell r="D2822"/>
        </row>
        <row r="2823">
          <cell r="B2823"/>
          <cell r="C2823"/>
          <cell r="D2823"/>
        </row>
        <row r="2824">
          <cell r="B2824"/>
          <cell r="C2824"/>
          <cell r="D2824"/>
        </row>
        <row r="2825">
          <cell r="B2825"/>
          <cell r="C2825"/>
          <cell r="D2825"/>
        </row>
        <row r="2826">
          <cell r="B2826"/>
          <cell r="C2826"/>
          <cell r="D2826"/>
        </row>
        <row r="2827">
          <cell r="B2827"/>
          <cell r="C2827"/>
          <cell r="D2827"/>
        </row>
        <row r="2828">
          <cell r="B2828"/>
          <cell r="C2828"/>
          <cell r="D2828"/>
        </row>
        <row r="2829">
          <cell r="B2829"/>
          <cell r="C2829"/>
          <cell r="D2829"/>
        </row>
        <row r="2830">
          <cell r="B2830"/>
          <cell r="C2830"/>
          <cell r="D2830"/>
        </row>
        <row r="2831">
          <cell r="B2831"/>
          <cell r="C2831"/>
          <cell r="D2831"/>
        </row>
        <row r="2832">
          <cell r="B2832"/>
          <cell r="C2832"/>
          <cell r="D2832"/>
        </row>
        <row r="2833">
          <cell r="B2833"/>
          <cell r="C2833"/>
          <cell r="D2833"/>
        </row>
        <row r="2834">
          <cell r="B2834"/>
          <cell r="C2834"/>
          <cell r="D2834"/>
        </row>
        <row r="2835">
          <cell r="B2835"/>
          <cell r="C2835"/>
          <cell r="D2835"/>
        </row>
        <row r="2836">
          <cell r="B2836"/>
          <cell r="C2836"/>
          <cell r="D2836"/>
        </row>
        <row r="2837">
          <cell r="B2837"/>
          <cell r="C2837"/>
          <cell r="D2837"/>
        </row>
        <row r="2838">
          <cell r="B2838"/>
          <cell r="C2838"/>
          <cell r="D2838"/>
        </row>
        <row r="2839">
          <cell r="B2839"/>
          <cell r="C2839"/>
          <cell r="D2839"/>
        </row>
        <row r="2840">
          <cell r="B2840"/>
          <cell r="C2840"/>
          <cell r="D2840"/>
        </row>
        <row r="2841">
          <cell r="B2841"/>
          <cell r="C2841"/>
          <cell r="D2841"/>
        </row>
        <row r="2842">
          <cell r="B2842"/>
          <cell r="C2842"/>
          <cell r="D2842"/>
        </row>
        <row r="2843">
          <cell r="B2843"/>
          <cell r="C2843"/>
          <cell r="D2843"/>
        </row>
        <row r="2844">
          <cell r="B2844"/>
          <cell r="C2844"/>
          <cell r="D2844"/>
        </row>
        <row r="2845">
          <cell r="B2845"/>
          <cell r="C2845"/>
          <cell r="D2845"/>
        </row>
        <row r="2846">
          <cell r="B2846"/>
          <cell r="C2846"/>
          <cell r="D2846"/>
        </row>
        <row r="2847">
          <cell r="B2847"/>
          <cell r="C2847"/>
          <cell r="D2847"/>
        </row>
        <row r="2848">
          <cell r="B2848"/>
          <cell r="C2848"/>
          <cell r="D2848"/>
        </row>
        <row r="2849">
          <cell r="B2849"/>
          <cell r="C2849"/>
          <cell r="D2849"/>
        </row>
        <row r="2850">
          <cell r="B2850"/>
          <cell r="C2850"/>
          <cell r="D2850"/>
        </row>
        <row r="2851">
          <cell r="B2851"/>
          <cell r="C2851"/>
          <cell r="D2851"/>
        </row>
        <row r="2852">
          <cell r="B2852"/>
          <cell r="C2852"/>
          <cell r="D2852"/>
        </row>
        <row r="2853">
          <cell r="B2853"/>
          <cell r="C2853"/>
          <cell r="D2853"/>
        </row>
        <row r="2854">
          <cell r="B2854"/>
          <cell r="C2854"/>
          <cell r="D2854"/>
        </row>
        <row r="2855">
          <cell r="B2855"/>
          <cell r="C2855"/>
          <cell r="D2855"/>
        </row>
        <row r="2856">
          <cell r="B2856"/>
          <cell r="C2856"/>
          <cell r="D2856"/>
        </row>
        <row r="2857">
          <cell r="B2857"/>
          <cell r="C2857"/>
          <cell r="D2857"/>
        </row>
        <row r="2858">
          <cell r="B2858"/>
          <cell r="C2858"/>
          <cell r="D2858"/>
        </row>
        <row r="2859">
          <cell r="B2859"/>
          <cell r="C2859"/>
          <cell r="D2859"/>
        </row>
        <row r="2860">
          <cell r="B2860"/>
          <cell r="C2860"/>
          <cell r="D2860"/>
        </row>
        <row r="2861">
          <cell r="B2861"/>
          <cell r="C2861"/>
          <cell r="D2861"/>
        </row>
        <row r="2862">
          <cell r="B2862"/>
          <cell r="C2862"/>
          <cell r="D2862"/>
        </row>
        <row r="2863">
          <cell r="B2863"/>
          <cell r="C2863"/>
          <cell r="D2863"/>
        </row>
        <row r="2864">
          <cell r="B2864"/>
          <cell r="C2864"/>
          <cell r="D2864"/>
        </row>
        <row r="2865">
          <cell r="B2865"/>
          <cell r="C2865"/>
          <cell r="D2865"/>
        </row>
        <row r="2866">
          <cell r="B2866"/>
          <cell r="C2866"/>
          <cell r="D2866"/>
        </row>
        <row r="2867">
          <cell r="B2867"/>
          <cell r="C2867"/>
          <cell r="D2867"/>
        </row>
        <row r="2868">
          <cell r="B2868"/>
          <cell r="C2868"/>
          <cell r="D2868"/>
        </row>
        <row r="2869">
          <cell r="B2869"/>
          <cell r="C2869"/>
          <cell r="D2869"/>
        </row>
        <row r="2870">
          <cell r="B2870"/>
          <cell r="C2870"/>
          <cell r="D2870"/>
        </row>
        <row r="2871">
          <cell r="B2871"/>
          <cell r="C2871"/>
          <cell r="D2871"/>
        </row>
        <row r="2872">
          <cell r="B2872"/>
          <cell r="C2872"/>
          <cell r="D2872"/>
        </row>
        <row r="2873">
          <cell r="B2873"/>
          <cell r="C2873"/>
          <cell r="D2873"/>
        </row>
        <row r="2874">
          <cell r="B2874"/>
          <cell r="C2874"/>
          <cell r="D2874"/>
        </row>
        <row r="2875">
          <cell r="B2875"/>
          <cell r="C2875"/>
          <cell r="D2875"/>
        </row>
        <row r="2876">
          <cell r="B2876"/>
          <cell r="C2876"/>
          <cell r="D2876"/>
        </row>
        <row r="2877">
          <cell r="B2877"/>
          <cell r="C2877"/>
          <cell r="D2877"/>
        </row>
        <row r="2878">
          <cell r="B2878"/>
          <cell r="C2878"/>
          <cell r="D2878"/>
        </row>
        <row r="2879">
          <cell r="B2879"/>
          <cell r="C2879"/>
          <cell r="D2879"/>
        </row>
        <row r="2880">
          <cell r="B2880"/>
          <cell r="C2880"/>
          <cell r="D2880"/>
        </row>
        <row r="2881">
          <cell r="B2881"/>
          <cell r="C2881"/>
          <cell r="D2881"/>
        </row>
        <row r="2882">
          <cell r="B2882"/>
          <cell r="C2882"/>
          <cell r="D2882"/>
        </row>
        <row r="2883">
          <cell r="B2883"/>
          <cell r="C2883"/>
          <cell r="D2883"/>
        </row>
        <row r="2884">
          <cell r="B2884"/>
          <cell r="C2884"/>
          <cell r="D2884"/>
        </row>
        <row r="2885">
          <cell r="B2885"/>
          <cell r="C2885"/>
          <cell r="D2885"/>
        </row>
        <row r="2886">
          <cell r="B2886"/>
          <cell r="C2886"/>
          <cell r="D2886"/>
        </row>
        <row r="2887">
          <cell r="B2887"/>
          <cell r="C2887"/>
          <cell r="D2887"/>
        </row>
        <row r="2888">
          <cell r="B2888"/>
          <cell r="C2888"/>
          <cell r="D2888"/>
        </row>
        <row r="2889">
          <cell r="B2889"/>
          <cell r="C2889"/>
          <cell r="D2889"/>
        </row>
        <row r="2890">
          <cell r="B2890"/>
          <cell r="C2890"/>
          <cell r="D2890"/>
        </row>
        <row r="2891">
          <cell r="B2891"/>
          <cell r="C2891"/>
          <cell r="D2891"/>
        </row>
        <row r="2892">
          <cell r="B2892"/>
          <cell r="C2892"/>
          <cell r="D2892"/>
        </row>
        <row r="2893">
          <cell r="B2893"/>
          <cell r="C2893"/>
          <cell r="D2893"/>
        </row>
        <row r="2894">
          <cell r="B2894"/>
          <cell r="C2894"/>
          <cell r="D2894"/>
        </row>
        <row r="2895">
          <cell r="B2895"/>
          <cell r="C2895"/>
          <cell r="D2895"/>
        </row>
        <row r="2896">
          <cell r="B2896"/>
          <cell r="C2896"/>
          <cell r="D2896"/>
        </row>
        <row r="2897">
          <cell r="B2897"/>
          <cell r="C2897"/>
          <cell r="D2897"/>
        </row>
        <row r="2898">
          <cell r="B2898"/>
          <cell r="C2898"/>
          <cell r="D2898"/>
        </row>
        <row r="2899">
          <cell r="B2899"/>
          <cell r="C2899"/>
          <cell r="D2899"/>
        </row>
        <row r="2900">
          <cell r="B2900"/>
          <cell r="C2900"/>
          <cell r="D2900"/>
        </row>
        <row r="2901">
          <cell r="B2901"/>
          <cell r="C2901"/>
          <cell r="D2901"/>
        </row>
        <row r="2902">
          <cell r="B2902"/>
          <cell r="C2902"/>
          <cell r="D2902"/>
        </row>
        <row r="2903">
          <cell r="B2903"/>
          <cell r="C2903"/>
          <cell r="D2903"/>
        </row>
        <row r="2904">
          <cell r="B2904"/>
          <cell r="C2904"/>
          <cell r="D2904"/>
        </row>
        <row r="2905">
          <cell r="B2905"/>
          <cell r="C2905"/>
          <cell r="D2905"/>
        </row>
        <row r="2906">
          <cell r="B2906"/>
          <cell r="C2906"/>
          <cell r="D2906"/>
        </row>
        <row r="2907">
          <cell r="B2907"/>
          <cell r="C2907"/>
          <cell r="D2907"/>
        </row>
        <row r="2908">
          <cell r="B2908"/>
          <cell r="C2908"/>
          <cell r="D2908"/>
        </row>
        <row r="2909">
          <cell r="B2909"/>
          <cell r="C2909"/>
          <cell r="D2909"/>
        </row>
        <row r="2910">
          <cell r="B2910"/>
          <cell r="C2910"/>
          <cell r="D2910"/>
        </row>
        <row r="2911">
          <cell r="B2911"/>
          <cell r="C2911"/>
          <cell r="D2911"/>
        </row>
        <row r="2912">
          <cell r="B2912"/>
          <cell r="C2912"/>
          <cell r="D2912"/>
        </row>
        <row r="2913">
          <cell r="B2913"/>
          <cell r="C2913"/>
          <cell r="D2913"/>
        </row>
        <row r="2914">
          <cell r="B2914"/>
          <cell r="C2914"/>
          <cell r="D2914"/>
        </row>
        <row r="2915">
          <cell r="B2915"/>
          <cell r="C2915"/>
          <cell r="D2915"/>
        </row>
        <row r="2916">
          <cell r="B2916"/>
          <cell r="C2916"/>
          <cell r="D2916"/>
        </row>
        <row r="2917">
          <cell r="B2917"/>
          <cell r="C2917"/>
          <cell r="D2917"/>
        </row>
        <row r="2918">
          <cell r="B2918"/>
          <cell r="C2918"/>
          <cell r="D2918"/>
        </row>
        <row r="2919">
          <cell r="B2919"/>
          <cell r="C2919"/>
          <cell r="D2919"/>
        </row>
        <row r="2920">
          <cell r="B2920"/>
          <cell r="C2920"/>
          <cell r="D2920"/>
        </row>
        <row r="2921">
          <cell r="B2921"/>
          <cell r="C2921"/>
          <cell r="D2921"/>
        </row>
        <row r="2922">
          <cell r="B2922"/>
          <cell r="C2922"/>
          <cell r="D2922"/>
        </row>
        <row r="2923">
          <cell r="B2923"/>
          <cell r="C2923"/>
          <cell r="D2923"/>
        </row>
        <row r="2924">
          <cell r="B2924"/>
          <cell r="C2924"/>
          <cell r="D2924"/>
        </row>
        <row r="2925">
          <cell r="B2925"/>
          <cell r="C2925"/>
          <cell r="D2925"/>
        </row>
        <row r="2926">
          <cell r="B2926"/>
          <cell r="C2926"/>
          <cell r="D2926"/>
        </row>
        <row r="2927">
          <cell r="B2927"/>
          <cell r="C2927"/>
          <cell r="D2927"/>
        </row>
        <row r="2928">
          <cell r="B2928"/>
          <cell r="C2928"/>
          <cell r="D2928"/>
        </row>
        <row r="2929">
          <cell r="B2929"/>
          <cell r="C2929"/>
          <cell r="D2929"/>
        </row>
        <row r="2930">
          <cell r="B2930"/>
          <cell r="C2930"/>
          <cell r="D2930"/>
        </row>
        <row r="2931">
          <cell r="B2931"/>
          <cell r="C2931"/>
          <cell r="D2931"/>
        </row>
        <row r="2932">
          <cell r="B2932"/>
          <cell r="C2932"/>
          <cell r="D2932"/>
        </row>
        <row r="2933">
          <cell r="B2933"/>
          <cell r="C2933"/>
          <cell r="D2933"/>
        </row>
        <row r="2934">
          <cell r="B2934"/>
          <cell r="C2934"/>
          <cell r="D2934"/>
        </row>
        <row r="2935">
          <cell r="B2935"/>
          <cell r="C2935"/>
          <cell r="D2935"/>
        </row>
        <row r="2936">
          <cell r="B2936"/>
          <cell r="C2936"/>
          <cell r="D2936"/>
        </row>
        <row r="2937">
          <cell r="B2937"/>
          <cell r="C2937"/>
          <cell r="D2937"/>
        </row>
        <row r="2938">
          <cell r="B2938"/>
          <cell r="C2938"/>
          <cell r="D2938"/>
        </row>
        <row r="2939">
          <cell r="B2939"/>
          <cell r="C2939"/>
          <cell r="D2939"/>
        </row>
        <row r="2940">
          <cell r="B2940"/>
          <cell r="C2940"/>
          <cell r="D2940"/>
        </row>
        <row r="2941">
          <cell r="B2941"/>
          <cell r="C2941"/>
          <cell r="D2941"/>
        </row>
        <row r="2942">
          <cell r="B2942"/>
          <cell r="C2942"/>
          <cell r="D2942"/>
        </row>
        <row r="2943">
          <cell r="B2943"/>
          <cell r="C2943"/>
          <cell r="D2943"/>
        </row>
        <row r="2944">
          <cell r="B2944"/>
          <cell r="C2944"/>
          <cell r="D2944"/>
        </row>
        <row r="2945">
          <cell r="B2945"/>
          <cell r="C2945"/>
          <cell r="D2945"/>
        </row>
        <row r="2946">
          <cell r="B2946"/>
          <cell r="C2946"/>
          <cell r="D2946"/>
        </row>
        <row r="2947">
          <cell r="B2947"/>
          <cell r="C2947"/>
          <cell r="D2947"/>
        </row>
        <row r="2948">
          <cell r="B2948"/>
          <cell r="C2948"/>
          <cell r="D2948"/>
        </row>
        <row r="2949">
          <cell r="B2949"/>
          <cell r="C2949"/>
          <cell r="D2949"/>
        </row>
        <row r="2950">
          <cell r="B2950"/>
          <cell r="C2950"/>
          <cell r="D2950"/>
        </row>
        <row r="2951">
          <cell r="B2951"/>
          <cell r="C2951"/>
          <cell r="D2951"/>
        </row>
        <row r="2952">
          <cell r="B2952"/>
          <cell r="C2952"/>
          <cell r="D2952"/>
        </row>
        <row r="2953">
          <cell r="B2953"/>
          <cell r="C2953"/>
          <cell r="D2953"/>
        </row>
        <row r="2954">
          <cell r="B2954"/>
          <cell r="C2954"/>
          <cell r="D2954"/>
        </row>
        <row r="2955">
          <cell r="B2955"/>
          <cell r="C2955"/>
          <cell r="D2955"/>
        </row>
        <row r="2956">
          <cell r="B2956"/>
          <cell r="C2956"/>
          <cell r="D2956"/>
        </row>
        <row r="2957">
          <cell r="B2957"/>
          <cell r="C2957"/>
          <cell r="D2957"/>
        </row>
        <row r="2958">
          <cell r="B2958"/>
          <cell r="C2958"/>
          <cell r="D2958"/>
        </row>
        <row r="2959">
          <cell r="B2959"/>
          <cell r="C2959"/>
          <cell r="D2959"/>
        </row>
        <row r="2960">
          <cell r="B2960"/>
          <cell r="C2960"/>
          <cell r="D2960"/>
        </row>
        <row r="2961">
          <cell r="B2961"/>
          <cell r="C2961"/>
          <cell r="D2961"/>
        </row>
        <row r="2962">
          <cell r="B2962"/>
          <cell r="C2962"/>
          <cell r="D2962"/>
        </row>
        <row r="2963">
          <cell r="B2963"/>
          <cell r="C2963"/>
          <cell r="D2963"/>
        </row>
        <row r="2964">
          <cell r="B2964"/>
          <cell r="C2964"/>
          <cell r="D2964"/>
        </row>
        <row r="2965">
          <cell r="B2965"/>
          <cell r="C2965"/>
          <cell r="D2965"/>
        </row>
        <row r="2966">
          <cell r="B2966"/>
          <cell r="C2966"/>
          <cell r="D2966"/>
        </row>
        <row r="2967">
          <cell r="B2967"/>
          <cell r="C2967"/>
          <cell r="D2967"/>
        </row>
        <row r="2968">
          <cell r="B2968"/>
          <cell r="C2968"/>
          <cell r="D2968"/>
        </row>
        <row r="2969">
          <cell r="B2969"/>
          <cell r="C2969"/>
          <cell r="D2969"/>
        </row>
        <row r="2970">
          <cell r="B2970"/>
          <cell r="C2970"/>
          <cell r="D2970"/>
        </row>
        <row r="2971">
          <cell r="B2971"/>
          <cell r="C2971"/>
          <cell r="D2971"/>
        </row>
        <row r="2972">
          <cell r="B2972"/>
          <cell r="C2972"/>
          <cell r="D2972"/>
        </row>
        <row r="2973">
          <cell r="B2973"/>
          <cell r="C2973"/>
          <cell r="D2973"/>
        </row>
        <row r="2974">
          <cell r="B2974"/>
          <cell r="C2974"/>
          <cell r="D2974"/>
        </row>
        <row r="2975">
          <cell r="B2975"/>
          <cell r="C2975"/>
          <cell r="D2975"/>
        </row>
        <row r="2976">
          <cell r="B2976"/>
          <cell r="C2976"/>
          <cell r="D2976"/>
        </row>
        <row r="2977">
          <cell r="B2977"/>
          <cell r="C2977"/>
          <cell r="D2977"/>
        </row>
        <row r="2978">
          <cell r="B2978"/>
          <cell r="C2978"/>
          <cell r="D2978"/>
        </row>
        <row r="2979">
          <cell r="B2979"/>
          <cell r="C2979"/>
          <cell r="D2979"/>
        </row>
        <row r="2980">
          <cell r="B2980"/>
          <cell r="C2980"/>
          <cell r="D2980"/>
        </row>
        <row r="2981">
          <cell r="B2981"/>
          <cell r="C2981"/>
          <cell r="D2981"/>
        </row>
        <row r="2982">
          <cell r="B2982"/>
          <cell r="C2982"/>
          <cell r="D2982"/>
        </row>
        <row r="2983">
          <cell r="B2983"/>
          <cell r="C2983"/>
          <cell r="D2983"/>
        </row>
        <row r="2984">
          <cell r="B2984"/>
          <cell r="C2984"/>
          <cell r="D2984"/>
        </row>
        <row r="2985">
          <cell r="B2985"/>
          <cell r="C2985"/>
          <cell r="D2985"/>
        </row>
        <row r="2986">
          <cell r="B2986"/>
          <cell r="C2986"/>
          <cell r="D2986"/>
        </row>
        <row r="2987">
          <cell r="B2987"/>
          <cell r="C2987"/>
          <cell r="D2987"/>
        </row>
        <row r="2988">
          <cell r="B2988"/>
          <cell r="C2988"/>
          <cell r="D2988"/>
        </row>
        <row r="2989">
          <cell r="B2989"/>
          <cell r="C2989"/>
          <cell r="D2989"/>
        </row>
        <row r="2990">
          <cell r="B2990"/>
          <cell r="C2990"/>
          <cell r="D2990"/>
        </row>
        <row r="2991">
          <cell r="B2991"/>
          <cell r="C2991"/>
          <cell r="D2991"/>
        </row>
        <row r="2992">
          <cell r="B2992"/>
          <cell r="C2992"/>
          <cell r="D2992"/>
        </row>
        <row r="2993">
          <cell r="B2993"/>
          <cell r="C2993"/>
          <cell r="D2993"/>
        </row>
        <row r="2994">
          <cell r="B2994"/>
          <cell r="C2994"/>
          <cell r="D2994"/>
        </row>
        <row r="2995">
          <cell r="B2995"/>
          <cell r="C2995"/>
          <cell r="D2995"/>
        </row>
        <row r="2996">
          <cell r="B2996"/>
          <cell r="C2996"/>
          <cell r="D2996"/>
        </row>
        <row r="2997">
          <cell r="B2997"/>
          <cell r="C2997"/>
          <cell r="D2997"/>
        </row>
        <row r="2998">
          <cell r="B2998"/>
          <cell r="C2998"/>
          <cell r="D2998"/>
        </row>
        <row r="2999">
          <cell r="B2999"/>
          <cell r="C2999"/>
          <cell r="D2999"/>
        </row>
        <row r="3000">
          <cell r="B3000"/>
          <cell r="C3000"/>
          <cell r="D3000"/>
        </row>
        <row r="3001">
          <cell r="B3001"/>
          <cell r="C3001"/>
          <cell r="D3001"/>
        </row>
        <row r="3002">
          <cell r="B3002"/>
          <cell r="C3002"/>
          <cell r="D3002"/>
        </row>
        <row r="3003">
          <cell r="B3003"/>
          <cell r="C3003"/>
          <cell r="D3003"/>
        </row>
        <row r="3004">
          <cell r="B3004"/>
          <cell r="C3004"/>
          <cell r="D3004"/>
        </row>
        <row r="3005">
          <cell r="B3005"/>
          <cell r="C3005"/>
          <cell r="D3005"/>
        </row>
        <row r="3006">
          <cell r="B3006"/>
          <cell r="C3006"/>
          <cell r="D3006"/>
        </row>
        <row r="3007">
          <cell r="B3007"/>
          <cell r="C3007"/>
          <cell r="D3007"/>
        </row>
        <row r="3008">
          <cell r="B3008"/>
          <cell r="C3008"/>
          <cell r="D3008"/>
        </row>
        <row r="3009">
          <cell r="B3009"/>
          <cell r="C3009"/>
          <cell r="D3009"/>
        </row>
        <row r="3010">
          <cell r="B3010"/>
          <cell r="C3010"/>
          <cell r="D3010"/>
        </row>
        <row r="3011">
          <cell r="B3011"/>
          <cell r="C3011"/>
          <cell r="D3011"/>
        </row>
        <row r="3012">
          <cell r="B3012"/>
          <cell r="C3012"/>
          <cell r="D3012"/>
        </row>
        <row r="3013">
          <cell r="B3013"/>
          <cell r="C3013"/>
          <cell r="D3013"/>
        </row>
        <row r="3014">
          <cell r="B3014"/>
          <cell r="C3014"/>
          <cell r="D3014"/>
        </row>
        <row r="3015">
          <cell r="B3015"/>
          <cell r="C3015"/>
          <cell r="D3015"/>
        </row>
        <row r="3016">
          <cell r="B3016"/>
          <cell r="C3016"/>
          <cell r="D3016"/>
        </row>
        <row r="3017">
          <cell r="B3017"/>
          <cell r="C3017"/>
          <cell r="D3017"/>
        </row>
        <row r="3018">
          <cell r="B3018"/>
          <cell r="C3018"/>
          <cell r="D3018"/>
        </row>
        <row r="3019">
          <cell r="B3019"/>
          <cell r="C3019"/>
          <cell r="D3019"/>
        </row>
        <row r="3020">
          <cell r="B3020"/>
          <cell r="C3020"/>
          <cell r="D3020"/>
        </row>
        <row r="3021">
          <cell r="B3021"/>
          <cell r="C3021"/>
          <cell r="D3021"/>
        </row>
        <row r="3022">
          <cell r="B3022"/>
          <cell r="C3022"/>
          <cell r="D3022"/>
        </row>
        <row r="3023">
          <cell r="B3023"/>
          <cell r="C3023"/>
          <cell r="D3023"/>
        </row>
        <row r="3024">
          <cell r="B3024"/>
          <cell r="C3024"/>
          <cell r="D3024"/>
        </row>
        <row r="3025">
          <cell r="B3025"/>
          <cell r="C3025"/>
          <cell r="D3025"/>
        </row>
        <row r="3026">
          <cell r="B3026"/>
          <cell r="C3026"/>
          <cell r="D3026"/>
        </row>
        <row r="3027">
          <cell r="B3027"/>
          <cell r="C3027"/>
          <cell r="D3027"/>
        </row>
        <row r="3028">
          <cell r="B3028"/>
          <cell r="C3028"/>
          <cell r="D3028"/>
        </row>
        <row r="3029">
          <cell r="B3029"/>
          <cell r="C3029"/>
          <cell r="D3029"/>
        </row>
        <row r="3030">
          <cell r="B3030"/>
          <cell r="C3030"/>
          <cell r="D3030"/>
        </row>
        <row r="3031">
          <cell r="B3031"/>
          <cell r="C3031"/>
          <cell r="D3031"/>
        </row>
        <row r="3032">
          <cell r="B3032"/>
          <cell r="C3032"/>
          <cell r="D3032"/>
        </row>
        <row r="3033">
          <cell r="B3033"/>
          <cell r="C3033"/>
          <cell r="D3033"/>
        </row>
        <row r="3034">
          <cell r="B3034"/>
          <cell r="C3034"/>
          <cell r="D3034"/>
        </row>
        <row r="3035">
          <cell r="B3035"/>
          <cell r="C3035"/>
          <cell r="D3035"/>
        </row>
        <row r="3036">
          <cell r="B3036"/>
          <cell r="C3036"/>
          <cell r="D3036"/>
        </row>
        <row r="3037">
          <cell r="B3037"/>
          <cell r="C3037"/>
          <cell r="D3037"/>
        </row>
        <row r="3038">
          <cell r="B3038"/>
          <cell r="C3038"/>
          <cell r="D3038"/>
        </row>
        <row r="3039">
          <cell r="B3039"/>
          <cell r="C3039"/>
          <cell r="D3039"/>
        </row>
        <row r="3040">
          <cell r="B3040"/>
          <cell r="C3040"/>
          <cell r="D3040"/>
        </row>
        <row r="3041">
          <cell r="B3041"/>
          <cell r="C3041"/>
          <cell r="D3041"/>
        </row>
        <row r="3042">
          <cell r="B3042"/>
          <cell r="C3042"/>
          <cell r="D3042"/>
        </row>
        <row r="3043">
          <cell r="B3043"/>
          <cell r="C3043"/>
          <cell r="D3043"/>
        </row>
        <row r="3044">
          <cell r="B3044"/>
          <cell r="C3044"/>
          <cell r="D3044"/>
        </row>
        <row r="3045">
          <cell r="B3045"/>
          <cell r="C3045"/>
          <cell r="D3045"/>
        </row>
        <row r="3046">
          <cell r="B3046"/>
          <cell r="C3046"/>
          <cell r="D3046"/>
        </row>
        <row r="3047">
          <cell r="B3047"/>
          <cell r="C3047"/>
          <cell r="D3047"/>
        </row>
        <row r="3048">
          <cell r="B3048"/>
          <cell r="C3048"/>
          <cell r="D3048"/>
        </row>
        <row r="3049">
          <cell r="B3049"/>
          <cell r="C3049"/>
          <cell r="D3049"/>
        </row>
        <row r="3050">
          <cell r="B3050"/>
          <cell r="C3050"/>
          <cell r="D3050"/>
        </row>
        <row r="3051">
          <cell r="B3051"/>
          <cell r="C3051"/>
          <cell r="D3051"/>
        </row>
        <row r="3052">
          <cell r="B3052"/>
          <cell r="C3052"/>
          <cell r="D3052"/>
        </row>
        <row r="3053">
          <cell r="B3053"/>
          <cell r="C3053"/>
          <cell r="D3053"/>
        </row>
        <row r="3054">
          <cell r="B3054"/>
          <cell r="C3054"/>
          <cell r="D3054"/>
        </row>
        <row r="3055">
          <cell r="B3055"/>
          <cell r="C3055"/>
          <cell r="D3055"/>
        </row>
        <row r="3056">
          <cell r="B3056"/>
          <cell r="C3056"/>
          <cell r="D3056"/>
        </row>
        <row r="3057">
          <cell r="B3057"/>
          <cell r="C3057"/>
          <cell r="D3057"/>
        </row>
        <row r="3058">
          <cell r="B3058"/>
          <cell r="C3058"/>
          <cell r="D3058"/>
        </row>
        <row r="3059">
          <cell r="B3059"/>
          <cell r="C3059"/>
          <cell r="D3059"/>
        </row>
        <row r="3060">
          <cell r="B3060"/>
          <cell r="C3060"/>
          <cell r="D3060"/>
        </row>
        <row r="3061">
          <cell r="B3061"/>
          <cell r="C3061"/>
          <cell r="D3061"/>
        </row>
        <row r="3062">
          <cell r="B3062"/>
          <cell r="C3062"/>
          <cell r="D3062"/>
        </row>
        <row r="3063">
          <cell r="B3063"/>
          <cell r="C3063"/>
          <cell r="D3063"/>
        </row>
        <row r="3064">
          <cell r="B3064"/>
          <cell r="C3064"/>
          <cell r="D3064"/>
        </row>
        <row r="3065">
          <cell r="B3065"/>
          <cell r="C3065"/>
          <cell r="D3065"/>
        </row>
        <row r="3066">
          <cell r="B3066"/>
          <cell r="C3066"/>
          <cell r="D3066"/>
        </row>
        <row r="3067">
          <cell r="B3067"/>
          <cell r="C3067"/>
          <cell r="D3067"/>
        </row>
        <row r="3068">
          <cell r="B3068"/>
          <cell r="C3068"/>
          <cell r="D3068"/>
        </row>
        <row r="3069">
          <cell r="B3069"/>
          <cell r="C3069"/>
          <cell r="D3069"/>
        </row>
        <row r="3070">
          <cell r="B3070"/>
          <cell r="C3070"/>
          <cell r="D3070"/>
        </row>
        <row r="3071">
          <cell r="B3071"/>
          <cell r="C3071"/>
          <cell r="D3071"/>
        </row>
        <row r="3072">
          <cell r="B3072"/>
          <cell r="C3072"/>
          <cell r="D3072"/>
        </row>
        <row r="3073">
          <cell r="B3073"/>
          <cell r="C3073"/>
          <cell r="D3073"/>
        </row>
        <row r="3074">
          <cell r="B3074"/>
          <cell r="C3074"/>
          <cell r="D3074"/>
        </row>
        <row r="3075">
          <cell r="B3075"/>
          <cell r="C3075"/>
          <cell r="D3075"/>
        </row>
        <row r="3076">
          <cell r="B3076"/>
          <cell r="C3076"/>
          <cell r="D3076"/>
        </row>
        <row r="3077">
          <cell r="B3077"/>
          <cell r="C3077"/>
          <cell r="D3077"/>
        </row>
        <row r="3078">
          <cell r="B3078"/>
          <cell r="C3078"/>
          <cell r="D3078"/>
        </row>
        <row r="3079">
          <cell r="B3079"/>
          <cell r="C3079"/>
          <cell r="D3079"/>
        </row>
        <row r="3080">
          <cell r="B3080"/>
          <cell r="C3080"/>
          <cell r="D3080"/>
        </row>
        <row r="3081">
          <cell r="B3081"/>
          <cell r="C3081"/>
          <cell r="D3081"/>
        </row>
        <row r="3082">
          <cell r="B3082"/>
          <cell r="C3082"/>
          <cell r="D3082"/>
        </row>
        <row r="3083">
          <cell r="B3083"/>
          <cell r="C3083"/>
          <cell r="D3083"/>
        </row>
        <row r="3084">
          <cell r="B3084"/>
          <cell r="C3084"/>
          <cell r="D3084"/>
        </row>
        <row r="3085">
          <cell r="B3085"/>
          <cell r="C3085"/>
          <cell r="D3085"/>
        </row>
        <row r="3086">
          <cell r="B3086"/>
          <cell r="C3086"/>
          <cell r="D3086"/>
        </row>
        <row r="3087">
          <cell r="B3087"/>
          <cell r="C3087"/>
          <cell r="D3087"/>
        </row>
        <row r="3088">
          <cell r="B3088"/>
          <cell r="C3088"/>
          <cell r="D3088"/>
        </row>
        <row r="3089">
          <cell r="B3089"/>
          <cell r="C3089"/>
          <cell r="D3089"/>
        </row>
        <row r="3090">
          <cell r="B3090"/>
          <cell r="C3090"/>
          <cell r="D3090"/>
        </row>
        <row r="3091">
          <cell r="B3091"/>
          <cell r="C3091"/>
          <cell r="D3091"/>
        </row>
        <row r="3092">
          <cell r="B3092"/>
          <cell r="C3092"/>
          <cell r="D3092"/>
        </row>
        <row r="3093">
          <cell r="B3093"/>
          <cell r="C3093"/>
          <cell r="D3093"/>
        </row>
        <row r="3094">
          <cell r="B3094"/>
          <cell r="C3094"/>
          <cell r="D3094"/>
        </row>
        <row r="3095">
          <cell r="B3095"/>
          <cell r="C3095"/>
          <cell r="D3095"/>
        </row>
        <row r="3096">
          <cell r="B3096"/>
          <cell r="C3096"/>
          <cell r="D3096"/>
        </row>
        <row r="3097">
          <cell r="B3097"/>
          <cell r="C3097"/>
          <cell r="D3097"/>
        </row>
        <row r="3098">
          <cell r="B3098"/>
          <cell r="C3098"/>
          <cell r="D3098"/>
        </row>
        <row r="3099">
          <cell r="B3099"/>
          <cell r="C3099"/>
          <cell r="D3099"/>
        </row>
        <row r="3100">
          <cell r="B3100"/>
          <cell r="C3100"/>
          <cell r="D3100"/>
        </row>
        <row r="3101">
          <cell r="B3101"/>
          <cell r="C3101"/>
          <cell r="D3101"/>
        </row>
        <row r="3102">
          <cell r="B3102"/>
          <cell r="C3102"/>
          <cell r="D3102"/>
        </row>
        <row r="3103">
          <cell r="B3103"/>
          <cell r="C3103"/>
          <cell r="D3103"/>
        </row>
        <row r="3104">
          <cell r="B3104"/>
          <cell r="C3104"/>
          <cell r="D3104"/>
        </row>
        <row r="3105">
          <cell r="B3105"/>
          <cell r="C3105"/>
          <cell r="D3105"/>
        </row>
        <row r="3106">
          <cell r="B3106"/>
          <cell r="C3106"/>
          <cell r="D3106"/>
        </row>
        <row r="3107">
          <cell r="B3107"/>
          <cell r="C3107"/>
          <cell r="D3107"/>
        </row>
        <row r="3108">
          <cell r="B3108"/>
          <cell r="C3108"/>
          <cell r="D3108"/>
        </row>
        <row r="3109">
          <cell r="B3109"/>
          <cell r="C3109"/>
          <cell r="D3109"/>
        </row>
        <row r="3110">
          <cell r="B3110"/>
          <cell r="C3110"/>
          <cell r="D3110"/>
        </row>
        <row r="3111">
          <cell r="B3111"/>
          <cell r="C3111"/>
          <cell r="D3111"/>
        </row>
        <row r="3112">
          <cell r="B3112"/>
          <cell r="C3112"/>
          <cell r="D3112"/>
        </row>
        <row r="3113">
          <cell r="B3113"/>
          <cell r="C3113"/>
          <cell r="D3113"/>
        </row>
        <row r="3114">
          <cell r="B3114"/>
          <cell r="C3114"/>
          <cell r="D3114"/>
        </row>
        <row r="3115">
          <cell r="B3115"/>
          <cell r="C3115"/>
          <cell r="D3115"/>
        </row>
        <row r="3116">
          <cell r="B3116"/>
          <cell r="C3116"/>
          <cell r="D3116"/>
        </row>
        <row r="3117">
          <cell r="B3117"/>
          <cell r="C3117"/>
          <cell r="D3117"/>
        </row>
        <row r="3118">
          <cell r="B3118"/>
          <cell r="C3118"/>
          <cell r="D3118"/>
        </row>
        <row r="3119">
          <cell r="B3119"/>
          <cell r="C3119"/>
          <cell r="D3119"/>
        </row>
        <row r="3120">
          <cell r="B3120"/>
          <cell r="C3120"/>
          <cell r="D3120"/>
        </row>
        <row r="3121">
          <cell r="B3121"/>
          <cell r="C3121"/>
          <cell r="D3121"/>
        </row>
        <row r="3122">
          <cell r="B3122"/>
          <cell r="C3122"/>
          <cell r="D3122"/>
        </row>
        <row r="3123">
          <cell r="B3123"/>
          <cell r="C3123"/>
          <cell r="D3123"/>
        </row>
        <row r="3124">
          <cell r="B3124"/>
          <cell r="C3124"/>
          <cell r="D3124"/>
        </row>
        <row r="3125">
          <cell r="B3125"/>
          <cell r="C3125"/>
          <cell r="D3125"/>
        </row>
        <row r="3126">
          <cell r="B3126"/>
          <cell r="C3126"/>
          <cell r="D3126"/>
        </row>
        <row r="3127">
          <cell r="B3127"/>
          <cell r="C3127"/>
          <cell r="D3127"/>
        </row>
        <row r="3128">
          <cell r="B3128"/>
          <cell r="C3128"/>
          <cell r="D3128"/>
        </row>
        <row r="3129">
          <cell r="B3129"/>
          <cell r="C3129"/>
          <cell r="D3129"/>
        </row>
        <row r="3130">
          <cell r="B3130"/>
          <cell r="C3130"/>
          <cell r="D3130"/>
        </row>
        <row r="3131">
          <cell r="B3131"/>
          <cell r="C3131"/>
          <cell r="D3131"/>
        </row>
        <row r="3132">
          <cell r="B3132"/>
          <cell r="C3132"/>
          <cell r="D3132"/>
        </row>
        <row r="3133">
          <cell r="B3133"/>
          <cell r="C3133"/>
          <cell r="D3133"/>
        </row>
        <row r="3134">
          <cell r="B3134"/>
          <cell r="C3134"/>
          <cell r="D3134"/>
        </row>
        <row r="3135">
          <cell r="B3135"/>
          <cell r="C3135"/>
          <cell r="D3135"/>
        </row>
        <row r="3136">
          <cell r="B3136"/>
          <cell r="C3136"/>
          <cell r="D3136"/>
        </row>
        <row r="3137">
          <cell r="B3137"/>
          <cell r="C3137"/>
          <cell r="D3137"/>
        </row>
        <row r="3138">
          <cell r="B3138"/>
          <cell r="C3138"/>
          <cell r="D3138"/>
        </row>
        <row r="3139">
          <cell r="B3139"/>
          <cell r="C3139"/>
          <cell r="D3139"/>
        </row>
        <row r="3140">
          <cell r="B3140"/>
          <cell r="C3140"/>
          <cell r="D3140"/>
        </row>
        <row r="3141">
          <cell r="B3141"/>
          <cell r="C3141"/>
          <cell r="D3141"/>
        </row>
        <row r="3142">
          <cell r="B3142"/>
          <cell r="C3142"/>
          <cell r="D3142"/>
        </row>
        <row r="3143">
          <cell r="B3143"/>
          <cell r="C3143"/>
          <cell r="D3143"/>
        </row>
        <row r="3144">
          <cell r="B3144"/>
          <cell r="C3144"/>
          <cell r="D3144"/>
        </row>
        <row r="3145">
          <cell r="B3145"/>
          <cell r="C3145"/>
          <cell r="D3145"/>
        </row>
        <row r="3146">
          <cell r="B3146"/>
          <cell r="C3146"/>
          <cell r="D3146"/>
        </row>
        <row r="3147">
          <cell r="B3147"/>
          <cell r="C3147"/>
          <cell r="D3147"/>
        </row>
        <row r="3148">
          <cell r="B3148"/>
          <cell r="C3148"/>
          <cell r="D3148"/>
        </row>
        <row r="3149">
          <cell r="B3149"/>
          <cell r="C3149"/>
          <cell r="D3149"/>
        </row>
        <row r="3150">
          <cell r="B3150"/>
          <cell r="C3150"/>
          <cell r="D3150"/>
        </row>
        <row r="3151">
          <cell r="B3151"/>
          <cell r="C3151"/>
          <cell r="D3151"/>
        </row>
        <row r="3152">
          <cell r="B3152"/>
          <cell r="C3152"/>
          <cell r="D3152"/>
        </row>
        <row r="3153">
          <cell r="B3153"/>
          <cell r="C3153"/>
          <cell r="D3153"/>
        </row>
        <row r="3154">
          <cell r="B3154"/>
          <cell r="C3154"/>
          <cell r="D3154"/>
        </row>
        <row r="3155">
          <cell r="B3155"/>
          <cell r="C3155"/>
          <cell r="D3155"/>
        </row>
        <row r="3156">
          <cell r="B3156"/>
          <cell r="C3156"/>
          <cell r="D3156"/>
        </row>
        <row r="3157">
          <cell r="B3157"/>
          <cell r="C3157"/>
          <cell r="D3157"/>
        </row>
        <row r="3158">
          <cell r="B3158"/>
          <cell r="C3158"/>
          <cell r="D3158"/>
        </row>
        <row r="3159">
          <cell r="B3159"/>
          <cell r="C3159"/>
          <cell r="D3159"/>
        </row>
        <row r="3160">
          <cell r="B3160"/>
          <cell r="C3160"/>
          <cell r="D3160"/>
        </row>
        <row r="3161">
          <cell r="B3161"/>
          <cell r="C3161"/>
          <cell r="D3161"/>
        </row>
        <row r="3162">
          <cell r="B3162"/>
          <cell r="C3162"/>
          <cell r="D3162"/>
        </row>
        <row r="3163">
          <cell r="B3163"/>
          <cell r="C3163"/>
          <cell r="D3163"/>
        </row>
        <row r="3164">
          <cell r="B3164"/>
          <cell r="C3164"/>
          <cell r="D3164"/>
        </row>
        <row r="3165">
          <cell r="B3165"/>
          <cell r="C3165"/>
          <cell r="D3165"/>
        </row>
        <row r="3166">
          <cell r="B3166"/>
          <cell r="C3166"/>
          <cell r="D3166"/>
        </row>
        <row r="3167">
          <cell r="B3167"/>
          <cell r="C3167"/>
          <cell r="D3167"/>
        </row>
        <row r="3168">
          <cell r="B3168"/>
          <cell r="C3168"/>
          <cell r="D3168"/>
        </row>
        <row r="3169">
          <cell r="B3169"/>
          <cell r="C3169"/>
          <cell r="D3169"/>
        </row>
        <row r="3170">
          <cell r="B3170"/>
          <cell r="C3170"/>
          <cell r="D3170"/>
        </row>
        <row r="3171">
          <cell r="B3171"/>
          <cell r="C3171"/>
          <cell r="D3171"/>
        </row>
        <row r="3172">
          <cell r="B3172"/>
          <cell r="C3172"/>
          <cell r="D3172"/>
        </row>
        <row r="3173">
          <cell r="B3173"/>
          <cell r="C3173"/>
          <cell r="D3173"/>
        </row>
        <row r="3174">
          <cell r="B3174"/>
          <cell r="C3174"/>
          <cell r="D3174"/>
        </row>
        <row r="3175">
          <cell r="B3175"/>
          <cell r="C3175"/>
          <cell r="D3175"/>
        </row>
        <row r="3176">
          <cell r="B3176"/>
          <cell r="C3176"/>
          <cell r="D3176"/>
        </row>
        <row r="3177">
          <cell r="B3177"/>
          <cell r="C3177"/>
          <cell r="D3177"/>
        </row>
        <row r="3178">
          <cell r="B3178"/>
          <cell r="C3178"/>
          <cell r="D3178"/>
        </row>
        <row r="3179">
          <cell r="B3179"/>
          <cell r="C3179"/>
          <cell r="D3179"/>
        </row>
        <row r="3180">
          <cell r="B3180"/>
          <cell r="C3180"/>
          <cell r="D3180"/>
        </row>
        <row r="3181">
          <cell r="B3181"/>
          <cell r="C3181"/>
          <cell r="D3181"/>
        </row>
        <row r="3182">
          <cell r="B3182"/>
          <cell r="C3182"/>
          <cell r="D3182"/>
        </row>
        <row r="3183">
          <cell r="B3183"/>
          <cell r="C3183"/>
          <cell r="D3183"/>
        </row>
        <row r="3184">
          <cell r="B3184"/>
          <cell r="C3184"/>
          <cell r="D3184"/>
        </row>
        <row r="3185">
          <cell r="B3185"/>
          <cell r="C3185"/>
          <cell r="D3185"/>
        </row>
        <row r="3186">
          <cell r="B3186"/>
          <cell r="C3186"/>
          <cell r="D3186"/>
        </row>
        <row r="3187">
          <cell r="B3187"/>
          <cell r="C3187"/>
          <cell r="D3187"/>
        </row>
        <row r="3188">
          <cell r="B3188"/>
          <cell r="C3188"/>
          <cell r="D3188"/>
        </row>
        <row r="3189">
          <cell r="B3189"/>
          <cell r="C3189"/>
          <cell r="D3189"/>
        </row>
        <row r="3190">
          <cell r="B3190"/>
          <cell r="C3190"/>
          <cell r="D3190"/>
        </row>
        <row r="3191">
          <cell r="B3191"/>
          <cell r="C3191"/>
          <cell r="D3191"/>
        </row>
        <row r="3192">
          <cell r="B3192"/>
          <cell r="C3192"/>
          <cell r="D3192"/>
        </row>
        <row r="3193">
          <cell r="B3193"/>
          <cell r="C3193"/>
          <cell r="D3193"/>
        </row>
        <row r="3194">
          <cell r="B3194"/>
          <cell r="C3194"/>
          <cell r="D3194"/>
        </row>
        <row r="3195">
          <cell r="B3195"/>
          <cell r="C3195"/>
          <cell r="D3195"/>
        </row>
        <row r="3196">
          <cell r="B3196"/>
          <cell r="C3196"/>
          <cell r="D3196"/>
        </row>
        <row r="3197">
          <cell r="B3197"/>
          <cell r="C3197"/>
          <cell r="D3197"/>
        </row>
        <row r="3198">
          <cell r="B3198"/>
          <cell r="C3198"/>
          <cell r="D3198"/>
        </row>
        <row r="3199">
          <cell r="B3199"/>
          <cell r="C3199"/>
          <cell r="D3199"/>
        </row>
        <row r="3200">
          <cell r="B3200"/>
          <cell r="C3200"/>
          <cell r="D3200"/>
        </row>
        <row r="3201">
          <cell r="B3201"/>
          <cell r="C3201"/>
          <cell r="D3201"/>
        </row>
        <row r="3202">
          <cell r="B3202"/>
          <cell r="C3202"/>
          <cell r="D3202"/>
        </row>
        <row r="3203">
          <cell r="B3203"/>
          <cell r="C3203"/>
          <cell r="D3203"/>
        </row>
        <row r="3204">
          <cell r="B3204"/>
          <cell r="C3204"/>
          <cell r="D3204"/>
        </row>
        <row r="3205">
          <cell r="B3205"/>
          <cell r="C3205"/>
          <cell r="D3205"/>
        </row>
        <row r="3206">
          <cell r="B3206"/>
          <cell r="C3206"/>
          <cell r="D3206"/>
        </row>
        <row r="3207">
          <cell r="B3207"/>
          <cell r="C3207"/>
          <cell r="D3207"/>
        </row>
        <row r="3208">
          <cell r="B3208"/>
          <cell r="C3208"/>
          <cell r="D3208"/>
        </row>
        <row r="3209">
          <cell r="B3209"/>
          <cell r="C3209"/>
          <cell r="D3209"/>
        </row>
        <row r="3210">
          <cell r="B3210"/>
          <cell r="C3210"/>
          <cell r="D3210"/>
        </row>
        <row r="3211">
          <cell r="B3211"/>
          <cell r="C3211"/>
          <cell r="D3211"/>
        </row>
        <row r="3212">
          <cell r="B3212"/>
          <cell r="C3212"/>
          <cell r="D3212"/>
        </row>
        <row r="3213">
          <cell r="B3213"/>
          <cell r="C3213"/>
          <cell r="D3213"/>
        </row>
        <row r="3214">
          <cell r="B3214"/>
          <cell r="C3214"/>
          <cell r="D3214"/>
        </row>
        <row r="3215">
          <cell r="B3215"/>
          <cell r="C3215"/>
          <cell r="D3215"/>
        </row>
        <row r="3216">
          <cell r="B3216"/>
          <cell r="C3216"/>
          <cell r="D3216"/>
        </row>
        <row r="3217">
          <cell r="B3217"/>
          <cell r="C3217"/>
          <cell r="D3217"/>
        </row>
        <row r="3218">
          <cell r="B3218"/>
          <cell r="C3218"/>
          <cell r="D3218"/>
        </row>
        <row r="3219">
          <cell r="B3219"/>
          <cell r="C3219"/>
          <cell r="D3219"/>
        </row>
        <row r="3220">
          <cell r="B3220"/>
          <cell r="C3220"/>
          <cell r="D3220"/>
        </row>
        <row r="3221">
          <cell r="B3221"/>
          <cell r="C3221"/>
          <cell r="D3221"/>
        </row>
        <row r="3222">
          <cell r="B3222"/>
          <cell r="C3222"/>
          <cell r="D3222"/>
        </row>
        <row r="3223">
          <cell r="B3223"/>
          <cell r="C3223"/>
          <cell r="D3223"/>
        </row>
        <row r="3224">
          <cell r="B3224"/>
          <cell r="C3224"/>
          <cell r="D3224"/>
        </row>
        <row r="3225">
          <cell r="B3225"/>
          <cell r="C3225"/>
          <cell r="D3225"/>
        </row>
        <row r="3226">
          <cell r="B3226"/>
          <cell r="C3226"/>
          <cell r="D3226"/>
        </row>
        <row r="3227">
          <cell r="B3227"/>
          <cell r="C3227"/>
          <cell r="D3227"/>
        </row>
        <row r="3228">
          <cell r="B3228"/>
          <cell r="C3228"/>
          <cell r="D3228"/>
        </row>
        <row r="3229">
          <cell r="B3229"/>
          <cell r="C3229"/>
          <cell r="D3229"/>
        </row>
        <row r="3230">
          <cell r="B3230"/>
          <cell r="C3230"/>
          <cell r="D3230"/>
        </row>
        <row r="3231">
          <cell r="B3231"/>
          <cell r="C3231"/>
          <cell r="D3231"/>
        </row>
        <row r="3232">
          <cell r="B3232"/>
          <cell r="C3232"/>
          <cell r="D3232"/>
        </row>
        <row r="3233">
          <cell r="B3233"/>
          <cell r="C3233"/>
          <cell r="D3233"/>
        </row>
        <row r="3234">
          <cell r="B3234"/>
          <cell r="C3234"/>
          <cell r="D3234"/>
        </row>
        <row r="3235">
          <cell r="B3235"/>
          <cell r="C3235"/>
          <cell r="D3235"/>
        </row>
        <row r="3236">
          <cell r="B3236"/>
          <cell r="C3236"/>
          <cell r="D3236"/>
        </row>
        <row r="3237">
          <cell r="B3237"/>
          <cell r="C3237"/>
          <cell r="D3237"/>
        </row>
        <row r="3238">
          <cell r="B3238"/>
          <cell r="C3238"/>
          <cell r="D3238"/>
        </row>
        <row r="3239">
          <cell r="B3239"/>
          <cell r="C3239"/>
          <cell r="D3239"/>
        </row>
        <row r="3240">
          <cell r="B3240"/>
          <cell r="C3240"/>
          <cell r="D3240"/>
        </row>
        <row r="3241">
          <cell r="B3241"/>
          <cell r="C3241"/>
          <cell r="D3241"/>
        </row>
        <row r="3242">
          <cell r="B3242"/>
          <cell r="C3242"/>
          <cell r="D3242"/>
        </row>
        <row r="3243">
          <cell r="B3243"/>
          <cell r="C3243"/>
          <cell r="D3243"/>
        </row>
        <row r="3244">
          <cell r="B3244"/>
          <cell r="C3244"/>
          <cell r="D3244"/>
        </row>
        <row r="3245">
          <cell r="B3245"/>
          <cell r="C3245"/>
          <cell r="D3245"/>
        </row>
        <row r="3246">
          <cell r="B3246"/>
          <cell r="C3246"/>
          <cell r="D3246"/>
        </row>
        <row r="3247">
          <cell r="B3247"/>
          <cell r="C3247"/>
          <cell r="D3247"/>
        </row>
        <row r="3248">
          <cell r="B3248"/>
          <cell r="C3248"/>
          <cell r="D3248"/>
        </row>
        <row r="3249">
          <cell r="B3249"/>
          <cell r="C3249"/>
          <cell r="D3249"/>
        </row>
        <row r="3250">
          <cell r="B3250"/>
          <cell r="C3250"/>
          <cell r="D3250"/>
        </row>
        <row r="3251">
          <cell r="B3251"/>
          <cell r="C3251"/>
          <cell r="D3251"/>
        </row>
        <row r="3252">
          <cell r="B3252"/>
          <cell r="C3252"/>
          <cell r="D3252"/>
        </row>
        <row r="3253">
          <cell r="B3253"/>
          <cell r="C3253"/>
          <cell r="D3253"/>
        </row>
        <row r="3254">
          <cell r="B3254"/>
          <cell r="C3254"/>
          <cell r="D3254"/>
        </row>
        <row r="3255">
          <cell r="B3255"/>
          <cell r="C3255"/>
          <cell r="D3255"/>
        </row>
        <row r="3256">
          <cell r="B3256"/>
          <cell r="C3256"/>
          <cell r="D3256"/>
        </row>
        <row r="3257">
          <cell r="B3257"/>
          <cell r="C3257"/>
          <cell r="D3257"/>
        </row>
        <row r="3258">
          <cell r="B3258"/>
          <cell r="C3258"/>
          <cell r="D3258"/>
        </row>
        <row r="3259">
          <cell r="B3259"/>
          <cell r="C3259"/>
          <cell r="D3259"/>
        </row>
        <row r="3260">
          <cell r="B3260"/>
          <cell r="C3260"/>
          <cell r="D3260"/>
        </row>
        <row r="3261">
          <cell r="B3261"/>
          <cell r="C3261"/>
          <cell r="D3261"/>
        </row>
        <row r="3262">
          <cell r="B3262"/>
          <cell r="C3262"/>
          <cell r="D3262"/>
        </row>
        <row r="3263">
          <cell r="B3263"/>
          <cell r="C3263"/>
          <cell r="D3263"/>
        </row>
        <row r="3264">
          <cell r="B3264"/>
          <cell r="C3264"/>
          <cell r="D3264"/>
        </row>
        <row r="3265">
          <cell r="B3265"/>
          <cell r="C3265"/>
          <cell r="D3265"/>
        </row>
        <row r="3266">
          <cell r="B3266"/>
          <cell r="C3266"/>
          <cell r="D3266"/>
        </row>
        <row r="3267">
          <cell r="B3267"/>
          <cell r="C3267"/>
          <cell r="D3267"/>
        </row>
        <row r="3268">
          <cell r="B3268"/>
          <cell r="C3268"/>
          <cell r="D3268"/>
        </row>
        <row r="3269">
          <cell r="B3269"/>
          <cell r="C3269"/>
          <cell r="D3269"/>
        </row>
        <row r="3270">
          <cell r="B3270"/>
          <cell r="C3270"/>
          <cell r="D3270"/>
        </row>
        <row r="3271">
          <cell r="B3271"/>
          <cell r="C3271"/>
          <cell r="D3271"/>
        </row>
        <row r="3272">
          <cell r="B3272"/>
          <cell r="C3272"/>
          <cell r="D3272"/>
        </row>
        <row r="3273">
          <cell r="B3273"/>
          <cell r="C3273"/>
          <cell r="D3273"/>
        </row>
        <row r="3274">
          <cell r="B3274"/>
          <cell r="C3274"/>
          <cell r="D3274"/>
        </row>
        <row r="3275">
          <cell r="B3275"/>
          <cell r="C3275"/>
          <cell r="D3275"/>
        </row>
        <row r="3276">
          <cell r="B3276"/>
          <cell r="C3276"/>
          <cell r="D3276"/>
        </row>
        <row r="3277">
          <cell r="B3277"/>
          <cell r="C3277"/>
          <cell r="D3277"/>
        </row>
        <row r="3278">
          <cell r="B3278"/>
          <cell r="C3278"/>
          <cell r="D3278"/>
        </row>
        <row r="3279">
          <cell r="B3279"/>
          <cell r="C3279"/>
          <cell r="D3279"/>
        </row>
        <row r="3280">
          <cell r="B3280"/>
          <cell r="C3280"/>
          <cell r="D3280"/>
        </row>
        <row r="3281">
          <cell r="B3281"/>
          <cell r="C3281"/>
          <cell r="D3281"/>
        </row>
        <row r="3282">
          <cell r="B3282"/>
          <cell r="C3282"/>
          <cell r="D3282"/>
        </row>
        <row r="3283">
          <cell r="B3283"/>
          <cell r="C3283"/>
          <cell r="D3283"/>
        </row>
        <row r="3284">
          <cell r="B3284"/>
          <cell r="C3284"/>
          <cell r="D3284"/>
        </row>
        <row r="3285">
          <cell r="B3285"/>
          <cell r="C3285"/>
          <cell r="D3285"/>
        </row>
        <row r="3286">
          <cell r="B3286"/>
          <cell r="C3286"/>
          <cell r="D3286"/>
        </row>
        <row r="3287">
          <cell r="B3287"/>
          <cell r="C3287"/>
          <cell r="D3287"/>
        </row>
        <row r="3288">
          <cell r="B3288"/>
          <cell r="C3288"/>
          <cell r="D3288"/>
        </row>
        <row r="3289">
          <cell r="B3289"/>
          <cell r="C3289"/>
          <cell r="D3289"/>
        </row>
        <row r="3290">
          <cell r="B3290"/>
          <cell r="C3290"/>
          <cell r="D3290"/>
        </row>
        <row r="3291">
          <cell r="B3291"/>
          <cell r="C3291"/>
          <cell r="D3291"/>
        </row>
        <row r="3292">
          <cell r="B3292"/>
          <cell r="C3292"/>
          <cell r="D3292"/>
        </row>
        <row r="3293">
          <cell r="B3293"/>
          <cell r="C3293"/>
          <cell r="D3293"/>
        </row>
        <row r="3294">
          <cell r="B3294"/>
          <cell r="C3294"/>
          <cell r="D3294"/>
        </row>
        <row r="3295">
          <cell r="B3295"/>
          <cell r="C3295"/>
          <cell r="D3295"/>
        </row>
        <row r="3296">
          <cell r="B3296"/>
          <cell r="C3296"/>
          <cell r="D3296"/>
        </row>
        <row r="3297">
          <cell r="B3297"/>
          <cell r="C3297"/>
          <cell r="D3297"/>
        </row>
        <row r="3298">
          <cell r="B3298"/>
          <cell r="C3298"/>
          <cell r="D3298"/>
        </row>
        <row r="3299">
          <cell r="B3299"/>
          <cell r="C3299"/>
          <cell r="D3299"/>
        </row>
        <row r="3300">
          <cell r="B3300"/>
          <cell r="C3300"/>
          <cell r="D3300"/>
        </row>
        <row r="3301">
          <cell r="B3301"/>
          <cell r="C3301"/>
          <cell r="D3301"/>
        </row>
        <row r="3302">
          <cell r="B3302"/>
          <cell r="C3302"/>
          <cell r="D3302"/>
        </row>
        <row r="3303">
          <cell r="B3303"/>
          <cell r="C3303"/>
          <cell r="D3303"/>
        </row>
        <row r="3304">
          <cell r="B3304"/>
          <cell r="C3304"/>
          <cell r="D3304"/>
        </row>
        <row r="3305">
          <cell r="B3305"/>
          <cell r="C3305"/>
          <cell r="D3305"/>
        </row>
        <row r="3306">
          <cell r="B3306"/>
          <cell r="C3306"/>
          <cell r="D3306"/>
        </row>
        <row r="3307">
          <cell r="B3307"/>
          <cell r="C3307"/>
          <cell r="D3307"/>
        </row>
        <row r="3308">
          <cell r="B3308"/>
          <cell r="C3308"/>
          <cell r="D3308"/>
        </row>
        <row r="3309">
          <cell r="B3309"/>
          <cell r="C3309"/>
          <cell r="D3309"/>
        </row>
        <row r="3310">
          <cell r="B3310"/>
          <cell r="C3310"/>
          <cell r="D3310"/>
        </row>
        <row r="3311">
          <cell r="B3311"/>
          <cell r="C3311"/>
          <cell r="D3311"/>
        </row>
        <row r="3312">
          <cell r="B3312"/>
          <cell r="C3312"/>
          <cell r="D3312"/>
        </row>
        <row r="3313">
          <cell r="B3313"/>
          <cell r="C3313"/>
          <cell r="D3313"/>
        </row>
        <row r="3314">
          <cell r="B3314"/>
          <cell r="C3314"/>
          <cell r="D3314"/>
        </row>
        <row r="3315">
          <cell r="B3315"/>
          <cell r="C3315"/>
          <cell r="D3315"/>
        </row>
        <row r="3316">
          <cell r="B3316"/>
          <cell r="C3316"/>
          <cell r="D3316"/>
        </row>
        <row r="3317">
          <cell r="B3317"/>
          <cell r="C3317"/>
          <cell r="D3317"/>
        </row>
        <row r="3318">
          <cell r="B3318"/>
          <cell r="C3318"/>
          <cell r="D3318"/>
        </row>
        <row r="3319">
          <cell r="B3319"/>
          <cell r="C3319"/>
          <cell r="D3319"/>
        </row>
        <row r="3320">
          <cell r="B3320"/>
          <cell r="C3320"/>
          <cell r="D3320"/>
        </row>
        <row r="3321">
          <cell r="B3321"/>
          <cell r="C3321"/>
          <cell r="D3321"/>
        </row>
        <row r="3322">
          <cell r="B3322"/>
          <cell r="C3322"/>
          <cell r="D3322"/>
        </row>
        <row r="3323">
          <cell r="B3323"/>
          <cell r="C3323"/>
          <cell r="D3323"/>
        </row>
        <row r="3324">
          <cell r="B3324"/>
          <cell r="C3324"/>
          <cell r="D3324"/>
        </row>
        <row r="3325">
          <cell r="B3325"/>
          <cell r="C3325"/>
          <cell r="D3325"/>
        </row>
        <row r="3326">
          <cell r="B3326"/>
          <cell r="C3326"/>
          <cell r="D3326"/>
        </row>
        <row r="3327">
          <cell r="B3327"/>
          <cell r="C3327"/>
          <cell r="D3327"/>
        </row>
        <row r="3328">
          <cell r="B3328"/>
          <cell r="C3328"/>
          <cell r="D3328"/>
        </row>
        <row r="3329">
          <cell r="B3329"/>
          <cell r="C3329"/>
          <cell r="D3329"/>
        </row>
        <row r="3330">
          <cell r="B3330"/>
          <cell r="C3330"/>
          <cell r="D3330"/>
        </row>
        <row r="3331">
          <cell r="B3331"/>
          <cell r="C3331"/>
          <cell r="D3331"/>
        </row>
        <row r="3332">
          <cell r="B3332"/>
          <cell r="C3332"/>
          <cell r="D3332"/>
        </row>
        <row r="3333">
          <cell r="B3333"/>
          <cell r="C3333"/>
          <cell r="D3333"/>
        </row>
        <row r="3334">
          <cell r="B3334"/>
          <cell r="C3334"/>
          <cell r="D3334"/>
        </row>
        <row r="3335">
          <cell r="B3335"/>
          <cell r="C3335"/>
          <cell r="D3335"/>
        </row>
        <row r="3336">
          <cell r="B3336"/>
          <cell r="C3336"/>
          <cell r="D3336"/>
        </row>
        <row r="3337">
          <cell r="B3337"/>
          <cell r="C3337"/>
          <cell r="D3337"/>
        </row>
        <row r="3338">
          <cell r="B3338"/>
          <cell r="C3338"/>
          <cell r="D3338"/>
        </row>
        <row r="3339">
          <cell r="B3339"/>
          <cell r="C3339"/>
          <cell r="D3339"/>
        </row>
        <row r="3340">
          <cell r="B3340"/>
          <cell r="C3340"/>
          <cell r="D3340"/>
        </row>
        <row r="3341">
          <cell r="B3341"/>
          <cell r="C3341"/>
          <cell r="D3341"/>
        </row>
        <row r="3342">
          <cell r="B3342"/>
          <cell r="C3342"/>
          <cell r="D3342"/>
        </row>
        <row r="3343">
          <cell r="B3343"/>
          <cell r="C3343"/>
          <cell r="D3343"/>
        </row>
        <row r="3344">
          <cell r="B3344"/>
          <cell r="C3344"/>
          <cell r="D3344"/>
        </row>
        <row r="3345">
          <cell r="B3345"/>
          <cell r="C3345"/>
          <cell r="D3345"/>
        </row>
        <row r="3346">
          <cell r="B3346"/>
          <cell r="C3346"/>
          <cell r="D3346"/>
        </row>
        <row r="3347">
          <cell r="B3347"/>
          <cell r="C3347"/>
          <cell r="D3347"/>
        </row>
        <row r="3348">
          <cell r="B3348"/>
          <cell r="C3348"/>
          <cell r="D3348"/>
        </row>
        <row r="3349">
          <cell r="B3349"/>
          <cell r="C3349"/>
          <cell r="D3349"/>
        </row>
        <row r="3350">
          <cell r="B3350"/>
          <cell r="C3350"/>
          <cell r="D3350"/>
        </row>
        <row r="3351">
          <cell r="B3351"/>
          <cell r="C3351"/>
          <cell r="D3351"/>
        </row>
        <row r="3352">
          <cell r="B3352"/>
          <cell r="C3352"/>
          <cell r="D3352"/>
        </row>
        <row r="3353">
          <cell r="B3353"/>
          <cell r="C3353"/>
          <cell r="D3353"/>
        </row>
        <row r="3354">
          <cell r="B3354"/>
          <cell r="C3354"/>
          <cell r="D3354"/>
        </row>
        <row r="3355">
          <cell r="B3355"/>
          <cell r="C3355"/>
          <cell r="D3355"/>
        </row>
        <row r="3356">
          <cell r="B3356"/>
          <cell r="C3356"/>
          <cell r="D3356"/>
        </row>
        <row r="3357">
          <cell r="B3357"/>
          <cell r="C3357"/>
          <cell r="D3357"/>
        </row>
        <row r="3358">
          <cell r="B3358"/>
          <cell r="C3358"/>
          <cell r="D3358"/>
        </row>
        <row r="3359">
          <cell r="B3359"/>
          <cell r="C3359"/>
          <cell r="D3359"/>
        </row>
        <row r="3360">
          <cell r="B3360"/>
          <cell r="C3360"/>
          <cell r="D3360"/>
        </row>
        <row r="3361">
          <cell r="B3361"/>
          <cell r="C3361"/>
          <cell r="D3361"/>
        </row>
        <row r="3362">
          <cell r="B3362"/>
          <cell r="C3362"/>
          <cell r="D3362"/>
        </row>
        <row r="3363">
          <cell r="B3363"/>
          <cell r="C3363"/>
          <cell r="D3363"/>
        </row>
        <row r="3364">
          <cell r="B3364"/>
          <cell r="C3364"/>
          <cell r="D3364"/>
        </row>
        <row r="3365">
          <cell r="B3365"/>
          <cell r="C3365"/>
          <cell r="D3365"/>
        </row>
        <row r="3366">
          <cell r="B3366"/>
          <cell r="C3366"/>
          <cell r="D3366"/>
        </row>
        <row r="3367">
          <cell r="B3367"/>
          <cell r="C3367"/>
          <cell r="D3367"/>
        </row>
        <row r="3368">
          <cell r="B3368"/>
          <cell r="C3368"/>
          <cell r="D3368"/>
        </row>
        <row r="3369">
          <cell r="B3369"/>
          <cell r="C3369"/>
          <cell r="D3369"/>
        </row>
        <row r="3370">
          <cell r="B3370"/>
          <cell r="C3370"/>
          <cell r="D3370"/>
        </row>
        <row r="3371">
          <cell r="B3371"/>
          <cell r="C3371"/>
          <cell r="D3371"/>
        </row>
        <row r="3372">
          <cell r="B3372"/>
          <cell r="C3372"/>
          <cell r="D3372"/>
        </row>
        <row r="3373">
          <cell r="B3373"/>
          <cell r="C3373"/>
          <cell r="D3373"/>
        </row>
        <row r="3374">
          <cell r="B3374"/>
          <cell r="C3374"/>
          <cell r="D3374"/>
        </row>
        <row r="3375">
          <cell r="B3375"/>
          <cell r="C3375"/>
          <cell r="D3375"/>
        </row>
        <row r="3376">
          <cell r="B3376"/>
          <cell r="C3376"/>
          <cell r="D3376"/>
        </row>
        <row r="3377">
          <cell r="B3377"/>
          <cell r="C3377"/>
          <cell r="D3377"/>
        </row>
        <row r="3378">
          <cell r="B3378"/>
          <cell r="C3378"/>
          <cell r="D3378"/>
        </row>
        <row r="3379">
          <cell r="B3379"/>
          <cell r="C3379"/>
          <cell r="D3379"/>
        </row>
        <row r="3380">
          <cell r="B3380"/>
          <cell r="C3380"/>
          <cell r="D3380"/>
        </row>
        <row r="3381">
          <cell r="B3381"/>
          <cell r="C3381"/>
          <cell r="D3381"/>
        </row>
        <row r="3382">
          <cell r="B3382"/>
          <cell r="C3382"/>
          <cell r="D3382"/>
        </row>
        <row r="3383">
          <cell r="B3383"/>
          <cell r="C3383"/>
          <cell r="D3383"/>
        </row>
        <row r="3384">
          <cell r="B3384"/>
          <cell r="C3384"/>
          <cell r="D3384"/>
        </row>
        <row r="3385">
          <cell r="B3385"/>
          <cell r="C3385"/>
          <cell r="D3385"/>
        </row>
        <row r="3386">
          <cell r="B3386"/>
          <cell r="C3386"/>
          <cell r="D3386"/>
        </row>
        <row r="3387">
          <cell r="B3387"/>
          <cell r="C3387"/>
          <cell r="D3387"/>
        </row>
        <row r="3388">
          <cell r="B3388"/>
          <cell r="C3388"/>
          <cell r="D3388"/>
        </row>
        <row r="3389">
          <cell r="B3389"/>
          <cell r="C3389"/>
          <cell r="D3389"/>
        </row>
        <row r="3390">
          <cell r="B3390"/>
          <cell r="C3390"/>
          <cell r="D3390"/>
        </row>
        <row r="3391">
          <cell r="B3391"/>
          <cell r="C3391"/>
          <cell r="D3391"/>
        </row>
        <row r="3392">
          <cell r="B3392"/>
          <cell r="C3392"/>
          <cell r="D3392"/>
        </row>
        <row r="3393">
          <cell r="B3393"/>
          <cell r="C3393"/>
          <cell r="D3393"/>
        </row>
        <row r="3394">
          <cell r="B3394"/>
          <cell r="C3394"/>
          <cell r="D3394"/>
        </row>
        <row r="3395">
          <cell r="B3395"/>
          <cell r="C3395"/>
          <cell r="D3395"/>
        </row>
        <row r="3396">
          <cell r="B3396"/>
          <cell r="C3396"/>
          <cell r="D3396"/>
        </row>
        <row r="3397">
          <cell r="B3397"/>
          <cell r="C3397"/>
          <cell r="D3397"/>
        </row>
        <row r="3398">
          <cell r="B3398"/>
          <cell r="C3398"/>
          <cell r="D3398"/>
        </row>
        <row r="3399">
          <cell r="B3399"/>
          <cell r="C3399"/>
          <cell r="D3399"/>
        </row>
        <row r="3400">
          <cell r="B3400"/>
          <cell r="C3400"/>
          <cell r="D3400"/>
        </row>
        <row r="3401">
          <cell r="B3401"/>
          <cell r="C3401"/>
          <cell r="D3401"/>
        </row>
        <row r="3402">
          <cell r="B3402"/>
          <cell r="C3402"/>
          <cell r="D3402"/>
        </row>
        <row r="3403">
          <cell r="B3403"/>
          <cell r="C3403"/>
          <cell r="D3403"/>
        </row>
        <row r="3404">
          <cell r="B3404"/>
          <cell r="C3404"/>
          <cell r="D3404"/>
        </row>
        <row r="3405">
          <cell r="B3405"/>
          <cell r="C3405"/>
          <cell r="D3405"/>
        </row>
        <row r="3406">
          <cell r="B3406"/>
          <cell r="C3406"/>
          <cell r="D3406"/>
        </row>
        <row r="3407">
          <cell r="B3407"/>
          <cell r="C3407"/>
          <cell r="D3407"/>
        </row>
        <row r="3408">
          <cell r="B3408"/>
          <cell r="C3408"/>
          <cell r="D3408"/>
        </row>
        <row r="3409">
          <cell r="B3409"/>
          <cell r="C3409"/>
          <cell r="D3409"/>
        </row>
        <row r="3410">
          <cell r="B3410"/>
          <cell r="C3410"/>
          <cell r="D3410"/>
        </row>
        <row r="3411">
          <cell r="B3411"/>
          <cell r="C3411"/>
          <cell r="D3411"/>
        </row>
        <row r="3412">
          <cell r="B3412"/>
          <cell r="C3412"/>
          <cell r="D3412"/>
        </row>
        <row r="3413">
          <cell r="B3413"/>
          <cell r="C3413"/>
          <cell r="D3413"/>
        </row>
        <row r="3414">
          <cell r="B3414"/>
          <cell r="C3414"/>
          <cell r="D3414"/>
        </row>
        <row r="3415">
          <cell r="B3415"/>
          <cell r="C3415"/>
          <cell r="D3415"/>
        </row>
        <row r="3416">
          <cell r="B3416"/>
          <cell r="C3416"/>
          <cell r="D3416"/>
        </row>
        <row r="3417">
          <cell r="B3417"/>
          <cell r="C3417"/>
          <cell r="D3417"/>
        </row>
        <row r="3418">
          <cell r="B3418"/>
          <cell r="C3418"/>
          <cell r="D3418"/>
        </row>
        <row r="3419">
          <cell r="B3419"/>
          <cell r="C3419"/>
          <cell r="D3419"/>
        </row>
        <row r="3420">
          <cell r="B3420"/>
          <cell r="C3420"/>
          <cell r="D3420"/>
        </row>
        <row r="3421">
          <cell r="B3421"/>
          <cell r="C3421"/>
          <cell r="D3421"/>
        </row>
        <row r="3422">
          <cell r="B3422"/>
          <cell r="C3422"/>
          <cell r="D3422"/>
        </row>
        <row r="3423">
          <cell r="B3423"/>
          <cell r="C3423"/>
          <cell r="D3423"/>
        </row>
        <row r="3424">
          <cell r="B3424"/>
          <cell r="C3424"/>
          <cell r="D3424"/>
        </row>
        <row r="3425">
          <cell r="B3425"/>
          <cell r="C3425"/>
          <cell r="D3425"/>
        </row>
        <row r="3426">
          <cell r="B3426"/>
          <cell r="C3426"/>
          <cell r="D3426"/>
        </row>
        <row r="3427">
          <cell r="B3427"/>
          <cell r="C3427"/>
          <cell r="D3427"/>
        </row>
        <row r="3428">
          <cell r="B3428"/>
          <cell r="C3428"/>
          <cell r="D3428"/>
        </row>
        <row r="3429">
          <cell r="B3429"/>
          <cell r="C3429"/>
          <cell r="D3429"/>
        </row>
        <row r="3430">
          <cell r="B3430"/>
          <cell r="C3430"/>
          <cell r="D3430"/>
        </row>
        <row r="3431">
          <cell r="B3431"/>
          <cell r="C3431"/>
          <cell r="D3431"/>
        </row>
        <row r="3432">
          <cell r="B3432"/>
          <cell r="C3432"/>
          <cell r="D3432"/>
        </row>
        <row r="3433">
          <cell r="B3433"/>
          <cell r="C3433"/>
          <cell r="D3433"/>
        </row>
        <row r="3434">
          <cell r="B3434"/>
          <cell r="C3434"/>
          <cell r="D3434"/>
        </row>
        <row r="3435">
          <cell r="B3435"/>
          <cell r="C3435"/>
          <cell r="D3435"/>
        </row>
        <row r="3436">
          <cell r="B3436"/>
          <cell r="C3436"/>
          <cell r="D3436"/>
        </row>
        <row r="3437">
          <cell r="B3437"/>
          <cell r="C3437"/>
          <cell r="D3437"/>
        </row>
        <row r="3438">
          <cell r="B3438"/>
          <cell r="C3438"/>
          <cell r="D3438"/>
        </row>
        <row r="3439">
          <cell r="B3439"/>
          <cell r="C3439"/>
          <cell r="D3439"/>
        </row>
        <row r="3440">
          <cell r="B3440"/>
          <cell r="C3440"/>
          <cell r="D3440"/>
        </row>
        <row r="3441">
          <cell r="B3441"/>
          <cell r="C3441"/>
          <cell r="D3441"/>
        </row>
        <row r="3442">
          <cell r="B3442"/>
          <cell r="C3442"/>
          <cell r="D3442"/>
        </row>
        <row r="3443">
          <cell r="B3443"/>
          <cell r="C3443"/>
          <cell r="D3443"/>
        </row>
        <row r="3444">
          <cell r="B3444"/>
          <cell r="C3444"/>
          <cell r="D3444"/>
        </row>
        <row r="3445">
          <cell r="B3445"/>
          <cell r="C3445"/>
          <cell r="D3445"/>
        </row>
        <row r="3446">
          <cell r="B3446"/>
          <cell r="C3446"/>
          <cell r="D3446"/>
        </row>
        <row r="3447">
          <cell r="B3447"/>
          <cell r="C3447"/>
          <cell r="D3447"/>
        </row>
        <row r="3448">
          <cell r="B3448"/>
          <cell r="C3448"/>
          <cell r="D3448"/>
        </row>
        <row r="3449">
          <cell r="B3449"/>
          <cell r="C3449"/>
          <cell r="D3449"/>
        </row>
        <row r="3450">
          <cell r="B3450"/>
          <cell r="C3450"/>
          <cell r="D3450"/>
        </row>
        <row r="3451">
          <cell r="B3451"/>
          <cell r="C3451"/>
          <cell r="D3451"/>
        </row>
        <row r="3452">
          <cell r="B3452"/>
          <cell r="C3452"/>
          <cell r="D3452"/>
        </row>
        <row r="3453">
          <cell r="B3453"/>
          <cell r="C3453"/>
          <cell r="D3453"/>
        </row>
        <row r="3454">
          <cell r="B3454"/>
          <cell r="C3454"/>
          <cell r="D3454"/>
        </row>
        <row r="3455">
          <cell r="B3455"/>
          <cell r="C3455"/>
          <cell r="D3455"/>
        </row>
        <row r="3456">
          <cell r="B3456"/>
          <cell r="C3456"/>
          <cell r="D3456"/>
        </row>
        <row r="3457">
          <cell r="B3457"/>
          <cell r="C3457"/>
          <cell r="D3457"/>
        </row>
        <row r="3458">
          <cell r="B3458"/>
          <cell r="C3458"/>
          <cell r="D3458"/>
        </row>
        <row r="3459">
          <cell r="B3459"/>
          <cell r="C3459"/>
          <cell r="D3459"/>
        </row>
        <row r="3460">
          <cell r="B3460"/>
          <cell r="C3460"/>
          <cell r="D3460"/>
        </row>
        <row r="3461">
          <cell r="B3461"/>
          <cell r="C3461"/>
          <cell r="D3461"/>
        </row>
        <row r="3462">
          <cell r="B3462"/>
          <cell r="C3462"/>
          <cell r="D3462"/>
        </row>
        <row r="3463">
          <cell r="B3463"/>
          <cell r="C3463"/>
          <cell r="D3463"/>
        </row>
        <row r="3464">
          <cell r="B3464"/>
          <cell r="C3464"/>
          <cell r="D3464"/>
        </row>
        <row r="3465">
          <cell r="B3465"/>
          <cell r="C3465"/>
          <cell r="D3465"/>
        </row>
        <row r="3466">
          <cell r="B3466"/>
          <cell r="C3466"/>
          <cell r="D3466"/>
        </row>
        <row r="3467">
          <cell r="B3467"/>
          <cell r="C3467"/>
          <cell r="D3467"/>
        </row>
        <row r="3468">
          <cell r="B3468"/>
          <cell r="C3468"/>
          <cell r="D3468"/>
        </row>
        <row r="3469">
          <cell r="B3469"/>
          <cell r="C3469"/>
          <cell r="D3469"/>
        </row>
        <row r="3470">
          <cell r="B3470"/>
          <cell r="C3470"/>
          <cell r="D3470"/>
        </row>
        <row r="3471">
          <cell r="B3471"/>
          <cell r="C3471"/>
          <cell r="D3471"/>
        </row>
        <row r="3472">
          <cell r="B3472"/>
          <cell r="C3472"/>
          <cell r="D3472"/>
        </row>
        <row r="3473">
          <cell r="B3473"/>
          <cell r="C3473"/>
          <cell r="D3473"/>
        </row>
        <row r="3474">
          <cell r="B3474"/>
          <cell r="C3474"/>
          <cell r="D3474"/>
        </row>
        <row r="3475">
          <cell r="B3475"/>
          <cell r="C3475"/>
          <cell r="D3475"/>
        </row>
        <row r="3476">
          <cell r="B3476"/>
          <cell r="C3476"/>
          <cell r="D3476"/>
        </row>
        <row r="3477">
          <cell r="B3477"/>
          <cell r="C3477"/>
          <cell r="D3477"/>
        </row>
        <row r="3478">
          <cell r="B3478"/>
          <cell r="C3478"/>
          <cell r="D3478"/>
        </row>
        <row r="3479">
          <cell r="B3479"/>
          <cell r="C3479"/>
          <cell r="D3479"/>
        </row>
        <row r="3480">
          <cell r="B3480"/>
          <cell r="C3480"/>
          <cell r="D3480"/>
        </row>
        <row r="3481">
          <cell r="B3481"/>
          <cell r="C3481"/>
          <cell r="D3481"/>
        </row>
        <row r="3482">
          <cell r="B3482"/>
          <cell r="C3482"/>
          <cell r="D3482"/>
        </row>
        <row r="3483">
          <cell r="B3483"/>
          <cell r="C3483"/>
          <cell r="D3483"/>
        </row>
        <row r="3484">
          <cell r="B3484"/>
          <cell r="C3484"/>
          <cell r="D3484"/>
        </row>
        <row r="3485">
          <cell r="B3485"/>
          <cell r="C3485"/>
          <cell r="D3485"/>
        </row>
        <row r="3486">
          <cell r="B3486"/>
          <cell r="C3486"/>
          <cell r="D3486"/>
        </row>
        <row r="3487">
          <cell r="B3487"/>
          <cell r="C3487"/>
          <cell r="D3487"/>
        </row>
        <row r="3488">
          <cell r="B3488"/>
          <cell r="C3488"/>
          <cell r="D3488"/>
        </row>
        <row r="3489">
          <cell r="B3489"/>
          <cell r="C3489"/>
          <cell r="D3489"/>
        </row>
        <row r="3490">
          <cell r="B3490"/>
          <cell r="C3490"/>
          <cell r="D3490"/>
        </row>
        <row r="3491">
          <cell r="B3491"/>
          <cell r="C3491"/>
          <cell r="D3491"/>
        </row>
        <row r="3492">
          <cell r="B3492"/>
          <cell r="C3492"/>
          <cell r="D3492"/>
        </row>
        <row r="3493">
          <cell r="B3493"/>
          <cell r="C3493"/>
          <cell r="D3493"/>
        </row>
        <row r="3494">
          <cell r="B3494"/>
          <cell r="C3494"/>
          <cell r="D3494"/>
        </row>
        <row r="3495">
          <cell r="B3495"/>
          <cell r="C3495"/>
          <cell r="D3495"/>
        </row>
        <row r="3496">
          <cell r="B3496"/>
          <cell r="C3496"/>
          <cell r="D3496"/>
        </row>
        <row r="3497">
          <cell r="B3497"/>
          <cell r="C3497"/>
          <cell r="D3497"/>
        </row>
        <row r="3498">
          <cell r="B3498"/>
          <cell r="C3498"/>
          <cell r="D3498"/>
        </row>
        <row r="3499">
          <cell r="B3499"/>
          <cell r="C3499"/>
          <cell r="D3499"/>
        </row>
        <row r="3500">
          <cell r="B3500"/>
          <cell r="C3500"/>
          <cell r="D3500"/>
        </row>
        <row r="3501">
          <cell r="B3501"/>
          <cell r="C3501"/>
          <cell r="D3501"/>
        </row>
        <row r="3502">
          <cell r="B3502"/>
          <cell r="C3502"/>
          <cell r="D3502"/>
        </row>
        <row r="3503">
          <cell r="B3503"/>
          <cell r="C3503"/>
          <cell r="D3503"/>
        </row>
        <row r="3504">
          <cell r="B3504"/>
          <cell r="C3504"/>
          <cell r="D3504"/>
        </row>
        <row r="3505">
          <cell r="B3505"/>
          <cell r="C3505"/>
          <cell r="D3505"/>
        </row>
        <row r="3506">
          <cell r="B3506"/>
          <cell r="C3506"/>
          <cell r="D3506"/>
        </row>
        <row r="3507">
          <cell r="B3507"/>
          <cell r="C3507"/>
          <cell r="D3507"/>
        </row>
        <row r="3508">
          <cell r="B3508"/>
          <cell r="C3508"/>
          <cell r="D3508"/>
        </row>
        <row r="3509">
          <cell r="B3509"/>
          <cell r="C3509"/>
          <cell r="D3509"/>
        </row>
        <row r="3510">
          <cell r="B3510"/>
          <cell r="C3510"/>
          <cell r="D3510"/>
        </row>
        <row r="3511">
          <cell r="B3511"/>
          <cell r="C3511"/>
          <cell r="D3511"/>
        </row>
        <row r="3512">
          <cell r="B3512"/>
          <cell r="C3512"/>
          <cell r="D3512"/>
        </row>
        <row r="3513">
          <cell r="B3513"/>
          <cell r="C3513"/>
          <cell r="D3513"/>
        </row>
        <row r="3514">
          <cell r="B3514"/>
          <cell r="C3514"/>
          <cell r="D3514"/>
        </row>
        <row r="3515">
          <cell r="B3515"/>
          <cell r="C3515"/>
          <cell r="D3515"/>
        </row>
        <row r="3516">
          <cell r="B3516"/>
          <cell r="C3516"/>
          <cell r="D3516"/>
        </row>
        <row r="3517">
          <cell r="B3517"/>
          <cell r="C3517"/>
          <cell r="D3517"/>
        </row>
        <row r="3518">
          <cell r="B3518"/>
          <cell r="C3518"/>
          <cell r="D3518"/>
        </row>
        <row r="3519">
          <cell r="B3519"/>
          <cell r="C3519"/>
          <cell r="D3519"/>
        </row>
        <row r="3520">
          <cell r="B3520"/>
          <cell r="C3520"/>
          <cell r="D3520"/>
        </row>
        <row r="3521">
          <cell r="B3521"/>
          <cell r="C3521"/>
          <cell r="D3521"/>
        </row>
        <row r="3522">
          <cell r="B3522"/>
          <cell r="C3522"/>
          <cell r="D3522"/>
        </row>
        <row r="3523">
          <cell r="B3523"/>
          <cell r="C3523"/>
          <cell r="D3523"/>
        </row>
        <row r="3524">
          <cell r="B3524"/>
          <cell r="C3524"/>
          <cell r="D3524"/>
        </row>
        <row r="3525">
          <cell r="B3525"/>
          <cell r="C3525"/>
          <cell r="D3525"/>
        </row>
        <row r="3526">
          <cell r="B3526"/>
          <cell r="C3526"/>
          <cell r="D3526"/>
        </row>
        <row r="3527">
          <cell r="B3527"/>
          <cell r="C3527"/>
          <cell r="D3527"/>
        </row>
        <row r="3528">
          <cell r="B3528"/>
          <cell r="C3528"/>
          <cell r="D3528"/>
        </row>
        <row r="3529">
          <cell r="B3529"/>
          <cell r="C3529"/>
          <cell r="D3529"/>
        </row>
        <row r="3530">
          <cell r="B3530"/>
          <cell r="C3530"/>
          <cell r="D3530"/>
        </row>
        <row r="3531">
          <cell r="B3531"/>
          <cell r="C3531"/>
          <cell r="D3531"/>
        </row>
        <row r="3532">
          <cell r="B3532"/>
          <cell r="C3532"/>
          <cell r="D3532"/>
        </row>
        <row r="3533">
          <cell r="B3533"/>
          <cell r="C3533"/>
          <cell r="D3533"/>
        </row>
        <row r="3534">
          <cell r="B3534"/>
          <cell r="C3534"/>
          <cell r="D3534"/>
        </row>
        <row r="3535">
          <cell r="B3535"/>
          <cell r="C3535"/>
          <cell r="D3535"/>
        </row>
        <row r="3536">
          <cell r="B3536"/>
          <cell r="C3536"/>
          <cell r="D3536"/>
        </row>
        <row r="3537">
          <cell r="B3537"/>
          <cell r="C3537"/>
          <cell r="D3537"/>
        </row>
        <row r="3538">
          <cell r="B3538"/>
          <cell r="C3538"/>
          <cell r="D3538"/>
        </row>
        <row r="3539">
          <cell r="B3539"/>
          <cell r="C3539"/>
          <cell r="D3539"/>
        </row>
        <row r="3540">
          <cell r="B3540"/>
          <cell r="C3540"/>
          <cell r="D3540"/>
        </row>
        <row r="3541">
          <cell r="B3541"/>
          <cell r="C3541"/>
          <cell r="D3541"/>
        </row>
        <row r="3542">
          <cell r="B3542"/>
          <cell r="C3542"/>
          <cell r="D3542"/>
        </row>
        <row r="3543">
          <cell r="B3543"/>
          <cell r="C3543"/>
          <cell r="D3543"/>
        </row>
        <row r="3544">
          <cell r="B3544"/>
          <cell r="C3544"/>
          <cell r="D3544"/>
        </row>
        <row r="3545">
          <cell r="B3545"/>
          <cell r="C3545"/>
          <cell r="D3545"/>
        </row>
        <row r="3546">
          <cell r="B3546"/>
          <cell r="C3546"/>
          <cell r="D3546"/>
        </row>
        <row r="3547">
          <cell r="B3547"/>
          <cell r="C3547"/>
          <cell r="D3547"/>
        </row>
        <row r="3548">
          <cell r="B3548"/>
          <cell r="C3548"/>
          <cell r="D3548"/>
        </row>
        <row r="3549">
          <cell r="B3549"/>
          <cell r="C3549"/>
          <cell r="D3549"/>
        </row>
        <row r="3550">
          <cell r="B3550"/>
          <cell r="C3550"/>
          <cell r="D3550"/>
        </row>
        <row r="3551">
          <cell r="B3551"/>
          <cell r="C3551"/>
          <cell r="D3551"/>
        </row>
        <row r="3552">
          <cell r="B3552"/>
          <cell r="C3552"/>
          <cell r="D3552"/>
        </row>
        <row r="3553">
          <cell r="B3553"/>
          <cell r="C3553"/>
          <cell r="D3553"/>
        </row>
        <row r="3554">
          <cell r="B3554"/>
          <cell r="C3554"/>
          <cell r="D3554"/>
        </row>
        <row r="3555">
          <cell r="B3555"/>
          <cell r="C3555"/>
          <cell r="D3555"/>
        </row>
        <row r="3556">
          <cell r="B3556"/>
          <cell r="C3556"/>
          <cell r="D3556"/>
        </row>
        <row r="3557">
          <cell r="B3557"/>
          <cell r="C3557"/>
          <cell r="D3557"/>
        </row>
        <row r="3558">
          <cell r="B3558"/>
          <cell r="C3558"/>
          <cell r="D3558"/>
        </row>
        <row r="3559">
          <cell r="B3559"/>
          <cell r="C3559"/>
          <cell r="D3559"/>
        </row>
        <row r="3560">
          <cell r="B3560"/>
          <cell r="C3560"/>
          <cell r="D3560"/>
        </row>
        <row r="3561">
          <cell r="B3561"/>
          <cell r="C3561"/>
          <cell r="D3561"/>
        </row>
        <row r="3562">
          <cell r="B3562"/>
          <cell r="C3562"/>
          <cell r="D3562"/>
        </row>
        <row r="3563">
          <cell r="B3563"/>
          <cell r="C3563"/>
          <cell r="D3563"/>
        </row>
        <row r="3564">
          <cell r="B3564"/>
          <cell r="C3564"/>
          <cell r="D3564"/>
        </row>
        <row r="3565">
          <cell r="B3565"/>
          <cell r="C3565"/>
          <cell r="D3565"/>
        </row>
        <row r="3566">
          <cell r="B3566"/>
          <cell r="C3566"/>
          <cell r="D3566"/>
        </row>
        <row r="3567">
          <cell r="B3567"/>
          <cell r="C3567"/>
          <cell r="D3567"/>
        </row>
        <row r="3568">
          <cell r="B3568"/>
          <cell r="C3568"/>
          <cell r="D3568"/>
        </row>
        <row r="3569">
          <cell r="B3569"/>
          <cell r="C3569"/>
          <cell r="D3569"/>
        </row>
        <row r="3570">
          <cell r="B3570"/>
          <cell r="C3570"/>
          <cell r="D3570"/>
        </row>
        <row r="3571">
          <cell r="B3571"/>
          <cell r="C3571"/>
          <cell r="D3571"/>
        </row>
        <row r="3572">
          <cell r="B3572"/>
          <cell r="C3572"/>
          <cell r="D3572"/>
        </row>
        <row r="3573">
          <cell r="B3573"/>
          <cell r="C3573"/>
          <cell r="D3573"/>
        </row>
        <row r="3574">
          <cell r="B3574"/>
          <cell r="C3574"/>
          <cell r="D3574"/>
        </row>
        <row r="3575">
          <cell r="B3575"/>
          <cell r="C3575"/>
          <cell r="D3575"/>
        </row>
        <row r="3576">
          <cell r="B3576"/>
          <cell r="C3576"/>
          <cell r="D3576"/>
        </row>
        <row r="3577">
          <cell r="B3577"/>
          <cell r="C3577"/>
          <cell r="D3577"/>
        </row>
        <row r="3578">
          <cell r="B3578"/>
          <cell r="C3578"/>
          <cell r="D3578"/>
        </row>
        <row r="3579">
          <cell r="B3579"/>
          <cell r="C3579"/>
          <cell r="D3579"/>
        </row>
        <row r="3580">
          <cell r="B3580"/>
          <cell r="C3580"/>
          <cell r="D3580"/>
        </row>
        <row r="3581">
          <cell r="B3581"/>
          <cell r="C3581"/>
          <cell r="D3581"/>
        </row>
        <row r="3582">
          <cell r="B3582"/>
          <cell r="C3582"/>
          <cell r="D3582"/>
        </row>
        <row r="3583">
          <cell r="B3583"/>
          <cell r="C3583"/>
          <cell r="D3583"/>
        </row>
        <row r="3584">
          <cell r="B3584"/>
          <cell r="C3584"/>
          <cell r="D3584"/>
        </row>
        <row r="3585">
          <cell r="B3585"/>
          <cell r="C3585"/>
          <cell r="D3585"/>
        </row>
        <row r="3586">
          <cell r="B3586"/>
          <cell r="C3586"/>
          <cell r="D3586"/>
        </row>
        <row r="3587">
          <cell r="B3587"/>
          <cell r="C3587"/>
          <cell r="D3587"/>
        </row>
        <row r="3588">
          <cell r="B3588"/>
          <cell r="C3588"/>
          <cell r="D3588"/>
        </row>
        <row r="3589">
          <cell r="B3589"/>
          <cell r="C3589"/>
          <cell r="D3589"/>
        </row>
        <row r="3590">
          <cell r="B3590"/>
          <cell r="C3590"/>
          <cell r="D3590"/>
        </row>
        <row r="3591">
          <cell r="B3591"/>
          <cell r="C3591"/>
          <cell r="D3591"/>
        </row>
        <row r="3592">
          <cell r="B3592"/>
          <cell r="C3592"/>
          <cell r="D3592"/>
        </row>
        <row r="3593">
          <cell r="B3593"/>
          <cell r="C3593"/>
          <cell r="D3593"/>
        </row>
        <row r="3594">
          <cell r="B3594"/>
          <cell r="C3594"/>
          <cell r="D3594"/>
        </row>
        <row r="3595">
          <cell r="B3595"/>
          <cell r="C3595"/>
          <cell r="D3595"/>
        </row>
        <row r="3596">
          <cell r="B3596"/>
          <cell r="C3596"/>
          <cell r="D3596"/>
        </row>
        <row r="3597">
          <cell r="B3597"/>
          <cell r="C3597"/>
          <cell r="D3597"/>
        </row>
        <row r="3598">
          <cell r="B3598"/>
          <cell r="C3598"/>
          <cell r="D3598"/>
        </row>
        <row r="3599">
          <cell r="B3599"/>
          <cell r="C3599"/>
          <cell r="D3599"/>
        </row>
        <row r="3600">
          <cell r="B3600"/>
          <cell r="C3600"/>
          <cell r="D3600"/>
        </row>
        <row r="3601">
          <cell r="B3601"/>
          <cell r="C3601"/>
          <cell r="D3601"/>
        </row>
        <row r="3602">
          <cell r="B3602"/>
          <cell r="C3602"/>
          <cell r="D3602"/>
        </row>
        <row r="3603">
          <cell r="B3603"/>
          <cell r="C3603"/>
          <cell r="D3603"/>
        </row>
        <row r="3604">
          <cell r="B3604"/>
          <cell r="C3604"/>
          <cell r="D3604"/>
        </row>
        <row r="3605">
          <cell r="B3605"/>
          <cell r="C3605"/>
          <cell r="D3605"/>
        </row>
        <row r="3606">
          <cell r="B3606"/>
          <cell r="C3606"/>
          <cell r="D3606"/>
        </row>
        <row r="3607">
          <cell r="B3607"/>
          <cell r="C3607"/>
          <cell r="D3607"/>
        </row>
        <row r="3608">
          <cell r="B3608"/>
          <cell r="C3608"/>
          <cell r="D3608"/>
        </row>
        <row r="3609">
          <cell r="B3609"/>
          <cell r="C3609"/>
          <cell r="D3609"/>
        </row>
        <row r="3610">
          <cell r="B3610"/>
          <cell r="C3610"/>
          <cell r="D3610"/>
        </row>
        <row r="3611">
          <cell r="B3611"/>
          <cell r="C3611"/>
          <cell r="D3611"/>
        </row>
        <row r="3612">
          <cell r="B3612"/>
          <cell r="C3612"/>
          <cell r="D3612"/>
        </row>
        <row r="3613">
          <cell r="B3613"/>
          <cell r="C3613"/>
          <cell r="D3613"/>
        </row>
        <row r="3614">
          <cell r="B3614"/>
          <cell r="C3614"/>
          <cell r="D3614"/>
        </row>
        <row r="3615">
          <cell r="B3615"/>
          <cell r="C3615"/>
          <cell r="D3615"/>
        </row>
        <row r="3616">
          <cell r="B3616"/>
          <cell r="C3616"/>
          <cell r="D3616"/>
        </row>
        <row r="3617">
          <cell r="B3617"/>
          <cell r="C3617"/>
          <cell r="D3617"/>
        </row>
        <row r="3618">
          <cell r="B3618"/>
          <cell r="C3618"/>
          <cell r="D3618"/>
        </row>
        <row r="3619">
          <cell r="B3619"/>
          <cell r="C3619"/>
          <cell r="D3619"/>
        </row>
        <row r="3620">
          <cell r="B3620"/>
          <cell r="C3620"/>
          <cell r="D3620"/>
        </row>
        <row r="3621">
          <cell r="B3621"/>
          <cell r="C3621"/>
          <cell r="D3621"/>
        </row>
        <row r="3622">
          <cell r="B3622"/>
          <cell r="C3622"/>
          <cell r="D3622"/>
        </row>
        <row r="3623">
          <cell r="B3623"/>
          <cell r="C3623"/>
          <cell r="D3623"/>
        </row>
        <row r="3624">
          <cell r="B3624"/>
          <cell r="C3624"/>
          <cell r="D3624"/>
        </row>
        <row r="3625">
          <cell r="B3625"/>
          <cell r="C3625"/>
          <cell r="D3625"/>
        </row>
        <row r="3626">
          <cell r="B3626"/>
          <cell r="C3626"/>
          <cell r="D3626"/>
        </row>
        <row r="3627">
          <cell r="B3627"/>
          <cell r="C3627"/>
          <cell r="D3627"/>
        </row>
        <row r="3628">
          <cell r="B3628"/>
          <cell r="C3628"/>
          <cell r="D3628"/>
        </row>
        <row r="3629">
          <cell r="B3629"/>
          <cell r="C3629"/>
          <cell r="D3629"/>
        </row>
        <row r="3630">
          <cell r="B3630"/>
          <cell r="C3630"/>
          <cell r="D3630"/>
        </row>
        <row r="3631">
          <cell r="B3631"/>
          <cell r="C3631"/>
          <cell r="D3631"/>
        </row>
        <row r="3632">
          <cell r="B3632"/>
          <cell r="C3632"/>
          <cell r="D3632"/>
        </row>
        <row r="3633">
          <cell r="B3633"/>
          <cell r="C3633"/>
          <cell r="D3633"/>
        </row>
        <row r="3634">
          <cell r="B3634"/>
          <cell r="C3634"/>
          <cell r="D3634"/>
        </row>
        <row r="3635">
          <cell r="B3635"/>
          <cell r="C3635"/>
          <cell r="D3635"/>
        </row>
        <row r="3636">
          <cell r="B3636"/>
          <cell r="C3636"/>
          <cell r="D3636"/>
        </row>
        <row r="3637">
          <cell r="B3637"/>
          <cell r="C3637"/>
          <cell r="D3637"/>
        </row>
        <row r="3638">
          <cell r="B3638"/>
          <cell r="C3638"/>
          <cell r="D3638"/>
        </row>
        <row r="3639">
          <cell r="B3639"/>
          <cell r="C3639"/>
          <cell r="D3639"/>
        </row>
        <row r="3640">
          <cell r="B3640"/>
          <cell r="C3640"/>
          <cell r="D3640"/>
        </row>
        <row r="3641">
          <cell r="B3641"/>
          <cell r="C3641"/>
          <cell r="D3641"/>
        </row>
        <row r="3642">
          <cell r="B3642"/>
          <cell r="C3642"/>
          <cell r="D3642"/>
        </row>
        <row r="3643">
          <cell r="B3643"/>
          <cell r="C3643"/>
          <cell r="D3643"/>
        </row>
        <row r="3644">
          <cell r="B3644"/>
          <cell r="C3644"/>
          <cell r="D3644"/>
        </row>
        <row r="3645">
          <cell r="B3645"/>
          <cell r="C3645"/>
          <cell r="D3645"/>
        </row>
        <row r="3646">
          <cell r="B3646"/>
          <cell r="C3646"/>
          <cell r="D3646"/>
        </row>
        <row r="3647">
          <cell r="B3647"/>
          <cell r="C3647"/>
          <cell r="D3647"/>
        </row>
        <row r="3648">
          <cell r="B3648"/>
          <cell r="C3648"/>
          <cell r="D3648"/>
        </row>
        <row r="3649">
          <cell r="B3649"/>
          <cell r="C3649"/>
          <cell r="D3649"/>
        </row>
        <row r="3650">
          <cell r="B3650"/>
          <cell r="C3650"/>
          <cell r="D3650"/>
        </row>
        <row r="3651">
          <cell r="B3651"/>
          <cell r="C3651"/>
          <cell r="D3651"/>
        </row>
        <row r="3652">
          <cell r="B3652"/>
          <cell r="C3652"/>
          <cell r="D3652"/>
        </row>
        <row r="3653">
          <cell r="B3653"/>
          <cell r="C3653"/>
          <cell r="D3653"/>
        </row>
        <row r="3654">
          <cell r="B3654"/>
          <cell r="C3654"/>
          <cell r="D3654"/>
        </row>
        <row r="3655">
          <cell r="B3655"/>
          <cell r="C3655"/>
          <cell r="D3655"/>
        </row>
        <row r="3656">
          <cell r="B3656"/>
          <cell r="C3656"/>
          <cell r="D3656"/>
        </row>
        <row r="3657">
          <cell r="B3657"/>
          <cell r="C3657"/>
          <cell r="D3657"/>
        </row>
        <row r="3658">
          <cell r="B3658"/>
          <cell r="C3658"/>
          <cell r="D3658"/>
        </row>
        <row r="3659">
          <cell r="B3659"/>
          <cell r="C3659"/>
          <cell r="D3659"/>
        </row>
        <row r="3660">
          <cell r="B3660"/>
          <cell r="C3660"/>
          <cell r="D3660"/>
        </row>
        <row r="3661">
          <cell r="B3661"/>
          <cell r="C3661"/>
          <cell r="D3661"/>
        </row>
        <row r="3662">
          <cell r="B3662"/>
          <cell r="C3662"/>
          <cell r="D3662"/>
        </row>
        <row r="3663">
          <cell r="B3663"/>
          <cell r="C3663"/>
          <cell r="D3663"/>
        </row>
        <row r="3664">
          <cell r="B3664"/>
          <cell r="C3664"/>
          <cell r="D3664"/>
        </row>
        <row r="3665">
          <cell r="B3665"/>
          <cell r="C3665"/>
          <cell r="D3665"/>
        </row>
        <row r="3666">
          <cell r="B3666"/>
          <cell r="C3666"/>
          <cell r="D3666"/>
        </row>
        <row r="3667">
          <cell r="B3667"/>
          <cell r="C3667"/>
          <cell r="D3667"/>
        </row>
        <row r="3668">
          <cell r="B3668"/>
          <cell r="C3668"/>
          <cell r="D3668"/>
        </row>
        <row r="3669">
          <cell r="B3669"/>
          <cell r="C3669"/>
          <cell r="D3669"/>
        </row>
        <row r="3670">
          <cell r="B3670"/>
          <cell r="C3670"/>
          <cell r="D3670"/>
        </row>
        <row r="3671">
          <cell r="B3671"/>
          <cell r="C3671"/>
          <cell r="D3671"/>
        </row>
        <row r="3672">
          <cell r="B3672"/>
          <cell r="C3672"/>
          <cell r="D3672"/>
        </row>
        <row r="3673">
          <cell r="B3673"/>
          <cell r="C3673"/>
          <cell r="D3673"/>
        </row>
        <row r="3674">
          <cell r="B3674"/>
          <cell r="C3674"/>
          <cell r="D3674"/>
        </row>
        <row r="3675">
          <cell r="B3675"/>
          <cell r="C3675"/>
          <cell r="D3675"/>
        </row>
        <row r="3676">
          <cell r="B3676"/>
          <cell r="C3676"/>
          <cell r="D3676"/>
        </row>
        <row r="3677">
          <cell r="B3677"/>
          <cell r="C3677"/>
          <cell r="D3677"/>
        </row>
        <row r="3678">
          <cell r="B3678"/>
          <cell r="C3678"/>
          <cell r="D3678"/>
        </row>
        <row r="3679">
          <cell r="B3679"/>
          <cell r="C3679"/>
          <cell r="D3679"/>
        </row>
        <row r="3680">
          <cell r="B3680"/>
          <cell r="C3680"/>
          <cell r="D3680"/>
        </row>
        <row r="3681">
          <cell r="B3681"/>
          <cell r="C3681"/>
          <cell r="D3681"/>
        </row>
        <row r="3682">
          <cell r="B3682"/>
          <cell r="C3682"/>
          <cell r="D3682"/>
        </row>
        <row r="3683">
          <cell r="B3683"/>
          <cell r="C3683"/>
          <cell r="D3683"/>
        </row>
        <row r="3684">
          <cell r="B3684"/>
          <cell r="C3684"/>
          <cell r="D3684"/>
        </row>
        <row r="3685">
          <cell r="B3685"/>
          <cell r="C3685"/>
          <cell r="D3685"/>
        </row>
        <row r="3686">
          <cell r="B3686"/>
          <cell r="C3686"/>
          <cell r="D3686"/>
        </row>
        <row r="3687">
          <cell r="B3687"/>
          <cell r="C3687"/>
          <cell r="D3687"/>
        </row>
        <row r="3688">
          <cell r="B3688"/>
          <cell r="C3688"/>
          <cell r="D3688"/>
        </row>
        <row r="3689">
          <cell r="B3689"/>
          <cell r="C3689"/>
          <cell r="D3689"/>
        </row>
        <row r="3690">
          <cell r="B3690"/>
          <cell r="C3690"/>
          <cell r="D3690"/>
        </row>
        <row r="3691">
          <cell r="B3691"/>
          <cell r="C3691"/>
          <cell r="D3691"/>
        </row>
        <row r="3692">
          <cell r="B3692"/>
          <cell r="C3692"/>
          <cell r="D3692"/>
        </row>
        <row r="3693">
          <cell r="B3693"/>
          <cell r="C3693"/>
          <cell r="D3693"/>
        </row>
        <row r="3694">
          <cell r="B3694"/>
          <cell r="C3694"/>
          <cell r="D3694"/>
        </row>
        <row r="3695">
          <cell r="B3695"/>
          <cell r="C3695"/>
          <cell r="D3695"/>
        </row>
        <row r="3696">
          <cell r="B3696"/>
          <cell r="C3696"/>
          <cell r="D3696"/>
        </row>
        <row r="3697">
          <cell r="B3697"/>
          <cell r="C3697"/>
          <cell r="D3697"/>
        </row>
        <row r="3698">
          <cell r="B3698"/>
          <cell r="C3698"/>
          <cell r="D3698"/>
        </row>
        <row r="3699">
          <cell r="B3699"/>
          <cell r="C3699"/>
          <cell r="D3699"/>
        </row>
        <row r="3700">
          <cell r="B3700"/>
          <cell r="C3700"/>
          <cell r="D3700"/>
        </row>
        <row r="3701">
          <cell r="B3701"/>
          <cell r="C3701"/>
          <cell r="D3701"/>
        </row>
        <row r="3702">
          <cell r="B3702"/>
          <cell r="C3702"/>
          <cell r="D3702"/>
        </row>
        <row r="3703">
          <cell r="B3703"/>
          <cell r="C3703"/>
          <cell r="D3703"/>
        </row>
        <row r="3704">
          <cell r="B3704"/>
          <cell r="C3704"/>
          <cell r="D3704"/>
        </row>
        <row r="3705">
          <cell r="B3705"/>
          <cell r="C3705"/>
          <cell r="D3705"/>
        </row>
        <row r="3706">
          <cell r="B3706"/>
          <cell r="C3706"/>
          <cell r="D3706"/>
        </row>
        <row r="3707">
          <cell r="B3707"/>
          <cell r="C3707"/>
          <cell r="D3707"/>
        </row>
        <row r="3708">
          <cell r="B3708"/>
          <cell r="C3708"/>
          <cell r="D3708"/>
        </row>
        <row r="3709">
          <cell r="B3709"/>
          <cell r="C3709"/>
          <cell r="D3709"/>
        </row>
        <row r="3710">
          <cell r="B3710"/>
          <cell r="C3710"/>
          <cell r="D3710"/>
        </row>
        <row r="3711">
          <cell r="B3711"/>
          <cell r="C3711"/>
          <cell r="D3711"/>
        </row>
        <row r="3712">
          <cell r="B3712"/>
          <cell r="C3712"/>
          <cell r="D3712"/>
        </row>
        <row r="3713">
          <cell r="B3713"/>
          <cell r="C3713"/>
          <cell r="D3713"/>
        </row>
        <row r="3714">
          <cell r="B3714"/>
          <cell r="C3714"/>
          <cell r="D3714"/>
        </row>
        <row r="3715">
          <cell r="B3715"/>
          <cell r="C3715"/>
          <cell r="D3715"/>
        </row>
        <row r="3716">
          <cell r="B3716"/>
          <cell r="C3716"/>
          <cell r="D3716"/>
        </row>
        <row r="3717">
          <cell r="B3717"/>
          <cell r="C3717"/>
          <cell r="D3717"/>
        </row>
        <row r="3718">
          <cell r="B3718"/>
          <cell r="C3718"/>
          <cell r="D3718"/>
        </row>
        <row r="3719">
          <cell r="B3719"/>
          <cell r="C3719"/>
          <cell r="D3719"/>
        </row>
        <row r="3720">
          <cell r="B3720"/>
          <cell r="C3720"/>
          <cell r="D3720"/>
        </row>
        <row r="3721">
          <cell r="B3721"/>
          <cell r="C3721"/>
          <cell r="D3721"/>
        </row>
        <row r="3722">
          <cell r="B3722"/>
          <cell r="C3722"/>
          <cell r="D3722"/>
        </row>
        <row r="3723">
          <cell r="B3723"/>
          <cell r="C3723"/>
          <cell r="D3723"/>
        </row>
        <row r="3724">
          <cell r="B3724"/>
          <cell r="C3724"/>
          <cell r="D3724"/>
        </row>
        <row r="3725">
          <cell r="B3725"/>
          <cell r="C3725"/>
          <cell r="D3725"/>
        </row>
        <row r="3726">
          <cell r="B3726"/>
          <cell r="C3726"/>
          <cell r="D3726"/>
        </row>
        <row r="3727">
          <cell r="B3727"/>
          <cell r="C3727"/>
          <cell r="D3727"/>
        </row>
        <row r="3728">
          <cell r="B3728"/>
          <cell r="C3728"/>
          <cell r="D3728"/>
        </row>
        <row r="3729">
          <cell r="B3729"/>
          <cell r="C3729"/>
          <cell r="D3729"/>
        </row>
        <row r="3730">
          <cell r="B3730"/>
          <cell r="C3730"/>
          <cell r="D3730"/>
        </row>
        <row r="3731">
          <cell r="B3731"/>
          <cell r="C3731"/>
          <cell r="D3731"/>
        </row>
        <row r="3732">
          <cell r="B3732"/>
          <cell r="C3732"/>
          <cell r="D3732"/>
        </row>
        <row r="3733">
          <cell r="B3733"/>
          <cell r="C3733"/>
          <cell r="D3733"/>
        </row>
        <row r="3734">
          <cell r="B3734"/>
          <cell r="C3734"/>
          <cell r="D3734"/>
        </row>
        <row r="3735">
          <cell r="B3735"/>
          <cell r="C3735"/>
          <cell r="D3735"/>
        </row>
        <row r="3736">
          <cell r="B3736"/>
          <cell r="C3736"/>
          <cell r="D3736"/>
        </row>
        <row r="3737">
          <cell r="B3737"/>
          <cell r="C3737"/>
          <cell r="D3737"/>
        </row>
        <row r="3738">
          <cell r="B3738"/>
          <cell r="C3738"/>
          <cell r="D3738"/>
        </row>
        <row r="3739">
          <cell r="B3739"/>
          <cell r="C3739"/>
          <cell r="D3739"/>
        </row>
        <row r="3740">
          <cell r="B3740"/>
          <cell r="C3740"/>
          <cell r="D3740"/>
        </row>
        <row r="3741">
          <cell r="B3741"/>
          <cell r="C3741"/>
          <cell r="D3741"/>
        </row>
        <row r="3742">
          <cell r="B3742"/>
          <cell r="C3742"/>
          <cell r="D3742"/>
        </row>
        <row r="3743">
          <cell r="B3743"/>
          <cell r="C3743"/>
          <cell r="D3743"/>
        </row>
        <row r="3744">
          <cell r="B3744"/>
          <cell r="C3744"/>
          <cell r="D3744"/>
        </row>
        <row r="3745">
          <cell r="B3745"/>
          <cell r="C3745"/>
          <cell r="D3745"/>
        </row>
        <row r="3746">
          <cell r="B3746"/>
          <cell r="C3746"/>
          <cell r="D3746"/>
        </row>
        <row r="3747">
          <cell r="B3747"/>
          <cell r="C3747"/>
          <cell r="D3747"/>
        </row>
        <row r="3748">
          <cell r="B3748"/>
          <cell r="C3748"/>
          <cell r="D3748"/>
        </row>
        <row r="3749">
          <cell r="B3749"/>
          <cell r="C3749"/>
          <cell r="D3749"/>
        </row>
        <row r="3750">
          <cell r="B3750"/>
          <cell r="C3750"/>
          <cell r="D3750"/>
        </row>
        <row r="3751">
          <cell r="B3751"/>
          <cell r="C3751"/>
          <cell r="D3751"/>
        </row>
        <row r="3752">
          <cell r="B3752"/>
          <cell r="C3752"/>
          <cell r="D3752"/>
        </row>
        <row r="3753">
          <cell r="B3753"/>
          <cell r="C3753"/>
          <cell r="D3753"/>
        </row>
        <row r="3754">
          <cell r="B3754"/>
          <cell r="C3754"/>
          <cell r="D3754"/>
        </row>
        <row r="3755">
          <cell r="B3755"/>
          <cell r="C3755"/>
          <cell r="D3755"/>
        </row>
        <row r="3756">
          <cell r="B3756"/>
          <cell r="C3756"/>
          <cell r="D3756"/>
        </row>
        <row r="3757">
          <cell r="B3757"/>
          <cell r="C3757"/>
          <cell r="D3757"/>
        </row>
        <row r="3758">
          <cell r="B3758"/>
          <cell r="C3758"/>
          <cell r="D3758"/>
        </row>
        <row r="3759">
          <cell r="B3759"/>
          <cell r="C3759"/>
          <cell r="D3759"/>
        </row>
        <row r="3760">
          <cell r="B3760"/>
          <cell r="C3760"/>
          <cell r="D3760"/>
        </row>
        <row r="3761">
          <cell r="B3761"/>
          <cell r="C3761"/>
          <cell r="D3761"/>
        </row>
        <row r="3762">
          <cell r="B3762"/>
          <cell r="C3762"/>
          <cell r="D3762"/>
        </row>
        <row r="3763">
          <cell r="B3763"/>
          <cell r="C3763"/>
          <cell r="D3763"/>
        </row>
        <row r="3764">
          <cell r="B3764"/>
          <cell r="C3764"/>
          <cell r="D3764"/>
        </row>
        <row r="3765">
          <cell r="B3765"/>
          <cell r="C3765"/>
          <cell r="D3765"/>
        </row>
        <row r="3766">
          <cell r="B3766"/>
          <cell r="C3766"/>
          <cell r="D3766"/>
        </row>
        <row r="3767">
          <cell r="B3767"/>
          <cell r="C3767"/>
          <cell r="D3767"/>
        </row>
        <row r="3768">
          <cell r="B3768"/>
          <cell r="C3768"/>
          <cell r="D3768"/>
        </row>
        <row r="3769">
          <cell r="B3769"/>
          <cell r="C3769"/>
          <cell r="D3769"/>
        </row>
        <row r="3770">
          <cell r="B3770"/>
          <cell r="C3770"/>
          <cell r="D3770"/>
        </row>
        <row r="3771">
          <cell r="B3771"/>
          <cell r="C3771"/>
          <cell r="D3771"/>
        </row>
        <row r="3772">
          <cell r="B3772"/>
          <cell r="C3772"/>
          <cell r="D3772"/>
        </row>
        <row r="3773">
          <cell r="B3773"/>
          <cell r="C3773"/>
          <cell r="D3773"/>
        </row>
        <row r="3774">
          <cell r="B3774"/>
          <cell r="C3774"/>
          <cell r="D3774"/>
        </row>
        <row r="3775">
          <cell r="B3775"/>
          <cell r="C3775"/>
          <cell r="D3775"/>
        </row>
        <row r="3776">
          <cell r="B3776"/>
          <cell r="C3776"/>
          <cell r="D3776"/>
        </row>
        <row r="3777">
          <cell r="B3777"/>
          <cell r="C3777"/>
          <cell r="D3777"/>
        </row>
        <row r="3778">
          <cell r="B3778"/>
          <cell r="C3778"/>
          <cell r="D3778"/>
        </row>
        <row r="3779">
          <cell r="B3779"/>
          <cell r="C3779"/>
          <cell r="D3779"/>
        </row>
        <row r="3780">
          <cell r="B3780"/>
          <cell r="C3780"/>
          <cell r="D3780"/>
        </row>
        <row r="3781">
          <cell r="B3781"/>
          <cell r="C3781"/>
          <cell r="D3781"/>
        </row>
        <row r="3782">
          <cell r="B3782"/>
          <cell r="C3782"/>
          <cell r="D3782"/>
        </row>
        <row r="3783">
          <cell r="B3783"/>
          <cell r="C3783"/>
          <cell r="D3783"/>
        </row>
        <row r="3784">
          <cell r="B3784"/>
          <cell r="C3784"/>
          <cell r="D3784"/>
        </row>
        <row r="3785">
          <cell r="B3785"/>
          <cell r="C3785"/>
          <cell r="D3785"/>
        </row>
        <row r="3786">
          <cell r="B3786"/>
          <cell r="C3786"/>
          <cell r="D3786"/>
        </row>
        <row r="3787">
          <cell r="B3787"/>
          <cell r="C3787"/>
          <cell r="D3787"/>
        </row>
        <row r="3788">
          <cell r="B3788"/>
          <cell r="C3788"/>
          <cell r="D3788"/>
        </row>
        <row r="3789">
          <cell r="B3789"/>
          <cell r="C3789"/>
          <cell r="D3789"/>
        </row>
        <row r="3790">
          <cell r="B3790"/>
          <cell r="C3790"/>
          <cell r="D3790"/>
        </row>
        <row r="3791">
          <cell r="B3791"/>
          <cell r="C3791"/>
          <cell r="D3791"/>
        </row>
        <row r="3792">
          <cell r="B3792"/>
          <cell r="C3792"/>
          <cell r="D3792"/>
        </row>
        <row r="3793">
          <cell r="B3793"/>
          <cell r="C3793"/>
          <cell r="D3793"/>
        </row>
        <row r="3794">
          <cell r="B3794"/>
          <cell r="C3794"/>
          <cell r="D3794"/>
        </row>
        <row r="3795">
          <cell r="B3795"/>
          <cell r="C3795"/>
          <cell r="D3795"/>
        </row>
        <row r="3796">
          <cell r="B3796"/>
          <cell r="C3796"/>
          <cell r="D3796"/>
        </row>
        <row r="3797">
          <cell r="B3797"/>
          <cell r="C3797"/>
          <cell r="D3797"/>
        </row>
        <row r="3798">
          <cell r="B3798"/>
          <cell r="C3798"/>
          <cell r="D3798"/>
        </row>
        <row r="3799">
          <cell r="B3799"/>
          <cell r="C3799"/>
          <cell r="D3799"/>
        </row>
        <row r="3800">
          <cell r="B3800"/>
          <cell r="C3800"/>
          <cell r="D3800"/>
        </row>
        <row r="3801">
          <cell r="B3801"/>
          <cell r="C3801"/>
          <cell r="D3801"/>
        </row>
        <row r="3802">
          <cell r="B3802"/>
          <cell r="C3802"/>
          <cell r="D3802"/>
        </row>
        <row r="3803">
          <cell r="B3803"/>
          <cell r="C3803"/>
          <cell r="D3803"/>
        </row>
        <row r="3804">
          <cell r="B3804"/>
          <cell r="C3804"/>
          <cell r="D3804"/>
        </row>
        <row r="3805">
          <cell r="B3805"/>
          <cell r="C3805"/>
          <cell r="D3805"/>
        </row>
        <row r="3806">
          <cell r="B3806"/>
          <cell r="C3806"/>
          <cell r="D3806"/>
        </row>
        <row r="3807">
          <cell r="B3807"/>
          <cell r="C3807"/>
          <cell r="D3807"/>
        </row>
        <row r="3808">
          <cell r="B3808"/>
          <cell r="C3808"/>
          <cell r="D3808"/>
        </row>
        <row r="3809">
          <cell r="B3809"/>
          <cell r="C3809"/>
          <cell r="D3809"/>
        </row>
        <row r="3810">
          <cell r="B3810"/>
          <cell r="C3810"/>
          <cell r="D3810"/>
        </row>
        <row r="3811">
          <cell r="B3811"/>
          <cell r="C3811"/>
          <cell r="D3811"/>
        </row>
        <row r="3812">
          <cell r="B3812"/>
          <cell r="C3812"/>
          <cell r="D3812"/>
        </row>
        <row r="3813">
          <cell r="B3813"/>
          <cell r="C3813"/>
          <cell r="D3813"/>
        </row>
        <row r="3814">
          <cell r="B3814"/>
          <cell r="C3814"/>
          <cell r="D3814"/>
        </row>
        <row r="3815">
          <cell r="B3815"/>
          <cell r="C3815"/>
          <cell r="D3815"/>
        </row>
        <row r="3816">
          <cell r="B3816"/>
          <cell r="C3816"/>
          <cell r="D3816"/>
        </row>
        <row r="3817">
          <cell r="B3817"/>
          <cell r="C3817"/>
          <cell r="D3817"/>
        </row>
        <row r="3818">
          <cell r="B3818"/>
          <cell r="C3818"/>
          <cell r="D3818"/>
        </row>
        <row r="3819">
          <cell r="B3819"/>
          <cell r="C3819"/>
          <cell r="D3819"/>
        </row>
        <row r="3820">
          <cell r="B3820"/>
          <cell r="C3820"/>
          <cell r="D3820"/>
        </row>
        <row r="3821">
          <cell r="B3821"/>
          <cell r="C3821"/>
          <cell r="D3821"/>
        </row>
        <row r="3822">
          <cell r="B3822"/>
          <cell r="C3822"/>
          <cell r="D3822"/>
        </row>
        <row r="3823">
          <cell r="B3823"/>
          <cell r="C3823"/>
          <cell r="D3823"/>
        </row>
        <row r="3824">
          <cell r="B3824"/>
          <cell r="C3824"/>
          <cell r="D3824"/>
        </row>
        <row r="3825">
          <cell r="B3825"/>
          <cell r="C3825"/>
          <cell r="D3825"/>
        </row>
        <row r="3826">
          <cell r="B3826"/>
          <cell r="C3826"/>
          <cell r="D3826"/>
        </row>
        <row r="3827">
          <cell r="B3827"/>
          <cell r="C3827"/>
          <cell r="D3827"/>
        </row>
        <row r="3828">
          <cell r="B3828"/>
          <cell r="C3828"/>
          <cell r="D3828"/>
        </row>
        <row r="3829">
          <cell r="B3829"/>
          <cell r="C3829"/>
          <cell r="D3829"/>
        </row>
        <row r="3830">
          <cell r="B3830"/>
          <cell r="C3830"/>
          <cell r="D3830"/>
        </row>
        <row r="3831">
          <cell r="B3831"/>
          <cell r="C3831"/>
          <cell r="D3831"/>
        </row>
        <row r="3832">
          <cell r="B3832"/>
          <cell r="C3832"/>
          <cell r="D3832"/>
        </row>
        <row r="3833">
          <cell r="B3833"/>
          <cell r="C3833"/>
          <cell r="D3833"/>
        </row>
        <row r="3834">
          <cell r="B3834"/>
          <cell r="C3834"/>
          <cell r="D3834"/>
        </row>
        <row r="3835">
          <cell r="B3835"/>
          <cell r="C3835"/>
          <cell r="D3835"/>
        </row>
        <row r="3836">
          <cell r="B3836"/>
          <cell r="C3836"/>
          <cell r="D3836"/>
        </row>
        <row r="3837">
          <cell r="B3837"/>
          <cell r="C3837"/>
          <cell r="D3837"/>
        </row>
        <row r="3838">
          <cell r="B3838"/>
          <cell r="C3838"/>
          <cell r="D3838"/>
        </row>
        <row r="3839">
          <cell r="B3839"/>
          <cell r="C3839"/>
          <cell r="D3839"/>
        </row>
        <row r="3840">
          <cell r="B3840"/>
          <cell r="C3840"/>
          <cell r="D3840"/>
        </row>
        <row r="3841">
          <cell r="B3841"/>
          <cell r="C3841"/>
          <cell r="D3841"/>
        </row>
        <row r="3842">
          <cell r="B3842"/>
          <cell r="C3842"/>
          <cell r="D3842"/>
        </row>
        <row r="3843">
          <cell r="B3843"/>
          <cell r="C3843"/>
          <cell r="D3843"/>
        </row>
        <row r="3844">
          <cell r="B3844"/>
          <cell r="C3844"/>
          <cell r="D3844"/>
        </row>
        <row r="3845">
          <cell r="B3845"/>
          <cell r="C3845"/>
          <cell r="D3845"/>
        </row>
        <row r="3846">
          <cell r="B3846"/>
          <cell r="C3846"/>
          <cell r="D3846"/>
        </row>
        <row r="3847">
          <cell r="B3847"/>
          <cell r="C3847"/>
          <cell r="D3847"/>
        </row>
        <row r="3848">
          <cell r="B3848"/>
          <cell r="C3848"/>
          <cell r="D3848"/>
        </row>
        <row r="3849">
          <cell r="B3849"/>
          <cell r="C3849"/>
          <cell r="D3849"/>
        </row>
        <row r="3850">
          <cell r="B3850"/>
          <cell r="C3850"/>
          <cell r="D3850"/>
        </row>
        <row r="3851">
          <cell r="B3851"/>
          <cell r="C3851"/>
          <cell r="D3851"/>
        </row>
        <row r="3852">
          <cell r="B3852"/>
          <cell r="C3852"/>
          <cell r="D3852"/>
        </row>
        <row r="3853">
          <cell r="B3853"/>
          <cell r="C3853"/>
          <cell r="D3853"/>
        </row>
        <row r="3854">
          <cell r="B3854"/>
          <cell r="C3854"/>
          <cell r="D3854"/>
        </row>
        <row r="3855">
          <cell r="B3855"/>
          <cell r="C3855"/>
          <cell r="D3855"/>
        </row>
        <row r="3856">
          <cell r="B3856"/>
          <cell r="C3856"/>
          <cell r="D3856"/>
        </row>
        <row r="3857">
          <cell r="B3857"/>
          <cell r="C3857"/>
          <cell r="D3857"/>
        </row>
        <row r="3858">
          <cell r="B3858"/>
          <cell r="C3858"/>
          <cell r="D3858"/>
        </row>
        <row r="3859">
          <cell r="B3859"/>
          <cell r="C3859"/>
          <cell r="D3859"/>
        </row>
        <row r="3860">
          <cell r="B3860"/>
          <cell r="C3860"/>
          <cell r="D3860"/>
        </row>
        <row r="3861">
          <cell r="B3861"/>
          <cell r="C3861"/>
          <cell r="D3861"/>
        </row>
        <row r="3862">
          <cell r="B3862"/>
          <cell r="C3862"/>
          <cell r="D3862"/>
        </row>
        <row r="3863">
          <cell r="B3863"/>
          <cell r="C3863"/>
          <cell r="D3863"/>
        </row>
        <row r="3864">
          <cell r="B3864"/>
          <cell r="C3864"/>
          <cell r="D3864"/>
        </row>
        <row r="3865">
          <cell r="B3865"/>
          <cell r="C3865"/>
          <cell r="D3865"/>
        </row>
        <row r="3866">
          <cell r="B3866"/>
          <cell r="C3866"/>
          <cell r="D3866"/>
        </row>
        <row r="3867">
          <cell r="B3867"/>
          <cell r="C3867"/>
          <cell r="D3867"/>
        </row>
        <row r="3868">
          <cell r="B3868"/>
          <cell r="C3868"/>
          <cell r="D3868"/>
        </row>
        <row r="3869">
          <cell r="B3869"/>
          <cell r="C3869"/>
          <cell r="D3869"/>
        </row>
        <row r="3870">
          <cell r="B3870"/>
          <cell r="C3870"/>
          <cell r="D3870"/>
        </row>
        <row r="3871">
          <cell r="B3871"/>
          <cell r="C3871"/>
          <cell r="D3871"/>
        </row>
        <row r="3872">
          <cell r="B3872"/>
          <cell r="C3872"/>
          <cell r="D3872"/>
        </row>
        <row r="3873">
          <cell r="B3873"/>
          <cell r="C3873"/>
          <cell r="D3873"/>
        </row>
        <row r="3874">
          <cell r="B3874"/>
          <cell r="C3874"/>
          <cell r="D3874"/>
        </row>
        <row r="3875">
          <cell r="B3875"/>
          <cell r="C3875"/>
          <cell r="D3875"/>
        </row>
        <row r="3876">
          <cell r="B3876"/>
          <cell r="C3876"/>
          <cell r="D3876"/>
        </row>
        <row r="3877">
          <cell r="B3877"/>
          <cell r="C3877"/>
          <cell r="D3877"/>
        </row>
        <row r="3878">
          <cell r="B3878"/>
          <cell r="C3878"/>
          <cell r="D3878"/>
        </row>
        <row r="3879">
          <cell r="B3879"/>
          <cell r="C3879"/>
          <cell r="D3879"/>
        </row>
        <row r="3880">
          <cell r="B3880"/>
          <cell r="C3880"/>
          <cell r="D3880"/>
        </row>
        <row r="3881">
          <cell r="B3881"/>
          <cell r="C3881"/>
          <cell r="D3881"/>
        </row>
        <row r="3882">
          <cell r="B3882"/>
          <cell r="C3882"/>
          <cell r="D3882"/>
        </row>
        <row r="3883">
          <cell r="B3883"/>
          <cell r="C3883"/>
          <cell r="D3883"/>
        </row>
        <row r="3884">
          <cell r="B3884"/>
          <cell r="C3884"/>
          <cell r="D3884"/>
        </row>
        <row r="3885">
          <cell r="B3885"/>
          <cell r="C3885"/>
          <cell r="D3885"/>
        </row>
        <row r="3886">
          <cell r="B3886"/>
          <cell r="C3886"/>
          <cell r="D3886"/>
        </row>
        <row r="3887">
          <cell r="B3887"/>
          <cell r="C3887"/>
          <cell r="D3887"/>
        </row>
        <row r="3888">
          <cell r="B3888"/>
          <cell r="C3888"/>
          <cell r="D3888"/>
        </row>
        <row r="3889">
          <cell r="B3889"/>
          <cell r="C3889"/>
          <cell r="D3889"/>
        </row>
        <row r="3890">
          <cell r="B3890"/>
          <cell r="C3890"/>
          <cell r="D3890"/>
        </row>
        <row r="3891">
          <cell r="B3891"/>
          <cell r="C3891"/>
          <cell r="D3891"/>
        </row>
        <row r="3892">
          <cell r="B3892"/>
          <cell r="C3892"/>
          <cell r="D3892"/>
        </row>
        <row r="3893">
          <cell r="B3893"/>
          <cell r="C3893"/>
          <cell r="D3893"/>
        </row>
        <row r="3894">
          <cell r="B3894"/>
          <cell r="C3894"/>
          <cell r="D3894"/>
        </row>
        <row r="3895">
          <cell r="B3895"/>
          <cell r="C3895"/>
          <cell r="D3895"/>
        </row>
        <row r="3896">
          <cell r="B3896"/>
          <cell r="C3896"/>
          <cell r="D3896"/>
        </row>
        <row r="3897">
          <cell r="B3897"/>
          <cell r="C3897"/>
          <cell r="D3897"/>
        </row>
        <row r="3898">
          <cell r="B3898"/>
          <cell r="C3898"/>
          <cell r="D3898"/>
        </row>
        <row r="3899">
          <cell r="B3899"/>
          <cell r="C3899"/>
          <cell r="D3899"/>
        </row>
        <row r="3900">
          <cell r="B3900"/>
          <cell r="C3900"/>
          <cell r="D3900"/>
        </row>
        <row r="3901">
          <cell r="B3901"/>
          <cell r="C3901"/>
          <cell r="D3901"/>
        </row>
        <row r="3902">
          <cell r="B3902"/>
          <cell r="C3902"/>
          <cell r="D3902"/>
        </row>
        <row r="3903">
          <cell r="B3903"/>
          <cell r="C3903"/>
          <cell r="D3903"/>
        </row>
        <row r="3904">
          <cell r="B3904"/>
          <cell r="C3904"/>
          <cell r="D3904"/>
        </row>
        <row r="3905">
          <cell r="B3905"/>
          <cell r="C3905"/>
          <cell r="D3905"/>
        </row>
        <row r="3906">
          <cell r="B3906"/>
          <cell r="C3906"/>
          <cell r="D3906"/>
        </row>
        <row r="3907">
          <cell r="B3907"/>
          <cell r="C3907"/>
          <cell r="D3907"/>
        </row>
        <row r="3908">
          <cell r="B3908"/>
          <cell r="C3908"/>
          <cell r="D3908"/>
        </row>
        <row r="3909">
          <cell r="B3909"/>
          <cell r="C3909"/>
          <cell r="D3909"/>
        </row>
        <row r="3910">
          <cell r="B3910"/>
          <cell r="C3910"/>
          <cell r="D3910"/>
        </row>
        <row r="3911">
          <cell r="B3911"/>
          <cell r="C3911"/>
          <cell r="D3911"/>
        </row>
        <row r="3912">
          <cell r="B3912"/>
          <cell r="C3912"/>
          <cell r="D3912"/>
        </row>
        <row r="3913">
          <cell r="B3913"/>
          <cell r="C3913"/>
          <cell r="D3913"/>
        </row>
        <row r="3914">
          <cell r="B3914"/>
          <cell r="C3914"/>
          <cell r="D3914"/>
        </row>
        <row r="3915">
          <cell r="B3915"/>
          <cell r="C3915"/>
          <cell r="D3915"/>
        </row>
        <row r="3916">
          <cell r="B3916"/>
          <cell r="C3916"/>
          <cell r="D3916"/>
        </row>
        <row r="3917">
          <cell r="B3917"/>
          <cell r="C3917"/>
          <cell r="D3917"/>
        </row>
        <row r="3918">
          <cell r="B3918"/>
          <cell r="C3918"/>
          <cell r="D3918"/>
        </row>
        <row r="3919">
          <cell r="B3919"/>
          <cell r="C3919"/>
          <cell r="D3919"/>
        </row>
        <row r="3920">
          <cell r="B3920"/>
          <cell r="C3920"/>
          <cell r="D3920"/>
        </row>
        <row r="3921">
          <cell r="B3921"/>
          <cell r="C3921"/>
          <cell r="D3921"/>
        </row>
        <row r="3922">
          <cell r="B3922"/>
          <cell r="C3922"/>
          <cell r="D3922"/>
        </row>
        <row r="3923">
          <cell r="B3923"/>
          <cell r="C3923"/>
          <cell r="D3923"/>
        </row>
        <row r="3924">
          <cell r="B3924"/>
          <cell r="C3924"/>
          <cell r="D3924"/>
        </row>
        <row r="3925">
          <cell r="B3925"/>
          <cell r="C3925"/>
          <cell r="D3925"/>
        </row>
        <row r="3926">
          <cell r="B3926"/>
          <cell r="C3926"/>
          <cell r="D3926"/>
        </row>
        <row r="3927">
          <cell r="B3927"/>
          <cell r="C3927"/>
          <cell r="D3927"/>
        </row>
        <row r="3928">
          <cell r="B3928"/>
          <cell r="C3928"/>
          <cell r="D3928"/>
        </row>
        <row r="3929">
          <cell r="B3929"/>
          <cell r="C3929"/>
          <cell r="D3929"/>
        </row>
        <row r="3930">
          <cell r="B3930"/>
          <cell r="C3930"/>
          <cell r="D3930"/>
        </row>
        <row r="3931">
          <cell r="B3931"/>
          <cell r="C3931"/>
          <cell r="D3931"/>
        </row>
        <row r="3932">
          <cell r="B3932"/>
          <cell r="C3932"/>
          <cell r="D3932"/>
        </row>
        <row r="3933">
          <cell r="B3933"/>
          <cell r="C3933"/>
          <cell r="D3933"/>
        </row>
        <row r="3934">
          <cell r="B3934"/>
          <cell r="C3934"/>
          <cell r="D3934"/>
        </row>
        <row r="3935">
          <cell r="B3935"/>
          <cell r="C3935"/>
          <cell r="D3935"/>
        </row>
        <row r="3936">
          <cell r="B3936"/>
          <cell r="C3936"/>
          <cell r="D3936"/>
        </row>
        <row r="3937">
          <cell r="B3937"/>
          <cell r="C3937"/>
          <cell r="D3937"/>
        </row>
        <row r="3938">
          <cell r="B3938"/>
          <cell r="C3938"/>
          <cell r="D3938"/>
        </row>
        <row r="3939">
          <cell r="B3939"/>
          <cell r="C3939"/>
          <cell r="D3939"/>
        </row>
        <row r="3940">
          <cell r="B3940"/>
          <cell r="C3940"/>
          <cell r="D3940"/>
        </row>
        <row r="3941">
          <cell r="B3941"/>
          <cell r="C3941"/>
          <cell r="D3941"/>
        </row>
        <row r="3942">
          <cell r="B3942"/>
          <cell r="C3942"/>
          <cell r="D3942"/>
        </row>
        <row r="3943">
          <cell r="B3943"/>
          <cell r="C3943"/>
          <cell r="D3943"/>
        </row>
        <row r="3944">
          <cell r="B3944"/>
          <cell r="C3944"/>
          <cell r="D3944"/>
        </row>
        <row r="3945">
          <cell r="B3945"/>
          <cell r="C3945"/>
          <cell r="D3945"/>
        </row>
        <row r="3946">
          <cell r="B3946"/>
          <cell r="C3946"/>
          <cell r="D3946"/>
        </row>
        <row r="3947">
          <cell r="B3947"/>
          <cell r="C3947"/>
          <cell r="D3947"/>
        </row>
        <row r="3948">
          <cell r="B3948"/>
          <cell r="C3948"/>
          <cell r="D3948"/>
        </row>
        <row r="3949">
          <cell r="B3949"/>
          <cell r="C3949"/>
          <cell r="D3949"/>
        </row>
        <row r="3950">
          <cell r="B3950"/>
          <cell r="C3950"/>
          <cell r="D3950"/>
        </row>
        <row r="3951">
          <cell r="B3951"/>
          <cell r="C3951"/>
          <cell r="D3951"/>
        </row>
        <row r="3952">
          <cell r="B3952"/>
          <cell r="C3952"/>
          <cell r="D3952"/>
        </row>
        <row r="3953">
          <cell r="B3953"/>
          <cell r="C3953"/>
          <cell r="D3953"/>
        </row>
        <row r="3954">
          <cell r="B3954"/>
          <cell r="C3954"/>
          <cell r="D3954"/>
        </row>
        <row r="3955">
          <cell r="B3955"/>
          <cell r="C3955"/>
          <cell r="D3955"/>
        </row>
        <row r="3956">
          <cell r="B3956"/>
          <cell r="C3956"/>
          <cell r="D3956"/>
        </row>
        <row r="3957">
          <cell r="B3957"/>
          <cell r="C3957"/>
          <cell r="D3957"/>
        </row>
        <row r="3958">
          <cell r="B3958"/>
          <cell r="C3958"/>
          <cell r="D3958"/>
        </row>
        <row r="3959">
          <cell r="B3959"/>
          <cell r="C3959"/>
          <cell r="D3959"/>
        </row>
        <row r="3960">
          <cell r="B3960"/>
          <cell r="C3960"/>
          <cell r="D3960"/>
        </row>
        <row r="3961">
          <cell r="B3961"/>
          <cell r="C3961"/>
          <cell r="D3961"/>
        </row>
        <row r="3962">
          <cell r="B3962"/>
          <cell r="C3962"/>
          <cell r="D3962"/>
        </row>
        <row r="3963">
          <cell r="B3963"/>
          <cell r="C3963"/>
          <cell r="D3963"/>
        </row>
        <row r="3964">
          <cell r="B3964"/>
          <cell r="C3964"/>
          <cell r="D3964"/>
        </row>
        <row r="3965">
          <cell r="B3965"/>
          <cell r="C3965"/>
          <cell r="D3965"/>
        </row>
        <row r="3966">
          <cell r="B3966"/>
          <cell r="C3966"/>
          <cell r="D3966"/>
        </row>
        <row r="3967">
          <cell r="B3967"/>
          <cell r="C3967"/>
          <cell r="D3967"/>
        </row>
        <row r="3968">
          <cell r="B3968"/>
          <cell r="C3968"/>
          <cell r="D3968"/>
        </row>
        <row r="3969">
          <cell r="B3969"/>
          <cell r="C3969"/>
          <cell r="D3969"/>
        </row>
        <row r="3970">
          <cell r="B3970"/>
          <cell r="C3970"/>
          <cell r="D3970"/>
        </row>
        <row r="3971">
          <cell r="B3971"/>
          <cell r="C3971"/>
          <cell r="D3971"/>
        </row>
        <row r="3972">
          <cell r="B3972"/>
          <cell r="C3972"/>
          <cell r="D3972"/>
        </row>
        <row r="3973">
          <cell r="B3973"/>
          <cell r="C3973"/>
          <cell r="D3973"/>
        </row>
        <row r="3974">
          <cell r="B3974"/>
          <cell r="C3974"/>
          <cell r="D3974"/>
        </row>
        <row r="3975">
          <cell r="B3975"/>
          <cell r="C3975"/>
          <cell r="D3975"/>
        </row>
        <row r="3976">
          <cell r="B3976"/>
          <cell r="C3976"/>
          <cell r="D3976"/>
        </row>
        <row r="3977">
          <cell r="B3977"/>
          <cell r="C3977"/>
          <cell r="D3977"/>
        </row>
        <row r="3978">
          <cell r="B3978"/>
          <cell r="C3978"/>
          <cell r="D3978"/>
        </row>
        <row r="3979">
          <cell r="B3979"/>
          <cell r="C3979"/>
          <cell r="D3979"/>
        </row>
        <row r="3980">
          <cell r="B3980"/>
          <cell r="C3980"/>
          <cell r="D3980"/>
        </row>
        <row r="3981">
          <cell r="B3981"/>
          <cell r="C3981"/>
          <cell r="D3981"/>
        </row>
        <row r="3982">
          <cell r="B3982"/>
          <cell r="C3982"/>
          <cell r="D3982"/>
        </row>
        <row r="3983">
          <cell r="B3983"/>
          <cell r="C3983"/>
          <cell r="D3983"/>
        </row>
        <row r="3984">
          <cell r="B3984"/>
          <cell r="C3984"/>
          <cell r="D3984"/>
        </row>
        <row r="3985">
          <cell r="B3985"/>
          <cell r="C3985"/>
          <cell r="D3985"/>
        </row>
        <row r="3986">
          <cell r="B3986"/>
          <cell r="C3986"/>
          <cell r="D3986"/>
        </row>
        <row r="3987">
          <cell r="B3987"/>
          <cell r="C3987"/>
          <cell r="D3987"/>
        </row>
        <row r="3988">
          <cell r="B3988"/>
          <cell r="C3988"/>
          <cell r="D3988"/>
        </row>
        <row r="3989">
          <cell r="B3989"/>
          <cell r="C3989"/>
          <cell r="D3989"/>
        </row>
        <row r="3990">
          <cell r="B3990"/>
          <cell r="C3990"/>
          <cell r="D3990"/>
        </row>
        <row r="3991">
          <cell r="B3991"/>
          <cell r="C3991"/>
          <cell r="D3991"/>
        </row>
        <row r="3992">
          <cell r="B3992"/>
          <cell r="C3992"/>
          <cell r="D3992"/>
        </row>
        <row r="3993">
          <cell r="B3993"/>
          <cell r="C3993"/>
          <cell r="D3993"/>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lable Services"/>
      <sheetName val="Original 7-11-2023"/>
      <sheetName val="Edited Tables"/>
      <sheetName val="Report Bill Code Crosswalk"/>
      <sheetName val="Steps to Make Crosswalk"/>
    </sheetNames>
    <sheetDataSet>
      <sheetData sheetId="0">
        <row r="3">
          <cell r="P3" t="str">
            <v>Adjusted Hours Per Unit</v>
          </cell>
        </row>
        <row r="4">
          <cell r="P4">
            <v>1</v>
          </cell>
          <cell r="S4" t="str">
            <v>248G0248</v>
          </cell>
        </row>
        <row r="5">
          <cell r="P5">
            <v>1</v>
          </cell>
          <cell r="S5" t="str">
            <v>210BS0107</v>
          </cell>
        </row>
        <row r="6">
          <cell r="P6">
            <v>1</v>
          </cell>
          <cell r="S6" t="str">
            <v>210CFCG1108</v>
          </cell>
        </row>
        <row r="7">
          <cell r="P7">
            <v>1</v>
          </cell>
          <cell r="S7" t="str">
            <v>210CFCG1119</v>
          </cell>
        </row>
        <row r="8">
          <cell r="P8">
            <v>1</v>
          </cell>
          <cell r="S8" t="str">
            <v>237H2025</v>
          </cell>
        </row>
        <row r="9">
          <cell r="P9">
            <v>1</v>
          </cell>
          <cell r="S9" t="str">
            <v>254H2026</v>
          </cell>
        </row>
        <row r="10">
          <cell r="P10">
            <v>1</v>
          </cell>
          <cell r="S10" t="str">
            <v>717DSG0755</v>
          </cell>
        </row>
        <row r="11">
          <cell r="P11">
            <v>1</v>
          </cell>
          <cell r="S11" t="str">
            <v>717SG0751</v>
          </cell>
        </row>
        <row r="12">
          <cell r="P12">
            <v>1</v>
          </cell>
          <cell r="S12" t="str">
            <v>717DG0742</v>
          </cell>
        </row>
        <row r="13">
          <cell r="P13">
            <v>1</v>
          </cell>
          <cell r="S13" t="str">
            <v>717CG0740</v>
          </cell>
        </row>
        <row r="14">
          <cell r="P14">
            <v>1</v>
          </cell>
          <cell r="S14" t="str">
            <v>717CSG0753</v>
          </cell>
        </row>
        <row r="15">
          <cell r="P15">
            <v>1</v>
          </cell>
          <cell r="S15" t="str">
            <v>717G0701</v>
          </cell>
        </row>
        <row r="16">
          <cell r="P16">
            <v>1</v>
          </cell>
          <cell r="S16" t="str">
            <v>717DSG0756</v>
          </cell>
        </row>
        <row r="17">
          <cell r="P17">
            <v>1</v>
          </cell>
          <cell r="S17" t="str">
            <v>717SG0752</v>
          </cell>
        </row>
        <row r="18">
          <cell r="P18">
            <v>1</v>
          </cell>
          <cell r="S18" t="str">
            <v>717DG0743</v>
          </cell>
        </row>
        <row r="19">
          <cell r="P19">
            <v>1</v>
          </cell>
          <cell r="S19" t="str">
            <v>717CG0741</v>
          </cell>
        </row>
        <row r="20">
          <cell r="P20">
            <v>1</v>
          </cell>
          <cell r="S20" t="str">
            <v>717CSG0754</v>
          </cell>
        </row>
        <row r="21">
          <cell r="P21">
            <v>1</v>
          </cell>
          <cell r="S21" t="str">
            <v>717G0702</v>
          </cell>
        </row>
        <row r="22">
          <cell r="P22">
            <v>0.25</v>
          </cell>
          <cell r="S22" t="str">
            <v>S5125SPU3</v>
          </cell>
          <cell r="T22" t="str">
            <v>S5125MPU3</v>
          </cell>
        </row>
        <row r="23">
          <cell r="P23">
            <v>0.25</v>
          </cell>
          <cell r="S23" t="str">
            <v>S5125SPU3U1</v>
          </cell>
          <cell r="T23" t="str">
            <v>S5125MPU3U1</v>
          </cell>
        </row>
        <row r="24">
          <cell r="P24">
            <v>0.25</v>
          </cell>
          <cell r="S24" t="str">
            <v>S5125SPU3UD</v>
          </cell>
          <cell r="T24" t="str">
            <v>S5125MPU3UD</v>
          </cell>
        </row>
        <row r="25">
          <cell r="P25">
            <v>0.25</v>
          </cell>
          <cell r="S25" t="str">
            <v>S5125SPU3U1UD</v>
          </cell>
          <cell r="T25" t="str">
            <v>S5125MPU3U1UD</v>
          </cell>
        </row>
        <row r="26">
          <cell r="P26">
            <v>0.25</v>
          </cell>
          <cell r="S26" t="str">
            <v>S5125SPU5</v>
          </cell>
          <cell r="T26" t="str">
            <v>S5125MPU5</v>
          </cell>
        </row>
        <row r="27">
          <cell r="P27">
            <v>0.25</v>
          </cell>
          <cell r="S27" t="str">
            <v>S5125SPU5UD</v>
          </cell>
          <cell r="T27" t="str">
            <v>S5125MPU5UD</v>
          </cell>
        </row>
        <row r="28">
          <cell r="P28">
            <v>0.25</v>
          </cell>
          <cell r="S28" t="str">
            <v>T2017SPU3U7</v>
          </cell>
          <cell r="T28" t="str">
            <v>T2017MPU3U7</v>
          </cell>
        </row>
        <row r="29">
          <cell r="P29">
            <v>0.25</v>
          </cell>
          <cell r="S29" t="str">
            <v>T2017SPU3U7UD</v>
          </cell>
          <cell r="T29" t="str">
            <v>T2017MPU3U7UD</v>
          </cell>
        </row>
        <row r="30">
          <cell r="P30">
            <v>0.25</v>
          </cell>
          <cell r="S30" t="str">
            <v>S5125SPU3U7</v>
          </cell>
          <cell r="T30" t="str">
            <v>S5125MPU3U7</v>
          </cell>
        </row>
        <row r="31">
          <cell r="P31">
            <v>0.25</v>
          </cell>
          <cell r="S31" t="str">
            <v>S5125SPU3U7UD</v>
          </cell>
          <cell r="T31" t="str">
            <v>S5125MPU3U7UD</v>
          </cell>
        </row>
        <row r="32">
          <cell r="P32">
            <v>0.25</v>
          </cell>
          <cell r="S32" t="str">
            <v>T2017SPU5U7</v>
          </cell>
          <cell r="T32" t="str">
            <v>T2017MPU5U7</v>
          </cell>
        </row>
        <row r="33">
          <cell r="P33">
            <v>0.25</v>
          </cell>
          <cell r="S33" t="str">
            <v>T2017SPU5U7UD</v>
          </cell>
          <cell r="T33" t="str">
            <v>T2017MPU5U7UD</v>
          </cell>
        </row>
        <row r="34">
          <cell r="P34">
            <v>0.25</v>
          </cell>
          <cell r="S34" t="str">
            <v>S5125SPU5U7</v>
          </cell>
          <cell r="T34" t="str">
            <v>S5125MPU5U7</v>
          </cell>
        </row>
        <row r="35">
          <cell r="P35">
            <v>0.25</v>
          </cell>
          <cell r="S35" t="str">
            <v>S5125SPU5U7UD</v>
          </cell>
          <cell r="T35" t="str">
            <v>S5125MPU5U7UD</v>
          </cell>
        </row>
        <row r="36">
          <cell r="P36">
            <v>1</v>
          </cell>
          <cell r="S36" t="str">
            <v>H2025SPU3U3</v>
          </cell>
          <cell r="T36" t="str">
            <v>H2025MPU3U3</v>
          </cell>
        </row>
        <row r="37">
          <cell r="P37">
            <v>1</v>
          </cell>
          <cell r="S37" t="str">
            <v>H2025SPU39999US</v>
          </cell>
          <cell r="T37" t="str">
            <v>H2025MPU39999US</v>
          </cell>
        </row>
        <row r="38">
          <cell r="P38">
            <v>1</v>
          </cell>
          <cell r="S38" t="str">
            <v>H2023SPU3</v>
          </cell>
          <cell r="T38" t="str">
            <v>H2023MPU3</v>
          </cell>
        </row>
        <row r="39">
          <cell r="P39">
            <v>1</v>
          </cell>
          <cell r="S39" t="str">
            <v>H2023SPU3UD</v>
          </cell>
          <cell r="T39" t="str">
            <v>H2023MPU3UD</v>
          </cell>
        </row>
        <row r="40">
          <cell r="P40">
            <v>1</v>
          </cell>
          <cell r="S40" t="str">
            <v>H2023SPU3U3</v>
          </cell>
          <cell r="T40" t="str">
            <v>H2023MPU3U3</v>
          </cell>
        </row>
        <row r="41">
          <cell r="P41">
            <v>1</v>
          </cell>
          <cell r="S41" t="str">
            <v>H2023SPU39999US</v>
          </cell>
          <cell r="T41" t="str">
            <v>H2023MPU39999US</v>
          </cell>
        </row>
        <row r="42">
          <cell r="P42">
            <v>1</v>
          </cell>
          <cell r="S42" t="str">
            <v>H2025SPU3</v>
          </cell>
          <cell r="T42" t="str">
            <v>H2025MPU3</v>
          </cell>
        </row>
        <row r="43">
          <cell r="P43">
            <v>1</v>
          </cell>
          <cell r="S43" t="str">
            <v>H2025SPU3UD</v>
          </cell>
          <cell r="T43" t="str">
            <v>H2025MPU3UD</v>
          </cell>
        </row>
        <row r="44">
          <cell r="S44" t="str">
            <v>SP</v>
          </cell>
          <cell r="T44" t="str">
            <v>MP</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cess Steps"/>
      <sheetName val="Service List"/>
      <sheetName val="Rate-Eff. Date Check"/>
      <sheetName val="List of Rates by Bill code"/>
      <sheetName val="Inflators for 2026-27"/>
      <sheetName val="Key for Section Sort RT_Serv ID"/>
      <sheetName val="CR Output Summary"/>
      <sheetName val="Unmatched to Fiscal Calc File"/>
      <sheetName val="Excluded from RT"/>
      <sheetName val="RT Section List"/>
      <sheetName val="2022-23 RT"/>
      <sheetName val="Notes"/>
      <sheetName val="Wtd Avg %"/>
    </sheetNames>
    <sheetDataSet>
      <sheetData sheetId="0" refreshError="1"/>
      <sheetData sheetId="1" refreshError="1">
        <row r="1">
          <cell r="K1"/>
        </row>
        <row r="2">
          <cell r="F2"/>
          <cell r="K2"/>
        </row>
        <row r="3">
          <cell r="F3"/>
          <cell r="K3" t="str">
            <v>Currently blank</v>
          </cell>
        </row>
        <row r="4">
          <cell r="F4"/>
          <cell r="K4"/>
        </row>
        <row r="5">
          <cell r="F5" t="str">
            <v>2024 Billing Matrix Combo Code</v>
          </cell>
          <cell r="K5" t="str">
            <v>BE Methodological ID</v>
          </cell>
        </row>
        <row r="6">
          <cell r="F6" t="str">
            <v>718G0803</v>
          </cell>
          <cell r="K6">
            <v>1</v>
          </cell>
        </row>
        <row r="7">
          <cell r="F7" t="str">
            <v>717DSG0756</v>
          </cell>
          <cell r="K7">
            <v>2</v>
          </cell>
        </row>
        <row r="8">
          <cell r="F8" t="str">
            <v>717DSG0755</v>
          </cell>
          <cell r="K8">
            <v>3</v>
          </cell>
        </row>
        <row r="9">
          <cell r="F9" t="str">
            <v>717DG0743</v>
          </cell>
          <cell r="K9">
            <v>4</v>
          </cell>
        </row>
        <row r="10">
          <cell r="F10" t="str">
            <v>717DG0742</v>
          </cell>
          <cell r="K10">
            <v>5</v>
          </cell>
        </row>
        <row r="11">
          <cell r="F11" t="str">
            <v>717DVG0749</v>
          </cell>
          <cell r="K11">
            <v>6</v>
          </cell>
        </row>
        <row r="12">
          <cell r="F12" t="str">
            <v>717DVG0748</v>
          </cell>
          <cell r="K12">
            <v>7</v>
          </cell>
        </row>
        <row r="13">
          <cell r="F13" t="str">
            <v>763VG0227</v>
          </cell>
          <cell r="K13">
            <v>8</v>
          </cell>
        </row>
        <row r="14">
          <cell r="F14" t="str">
            <v>240G0203</v>
          </cell>
          <cell r="K14">
            <v>9</v>
          </cell>
        </row>
        <row r="15">
          <cell r="F15" t="str">
            <v>240BG0208</v>
          </cell>
          <cell r="K15">
            <v>10</v>
          </cell>
        </row>
        <row r="16">
          <cell r="F16" t="str">
            <v>235U0300</v>
          </cell>
          <cell r="K16">
            <v>11</v>
          </cell>
        </row>
        <row r="17">
          <cell r="F17" t="str">
            <v>235BU0306</v>
          </cell>
          <cell r="K17">
            <v>12</v>
          </cell>
        </row>
        <row r="18">
          <cell r="F18" t="str">
            <v>243AH2019</v>
          </cell>
          <cell r="K18">
            <v>13</v>
          </cell>
        </row>
        <row r="19">
          <cell r="F19" t="str">
            <v>261VG6090</v>
          </cell>
          <cell r="K19">
            <v>14</v>
          </cell>
        </row>
        <row r="20">
          <cell r="F20" t="str">
            <v>261G6089</v>
          </cell>
          <cell r="K20">
            <v>15</v>
          </cell>
        </row>
        <row r="21">
          <cell r="F21" t="str">
            <v>212G0201</v>
          </cell>
          <cell r="K21">
            <v>16</v>
          </cell>
        </row>
        <row r="22">
          <cell r="F22" t="str">
            <v>263CFVG1118</v>
          </cell>
          <cell r="K22">
            <v>17</v>
          </cell>
        </row>
        <row r="23">
          <cell r="F23" t="str">
            <v>263VG0226</v>
          </cell>
          <cell r="K23">
            <v>18</v>
          </cell>
        </row>
        <row r="24">
          <cell r="F24" t="str">
            <v>257CFVG1115</v>
          </cell>
          <cell r="K24">
            <v>19</v>
          </cell>
        </row>
        <row r="25">
          <cell r="F25" t="str">
            <v>240G0204</v>
          </cell>
          <cell r="K25">
            <v>20</v>
          </cell>
        </row>
        <row r="26">
          <cell r="F26" t="str">
            <v>234U0210</v>
          </cell>
          <cell r="K26">
            <v>21</v>
          </cell>
        </row>
        <row r="27">
          <cell r="F27" t="str">
            <v>254VH2029</v>
          </cell>
          <cell r="K27">
            <v>22</v>
          </cell>
        </row>
        <row r="28">
          <cell r="F28" t="str">
            <v>237VH2027</v>
          </cell>
          <cell r="K28">
            <v>23</v>
          </cell>
        </row>
        <row r="29">
          <cell r="F29" t="str">
            <v>237H2025</v>
          </cell>
          <cell r="K29">
            <v>24</v>
          </cell>
        </row>
        <row r="30">
          <cell r="F30" t="str">
            <v>254H2026</v>
          </cell>
          <cell r="K30">
            <v>25</v>
          </cell>
        </row>
        <row r="31">
          <cell r="F31" t="str">
            <v>220CFCG1114</v>
          </cell>
          <cell r="K31">
            <v>26</v>
          </cell>
        </row>
        <row r="32">
          <cell r="F32" t="str">
            <v>220CFCG1113</v>
          </cell>
          <cell r="K32">
            <v>27</v>
          </cell>
        </row>
        <row r="33">
          <cell r="F33" t="str">
            <v>220CFCG1112</v>
          </cell>
          <cell r="K33">
            <v>28</v>
          </cell>
        </row>
        <row r="34">
          <cell r="F34" t="str">
            <v>255AH0041</v>
          </cell>
          <cell r="K34">
            <v>29</v>
          </cell>
        </row>
        <row r="35">
          <cell r="F35" t="str">
            <v>255AH0041</v>
          </cell>
          <cell r="K35">
            <v>30</v>
          </cell>
        </row>
        <row r="36">
          <cell r="F36" t="str">
            <v>255S5145</v>
          </cell>
          <cell r="K36">
            <v>31</v>
          </cell>
        </row>
        <row r="37">
          <cell r="F37" t="str">
            <v>255S5145</v>
          </cell>
          <cell r="K37">
            <v>32</v>
          </cell>
        </row>
        <row r="38">
          <cell r="F38" t="str">
            <v>248VG0249</v>
          </cell>
          <cell r="K38">
            <v>33</v>
          </cell>
        </row>
        <row r="39">
          <cell r="F39" t="str">
            <v>210VG6085</v>
          </cell>
          <cell r="K39">
            <v>34</v>
          </cell>
        </row>
        <row r="40">
          <cell r="F40" t="str">
            <v>248G0248</v>
          </cell>
          <cell r="K40">
            <v>35</v>
          </cell>
        </row>
        <row r="41">
          <cell r="F41" t="str">
            <v>210BS0107</v>
          </cell>
          <cell r="K41">
            <v>36</v>
          </cell>
        </row>
        <row r="42">
          <cell r="F42" t="str">
            <v>210S0100</v>
          </cell>
          <cell r="K42">
            <v>37</v>
          </cell>
        </row>
        <row r="43">
          <cell r="F43" t="str">
            <v>211PVG0197</v>
          </cell>
          <cell r="K43">
            <v>38</v>
          </cell>
        </row>
        <row r="44">
          <cell r="F44" t="str">
            <v>211G0100</v>
          </cell>
          <cell r="K44">
            <v>39</v>
          </cell>
        </row>
        <row r="45">
          <cell r="F45" t="str">
            <v>213AVG0305</v>
          </cell>
          <cell r="K45">
            <v>40</v>
          </cell>
        </row>
        <row r="46">
          <cell r="F46" t="str">
            <v>213BVG0304</v>
          </cell>
          <cell r="K46">
            <v>41</v>
          </cell>
        </row>
        <row r="47">
          <cell r="F47" t="str">
            <v>213DVG0307</v>
          </cell>
          <cell r="K47">
            <v>42</v>
          </cell>
        </row>
        <row r="48">
          <cell r="F48" t="str">
            <v>213CVG0306</v>
          </cell>
          <cell r="K48">
            <v>43</v>
          </cell>
        </row>
        <row r="49">
          <cell r="F49" t="str">
            <v>213BG0303</v>
          </cell>
          <cell r="K49">
            <v>44</v>
          </cell>
        </row>
        <row r="50">
          <cell r="F50" t="str">
            <v>213AG0302</v>
          </cell>
          <cell r="K50">
            <v>45</v>
          </cell>
        </row>
        <row r="51">
          <cell r="F51" t="str">
            <v>213DT1003</v>
          </cell>
          <cell r="K51">
            <v>46</v>
          </cell>
        </row>
        <row r="52">
          <cell r="F52" t="str">
            <v>213CT1002</v>
          </cell>
          <cell r="K52">
            <v>47</v>
          </cell>
        </row>
        <row r="53">
          <cell r="F53" t="str">
            <v>27G0400</v>
          </cell>
          <cell r="K53">
            <v>48</v>
          </cell>
        </row>
        <row r="54">
          <cell r="F54" t="str">
            <v>27VG0408</v>
          </cell>
          <cell r="K54">
            <v>49</v>
          </cell>
        </row>
        <row r="55">
          <cell r="F55" t="str">
            <v>211AVG0196</v>
          </cell>
          <cell r="K55">
            <v>50</v>
          </cell>
        </row>
        <row r="56">
          <cell r="F56" t="str">
            <v>211AG0128</v>
          </cell>
          <cell r="K56">
            <v>51</v>
          </cell>
        </row>
        <row r="57">
          <cell r="F57" t="str">
            <v>210CFVG1109</v>
          </cell>
          <cell r="K57">
            <v>52</v>
          </cell>
        </row>
        <row r="58">
          <cell r="F58" t="str">
            <v>210CFCG1108</v>
          </cell>
          <cell r="K58">
            <v>53</v>
          </cell>
        </row>
        <row r="59">
          <cell r="F59" t="str">
            <v>28G0401</v>
          </cell>
          <cell r="K59">
            <v>54</v>
          </cell>
        </row>
        <row r="60">
          <cell r="F60" t="str">
            <v>28VG0409</v>
          </cell>
          <cell r="K60">
            <v>55</v>
          </cell>
        </row>
        <row r="61">
          <cell r="F61" t="str">
            <v>241FG0648</v>
          </cell>
          <cell r="K61">
            <v>56</v>
          </cell>
        </row>
        <row r="62">
          <cell r="F62" t="str">
            <v>241FG0650</v>
          </cell>
          <cell r="K62">
            <v>57</v>
          </cell>
        </row>
        <row r="63">
          <cell r="F63" t="str">
            <v>241FG0651</v>
          </cell>
          <cell r="K63">
            <v>58</v>
          </cell>
        </row>
        <row r="64">
          <cell r="F64" t="str">
            <v>241FG0652</v>
          </cell>
          <cell r="K64">
            <v>59</v>
          </cell>
        </row>
        <row r="65">
          <cell r="F65" t="str">
            <v>241FG0653</v>
          </cell>
          <cell r="K65">
            <v>60</v>
          </cell>
        </row>
        <row r="66">
          <cell r="F66" t="str">
            <v>241FG0654</v>
          </cell>
          <cell r="K66">
            <v>61</v>
          </cell>
        </row>
        <row r="67">
          <cell r="F67" t="str">
            <v>241FG0655</v>
          </cell>
          <cell r="K67">
            <v>62</v>
          </cell>
        </row>
        <row r="68">
          <cell r="F68" t="str">
            <v>241FG0656</v>
          </cell>
          <cell r="K68">
            <v>63</v>
          </cell>
        </row>
        <row r="69">
          <cell r="F69" t="str">
            <v>241FG0657</v>
          </cell>
          <cell r="K69">
            <v>64</v>
          </cell>
        </row>
        <row r="70">
          <cell r="F70" t="str">
            <v>241FG0649</v>
          </cell>
          <cell r="K70">
            <v>65</v>
          </cell>
        </row>
        <row r="71">
          <cell r="F71" t="str">
            <v>241FG0658</v>
          </cell>
          <cell r="K71">
            <v>66</v>
          </cell>
        </row>
        <row r="72">
          <cell r="F72" t="str">
            <v>242DG0493</v>
          </cell>
          <cell r="K72">
            <v>67</v>
          </cell>
        </row>
        <row r="73">
          <cell r="F73" t="str">
            <v>242EG0494</v>
          </cell>
          <cell r="K73">
            <v>68</v>
          </cell>
        </row>
        <row r="74">
          <cell r="F74" t="str">
            <v>242EG0495</v>
          </cell>
          <cell r="K74">
            <v>69</v>
          </cell>
        </row>
        <row r="75">
          <cell r="F75" t="str">
            <v>242EG0496</v>
          </cell>
          <cell r="K75">
            <v>70</v>
          </cell>
        </row>
        <row r="76">
          <cell r="F76" t="str">
            <v>242AG0490</v>
          </cell>
          <cell r="K76">
            <v>71</v>
          </cell>
        </row>
        <row r="77">
          <cell r="F77" t="str">
            <v>242CG0492</v>
          </cell>
          <cell r="K77">
            <v>72</v>
          </cell>
        </row>
        <row r="78">
          <cell r="F78" t="str">
            <v>242BG0491</v>
          </cell>
          <cell r="K78">
            <v>73</v>
          </cell>
        </row>
        <row r="79">
          <cell r="F79" t="str">
            <v>242FG0498</v>
          </cell>
          <cell r="K79">
            <v>74</v>
          </cell>
        </row>
        <row r="80">
          <cell r="F80" t="str">
            <v>29G0402</v>
          </cell>
          <cell r="K80">
            <v>75</v>
          </cell>
        </row>
        <row r="81">
          <cell r="F81" t="str">
            <v>29VG0410</v>
          </cell>
          <cell r="K81">
            <v>76</v>
          </cell>
        </row>
        <row r="82">
          <cell r="F82" t="str">
            <v>253AG0239</v>
          </cell>
          <cell r="K82">
            <v>77</v>
          </cell>
        </row>
        <row r="83">
          <cell r="F83" t="str">
            <v>727AG0723</v>
          </cell>
          <cell r="K83">
            <v>78</v>
          </cell>
        </row>
        <row r="84">
          <cell r="F84" t="str">
            <v>727AG0722</v>
          </cell>
          <cell r="K84">
            <v>79</v>
          </cell>
        </row>
        <row r="85">
          <cell r="F85" t="str">
            <v>727G0720</v>
          </cell>
          <cell r="K85">
            <v>80</v>
          </cell>
        </row>
        <row r="86">
          <cell r="F86" t="str">
            <v>729C0200</v>
          </cell>
          <cell r="K86">
            <v>81</v>
          </cell>
        </row>
        <row r="87">
          <cell r="F87" t="str">
            <v>729AC0202</v>
          </cell>
          <cell r="K87">
            <v>82</v>
          </cell>
        </row>
        <row r="88">
          <cell r="F88" t="str">
            <v>1635U0300</v>
          </cell>
          <cell r="K88">
            <v>83</v>
          </cell>
        </row>
        <row r="89">
          <cell r="F89" t="str">
            <v>1635BU0306</v>
          </cell>
          <cell r="K89">
            <v>84</v>
          </cell>
        </row>
        <row r="90">
          <cell r="F90" t="str">
            <v>1643AH2019</v>
          </cell>
          <cell r="K90">
            <v>85</v>
          </cell>
        </row>
        <row r="91">
          <cell r="F91" t="str">
            <v>1612G0200</v>
          </cell>
          <cell r="K91">
            <v>86</v>
          </cell>
        </row>
        <row r="92">
          <cell r="F92" t="str">
            <v>1663CFVG1118</v>
          </cell>
          <cell r="K92">
            <v>87</v>
          </cell>
        </row>
        <row r="93">
          <cell r="F93" t="str">
            <v>1663VG0228</v>
          </cell>
          <cell r="K93">
            <v>88</v>
          </cell>
        </row>
        <row r="94">
          <cell r="F94" t="str">
            <v>1657CFVG1115</v>
          </cell>
          <cell r="K94">
            <v>89</v>
          </cell>
        </row>
        <row r="95">
          <cell r="F95" t="str">
            <v>1657VG0757</v>
          </cell>
          <cell r="K95">
            <v>90</v>
          </cell>
        </row>
        <row r="96">
          <cell r="F96" t="str">
            <v>1617EG0744</v>
          </cell>
          <cell r="K96">
            <v>91</v>
          </cell>
        </row>
        <row r="97">
          <cell r="F97" t="str">
            <v>1640AG0207</v>
          </cell>
          <cell r="K97">
            <v>92</v>
          </cell>
        </row>
        <row r="98">
          <cell r="F98" t="str">
            <v>1619FG0938</v>
          </cell>
          <cell r="K98">
            <v>93</v>
          </cell>
        </row>
        <row r="99">
          <cell r="F99" t="str">
            <v>1619G0900</v>
          </cell>
          <cell r="K99">
            <v>94</v>
          </cell>
        </row>
        <row r="100">
          <cell r="F100" t="str">
            <v>1619EG0937</v>
          </cell>
          <cell r="K100">
            <v>95</v>
          </cell>
        </row>
        <row r="101">
          <cell r="F101" t="str">
            <v>1634U0210</v>
          </cell>
          <cell r="K101">
            <v>96</v>
          </cell>
        </row>
        <row r="102">
          <cell r="F102" t="str">
            <v>1654H2026</v>
          </cell>
          <cell r="K102">
            <v>97</v>
          </cell>
        </row>
        <row r="103">
          <cell r="F103" t="str">
            <v>1654VH2029</v>
          </cell>
          <cell r="K103">
            <v>98</v>
          </cell>
        </row>
        <row r="104">
          <cell r="F104" t="str">
            <v>1637H2024</v>
          </cell>
          <cell r="K104">
            <v>99</v>
          </cell>
        </row>
        <row r="105">
          <cell r="F105" t="str">
            <v>1637VH2027</v>
          </cell>
          <cell r="K105">
            <v>100</v>
          </cell>
        </row>
        <row r="106">
          <cell r="F106" t="str">
            <v>1620CFCG1114</v>
          </cell>
          <cell r="K106">
            <v>101</v>
          </cell>
        </row>
        <row r="107">
          <cell r="F107" t="str">
            <v>1648VG0253</v>
          </cell>
          <cell r="K107">
            <v>102</v>
          </cell>
        </row>
        <row r="108">
          <cell r="F108" t="str">
            <v>1648G0252</v>
          </cell>
          <cell r="K108">
            <v>103</v>
          </cell>
        </row>
        <row r="109">
          <cell r="F109" t="str">
            <v>1611PVG0197</v>
          </cell>
          <cell r="K109">
            <v>104</v>
          </cell>
        </row>
        <row r="110">
          <cell r="F110" t="str">
            <v>1611G0100</v>
          </cell>
          <cell r="K110">
            <v>105</v>
          </cell>
        </row>
        <row r="111">
          <cell r="F111" t="str">
            <v>1645VG0240</v>
          </cell>
          <cell r="K111">
            <v>106</v>
          </cell>
        </row>
        <row r="112">
          <cell r="F112" t="str">
            <v>1645AVG0245</v>
          </cell>
          <cell r="K112">
            <v>107</v>
          </cell>
        </row>
        <row r="113">
          <cell r="F113" t="str">
            <v>1645BVG0246</v>
          </cell>
          <cell r="K113">
            <v>108</v>
          </cell>
        </row>
        <row r="114">
          <cell r="F114" t="str">
            <v>1645CVG0247</v>
          </cell>
          <cell r="K114">
            <v>109</v>
          </cell>
        </row>
        <row r="115">
          <cell r="F115" t="str">
            <v>1645G0232</v>
          </cell>
          <cell r="K115">
            <v>110</v>
          </cell>
        </row>
        <row r="116">
          <cell r="F116" t="str">
            <v>1645AG0242</v>
          </cell>
          <cell r="K116">
            <v>111</v>
          </cell>
        </row>
        <row r="117">
          <cell r="F117" t="str">
            <v>1645BG0243</v>
          </cell>
          <cell r="K117">
            <v>112</v>
          </cell>
        </row>
        <row r="118">
          <cell r="F118" t="str">
            <v>1645CG0244</v>
          </cell>
          <cell r="K118">
            <v>113</v>
          </cell>
        </row>
        <row r="119">
          <cell r="F119" t="str">
            <v>1623S0312</v>
          </cell>
          <cell r="K119">
            <v>114</v>
          </cell>
        </row>
        <row r="120">
          <cell r="F120" t="str">
            <v>1623S0313</v>
          </cell>
          <cell r="K120">
            <v>115</v>
          </cell>
        </row>
        <row r="121">
          <cell r="F121" t="str">
            <v>1613AG0302</v>
          </cell>
          <cell r="K121">
            <v>116</v>
          </cell>
        </row>
        <row r="122">
          <cell r="F122" t="str">
            <v>1613BG0303</v>
          </cell>
          <cell r="K122">
            <v>117</v>
          </cell>
        </row>
        <row r="123">
          <cell r="F123" t="str">
            <v>1613DT1003</v>
          </cell>
          <cell r="K123">
            <v>118</v>
          </cell>
        </row>
        <row r="124">
          <cell r="F124" t="str">
            <v>1613CT1002</v>
          </cell>
          <cell r="K124">
            <v>119</v>
          </cell>
        </row>
        <row r="125">
          <cell r="F125" t="str">
            <v>167G0400</v>
          </cell>
          <cell r="K125">
            <v>120</v>
          </cell>
        </row>
        <row r="126">
          <cell r="F126" t="str">
            <v>1644G0231</v>
          </cell>
          <cell r="K126">
            <v>121</v>
          </cell>
        </row>
        <row r="127">
          <cell r="F127" t="str">
            <v>1644G0231</v>
          </cell>
          <cell r="K127">
            <v>122</v>
          </cell>
        </row>
        <row r="128">
          <cell r="F128" t="str">
            <v>1611AVG0196</v>
          </cell>
          <cell r="K128">
            <v>123</v>
          </cell>
        </row>
        <row r="129">
          <cell r="F129" t="str">
            <v>1611AG0128</v>
          </cell>
          <cell r="K129">
            <v>124</v>
          </cell>
        </row>
        <row r="130">
          <cell r="F130" t="str">
            <v>1610CFVG1109</v>
          </cell>
          <cell r="K130">
            <v>125</v>
          </cell>
        </row>
        <row r="131">
          <cell r="F131" t="str">
            <v>1617VG0717</v>
          </cell>
          <cell r="K131">
            <v>126</v>
          </cell>
        </row>
        <row r="132">
          <cell r="F132" t="str">
            <v>1610CFCG1108</v>
          </cell>
          <cell r="K132">
            <v>127</v>
          </cell>
        </row>
        <row r="133">
          <cell r="F133" t="str">
            <v>1610S0101</v>
          </cell>
          <cell r="K133">
            <v>128</v>
          </cell>
        </row>
        <row r="134">
          <cell r="F134" t="str">
            <v>1617G0730</v>
          </cell>
          <cell r="K134">
            <v>129</v>
          </cell>
        </row>
        <row r="135">
          <cell r="F135" t="str">
            <v>168G0401</v>
          </cell>
          <cell r="K135">
            <v>130</v>
          </cell>
        </row>
        <row r="136">
          <cell r="F136" t="str">
            <v>1641G0515</v>
          </cell>
          <cell r="K136">
            <v>131</v>
          </cell>
        </row>
        <row r="137">
          <cell r="F137" t="str">
            <v>1641G0517</v>
          </cell>
          <cell r="K137">
            <v>132</v>
          </cell>
        </row>
        <row r="138">
          <cell r="F138" t="str">
            <v>1641G0518</v>
          </cell>
          <cell r="K138">
            <v>133</v>
          </cell>
        </row>
        <row r="139">
          <cell r="F139" t="str">
            <v>1641G0519</v>
          </cell>
          <cell r="K139">
            <v>134</v>
          </cell>
        </row>
        <row r="140">
          <cell r="F140" t="str">
            <v>1641G0520</v>
          </cell>
          <cell r="K140">
            <v>135</v>
          </cell>
        </row>
        <row r="141">
          <cell r="F141" t="str">
            <v>1641G0521</v>
          </cell>
          <cell r="K141">
            <v>136</v>
          </cell>
        </row>
        <row r="142">
          <cell r="F142" t="str">
            <v>1641G0522</v>
          </cell>
          <cell r="K142">
            <v>137</v>
          </cell>
        </row>
        <row r="143">
          <cell r="F143" t="str">
            <v>1641G0523</v>
          </cell>
          <cell r="K143">
            <v>138</v>
          </cell>
        </row>
        <row r="144">
          <cell r="F144" t="str">
            <v>1641G0524</v>
          </cell>
          <cell r="K144">
            <v>139</v>
          </cell>
        </row>
        <row r="145">
          <cell r="F145" t="str">
            <v>1641G0516</v>
          </cell>
          <cell r="K145">
            <v>140</v>
          </cell>
        </row>
        <row r="146">
          <cell r="F146" t="str">
            <v>1641G0525</v>
          </cell>
          <cell r="K146">
            <v>141</v>
          </cell>
        </row>
        <row r="147">
          <cell r="F147" t="str">
            <v>1641EG0637</v>
          </cell>
          <cell r="K147">
            <v>142</v>
          </cell>
        </row>
        <row r="148">
          <cell r="F148" t="str">
            <v>1641EG0639</v>
          </cell>
          <cell r="K148">
            <v>143</v>
          </cell>
        </row>
        <row r="149">
          <cell r="F149" t="str">
            <v>1641EG0640</v>
          </cell>
          <cell r="K149">
            <v>144</v>
          </cell>
        </row>
        <row r="150">
          <cell r="F150" t="str">
            <v>1641EG0641</v>
          </cell>
          <cell r="K150">
            <v>145</v>
          </cell>
        </row>
        <row r="151">
          <cell r="F151" t="str">
            <v>1641EG0642</v>
          </cell>
          <cell r="K151">
            <v>146</v>
          </cell>
        </row>
        <row r="152">
          <cell r="F152" t="str">
            <v>1641EG0638</v>
          </cell>
          <cell r="K152">
            <v>147</v>
          </cell>
        </row>
        <row r="153">
          <cell r="F153" t="str">
            <v>1641BG0623</v>
          </cell>
          <cell r="K153">
            <v>148</v>
          </cell>
        </row>
        <row r="154">
          <cell r="F154" t="str">
            <v>1641BG0625</v>
          </cell>
          <cell r="K154">
            <v>149</v>
          </cell>
        </row>
        <row r="155">
          <cell r="F155" t="str">
            <v>1641BG0626</v>
          </cell>
          <cell r="K155">
            <v>150</v>
          </cell>
        </row>
        <row r="156">
          <cell r="F156" t="str">
            <v>1641BG0627</v>
          </cell>
          <cell r="K156">
            <v>151</v>
          </cell>
        </row>
        <row r="157">
          <cell r="F157" t="str">
            <v>1641BG0628</v>
          </cell>
          <cell r="K157">
            <v>152</v>
          </cell>
        </row>
        <row r="158">
          <cell r="F158" t="str">
            <v>1641BG0629</v>
          </cell>
          <cell r="K158">
            <v>153</v>
          </cell>
        </row>
        <row r="159">
          <cell r="F159" t="str">
            <v>1641BG0630</v>
          </cell>
          <cell r="K159">
            <v>154</v>
          </cell>
        </row>
        <row r="160">
          <cell r="F160" t="str">
            <v>1641BG0631</v>
          </cell>
          <cell r="K160">
            <v>155</v>
          </cell>
        </row>
        <row r="161">
          <cell r="F161" t="str">
            <v>1641BG0632</v>
          </cell>
          <cell r="K161">
            <v>156</v>
          </cell>
        </row>
        <row r="162">
          <cell r="F162" t="str">
            <v>1641BG0624</v>
          </cell>
          <cell r="K162">
            <v>157</v>
          </cell>
        </row>
        <row r="163">
          <cell r="F163" t="str">
            <v>1641BG0633</v>
          </cell>
          <cell r="K163">
            <v>158</v>
          </cell>
        </row>
        <row r="164">
          <cell r="F164" t="str">
            <v>1641BG0634</v>
          </cell>
          <cell r="K164">
            <v>159</v>
          </cell>
        </row>
        <row r="165">
          <cell r="F165" t="str">
            <v>1641BG0635</v>
          </cell>
          <cell r="K165">
            <v>160</v>
          </cell>
        </row>
        <row r="166">
          <cell r="F166" t="str">
            <v>1641BG0636</v>
          </cell>
          <cell r="K166">
            <v>161</v>
          </cell>
        </row>
        <row r="167">
          <cell r="F167" t="str">
            <v>169G0402</v>
          </cell>
          <cell r="K167">
            <v>162</v>
          </cell>
        </row>
        <row r="168">
          <cell r="F168" t="str">
            <v>1653T2038</v>
          </cell>
          <cell r="K168">
            <v>163</v>
          </cell>
        </row>
        <row r="169">
          <cell r="F169" t="str">
            <v>720G1000</v>
          </cell>
          <cell r="K169">
            <v>164</v>
          </cell>
        </row>
        <row r="170">
          <cell r="F170" t="str">
            <v>717CSG0754</v>
          </cell>
          <cell r="K170">
            <v>165</v>
          </cell>
        </row>
        <row r="171">
          <cell r="F171" t="str">
            <v>717CSG0753</v>
          </cell>
          <cell r="K171">
            <v>166</v>
          </cell>
        </row>
        <row r="172">
          <cell r="F172" t="str">
            <v>717CG0741</v>
          </cell>
          <cell r="K172">
            <v>167</v>
          </cell>
        </row>
        <row r="173">
          <cell r="F173" t="str">
            <v>717CG0740</v>
          </cell>
          <cell r="K173">
            <v>168</v>
          </cell>
        </row>
        <row r="174">
          <cell r="F174" t="str">
            <v>717CVG0746</v>
          </cell>
          <cell r="K174">
            <v>169</v>
          </cell>
        </row>
        <row r="175">
          <cell r="F175" t="str">
            <v>717CVG0745</v>
          </cell>
          <cell r="K175">
            <v>170</v>
          </cell>
        </row>
        <row r="176">
          <cell r="F176" t="str">
            <v>H0038HKHE</v>
          </cell>
          <cell r="K176">
            <v>171</v>
          </cell>
        </row>
        <row r="177">
          <cell r="F177" t="str">
            <v>T2031HKHE</v>
          </cell>
          <cell r="K177">
            <v>172</v>
          </cell>
        </row>
        <row r="178">
          <cell r="F178" t="str">
            <v>H0036HKHE</v>
          </cell>
          <cell r="K178">
            <v>173</v>
          </cell>
        </row>
        <row r="179">
          <cell r="F179" t="str">
            <v>H2015HKHE</v>
          </cell>
          <cell r="K179">
            <v>174</v>
          </cell>
        </row>
        <row r="180">
          <cell r="F180" t="str">
            <v>H2019HKHQ</v>
          </cell>
          <cell r="K180">
            <v>175</v>
          </cell>
        </row>
        <row r="181">
          <cell r="F181" t="str">
            <v>H2019HKHE</v>
          </cell>
          <cell r="K181">
            <v>176</v>
          </cell>
        </row>
        <row r="182">
          <cell r="F182" t="str">
            <v>H0001HKHH</v>
          </cell>
          <cell r="K182">
            <v>177</v>
          </cell>
        </row>
        <row r="183">
          <cell r="F183" t="str">
            <v>H0005HQHH</v>
          </cell>
          <cell r="K183">
            <v>178</v>
          </cell>
        </row>
        <row r="184">
          <cell r="F184" t="str">
            <v>H0004HKHE</v>
          </cell>
          <cell r="K184">
            <v>179</v>
          </cell>
        </row>
        <row r="185">
          <cell r="F185" t="str">
            <v>H2025HKHE</v>
          </cell>
          <cell r="K185">
            <v>180</v>
          </cell>
        </row>
        <row r="186">
          <cell r="F186" t="str">
            <v>H2023HKHE</v>
          </cell>
          <cell r="K186">
            <v>181</v>
          </cell>
        </row>
        <row r="187">
          <cell r="F187" t="str">
            <v>S5170HKHE</v>
          </cell>
          <cell r="K187">
            <v>182</v>
          </cell>
        </row>
        <row r="188">
          <cell r="F188" t="str">
            <v>S5170HKHW</v>
          </cell>
          <cell r="K188">
            <v>183</v>
          </cell>
        </row>
        <row r="189">
          <cell r="F189" t="str">
            <v>S5136HKHE</v>
          </cell>
          <cell r="K189">
            <v>184</v>
          </cell>
        </row>
        <row r="190">
          <cell r="F190" t="str">
            <v>T1005HKHE</v>
          </cell>
          <cell r="K190">
            <v>185</v>
          </cell>
        </row>
        <row r="191">
          <cell r="F191" t="str">
            <v>S9124HKHE</v>
          </cell>
          <cell r="K191">
            <v>186</v>
          </cell>
        </row>
        <row r="192">
          <cell r="F192" t="str">
            <v>S9123HKHE</v>
          </cell>
          <cell r="K192">
            <v>187</v>
          </cell>
        </row>
        <row r="193">
          <cell r="F193" t="str">
            <v>A0080HKHE</v>
          </cell>
          <cell r="K193">
            <v>188</v>
          </cell>
        </row>
        <row r="194">
          <cell r="F194" t="str">
            <v>T2033HKHE</v>
          </cell>
          <cell r="K194">
            <v>189</v>
          </cell>
        </row>
        <row r="195">
          <cell r="F195" t="str">
            <v>S5140HKHE</v>
          </cell>
          <cell r="K195">
            <v>190</v>
          </cell>
        </row>
        <row r="196">
          <cell r="F196" t="str">
            <v>S5151HKHE</v>
          </cell>
          <cell r="K196">
            <v>191</v>
          </cell>
        </row>
        <row r="197">
          <cell r="F197" t="str">
            <v>H0045HKHE</v>
          </cell>
          <cell r="K197">
            <v>192</v>
          </cell>
        </row>
        <row r="198">
          <cell r="F198" t="str">
            <v>S5130HKHE</v>
          </cell>
          <cell r="K198">
            <v>193</v>
          </cell>
        </row>
        <row r="199">
          <cell r="F199" t="str">
            <v>H2013HKHE</v>
          </cell>
          <cell r="K199">
            <v>194</v>
          </cell>
        </row>
        <row r="200">
          <cell r="F200" t="str">
            <v>T2038HKHE</v>
          </cell>
          <cell r="K200">
            <v>195</v>
          </cell>
        </row>
        <row r="201">
          <cell r="F201" t="str">
            <v>2135M0103</v>
          </cell>
          <cell r="K201">
            <v>196</v>
          </cell>
        </row>
        <row r="202">
          <cell r="F202" t="str">
            <v>2135M0104</v>
          </cell>
          <cell r="K202">
            <v>197</v>
          </cell>
        </row>
        <row r="203">
          <cell r="F203" t="str">
            <v>2143AM0133</v>
          </cell>
          <cell r="K203">
            <v>198</v>
          </cell>
        </row>
        <row r="204">
          <cell r="F204" t="str">
            <v>2143AM0134</v>
          </cell>
          <cell r="K204">
            <v>199</v>
          </cell>
        </row>
        <row r="205">
          <cell r="F205" t="str">
            <v>2161M0328</v>
          </cell>
          <cell r="K205">
            <v>200</v>
          </cell>
        </row>
        <row r="206">
          <cell r="F206" t="str">
            <v>2161M0329</v>
          </cell>
          <cell r="K206">
            <v>201</v>
          </cell>
        </row>
        <row r="207">
          <cell r="F207" t="str">
            <v>2161VM0330</v>
          </cell>
          <cell r="K207">
            <v>202</v>
          </cell>
        </row>
        <row r="208">
          <cell r="F208" t="str">
            <v>2161VM0331</v>
          </cell>
          <cell r="K208">
            <v>203</v>
          </cell>
        </row>
        <row r="209">
          <cell r="F209" t="str">
            <v>2163CFVM0359</v>
          </cell>
          <cell r="K209">
            <v>204</v>
          </cell>
        </row>
        <row r="210">
          <cell r="F210" t="str">
            <v>2163CFVM0371</v>
          </cell>
          <cell r="K210">
            <v>205</v>
          </cell>
        </row>
        <row r="211">
          <cell r="F211" t="str">
            <v>2163VM0112</v>
          </cell>
          <cell r="K211">
            <v>206</v>
          </cell>
        </row>
        <row r="212">
          <cell r="F212" t="str">
            <v>2163VM0111</v>
          </cell>
          <cell r="K212">
            <v>207</v>
          </cell>
        </row>
        <row r="213">
          <cell r="F213" t="str">
            <v>2157CFVM0411</v>
          </cell>
          <cell r="K213">
            <v>208</v>
          </cell>
        </row>
        <row r="214">
          <cell r="F214" t="str">
            <v>2157CFVM0412</v>
          </cell>
          <cell r="K214">
            <v>209</v>
          </cell>
        </row>
        <row r="215">
          <cell r="F215" t="str">
            <v>2157VM0162</v>
          </cell>
          <cell r="K215">
            <v>210</v>
          </cell>
        </row>
        <row r="216">
          <cell r="F216" t="str">
            <v>2157VM0163</v>
          </cell>
          <cell r="K216">
            <v>211</v>
          </cell>
        </row>
        <row r="217">
          <cell r="F217" t="str">
            <v>2134M0120</v>
          </cell>
          <cell r="K217">
            <v>222</v>
          </cell>
        </row>
        <row r="218">
          <cell r="F218" t="str">
            <v>2134M0121</v>
          </cell>
          <cell r="K218">
            <v>223</v>
          </cell>
        </row>
        <row r="219">
          <cell r="F219" t="str">
            <v>2154VM0348</v>
          </cell>
          <cell r="K219">
            <v>224</v>
          </cell>
        </row>
        <row r="220">
          <cell r="F220" t="str">
            <v>2154VM0333</v>
          </cell>
          <cell r="K220">
            <v>225</v>
          </cell>
        </row>
        <row r="221">
          <cell r="F221" t="str">
            <v>2154M0347</v>
          </cell>
          <cell r="K221">
            <v>226</v>
          </cell>
        </row>
        <row r="222">
          <cell r="F222" t="str">
            <v>2154M0332</v>
          </cell>
          <cell r="K222">
            <v>227</v>
          </cell>
        </row>
        <row r="223">
          <cell r="F223" t="str">
            <v>2137VM0349</v>
          </cell>
          <cell r="K223">
            <v>228</v>
          </cell>
        </row>
        <row r="224">
          <cell r="F224" t="str">
            <v>2137VM0334</v>
          </cell>
          <cell r="K224">
            <v>229</v>
          </cell>
        </row>
        <row r="225">
          <cell r="F225" t="str">
            <v>2137M0154</v>
          </cell>
          <cell r="K225">
            <v>230</v>
          </cell>
        </row>
        <row r="226">
          <cell r="F226" t="str">
            <v>2137M0155</v>
          </cell>
          <cell r="K226">
            <v>231</v>
          </cell>
        </row>
        <row r="227">
          <cell r="F227" t="str">
            <v>2120CFCM0358</v>
          </cell>
          <cell r="K227">
            <v>232</v>
          </cell>
        </row>
        <row r="228">
          <cell r="F228" t="str">
            <v>2118AM0122</v>
          </cell>
          <cell r="K228">
            <v>233</v>
          </cell>
        </row>
        <row r="229">
          <cell r="F229" t="str">
            <v>2118AM0123</v>
          </cell>
          <cell r="K229">
            <v>234</v>
          </cell>
        </row>
        <row r="230">
          <cell r="F230" t="str">
            <v>2118AM0124</v>
          </cell>
          <cell r="K230">
            <v>235</v>
          </cell>
        </row>
        <row r="231">
          <cell r="F231" t="str">
            <v>2118AM0125</v>
          </cell>
          <cell r="K231">
            <v>236</v>
          </cell>
        </row>
        <row r="232">
          <cell r="F232" t="str">
            <v>2118AM0126</v>
          </cell>
          <cell r="K232">
            <v>237</v>
          </cell>
        </row>
        <row r="233">
          <cell r="F233" t="str">
            <v>2123M0977</v>
          </cell>
          <cell r="K233">
            <v>238</v>
          </cell>
        </row>
        <row r="234">
          <cell r="F234" t="str">
            <v>2123M0978</v>
          </cell>
          <cell r="K234">
            <v>239</v>
          </cell>
        </row>
        <row r="235">
          <cell r="F235" t="str">
            <v>2123M0980</v>
          </cell>
          <cell r="K235">
            <v>240</v>
          </cell>
        </row>
        <row r="236">
          <cell r="F236" t="str">
            <v>2123M1095</v>
          </cell>
          <cell r="K236">
            <v>241</v>
          </cell>
        </row>
        <row r="237">
          <cell r="F237" t="str">
            <v>2123M0981</v>
          </cell>
          <cell r="K237">
            <v>242</v>
          </cell>
        </row>
        <row r="238">
          <cell r="F238" t="str">
            <v>2123M0982</v>
          </cell>
          <cell r="K238">
            <v>243</v>
          </cell>
        </row>
        <row r="239">
          <cell r="F239" t="str">
            <v>2123M0984</v>
          </cell>
          <cell r="K239">
            <v>244</v>
          </cell>
        </row>
        <row r="240">
          <cell r="F240" t="str">
            <v>2123M1096</v>
          </cell>
          <cell r="K240">
            <v>245</v>
          </cell>
        </row>
        <row r="241">
          <cell r="F241" t="str">
            <v>2123M0985</v>
          </cell>
          <cell r="K241">
            <v>246</v>
          </cell>
        </row>
        <row r="242">
          <cell r="F242" t="str">
            <v>2123M0986</v>
          </cell>
          <cell r="K242">
            <v>247</v>
          </cell>
        </row>
        <row r="243">
          <cell r="F243" t="str">
            <v>2123M0988</v>
          </cell>
          <cell r="K243">
            <v>248</v>
          </cell>
        </row>
        <row r="244">
          <cell r="F244" t="str">
            <v>2123M1097</v>
          </cell>
          <cell r="K244">
            <v>249</v>
          </cell>
        </row>
        <row r="245">
          <cell r="F245" t="str">
            <v>2123M0989</v>
          </cell>
          <cell r="K245">
            <v>250</v>
          </cell>
        </row>
        <row r="246">
          <cell r="F246" t="str">
            <v>2123M0990</v>
          </cell>
          <cell r="K246">
            <v>251</v>
          </cell>
        </row>
        <row r="247">
          <cell r="F247" t="str">
            <v>2123M0992</v>
          </cell>
          <cell r="K247">
            <v>252</v>
          </cell>
        </row>
        <row r="248">
          <cell r="F248" t="str">
            <v>2123M1098</v>
          </cell>
          <cell r="K248">
            <v>253</v>
          </cell>
        </row>
        <row r="249">
          <cell r="F249" t="str">
            <v>2123M0993</v>
          </cell>
          <cell r="K249">
            <v>254</v>
          </cell>
        </row>
        <row r="250">
          <cell r="F250" t="str">
            <v>2123M0994</v>
          </cell>
          <cell r="K250">
            <v>255</v>
          </cell>
        </row>
        <row r="251">
          <cell r="F251" t="str">
            <v>2123M0996</v>
          </cell>
          <cell r="K251">
            <v>256</v>
          </cell>
        </row>
        <row r="252">
          <cell r="F252" t="str">
            <v>2123M1099</v>
          </cell>
          <cell r="K252">
            <v>257</v>
          </cell>
        </row>
        <row r="253">
          <cell r="F253" t="str">
            <v>2123M0979</v>
          </cell>
          <cell r="K253">
            <v>258</v>
          </cell>
        </row>
        <row r="254">
          <cell r="F254" t="str">
            <v>2123M1118</v>
          </cell>
          <cell r="K254">
            <v>259</v>
          </cell>
        </row>
        <row r="255">
          <cell r="F255" t="str">
            <v>2123M0983</v>
          </cell>
          <cell r="K255">
            <v>260</v>
          </cell>
        </row>
        <row r="256">
          <cell r="F256" t="str">
            <v>2123M1119</v>
          </cell>
          <cell r="K256">
            <v>261</v>
          </cell>
        </row>
        <row r="257">
          <cell r="F257" t="str">
            <v>2123M0987</v>
          </cell>
          <cell r="K257">
            <v>262</v>
          </cell>
        </row>
        <row r="258">
          <cell r="F258" t="str">
            <v>2123M0991</v>
          </cell>
          <cell r="K258">
            <v>263</v>
          </cell>
        </row>
        <row r="259">
          <cell r="F259" t="str">
            <v>2113AVM0350</v>
          </cell>
          <cell r="K259">
            <v>264</v>
          </cell>
        </row>
        <row r="260">
          <cell r="F260" t="str">
            <v>2113AVM0335</v>
          </cell>
          <cell r="K260">
            <v>265</v>
          </cell>
        </row>
        <row r="261">
          <cell r="F261" t="str">
            <v>2113BVM0351</v>
          </cell>
          <cell r="K261">
            <v>266</v>
          </cell>
        </row>
        <row r="262">
          <cell r="F262" t="str">
            <v>2113BVM0338</v>
          </cell>
          <cell r="K262">
            <v>267</v>
          </cell>
        </row>
        <row r="263">
          <cell r="F263" t="str">
            <v>2113DVM0352</v>
          </cell>
          <cell r="K263">
            <v>268</v>
          </cell>
        </row>
        <row r="264">
          <cell r="F264" t="str">
            <v>2113DVM0336</v>
          </cell>
          <cell r="K264">
            <v>269</v>
          </cell>
        </row>
        <row r="265">
          <cell r="F265" t="str">
            <v>2113CVM0353</v>
          </cell>
          <cell r="K265">
            <v>270</v>
          </cell>
        </row>
        <row r="266">
          <cell r="F266" t="str">
            <v>2113CVM0337</v>
          </cell>
          <cell r="K266">
            <v>271</v>
          </cell>
        </row>
        <row r="267">
          <cell r="F267" t="str">
            <v>2113AM0298</v>
          </cell>
          <cell r="K267">
            <v>272</v>
          </cell>
        </row>
        <row r="268">
          <cell r="F268" t="str">
            <v>2113AM0302</v>
          </cell>
          <cell r="K268">
            <v>273</v>
          </cell>
        </row>
        <row r="269">
          <cell r="F269" t="str">
            <v>2113BM0299</v>
          </cell>
          <cell r="K269">
            <v>274</v>
          </cell>
        </row>
        <row r="270">
          <cell r="F270" t="str">
            <v>2113BM0303</v>
          </cell>
          <cell r="K270">
            <v>275</v>
          </cell>
        </row>
        <row r="271">
          <cell r="F271" t="str">
            <v>2113CM0301</v>
          </cell>
          <cell r="K271">
            <v>276</v>
          </cell>
        </row>
        <row r="272">
          <cell r="F272" t="str">
            <v>2113CM0305</v>
          </cell>
          <cell r="K272">
            <v>277</v>
          </cell>
        </row>
        <row r="273">
          <cell r="F273" t="str">
            <v>2113DM0300</v>
          </cell>
          <cell r="K273">
            <v>278</v>
          </cell>
        </row>
        <row r="274">
          <cell r="F274" t="str">
            <v>2113DM0304</v>
          </cell>
          <cell r="K274">
            <v>279</v>
          </cell>
        </row>
        <row r="275">
          <cell r="F275" t="str">
            <v>217M0131</v>
          </cell>
          <cell r="K275">
            <v>280</v>
          </cell>
        </row>
        <row r="276">
          <cell r="F276" t="str">
            <v>217M0132</v>
          </cell>
          <cell r="K276">
            <v>281</v>
          </cell>
        </row>
        <row r="277">
          <cell r="F277" t="str">
            <v>2110CFVM0355</v>
          </cell>
          <cell r="K277">
            <v>282</v>
          </cell>
        </row>
        <row r="278">
          <cell r="F278" t="str">
            <v>2110CFVM0367</v>
          </cell>
          <cell r="K278">
            <v>283</v>
          </cell>
        </row>
        <row r="279">
          <cell r="F279" t="str">
            <v>2110CFCM0354</v>
          </cell>
          <cell r="K279">
            <v>284</v>
          </cell>
        </row>
        <row r="280">
          <cell r="F280" t="str">
            <v>2110CFCM0366</v>
          </cell>
          <cell r="K280">
            <v>285</v>
          </cell>
        </row>
        <row r="281">
          <cell r="F281" t="str">
            <v>2148M0372</v>
          </cell>
          <cell r="K281">
            <v>286</v>
          </cell>
        </row>
        <row r="282">
          <cell r="F282" t="str">
            <v>2148M0374</v>
          </cell>
          <cell r="K282">
            <v>287</v>
          </cell>
        </row>
        <row r="283">
          <cell r="F283" t="str">
            <v>2148VM0373</v>
          </cell>
          <cell r="K283">
            <v>288</v>
          </cell>
        </row>
        <row r="284">
          <cell r="F284" t="str">
            <v>2148VM0418</v>
          </cell>
          <cell r="K284">
            <v>289</v>
          </cell>
        </row>
        <row r="285">
          <cell r="F285" t="str">
            <v>218M0135</v>
          </cell>
          <cell r="K285">
            <v>290</v>
          </cell>
        </row>
        <row r="286">
          <cell r="F286" t="str">
            <v>218M0136</v>
          </cell>
          <cell r="K286">
            <v>291</v>
          </cell>
        </row>
        <row r="287">
          <cell r="F287" t="str">
            <v>2141M0248</v>
          </cell>
          <cell r="K287">
            <v>292</v>
          </cell>
        </row>
        <row r="288">
          <cell r="F288" t="str">
            <v>2141M0259</v>
          </cell>
          <cell r="K288">
            <v>293</v>
          </cell>
        </row>
        <row r="289">
          <cell r="F289" t="str">
            <v>2141M0250</v>
          </cell>
          <cell r="K289">
            <v>294</v>
          </cell>
        </row>
        <row r="290">
          <cell r="F290" t="str">
            <v>2141M0261</v>
          </cell>
          <cell r="K290">
            <v>295</v>
          </cell>
        </row>
        <row r="291">
          <cell r="F291" t="str">
            <v>2141M0251</v>
          </cell>
          <cell r="K291">
            <v>296</v>
          </cell>
        </row>
        <row r="292">
          <cell r="F292" t="str">
            <v>2141M0262</v>
          </cell>
          <cell r="K292">
            <v>297</v>
          </cell>
        </row>
        <row r="293">
          <cell r="F293" t="str">
            <v>2141M0252</v>
          </cell>
          <cell r="K293">
            <v>298</v>
          </cell>
        </row>
        <row r="294">
          <cell r="F294" t="str">
            <v>2141M0263</v>
          </cell>
          <cell r="K294">
            <v>299</v>
          </cell>
        </row>
        <row r="295">
          <cell r="F295" t="str">
            <v>2141M0253</v>
          </cell>
          <cell r="K295">
            <v>300</v>
          </cell>
        </row>
        <row r="296">
          <cell r="F296" t="str">
            <v>2141M0264</v>
          </cell>
          <cell r="K296">
            <v>301</v>
          </cell>
        </row>
        <row r="297">
          <cell r="F297" t="str">
            <v>2141M0254</v>
          </cell>
          <cell r="K297">
            <v>302</v>
          </cell>
        </row>
        <row r="298">
          <cell r="F298" t="str">
            <v>2141M0265</v>
          </cell>
          <cell r="K298">
            <v>303</v>
          </cell>
        </row>
        <row r="299">
          <cell r="F299" t="str">
            <v>2141M0255</v>
          </cell>
          <cell r="K299">
            <v>304</v>
          </cell>
        </row>
        <row r="300">
          <cell r="F300" t="str">
            <v>2141M0266</v>
          </cell>
          <cell r="K300">
            <v>305</v>
          </cell>
        </row>
        <row r="301">
          <cell r="F301" t="str">
            <v>2141M0256</v>
          </cell>
          <cell r="K301">
            <v>306</v>
          </cell>
        </row>
        <row r="302">
          <cell r="F302" t="str">
            <v>2141M0267</v>
          </cell>
          <cell r="K302">
            <v>307</v>
          </cell>
        </row>
        <row r="303">
          <cell r="F303" t="str">
            <v>2141M0257</v>
          </cell>
          <cell r="K303">
            <v>308</v>
          </cell>
        </row>
        <row r="304">
          <cell r="F304" t="str">
            <v>2141M0268</v>
          </cell>
          <cell r="K304">
            <v>309</v>
          </cell>
        </row>
        <row r="305">
          <cell r="F305" t="str">
            <v>2141M0249</v>
          </cell>
          <cell r="K305">
            <v>310</v>
          </cell>
        </row>
        <row r="306">
          <cell r="F306" t="str">
            <v>2141M0260</v>
          </cell>
          <cell r="K306">
            <v>311</v>
          </cell>
        </row>
        <row r="307">
          <cell r="F307" t="str">
            <v>2141M0258</v>
          </cell>
          <cell r="K307">
            <v>312</v>
          </cell>
        </row>
        <row r="308">
          <cell r="F308" t="str">
            <v>2141M0269</v>
          </cell>
          <cell r="K308">
            <v>313</v>
          </cell>
        </row>
        <row r="309">
          <cell r="F309" t="str">
            <v>2141EM0315</v>
          </cell>
          <cell r="K309">
            <v>314</v>
          </cell>
        </row>
        <row r="310">
          <cell r="F310" t="str">
            <v>2141EM0318</v>
          </cell>
          <cell r="K310">
            <v>315</v>
          </cell>
        </row>
        <row r="311">
          <cell r="F311" t="str">
            <v>2141EM0316</v>
          </cell>
          <cell r="K311">
            <v>316</v>
          </cell>
        </row>
        <row r="312">
          <cell r="F312" t="str">
            <v>2141EM0319</v>
          </cell>
          <cell r="K312">
            <v>317</v>
          </cell>
        </row>
        <row r="313">
          <cell r="F313" t="str">
            <v>2141EM0320</v>
          </cell>
          <cell r="K313">
            <v>318</v>
          </cell>
        </row>
        <row r="314">
          <cell r="F314" t="str">
            <v>2141EM0317</v>
          </cell>
          <cell r="K314">
            <v>319</v>
          </cell>
        </row>
        <row r="315">
          <cell r="F315" t="str">
            <v>2141EM0953</v>
          </cell>
          <cell r="K315">
            <v>320</v>
          </cell>
        </row>
        <row r="316">
          <cell r="F316" t="str">
            <v>2141EM0961</v>
          </cell>
          <cell r="K316">
            <v>321</v>
          </cell>
        </row>
        <row r="317">
          <cell r="F317" t="str">
            <v>2141EM0954</v>
          </cell>
          <cell r="K317">
            <v>322</v>
          </cell>
        </row>
        <row r="318">
          <cell r="F318" t="str">
            <v>2141EM0962</v>
          </cell>
          <cell r="K318">
            <v>323</v>
          </cell>
        </row>
        <row r="319">
          <cell r="F319" t="str">
            <v>2141EM0955</v>
          </cell>
          <cell r="K319">
            <v>324</v>
          </cell>
        </row>
        <row r="320">
          <cell r="F320" t="str">
            <v>2141EM0963</v>
          </cell>
          <cell r="K320">
            <v>325</v>
          </cell>
        </row>
        <row r="321">
          <cell r="F321" t="str">
            <v>2141EM0956</v>
          </cell>
          <cell r="K321">
            <v>326</v>
          </cell>
        </row>
        <row r="322">
          <cell r="F322" t="str">
            <v>2141EM0964</v>
          </cell>
          <cell r="K322">
            <v>327</v>
          </cell>
        </row>
        <row r="323">
          <cell r="F323" t="str">
            <v>2141EM0957</v>
          </cell>
          <cell r="K323">
            <v>328</v>
          </cell>
        </row>
        <row r="324">
          <cell r="F324" t="str">
            <v>2141EM0965</v>
          </cell>
          <cell r="K324">
            <v>329</v>
          </cell>
        </row>
        <row r="325">
          <cell r="F325" t="str">
            <v>2141EM0958</v>
          </cell>
          <cell r="K325">
            <v>330</v>
          </cell>
        </row>
        <row r="326">
          <cell r="F326" t="str">
            <v>2141EM0966</v>
          </cell>
          <cell r="K326">
            <v>331</v>
          </cell>
        </row>
        <row r="327">
          <cell r="F327" t="str">
            <v>2141EM0959</v>
          </cell>
          <cell r="K327">
            <v>332</v>
          </cell>
        </row>
        <row r="328">
          <cell r="F328" t="str">
            <v>2141EM0967</v>
          </cell>
          <cell r="K328">
            <v>333</v>
          </cell>
        </row>
        <row r="329">
          <cell r="F329" t="str">
            <v>2141EM0960</v>
          </cell>
          <cell r="K329">
            <v>334</v>
          </cell>
        </row>
        <row r="330">
          <cell r="F330" t="str">
            <v>2141EM0968</v>
          </cell>
          <cell r="K330">
            <v>335</v>
          </cell>
        </row>
        <row r="331">
          <cell r="F331" t="str">
            <v>2141BM0430</v>
          </cell>
          <cell r="K331">
            <v>336</v>
          </cell>
        </row>
        <row r="332">
          <cell r="F332" t="str">
            <v>2141BM0444</v>
          </cell>
          <cell r="K332">
            <v>337</v>
          </cell>
        </row>
        <row r="333">
          <cell r="F333" t="str">
            <v>2141BM0432</v>
          </cell>
          <cell r="K333">
            <v>338</v>
          </cell>
        </row>
        <row r="334">
          <cell r="F334" t="str">
            <v>2141BM0446</v>
          </cell>
          <cell r="K334">
            <v>339</v>
          </cell>
        </row>
        <row r="335">
          <cell r="F335" t="str">
            <v>2141BM0433</v>
          </cell>
          <cell r="K335">
            <v>340</v>
          </cell>
        </row>
        <row r="336">
          <cell r="F336" t="str">
            <v>2141BM0447</v>
          </cell>
          <cell r="K336">
            <v>341</v>
          </cell>
        </row>
        <row r="337">
          <cell r="F337" t="str">
            <v>2141BM0434</v>
          </cell>
          <cell r="K337">
            <v>342</v>
          </cell>
        </row>
        <row r="338">
          <cell r="F338" t="str">
            <v>2141BM0448</v>
          </cell>
          <cell r="K338">
            <v>343</v>
          </cell>
        </row>
        <row r="339">
          <cell r="F339" t="str">
            <v>2141BM0435</v>
          </cell>
          <cell r="K339">
            <v>344</v>
          </cell>
        </row>
        <row r="340">
          <cell r="F340" t="str">
            <v>2141BM0449</v>
          </cell>
          <cell r="K340">
            <v>345</v>
          </cell>
        </row>
        <row r="341">
          <cell r="F341" t="str">
            <v>2141BM0436</v>
          </cell>
          <cell r="K341">
            <v>346</v>
          </cell>
        </row>
        <row r="342">
          <cell r="F342" t="str">
            <v>2141BM0450</v>
          </cell>
          <cell r="K342">
            <v>347</v>
          </cell>
        </row>
        <row r="343">
          <cell r="F343" t="str">
            <v>2141BM0437</v>
          </cell>
          <cell r="K343">
            <v>348</v>
          </cell>
        </row>
        <row r="344">
          <cell r="F344" t="str">
            <v>2141BM0451</v>
          </cell>
          <cell r="K344">
            <v>349</v>
          </cell>
        </row>
        <row r="345">
          <cell r="F345" t="str">
            <v>2141BM0438</v>
          </cell>
          <cell r="K345">
            <v>350</v>
          </cell>
        </row>
        <row r="346">
          <cell r="F346" t="str">
            <v>2141BM0452</v>
          </cell>
          <cell r="K346">
            <v>351</v>
          </cell>
        </row>
        <row r="347">
          <cell r="F347" t="str">
            <v>2141BM0439</v>
          </cell>
          <cell r="K347">
            <v>352</v>
          </cell>
        </row>
        <row r="348">
          <cell r="F348" t="str">
            <v>2141BM0453</v>
          </cell>
          <cell r="K348">
            <v>353</v>
          </cell>
        </row>
        <row r="349">
          <cell r="F349" t="str">
            <v>2141BM0431</v>
          </cell>
          <cell r="K349">
            <v>354</v>
          </cell>
        </row>
        <row r="350">
          <cell r="F350" t="str">
            <v>2141BM0445</v>
          </cell>
          <cell r="K350">
            <v>355</v>
          </cell>
        </row>
        <row r="351">
          <cell r="F351" t="str">
            <v>2141BM0440</v>
          </cell>
          <cell r="K351">
            <v>356</v>
          </cell>
        </row>
        <row r="352">
          <cell r="F352" t="str">
            <v>2141BM0454</v>
          </cell>
          <cell r="K352">
            <v>357</v>
          </cell>
        </row>
        <row r="353">
          <cell r="F353" t="str">
            <v>2141BM0441</v>
          </cell>
          <cell r="K353">
            <v>358</v>
          </cell>
        </row>
        <row r="354">
          <cell r="F354" t="str">
            <v>2141BM0455</v>
          </cell>
          <cell r="K354">
            <v>359</v>
          </cell>
        </row>
        <row r="355">
          <cell r="F355" t="str">
            <v>2141BM0442</v>
          </cell>
          <cell r="K355">
            <v>360</v>
          </cell>
        </row>
        <row r="356">
          <cell r="F356" t="str">
            <v>2141BM0456</v>
          </cell>
          <cell r="K356">
            <v>361</v>
          </cell>
        </row>
        <row r="357">
          <cell r="F357" t="str">
            <v>2141BM0443</v>
          </cell>
          <cell r="K357">
            <v>362</v>
          </cell>
        </row>
        <row r="358">
          <cell r="F358" t="str">
            <v>2141BM0457</v>
          </cell>
          <cell r="K358">
            <v>363</v>
          </cell>
        </row>
        <row r="359">
          <cell r="F359" t="str">
            <v>2141BAM0383</v>
          </cell>
          <cell r="K359">
            <v>364</v>
          </cell>
        </row>
        <row r="360">
          <cell r="F360" t="str">
            <v>2141BAM0397</v>
          </cell>
          <cell r="K360">
            <v>365</v>
          </cell>
        </row>
        <row r="361">
          <cell r="F361" t="str">
            <v>2141BAM0385</v>
          </cell>
          <cell r="K361">
            <v>366</v>
          </cell>
        </row>
        <row r="362">
          <cell r="F362" t="str">
            <v>2141BAM0399</v>
          </cell>
          <cell r="K362">
            <v>367</v>
          </cell>
        </row>
        <row r="363">
          <cell r="F363" t="str">
            <v>2141BAM0386</v>
          </cell>
          <cell r="K363">
            <v>368</v>
          </cell>
        </row>
        <row r="364">
          <cell r="F364" t="str">
            <v>2141BAM0400</v>
          </cell>
          <cell r="K364">
            <v>369</v>
          </cell>
        </row>
        <row r="365">
          <cell r="F365" t="str">
            <v>2141BAM0387</v>
          </cell>
          <cell r="K365">
            <v>370</v>
          </cell>
        </row>
        <row r="366">
          <cell r="F366" t="str">
            <v>2141BAM0401</v>
          </cell>
          <cell r="K366">
            <v>371</v>
          </cell>
        </row>
        <row r="367">
          <cell r="F367" t="str">
            <v>2141BAM0389</v>
          </cell>
          <cell r="K367">
            <v>372</v>
          </cell>
        </row>
        <row r="368">
          <cell r="F368" t="str">
            <v>2141BAM0403</v>
          </cell>
          <cell r="K368">
            <v>373</v>
          </cell>
        </row>
        <row r="369">
          <cell r="F369" t="str">
            <v>2141BAM0390</v>
          </cell>
          <cell r="K369">
            <v>374</v>
          </cell>
        </row>
        <row r="370">
          <cell r="F370" t="str">
            <v>2141BAM0404</v>
          </cell>
          <cell r="K370">
            <v>375</v>
          </cell>
        </row>
        <row r="371">
          <cell r="F371" t="str">
            <v>2141BAM0391</v>
          </cell>
          <cell r="K371">
            <v>376</v>
          </cell>
        </row>
        <row r="372">
          <cell r="F372" t="str">
            <v>2141BAM0405</v>
          </cell>
          <cell r="K372">
            <v>377</v>
          </cell>
        </row>
        <row r="373">
          <cell r="F373" t="str">
            <v>2141BAM0392</v>
          </cell>
          <cell r="K373">
            <v>378</v>
          </cell>
        </row>
        <row r="374">
          <cell r="F374" t="str">
            <v>2141BAM0406</v>
          </cell>
          <cell r="K374">
            <v>379</v>
          </cell>
        </row>
        <row r="375">
          <cell r="F375" t="str">
            <v>2141BAM0384</v>
          </cell>
          <cell r="K375">
            <v>380</v>
          </cell>
        </row>
        <row r="376">
          <cell r="F376" t="str">
            <v>2141BAM0398</v>
          </cell>
          <cell r="K376">
            <v>381</v>
          </cell>
        </row>
        <row r="377">
          <cell r="F377" t="str">
            <v>2141BAM0393</v>
          </cell>
          <cell r="K377">
            <v>382</v>
          </cell>
        </row>
        <row r="378">
          <cell r="F378" t="str">
            <v>2141BAM0407</v>
          </cell>
          <cell r="K378">
            <v>383</v>
          </cell>
        </row>
        <row r="379">
          <cell r="F379" t="str">
            <v>2141BAM0395</v>
          </cell>
          <cell r="K379">
            <v>384</v>
          </cell>
        </row>
        <row r="380">
          <cell r="F380" t="str">
            <v>2141BAM0409</v>
          </cell>
          <cell r="K380">
            <v>385</v>
          </cell>
        </row>
        <row r="381">
          <cell r="F381" t="str">
            <v>2141BAM0396</v>
          </cell>
          <cell r="K381">
            <v>386</v>
          </cell>
        </row>
        <row r="382">
          <cell r="F382" t="str">
            <v>2141BAM0410</v>
          </cell>
          <cell r="K382">
            <v>387</v>
          </cell>
        </row>
        <row r="383">
          <cell r="F383" t="str">
            <v>2141BAM0388</v>
          </cell>
          <cell r="K383">
            <v>388</v>
          </cell>
        </row>
        <row r="384">
          <cell r="F384" t="str">
            <v>2141BAM0402</v>
          </cell>
          <cell r="K384">
            <v>389</v>
          </cell>
        </row>
        <row r="385">
          <cell r="F385" t="str">
            <v>2141BAM0394</v>
          </cell>
          <cell r="K385">
            <v>390</v>
          </cell>
        </row>
        <row r="386">
          <cell r="F386" t="str">
            <v>2141BAM0408</v>
          </cell>
          <cell r="K386">
            <v>391</v>
          </cell>
        </row>
        <row r="387">
          <cell r="F387" t="str">
            <v>2111XVM0145</v>
          </cell>
          <cell r="K387">
            <v>392</v>
          </cell>
        </row>
        <row r="388">
          <cell r="F388" t="str">
            <v>2111XVM0146</v>
          </cell>
          <cell r="K388">
            <v>393</v>
          </cell>
        </row>
        <row r="389">
          <cell r="F389" t="str">
            <v>2111XM0143</v>
          </cell>
          <cell r="K389">
            <v>394</v>
          </cell>
        </row>
        <row r="390">
          <cell r="F390" t="str">
            <v>2111XM0144</v>
          </cell>
          <cell r="K390">
            <v>395</v>
          </cell>
        </row>
        <row r="391">
          <cell r="F391" t="str">
            <v>2146M0149</v>
          </cell>
          <cell r="K391">
            <v>396</v>
          </cell>
        </row>
        <row r="392">
          <cell r="F392" t="str">
            <v>2146M0150</v>
          </cell>
          <cell r="K392">
            <v>397</v>
          </cell>
        </row>
        <row r="393">
          <cell r="F393" t="str">
            <v>2146M0151</v>
          </cell>
          <cell r="K393">
            <v>398</v>
          </cell>
        </row>
        <row r="394">
          <cell r="F394" t="str">
            <v>2146M0152</v>
          </cell>
          <cell r="K394">
            <v>399</v>
          </cell>
        </row>
        <row r="395">
          <cell r="F395" t="str">
            <v>2146M0153</v>
          </cell>
          <cell r="K395">
            <v>400</v>
          </cell>
        </row>
        <row r="396">
          <cell r="F396" t="str">
            <v>2147M0166</v>
          </cell>
          <cell r="K396">
            <v>401</v>
          </cell>
        </row>
        <row r="397">
          <cell r="F397" t="str">
            <v>2147M0167</v>
          </cell>
          <cell r="K397">
            <v>402</v>
          </cell>
        </row>
        <row r="398">
          <cell r="F398" t="str">
            <v>2147M0168</v>
          </cell>
          <cell r="K398">
            <v>403</v>
          </cell>
        </row>
        <row r="399">
          <cell r="F399" t="str">
            <v>2147M0169</v>
          </cell>
          <cell r="K399">
            <v>404</v>
          </cell>
        </row>
        <row r="400">
          <cell r="F400" t="str">
            <v>2147M0170</v>
          </cell>
          <cell r="K400">
            <v>405</v>
          </cell>
        </row>
        <row r="401">
          <cell r="F401" t="str">
            <v>2136M0173</v>
          </cell>
          <cell r="K401">
            <v>406</v>
          </cell>
        </row>
        <row r="402">
          <cell r="F402" t="str">
            <v>2136M0174</v>
          </cell>
          <cell r="K402">
            <v>407</v>
          </cell>
        </row>
        <row r="403">
          <cell r="F403" t="str">
            <v>219M0171</v>
          </cell>
          <cell r="K403">
            <v>408</v>
          </cell>
        </row>
        <row r="404">
          <cell r="F404" t="str">
            <v>219M0172</v>
          </cell>
          <cell r="K404">
            <v>409</v>
          </cell>
        </row>
        <row r="405">
          <cell r="F405" t="str">
            <v>2153AM0377</v>
          </cell>
          <cell r="K405">
            <v>410</v>
          </cell>
        </row>
        <row r="406">
          <cell r="F406" t="str">
            <v>2153AM0378</v>
          </cell>
          <cell r="K406">
            <v>411</v>
          </cell>
        </row>
        <row r="407">
          <cell r="F407" t="str">
            <v>2120CFCM0370</v>
          </cell>
          <cell r="K407">
            <v>412</v>
          </cell>
        </row>
        <row r="408">
          <cell r="F408" t="str">
            <v>725C0100</v>
          </cell>
          <cell r="K408">
            <v>413</v>
          </cell>
        </row>
        <row r="409">
          <cell r="F409" t="str">
            <v>831AF0234</v>
          </cell>
          <cell r="K409">
            <v>414</v>
          </cell>
        </row>
        <row r="410">
          <cell r="F410" t="str">
            <v>831AF0243</v>
          </cell>
          <cell r="K410">
            <v>415</v>
          </cell>
        </row>
        <row r="411">
          <cell r="F411" t="str">
            <v>831AF0238</v>
          </cell>
          <cell r="K411">
            <v>416</v>
          </cell>
        </row>
        <row r="412">
          <cell r="F412" t="str">
            <v>831AF0239</v>
          </cell>
          <cell r="K412">
            <v>417</v>
          </cell>
        </row>
        <row r="413">
          <cell r="F413" t="str">
            <v>831AF0240</v>
          </cell>
          <cell r="K413">
            <v>418</v>
          </cell>
        </row>
        <row r="414">
          <cell r="F414" t="str">
            <v>831AF0241</v>
          </cell>
          <cell r="K414">
            <v>419</v>
          </cell>
        </row>
        <row r="415">
          <cell r="F415" t="str">
            <v>831F0100</v>
          </cell>
          <cell r="K415">
            <v>420</v>
          </cell>
        </row>
        <row r="416">
          <cell r="F416" t="str">
            <v>831F0225</v>
          </cell>
          <cell r="K416">
            <v>421</v>
          </cell>
        </row>
        <row r="417">
          <cell r="F417" t="str">
            <v>831F0206</v>
          </cell>
          <cell r="K417">
            <v>422</v>
          </cell>
        </row>
        <row r="418">
          <cell r="F418" t="str">
            <v>831F0207</v>
          </cell>
          <cell r="K418">
            <v>423</v>
          </cell>
        </row>
        <row r="419">
          <cell r="F419" t="str">
            <v>831F0208</v>
          </cell>
          <cell r="K419">
            <v>424</v>
          </cell>
        </row>
        <row r="420">
          <cell r="F420" t="str">
            <v>831RG024</v>
          </cell>
          <cell r="K420">
            <v>425</v>
          </cell>
        </row>
        <row r="421">
          <cell r="F421" t="str">
            <v>831RG022</v>
          </cell>
          <cell r="K421">
            <v>426</v>
          </cell>
        </row>
        <row r="422">
          <cell r="F422" t="str">
            <v>831RG021</v>
          </cell>
          <cell r="K422">
            <v>427</v>
          </cell>
        </row>
        <row r="423">
          <cell r="F423" t="str">
            <v>831RG016</v>
          </cell>
          <cell r="K423">
            <v>428</v>
          </cell>
        </row>
        <row r="424">
          <cell r="F424" t="str">
            <v>831RG015</v>
          </cell>
          <cell r="K424">
            <v>429</v>
          </cell>
        </row>
        <row r="425">
          <cell r="F425" t="str">
            <v>831RG014</v>
          </cell>
          <cell r="K425">
            <v>430</v>
          </cell>
        </row>
        <row r="426">
          <cell r="F426" t="str">
            <v>831RG013</v>
          </cell>
          <cell r="K426">
            <v>431</v>
          </cell>
        </row>
        <row r="427">
          <cell r="F427" t="str">
            <v>831RG012</v>
          </cell>
          <cell r="K427">
            <v>432</v>
          </cell>
        </row>
        <row r="428">
          <cell r="F428" t="str">
            <v>831RG011</v>
          </cell>
          <cell r="K428">
            <v>433</v>
          </cell>
        </row>
        <row r="429">
          <cell r="F429" t="str">
            <v>831RG020</v>
          </cell>
          <cell r="K429">
            <v>434</v>
          </cell>
        </row>
        <row r="430">
          <cell r="F430" t="str">
            <v>831RG019</v>
          </cell>
          <cell r="K430">
            <v>435</v>
          </cell>
        </row>
        <row r="431">
          <cell r="F431" t="str">
            <v>831RG018</v>
          </cell>
          <cell r="K431">
            <v>436</v>
          </cell>
        </row>
        <row r="432">
          <cell r="F432" t="str">
            <v>831RG017</v>
          </cell>
          <cell r="K432">
            <v>437</v>
          </cell>
        </row>
        <row r="433">
          <cell r="F433" t="str">
            <v>831RG034</v>
          </cell>
          <cell r="K433">
            <v>438</v>
          </cell>
        </row>
        <row r="434">
          <cell r="F434" t="str">
            <v>831RG033</v>
          </cell>
          <cell r="K434">
            <v>439</v>
          </cell>
        </row>
        <row r="435">
          <cell r="F435" t="str">
            <v>831RG032</v>
          </cell>
          <cell r="K435">
            <v>440</v>
          </cell>
        </row>
        <row r="436">
          <cell r="F436" t="str">
            <v>831RG031</v>
          </cell>
          <cell r="K436">
            <v>441</v>
          </cell>
        </row>
        <row r="437">
          <cell r="F437" t="str">
            <v>831RG030</v>
          </cell>
          <cell r="K437">
            <v>442</v>
          </cell>
        </row>
        <row r="438">
          <cell r="F438" t="str">
            <v>831RG029</v>
          </cell>
          <cell r="K438">
            <v>443</v>
          </cell>
        </row>
        <row r="439">
          <cell r="F439" t="str">
            <v>831RG036</v>
          </cell>
          <cell r="K439">
            <v>444</v>
          </cell>
        </row>
        <row r="440">
          <cell r="F440" t="str">
            <v>831RG028</v>
          </cell>
          <cell r="K440">
            <v>445</v>
          </cell>
        </row>
        <row r="441">
          <cell r="F441" t="str">
            <v>831RG027</v>
          </cell>
          <cell r="K441">
            <v>446</v>
          </cell>
        </row>
        <row r="442">
          <cell r="F442" t="str">
            <v>831RG026</v>
          </cell>
          <cell r="K442">
            <v>447</v>
          </cell>
        </row>
        <row r="443">
          <cell r="F443" t="str">
            <v>831RG025</v>
          </cell>
          <cell r="K443">
            <v>448</v>
          </cell>
        </row>
        <row r="444">
          <cell r="F444" t="str">
            <v>831RG004</v>
          </cell>
          <cell r="K444">
            <v>449</v>
          </cell>
        </row>
        <row r="445">
          <cell r="F445" t="str">
            <v>831RG003</v>
          </cell>
          <cell r="K445">
            <v>450</v>
          </cell>
        </row>
        <row r="446">
          <cell r="F446" t="str">
            <v>831RG002</v>
          </cell>
          <cell r="K446">
            <v>451</v>
          </cell>
        </row>
        <row r="447">
          <cell r="F447" t="str">
            <v>831RG001</v>
          </cell>
          <cell r="K447">
            <v>452</v>
          </cell>
        </row>
        <row r="448">
          <cell r="F448" t="str">
            <v>831RG007</v>
          </cell>
          <cell r="K448">
            <v>453</v>
          </cell>
        </row>
        <row r="449">
          <cell r="F449" t="str">
            <v>831RG006</v>
          </cell>
          <cell r="K449">
            <v>454</v>
          </cell>
        </row>
        <row r="450">
          <cell r="F450" t="str">
            <v>831RG005</v>
          </cell>
          <cell r="K450">
            <v>455</v>
          </cell>
        </row>
        <row r="451">
          <cell r="F451" t="str">
            <v>831RG010</v>
          </cell>
          <cell r="K451">
            <v>456</v>
          </cell>
        </row>
        <row r="452">
          <cell r="F452" t="str">
            <v>831RG009</v>
          </cell>
          <cell r="K452">
            <v>457</v>
          </cell>
        </row>
        <row r="453">
          <cell r="F453" t="str">
            <v>831RG008</v>
          </cell>
          <cell r="K453">
            <v>458</v>
          </cell>
        </row>
        <row r="454">
          <cell r="F454" t="str">
            <v>Hospice-Wtd-Avg-RUG</v>
          </cell>
          <cell r="K454">
            <v>459</v>
          </cell>
        </row>
        <row r="455">
          <cell r="F455" t="str">
            <v>61F0205-L</v>
          </cell>
          <cell r="K455">
            <v>461</v>
          </cell>
        </row>
        <row r="456">
          <cell r="F456" t="str">
            <v>61F0206-L</v>
          </cell>
          <cell r="K456">
            <v>462</v>
          </cell>
        </row>
        <row r="457">
          <cell r="F457" t="str">
            <v>61F0207-L</v>
          </cell>
          <cell r="K457">
            <v>463</v>
          </cell>
        </row>
        <row r="458">
          <cell r="F458" t="str">
            <v>61F0208-L</v>
          </cell>
          <cell r="K458">
            <v>464</v>
          </cell>
        </row>
        <row r="459">
          <cell r="F459" t="str">
            <v>61F0209-L</v>
          </cell>
          <cell r="K459">
            <v>465</v>
          </cell>
        </row>
        <row r="460">
          <cell r="F460" t="str">
            <v>61F0205-M</v>
          </cell>
          <cell r="K460">
            <v>466</v>
          </cell>
        </row>
        <row r="461">
          <cell r="F461" t="str">
            <v>61F0206-M</v>
          </cell>
          <cell r="K461">
            <v>467</v>
          </cell>
        </row>
        <row r="462">
          <cell r="F462" t="str">
            <v>61F0207-M</v>
          </cell>
          <cell r="K462">
            <v>468</v>
          </cell>
        </row>
        <row r="463">
          <cell r="F463" t="str">
            <v>61F0208-M</v>
          </cell>
          <cell r="K463">
            <v>469</v>
          </cell>
        </row>
        <row r="464">
          <cell r="F464" t="str">
            <v>61F0209-M</v>
          </cell>
          <cell r="K464">
            <v>470</v>
          </cell>
        </row>
        <row r="465">
          <cell r="F465" t="str">
            <v>61F0205-S</v>
          </cell>
          <cell r="K465">
            <v>471</v>
          </cell>
        </row>
        <row r="466">
          <cell r="F466" t="str">
            <v>61F0206-S</v>
          </cell>
          <cell r="K466">
            <v>472</v>
          </cell>
        </row>
        <row r="467">
          <cell r="F467" t="str">
            <v>61F0207-S</v>
          </cell>
          <cell r="K467">
            <v>473</v>
          </cell>
        </row>
        <row r="468">
          <cell r="F468" t="str">
            <v>61F0208-S</v>
          </cell>
          <cell r="K468">
            <v>474</v>
          </cell>
        </row>
        <row r="469">
          <cell r="F469" t="str">
            <v>61F0209-S</v>
          </cell>
          <cell r="K469">
            <v>475</v>
          </cell>
        </row>
        <row r="470">
          <cell r="F470" t="str">
            <v>16N0708</v>
          </cell>
          <cell r="K470">
            <v>476</v>
          </cell>
        </row>
        <row r="471">
          <cell r="F471" t="str">
            <v>16N0706</v>
          </cell>
          <cell r="K471">
            <v>477</v>
          </cell>
        </row>
        <row r="472">
          <cell r="F472" t="str">
            <v>16N0705</v>
          </cell>
          <cell r="K472">
            <v>478</v>
          </cell>
        </row>
        <row r="473">
          <cell r="F473" t="str">
            <v>16N0702</v>
          </cell>
          <cell r="K473">
            <v>479</v>
          </cell>
        </row>
        <row r="474">
          <cell r="F474" t="str">
            <v>16N0701</v>
          </cell>
          <cell r="K474">
            <v>480</v>
          </cell>
        </row>
        <row r="475">
          <cell r="F475" t="str">
            <v>16N0700</v>
          </cell>
          <cell r="K475">
            <v>481</v>
          </cell>
        </row>
        <row r="476">
          <cell r="F476" t="str">
            <v>16N0707</v>
          </cell>
          <cell r="K476">
            <v>482</v>
          </cell>
        </row>
        <row r="477">
          <cell r="F477" t="str">
            <v>16N0704</v>
          </cell>
          <cell r="K477">
            <v>483</v>
          </cell>
        </row>
        <row r="478">
          <cell r="F478" t="str">
            <v>16N0703</v>
          </cell>
          <cell r="K478">
            <v>484</v>
          </cell>
        </row>
        <row r="479">
          <cell r="F479" t="str">
            <v>17G0452</v>
          </cell>
          <cell r="K479">
            <v>485</v>
          </cell>
        </row>
        <row r="480">
          <cell r="F480" t="str">
            <v>17G0467</v>
          </cell>
          <cell r="K480">
            <v>486</v>
          </cell>
        </row>
        <row r="481">
          <cell r="F481" t="str">
            <v>18G0454</v>
          </cell>
          <cell r="K481">
            <v>487</v>
          </cell>
        </row>
        <row r="482">
          <cell r="F482" t="str">
            <v>18G0469</v>
          </cell>
          <cell r="K482">
            <v>488</v>
          </cell>
        </row>
        <row r="483">
          <cell r="F483" t="str">
            <v>19AG0465</v>
          </cell>
          <cell r="K483">
            <v>489</v>
          </cell>
        </row>
        <row r="484">
          <cell r="F484" t="str">
            <v>19G0456</v>
          </cell>
          <cell r="K484">
            <v>490</v>
          </cell>
        </row>
        <row r="485">
          <cell r="F485" t="str">
            <v>19G0471</v>
          </cell>
          <cell r="K485">
            <v>491</v>
          </cell>
        </row>
        <row r="486">
          <cell r="F486" t="str">
            <v>17CG0481</v>
          </cell>
          <cell r="K486">
            <v>492</v>
          </cell>
        </row>
        <row r="487">
          <cell r="F487" t="str">
            <v>17CG0973</v>
          </cell>
          <cell r="K487">
            <v>493</v>
          </cell>
        </row>
        <row r="488">
          <cell r="F488" t="str">
            <v>18CG0482</v>
          </cell>
          <cell r="K488">
            <v>494</v>
          </cell>
        </row>
        <row r="489">
          <cell r="F489" t="str">
            <v>18CG0974</v>
          </cell>
          <cell r="K489">
            <v>495</v>
          </cell>
        </row>
        <row r="490">
          <cell r="F490" t="str">
            <v>17AEG0526</v>
          </cell>
          <cell r="K490">
            <v>496</v>
          </cell>
        </row>
        <row r="491">
          <cell r="F491" t="str">
            <v>17AEG0527</v>
          </cell>
          <cell r="K491">
            <v>497</v>
          </cell>
        </row>
        <row r="492">
          <cell r="F492" t="str">
            <v>18AEG0528</v>
          </cell>
          <cell r="K492">
            <v>498</v>
          </cell>
        </row>
        <row r="493">
          <cell r="F493" t="str">
            <v>18AEG0529</v>
          </cell>
          <cell r="K493">
            <v>499</v>
          </cell>
        </row>
        <row r="494">
          <cell r="F494" t="str">
            <v>19AG0478</v>
          </cell>
          <cell r="K494">
            <v>500</v>
          </cell>
        </row>
        <row r="495">
          <cell r="F495" t="str">
            <v>19G0472</v>
          </cell>
          <cell r="K495">
            <v>501</v>
          </cell>
        </row>
        <row r="496">
          <cell r="F496" t="str">
            <v>19AEG0530</v>
          </cell>
          <cell r="K496">
            <v>502</v>
          </cell>
        </row>
        <row r="497">
          <cell r="F497" t="str">
            <v>19AEG0531</v>
          </cell>
          <cell r="K497">
            <v>503</v>
          </cell>
        </row>
        <row r="498">
          <cell r="F498" t="str">
            <v>17AG0461</v>
          </cell>
          <cell r="K498">
            <v>504</v>
          </cell>
        </row>
        <row r="499">
          <cell r="F499" t="str">
            <v>17AG0473</v>
          </cell>
          <cell r="K499">
            <v>505</v>
          </cell>
        </row>
        <row r="500">
          <cell r="F500" t="str">
            <v>18AG0463</v>
          </cell>
          <cell r="K500">
            <v>506</v>
          </cell>
        </row>
        <row r="501">
          <cell r="F501" t="str">
            <v>18AG0475</v>
          </cell>
          <cell r="K501">
            <v>507</v>
          </cell>
        </row>
        <row r="502">
          <cell r="F502" t="str">
            <v>11RG024</v>
          </cell>
          <cell r="K502">
            <v>508</v>
          </cell>
        </row>
        <row r="503">
          <cell r="F503" t="str">
            <v>11RG023</v>
          </cell>
          <cell r="K503">
            <v>509</v>
          </cell>
        </row>
        <row r="504">
          <cell r="F504" t="str">
            <v>11RG022</v>
          </cell>
          <cell r="K504">
            <v>510</v>
          </cell>
        </row>
        <row r="505">
          <cell r="F505" t="str">
            <v>11RG021</v>
          </cell>
          <cell r="K505">
            <v>511</v>
          </cell>
        </row>
        <row r="506">
          <cell r="F506" t="str">
            <v>11RG035</v>
          </cell>
          <cell r="K506">
            <v>512</v>
          </cell>
        </row>
        <row r="507">
          <cell r="F507" t="str">
            <v>11RG016</v>
          </cell>
          <cell r="K507">
            <v>513</v>
          </cell>
        </row>
        <row r="508">
          <cell r="F508" t="str">
            <v>11RG015</v>
          </cell>
          <cell r="K508">
            <v>514</v>
          </cell>
        </row>
        <row r="509">
          <cell r="F509" t="str">
            <v>11RG014</v>
          </cell>
          <cell r="K509">
            <v>515</v>
          </cell>
        </row>
        <row r="510">
          <cell r="F510" t="str">
            <v>11RG013</v>
          </cell>
          <cell r="K510">
            <v>516</v>
          </cell>
        </row>
        <row r="511">
          <cell r="F511" t="str">
            <v>11RG012</v>
          </cell>
          <cell r="K511">
            <v>517</v>
          </cell>
        </row>
        <row r="512">
          <cell r="F512" t="str">
            <v>11RG011</v>
          </cell>
          <cell r="K512">
            <v>518</v>
          </cell>
        </row>
        <row r="513">
          <cell r="F513" t="str">
            <v>11RG020</v>
          </cell>
          <cell r="K513">
            <v>519</v>
          </cell>
        </row>
        <row r="514">
          <cell r="F514" t="str">
            <v>11RG019</v>
          </cell>
          <cell r="K514">
            <v>520</v>
          </cell>
        </row>
        <row r="515">
          <cell r="F515" t="str">
            <v>11RG018</v>
          </cell>
          <cell r="K515">
            <v>521</v>
          </cell>
        </row>
        <row r="516">
          <cell r="F516" t="str">
            <v>11RG017</v>
          </cell>
          <cell r="K516">
            <v>522</v>
          </cell>
        </row>
        <row r="517">
          <cell r="F517" t="str">
            <v>11RG034</v>
          </cell>
          <cell r="K517">
            <v>523</v>
          </cell>
        </row>
        <row r="518">
          <cell r="F518" t="str">
            <v>11RG033</v>
          </cell>
          <cell r="K518">
            <v>524</v>
          </cell>
        </row>
        <row r="519">
          <cell r="F519" t="str">
            <v>11RG032</v>
          </cell>
          <cell r="K519">
            <v>525</v>
          </cell>
        </row>
        <row r="520">
          <cell r="F520" t="str">
            <v>11RG031</v>
          </cell>
          <cell r="K520">
            <v>526</v>
          </cell>
        </row>
        <row r="521">
          <cell r="F521" t="str">
            <v>11RG030</v>
          </cell>
          <cell r="K521">
            <v>527</v>
          </cell>
        </row>
        <row r="522">
          <cell r="F522" t="str">
            <v>11RG029</v>
          </cell>
          <cell r="K522">
            <v>528</v>
          </cell>
        </row>
        <row r="523">
          <cell r="F523" t="str">
            <v>11RG036</v>
          </cell>
          <cell r="K523">
            <v>529</v>
          </cell>
        </row>
        <row r="524">
          <cell r="F524" t="str">
            <v>11RG028</v>
          </cell>
          <cell r="K524">
            <v>530</v>
          </cell>
        </row>
        <row r="525">
          <cell r="F525" t="str">
            <v>11RG027</v>
          </cell>
          <cell r="K525">
            <v>531</v>
          </cell>
        </row>
        <row r="526">
          <cell r="F526" t="str">
            <v>11RG026</v>
          </cell>
          <cell r="K526">
            <v>532</v>
          </cell>
        </row>
        <row r="527">
          <cell r="F527" t="str">
            <v>11RG025</v>
          </cell>
          <cell r="K527">
            <v>533</v>
          </cell>
        </row>
        <row r="528">
          <cell r="F528" t="str">
            <v>11RG004</v>
          </cell>
          <cell r="K528">
            <v>534</v>
          </cell>
        </row>
        <row r="529">
          <cell r="F529" t="str">
            <v>11RG003</v>
          </cell>
          <cell r="K529">
            <v>535</v>
          </cell>
        </row>
        <row r="530">
          <cell r="F530" t="str">
            <v>11RG002</v>
          </cell>
          <cell r="K530">
            <v>536</v>
          </cell>
        </row>
        <row r="531">
          <cell r="F531" t="str">
            <v>11RG001</v>
          </cell>
          <cell r="K531">
            <v>537</v>
          </cell>
        </row>
        <row r="532">
          <cell r="F532" t="str">
            <v>11RG007</v>
          </cell>
          <cell r="K532">
            <v>538</v>
          </cell>
        </row>
        <row r="533">
          <cell r="F533" t="str">
            <v>11RG006</v>
          </cell>
          <cell r="K533">
            <v>539</v>
          </cell>
        </row>
        <row r="534">
          <cell r="F534" t="str">
            <v>11RG005</v>
          </cell>
          <cell r="K534">
            <v>540</v>
          </cell>
        </row>
        <row r="535">
          <cell r="F535" t="str">
            <v>11RG010</v>
          </cell>
          <cell r="K535">
            <v>541</v>
          </cell>
        </row>
        <row r="536">
          <cell r="F536" t="str">
            <v>11RG009</v>
          </cell>
          <cell r="K536">
            <v>542</v>
          </cell>
        </row>
        <row r="537">
          <cell r="F537" t="str">
            <v>11RG008</v>
          </cell>
          <cell r="K537">
            <v>543</v>
          </cell>
        </row>
        <row r="538">
          <cell r="K538">
            <v>544</v>
          </cell>
        </row>
        <row r="539">
          <cell r="F539" t="str">
            <v>19AG0477</v>
          </cell>
          <cell r="K539">
            <v>545</v>
          </cell>
        </row>
        <row r="540">
          <cell r="F540" t="str">
            <v>124N0502</v>
          </cell>
          <cell r="K540">
            <v>546</v>
          </cell>
        </row>
        <row r="541">
          <cell r="F541" t="str">
            <v>14N0500</v>
          </cell>
          <cell r="K541">
            <v>547</v>
          </cell>
        </row>
        <row r="542">
          <cell r="F542" t="str">
            <v>14N0501</v>
          </cell>
          <cell r="K542">
            <v>548</v>
          </cell>
        </row>
        <row r="543">
          <cell r="K543">
            <v>549</v>
          </cell>
        </row>
        <row r="544">
          <cell r="F544" t="e">
            <v>#N/A</v>
          </cell>
          <cell r="K544">
            <v>550</v>
          </cell>
        </row>
        <row r="545">
          <cell r="F545" t="str">
            <v>1139G2000</v>
          </cell>
          <cell r="K545">
            <v>551</v>
          </cell>
        </row>
        <row r="546">
          <cell r="F546" t="str">
            <v>1139AG2001</v>
          </cell>
          <cell r="K546">
            <v>552</v>
          </cell>
        </row>
        <row r="547">
          <cell r="F547" t="str">
            <v>717SG0752</v>
          </cell>
          <cell r="K547">
            <v>553</v>
          </cell>
        </row>
        <row r="548">
          <cell r="F548" t="str">
            <v>717SG0751</v>
          </cell>
          <cell r="K548">
            <v>554</v>
          </cell>
        </row>
        <row r="549">
          <cell r="F549" t="str">
            <v>717G0702</v>
          </cell>
          <cell r="K549">
            <v>555</v>
          </cell>
        </row>
        <row r="550">
          <cell r="F550" t="str">
            <v>717G0701</v>
          </cell>
          <cell r="K550">
            <v>556</v>
          </cell>
        </row>
        <row r="551">
          <cell r="F551" t="str">
            <v>717VG0718</v>
          </cell>
          <cell r="K551">
            <v>557</v>
          </cell>
        </row>
        <row r="552">
          <cell r="F552" t="str">
            <v>717VG0717</v>
          </cell>
          <cell r="K552">
            <v>558</v>
          </cell>
        </row>
        <row r="553">
          <cell r="F553" t="str">
            <v>719KG0945</v>
          </cell>
          <cell r="K553">
            <v>559</v>
          </cell>
        </row>
        <row r="554">
          <cell r="F554" t="str">
            <v>719LG0946</v>
          </cell>
          <cell r="K554">
            <v>560</v>
          </cell>
        </row>
        <row r="555">
          <cell r="F555" t="str">
            <v>T1019SKU9U1</v>
          </cell>
          <cell r="K555">
            <v>561</v>
          </cell>
        </row>
        <row r="556">
          <cell r="F556" t="str">
            <v>T1019SKU9U1U6</v>
          </cell>
          <cell r="K556">
            <v>562</v>
          </cell>
        </row>
        <row r="557">
          <cell r="F557" t="str">
            <v>T1019SKU9U2</v>
          </cell>
          <cell r="K557">
            <v>563</v>
          </cell>
        </row>
        <row r="558">
          <cell r="F558" t="str">
            <v>T1019SKU9U2U6</v>
          </cell>
          <cell r="K558">
            <v>564</v>
          </cell>
        </row>
        <row r="559">
          <cell r="F559" t="str">
            <v>T1019SKU9UC</v>
          </cell>
          <cell r="K559">
            <v>565</v>
          </cell>
        </row>
        <row r="560">
          <cell r="F560" t="str">
            <v>T1019SKU9UCU6</v>
          </cell>
          <cell r="K560">
            <v>566</v>
          </cell>
        </row>
        <row r="561">
          <cell r="F561" t="str">
            <v>T1019SHU9U1</v>
          </cell>
          <cell r="K561">
            <v>567</v>
          </cell>
        </row>
        <row r="562">
          <cell r="F562" t="str">
            <v>T1019SHU9U1U6</v>
          </cell>
          <cell r="K562">
            <v>568</v>
          </cell>
        </row>
        <row r="563">
          <cell r="F563" t="str">
            <v>T1019SHU9U2</v>
          </cell>
          <cell r="K563">
            <v>569</v>
          </cell>
        </row>
        <row r="564">
          <cell r="F564" t="str">
            <v>T1019SHU9U2U6</v>
          </cell>
          <cell r="K564">
            <v>570</v>
          </cell>
        </row>
        <row r="565">
          <cell r="F565" t="str">
            <v>T1019SHU9UC</v>
          </cell>
          <cell r="K565">
            <v>571</v>
          </cell>
        </row>
        <row r="566">
          <cell r="F566" t="str">
            <v>T1019SHU9UCU6</v>
          </cell>
          <cell r="K566">
            <v>572</v>
          </cell>
        </row>
        <row r="567">
          <cell r="F567" t="str">
            <v>T2040SHU9U2</v>
          </cell>
          <cell r="K567">
            <v>573</v>
          </cell>
        </row>
        <row r="568">
          <cell r="F568" t="str">
            <v>T2040SHU9U1</v>
          </cell>
          <cell r="K568">
            <v>574</v>
          </cell>
        </row>
        <row r="569">
          <cell r="F569" t="str">
            <v>T2002SH</v>
          </cell>
          <cell r="K569">
            <v>575</v>
          </cell>
        </row>
        <row r="570">
          <cell r="F570" t="str">
            <v>T2002SH</v>
          </cell>
          <cell r="K570">
            <v>576</v>
          </cell>
        </row>
        <row r="571">
          <cell r="F571" t="str">
            <v>T2002SHU6</v>
          </cell>
          <cell r="K571">
            <v>577</v>
          </cell>
        </row>
        <row r="572">
          <cell r="F572" t="str">
            <v>T2002SK</v>
          </cell>
          <cell r="K572">
            <v>578</v>
          </cell>
        </row>
        <row r="573">
          <cell r="F573" t="str">
            <v>T2002SKU6</v>
          </cell>
          <cell r="K573">
            <v>579</v>
          </cell>
        </row>
        <row r="574">
          <cell r="F574" t="str">
            <v>T1025SHU6</v>
          </cell>
          <cell r="K574">
            <v>580</v>
          </cell>
        </row>
        <row r="575">
          <cell r="F575" t="str">
            <v>T1026SHU6</v>
          </cell>
          <cell r="K575">
            <v>581</v>
          </cell>
        </row>
        <row r="576">
          <cell r="F576" t="str">
            <v>T1025SH</v>
          </cell>
          <cell r="K576">
            <v>582</v>
          </cell>
        </row>
        <row r="577">
          <cell r="F577" t="str">
            <v>T1026SH</v>
          </cell>
          <cell r="K577">
            <v>583</v>
          </cell>
        </row>
        <row r="578">
          <cell r="F578" t="str">
            <v>T2040SHU9U6</v>
          </cell>
          <cell r="K578">
            <v>584</v>
          </cell>
        </row>
        <row r="579">
          <cell r="F579" t="str">
            <v>T2040SHU9U2U6</v>
          </cell>
          <cell r="K579">
            <v>585</v>
          </cell>
        </row>
        <row r="580">
          <cell r="F580" t="str">
            <v>H2023SHUC</v>
          </cell>
          <cell r="K580">
            <v>586</v>
          </cell>
        </row>
        <row r="581">
          <cell r="F581" t="str">
            <v>H2025SHU2</v>
          </cell>
          <cell r="K581">
            <v>587</v>
          </cell>
        </row>
        <row r="582">
          <cell r="F582" t="str">
            <v>H2025SHU1</v>
          </cell>
          <cell r="K582">
            <v>588</v>
          </cell>
        </row>
        <row r="583">
          <cell r="F583" t="str">
            <v>H2025SHUC</v>
          </cell>
          <cell r="K583">
            <v>589</v>
          </cell>
        </row>
        <row r="584">
          <cell r="F584" t="str">
            <v>H2023SHU2</v>
          </cell>
          <cell r="K584">
            <v>590</v>
          </cell>
        </row>
        <row r="585">
          <cell r="F585" t="str">
            <v>H2023SHU1</v>
          </cell>
          <cell r="K585">
            <v>591</v>
          </cell>
        </row>
        <row r="586">
          <cell r="F586" t="str">
            <v>S9482SHU4TDUC</v>
          </cell>
          <cell r="K586">
            <v>592</v>
          </cell>
        </row>
        <row r="587">
          <cell r="F587" t="str">
            <v>S9482SHU4TDU2</v>
          </cell>
          <cell r="K587">
            <v>593</v>
          </cell>
        </row>
        <row r="588">
          <cell r="F588" t="str">
            <v>S9482SHU4TDU1</v>
          </cell>
          <cell r="K588">
            <v>594</v>
          </cell>
        </row>
        <row r="589">
          <cell r="F589" t="str">
            <v>S9482SHU4UC</v>
          </cell>
          <cell r="K589">
            <v>595</v>
          </cell>
        </row>
        <row r="590">
          <cell r="F590" t="str">
            <v>S9482SHU4U2</v>
          </cell>
          <cell r="K590">
            <v>596</v>
          </cell>
        </row>
        <row r="591">
          <cell r="F591" t="str">
            <v>S9482SHU4U1</v>
          </cell>
          <cell r="K591">
            <v>597</v>
          </cell>
        </row>
        <row r="592">
          <cell r="F592" t="str">
            <v>S9482SHTEUC</v>
          </cell>
          <cell r="K592">
            <v>598</v>
          </cell>
        </row>
        <row r="593">
          <cell r="F593" t="str">
            <v>S9482SHTEU2</v>
          </cell>
          <cell r="K593">
            <v>599</v>
          </cell>
        </row>
        <row r="594">
          <cell r="F594" t="str">
            <v>S9482SHTEU1</v>
          </cell>
          <cell r="K594">
            <v>600</v>
          </cell>
        </row>
        <row r="595">
          <cell r="F595" t="str">
            <v>S9482SHTDU2C</v>
          </cell>
          <cell r="K595">
            <v>601</v>
          </cell>
        </row>
        <row r="596">
          <cell r="F596" t="str">
            <v>S9482SHTDU2</v>
          </cell>
          <cell r="K596">
            <v>602</v>
          </cell>
        </row>
        <row r="597">
          <cell r="F597" t="str">
            <v>S9482SHTDU1</v>
          </cell>
          <cell r="K597">
            <v>603</v>
          </cell>
        </row>
        <row r="598">
          <cell r="F598" t="str">
            <v>S9482SHTEU7UC</v>
          </cell>
          <cell r="K598">
            <v>604</v>
          </cell>
        </row>
        <row r="599">
          <cell r="F599" t="str">
            <v>S9482SHTEU7U2</v>
          </cell>
          <cell r="K599">
            <v>605</v>
          </cell>
        </row>
        <row r="600">
          <cell r="F600" t="str">
            <v>S9482SHTEU7U1</v>
          </cell>
          <cell r="K600">
            <v>606</v>
          </cell>
        </row>
        <row r="601">
          <cell r="F601" t="str">
            <v>S9482SHTDU7UC</v>
          </cell>
          <cell r="K601">
            <v>607</v>
          </cell>
        </row>
        <row r="602">
          <cell r="F602" t="str">
            <v>S9482SHTDU7U2</v>
          </cell>
          <cell r="K602">
            <v>608</v>
          </cell>
        </row>
        <row r="603">
          <cell r="F603" t="str">
            <v>S9482SHTDU7U1</v>
          </cell>
          <cell r="K603">
            <v>609</v>
          </cell>
        </row>
        <row r="604">
          <cell r="F604" t="str">
            <v>T1005SHU4TDUC</v>
          </cell>
          <cell r="K604">
            <v>610</v>
          </cell>
        </row>
        <row r="605">
          <cell r="F605" t="str">
            <v>T1005SHU4TDU2</v>
          </cell>
          <cell r="K605">
            <v>611</v>
          </cell>
        </row>
        <row r="606">
          <cell r="F606" t="str">
            <v>T1005SHU4TDU1</v>
          </cell>
          <cell r="K606">
            <v>612</v>
          </cell>
        </row>
        <row r="607">
          <cell r="F607" t="str">
            <v>T1005SHU4UC</v>
          </cell>
          <cell r="K607">
            <v>613</v>
          </cell>
        </row>
        <row r="608">
          <cell r="F608" t="str">
            <v>T1005SHU4U2</v>
          </cell>
          <cell r="K608">
            <v>614</v>
          </cell>
        </row>
        <row r="609">
          <cell r="F609" t="str">
            <v>T1005SHU4U1</v>
          </cell>
          <cell r="K609">
            <v>615</v>
          </cell>
        </row>
        <row r="610">
          <cell r="F610" t="str">
            <v>T1005SHTEUC</v>
          </cell>
          <cell r="K610">
            <v>616</v>
          </cell>
        </row>
        <row r="611">
          <cell r="F611" t="str">
            <v>T1005SHTEU2</v>
          </cell>
          <cell r="K611">
            <v>617</v>
          </cell>
        </row>
        <row r="612">
          <cell r="F612" t="str">
            <v>T1005SHTEU1</v>
          </cell>
          <cell r="K612">
            <v>618</v>
          </cell>
        </row>
        <row r="613">
          <cell r="F613" t="str">
            <v>T1005SHTDUC</v>
          </cell>
          <cell r="K613">
            <v>619</v>
          </cell>
        </row>
        <row r="614">
          <cell r="F614" t="str">
            <v>T1005SHTDU2</v>
          </cell>
          <cell r="K614">
            <v>620</v>
          </cell>
        </row>
        <row r="615">
          <cell r="F615" t="str">
            <v>T1005SHTDU1</v>
          </cell>
          <cell r="K615">
            <v>621</v>
          </cell>
        </row>
        <row r="616">
          <cell r="F616" t="str">
            <v>T1005SHTEU7UC</v>
          </cell>
          <cell r="K616">
            <v>622</v>
          </cell>
        </row>
        <row r="617">
          <cell r="F617" t="str">
            <v>T1005SHTEU7U2</v>
          </cell>
          <cell r="K617">
            <v>623</v>
          </cell>
        </row>
        <row r="618">
          <cell r="F618" t="str">
            <v>T1005SHTEU7U1</v>
          </cell>
          <cell r="K618">
            <v>624</v>
          </cell>
        </row>
        <row r="619">
          <cell r="F619" t="str">
            <v>T1005SHTDU7UC</v>
          </cell>
          <cell r="K619">
            <v>625</v>
          </cell>
        </row>
        <row r="620">
          <cell r="F620" t="str">
            <v>T1005SHTDU7U2</v>
          </cell>
          <cell r="K620">
            <v>626</v>
          </cell>
        </row>
        <row r="621">
          <cell r="F621" t="str">
            <v>T1005SHTDU7U1</v>
          </cell>
          <cell r="K621">
            <v>627</v>
          </cell>
        </row>
        <row r="622">
          <cell r="F622" t="str">
            <v>T2027SK</v>
          </cell>
          <cell r="K622">
            <v>769</v>
          </cell>
        </row>
        <row r="623">
          <cell r="F623" t="str">
            <v>T2038SK</v>
          </cell>
          <cell r="K623">
            <v>770</v>
          </cell>
        </row>
        <row r="624">
          <cell r="F624" t="str">
            <v>T2040SPU5U9</v>
          </cell>
          <cell r="K624">
            <v>771</v>
          </cell>
        </row>
        <row r="625">
          <cell r="F625" t="str">
            <v>T2040MPU5U9</v>
          </cell>
          <cell r="K625">
            <v>772</v>
          </cell>
        </row>
        <row r="626">
          <cell r="F626" t="str">
            <v>T2040SPU5U9U7</v>
          </cell>
          <cell r="K626">
            <v>773</v>
          </cell>
        </row>
        <row r="627">
          <cell r="F627" t="str">
            <v>T2040MPU5U9U7</v>
          </cell>
          <cell r="K627">
            <v>774</v>
          </cell>
        </row>
        <row r="628">
          <cell r="F628" t="str">
            <v>S5101SP</v>
          </cell>
          <cell r="K628">
            <v>775</v>
          </cell>
        </row>
        <row r="629">
          <cell r="F629" t="str">
            <v>S5101MP</v>
          </cell>
          <cell r="K629">
            <v>776</v>
          </cell>
        </row>
        <row r="630">
          <cell r="F630" t="str">
            <v>S5160SP</v>
          </cell>
          <cell r="K630">
            <v>777</v>
          </cell>
        </row>
        <row r="631">
          <cell r="F631" t="str">
            <v>S5160MP</v>
          </cell>
          <cell r="K631">
            <v>778</v>
          </cell>
        </row>
        <row r="632">
          <cell r="F632" t="str">
            <v>S5161MPU5U7</v>
          </cell>
          <cell r="K632">
            <v>779</v>
          </cell>
        </row>
        <row r="633">
          <cell r="F633" t="str">
            <v>S5161SPU5U7</v>
          </cell>
          <cell r="K633">
            <v>780</v>
          </cell>
        </row>
        <row r="634">
          <cell r="F634" t="str">
            <v>T2017SPU5U7UC</v>
          </cell>
          <cell r="K634">
            <v>781</v>
          </cell>
        </row>
        <row r="635">
          <cell r="F635" t="str">
            <v>T2017MPU5U7UC</v>
          </cell>
          <cell r="K635">
            <v>782</v>
          </cell>
        </row>
        <row r="636">
          <cell r="F636" t="str">
            <v>T2017SPU5U7UD</v>
          </cell>
          <cell r="K636">
            <v>783</v>
          </cell>
        </row>
        <row r="637">
          <cell r="F637" t="str">
            <v>T2017MPU5U7UD</v>
          </cell>
          <cell r="K637">
            <v>784</v>
          </cell>
        </row>
        <row r="638">
          <cell r="F638" t="str">
            <v>T2017SPU5U7</v>
          </cell>
          <cell r="K638">
            <v>785</v>
          </cell>
        </row>
        <row r="639">
          <cell r="F639" t="str">
            <v>T2017MPU5U7</v>
          </cell>
          <cell r="K639">
            <v>786</v>
          </cell>
        </row>
        <row r="640">
          <cell r="F640" t="str">
            <v>S5170SPU7</v>
          </cell>
          <cell r="K640">
            <v>787</v>
          </cell>
        </row>
        <row r="641">
          <cell r="F641" t="str">
            <v>S5170MPU7</v>
          </cell>
          <cell r="K641">
            <v>788</v>
          </cell>
        </row>
        <row r="642">
          <cell r="F642" t="str">
            <v>S9129SPU7U5</v>
          </cell>
          <cell r="K642">
            <v>789</v>
          </cell>
        </row>
        <row r="643">
          <cell r="F643" t="str">
            <v>S9129MPU7U5</v>
          </cell>
          <cell r="K643">
            <v>790</v>
          </cell>
        </row>
        <row r="644">
          <cell r="F644" t="str">
            <v>S5125SPU5UC</v>
          </cell>
          <cell r="K644">
            <v>791</v>
          </cell>
        </row>
        <row r="645">
          <cell r="F645" t="str">
            <v>S5125MPU5UC</v>
          </cell>
          <cell r="K645">
            <v>792</v>
          </cell>
        </row>
        <row r="646">
          <cell r="F646" t="str">
            <v>S5125SPU5U7UC</v>
          </cell>
          <cell r="K646">
            <v>793</v>
          </cell>
        </row>
        <row r="647">
          <cell r="F647" t="str">
            <v>S5125MPU5U7UC</v>
          </cell>
          <cell r="K647">
            <v>794</v>
          </cell>
        </row>
        <row r="648">
          <cell r="F648" t="str">
            <v>S5125SPU5U7UD</v>
          </cell>
          <cell r="K648">
            <v>795</v>
          </cell>
        </row>
        <row r="649">
          <cell r="F649" t="str">
            <v>S5125MPU5U7UD</v>
          </cell>
          <cell r="K649">
            <v>796</v>
          </cell>
        </row>
        <row r="650">
          <cell r="F650" t="str">
            <v>S5125SPU5UD</v>
          </cell>
          <cell r="K650">
            <v>797</v>
          </cell>
        </row>
        <row r="651">
          <cell r="F651" t="str">
            <v>S5125MPU5UD</v>
          </cell>
          <cell r="K651">
            <v>798</v>
          </cell>
        </row>
        <row r="652">
          <cell r="F652" t="str">
            <v>S5125SPU5</v>
          </cell>
          <cell r="K652">
            <v>799</v>
          </cell>
        </row>
        <row r="653">
          <cell r="F653" t="str">
            <v>S5125MPU5</v>
          </cell>
          <cell r="K653">
            <v>800</v>
          </cell>
        </row>
        <row r="654">
          <cell r="F654" t="str">
            <v>S5125SPU5U7</v>
          </cell>
          <cell r="K654">
            <v>801</v>
          </cell>
        </row>
        <row r="655">
          <cell r="F655" t="str">
            <v>S5125MPU5U7</v>
          </cell>
          <cell r="K655">
            <v>802</v>
          </cell>
        </row>
        <row r="656">
          <cell r="F656" t="str">
            <v>S9131SPU7U5</v>
          </cell>
          <cell r="K656">
            <v>803</v>
          </cell>
        </row>
        <row r="657">
          <cell r="F657" t="str">
            <v>S9131MPU7U5</v>
          </cell>
          <cell r="K657">
            <v>804</v>
          </cell>
        </row>
        <row r="658">
          <cell r="F658" t="str">
            <v>BA1MP</v>
          </cell>
          <cell r="K658">
            <v>805</v>
          </cell>
        </row>
        <row r="659">
          <cell r="F659" t="str">
            <v>BA2MP</v>
          </cell>
          <cell r="K659">
            <v>806</v>
          </cell>
        </row>
        <row r="660">
          <cell r="F660" t="str">
            <v>BB1MP</v>
          </cell>
          <cell r="K660">
            <v>807</v>
          </cell>
        </row>
        <row r="661">
          <cell r="F661" t="str">
            <v>BB2MP</v>
          </cell>
          <cell r="K661">
            <v>808</v>
          </cell>
        </row>
        <row r="662">
          <cell r="F662" t="str">
            <v>BC1MP</v>
          </cell>
          <cell r="K662">
            <v>809</v>
          </cell>
        </row>
        <row r="663">
          <cell r="F663" t="str">
            <v>CA1MP</v>
          </cell>
          <cell r="K663">
            <v>810</v>
          </cell>
        </row>
        <row r="664">
          <cell r="F664" t="str">
            <v>CA2MP</v>
          </cell>
          <cell r="K664">
            <v>811</v>
          </cell>
        </row>
        <row r="665">
          <cell r="F665" t="str">
            <v>CB1MP</v>
          </cell>
          <cell r="K665">
            <v>812</v>
          </cell>
        </row>
        <row r="666">
          <cell r="F666" t="str">
            <v>CB2MP</v>
          </cell>
          <cell r="K666">
            <v>813</v>
          </cell>
        </row>
        <row r="667">
          <cell r="F667" t="str">
            <v>CC1MP</v>
          </cell>
          <cell r="K667">
            <v>814</v>
          </cell>
        </row>
        <row r="668">
          <cell r="F668" t="str">
            <v>CC2MP</v>
          </cell>
          <cell r="K668">
            <v>815</v>
          </cell>
        </row>
        <row r="669">
          <cell r="F669" t="str">
            <v>IA1MP</v>
          </cell>
          <cell r="K669">
            <v>816</v>
          </cell>
        </row>
        <row r="670">
          <cell r="F670" t="str">
            <v>IA2MP</v>
          </cell>
          <cell r="K670">
            <v>817</v>
          </cell>
        </row>
        <row r="671">
          <cell r="F671" t="str">
            <v>IB1MP</v>
          </cell>
          <cell r="K671">
            <v>818</v>
          </cell>
        </row>
        <row r="672">
          <cell r="F672" t="str">
            <v>IB2MP</v>
          </cell>
          <cell r="K672">
            <v>819</v>
          </cell>
        </row>
        <row r="673">
          <cell r="F673" t="str">
            <v>PA1MP</v>
          </cell>
          <cell r="K673">
            <v>820</v>
          </cell>
        </row>
        <row r="674">
          <cell r="F674" t="str">
            <v>PA2MP</v>
          </cell>
          <cell r="K674">
            <v>821</v>
          </cell>
        </row>
        <row r="675">
          <cell r="F675" t="str">
            <v>PB1MP</v>
          </cell>
          <cell r="K675">
            <v>822</v>
          </cell>
        </row>
        <row r="676">
          <cell r="F676" t="str">
            <v>PB2MP</v>
          </cell>
          <cell r="K676">
            <v>823</v>
          </cell>
        </row>
        <row r="677">
          <cell r="F677" t="str">
            <v>PC1MP</v>
          </cell>
          <cell r="K677">
            <v>824</v>
          </cell>
        </row>
        <row r="678">
          <cell r="F678" t="str">
            <v>PC2MP</v>
          </cell>
          <cell r="K678">
            <v>825</v>
          </cell>
        </row>
        <row r="679">
          <cell r="F679" t="str">
            <v>PCEMP</v>
          </cell>
          <cell r="K679">
            <v>826</v>
          </cell>
        </row>
        <row r="680">
          <cell r="F680" t="str">
            <v>PD1MP</v>
          </cell>
          <cell r="K680">
            <v>827</v>
          </cell>
        </row>
        <row r="681">
          <cell r="F681" t="str">
            <v>PD2MP</v>
          </cell>
          <cell r="K681">
            <v>828</v>
          </cell>
        </row>
        <row r="682">
          <cell r="F682" t="str">
            <v>PE1MP</v>
          </cell>
          <cell r="K682">
            <v>829</v>
          </cell>
        </row>
        <row r="683">
          <cell r="F683" t="str">
            <v>PE2MP</v>
          </cell>
          <cell r="K683">
            <v>830</v>
          </cell>
        </row>
        <row r="684">
          <cell r="F684" t="str">
            <v>RAAMP</v>
          </cell>
          <cell r="K684">
            <v>831</v>
          </cell>
        </row>
        <row r="685">
          <cell r="F685" t="str">
            <v>RABMP</v>
          </cell>
          <cell r="K685">
            <v>832</v>
          </cell>
        </row>
        <row r="686">
          <cell r="F686" t="str">
            <v>RACMP</v>
          </cell>
          <cell r="K686">
            <v>833</v>
          </cell>
        </row>
        <row r="687">
          <cell r="F687" t="str">
            <v>RADMP</v>
          </cell>
          <cell r="K687">
            <v>834</v>
          </cell>
        </row>
        <row r="688">
          <cell r="F688" t="str">
            <v>SE1MP</v>
          </cell>
          <cell r="K688">
            <v>835</v>
          </cell>
        </row>
        <row r="689">
          <cell r="F689" t="str">
            <v>SE2MP</v>
          </cell>
          <cell r="K689">
            <v>836</v>
          </cell>
        </row>
        <row r="690">
          <cell r="F690" t="str">
            <v>SE3MP</v>
          </cell>
          <cell r="K690">
            <v>837</v>
          </cell>
        </row>
        <row r="691">
          <cell r="F691" t="str">
            <v>SSAMP</v>
          </cell>
          <cell r="K691">
            <v>838</v>
          </cell>
        </row>
        <row r="692">
          <cell r="F692" t="str">
            <v>SSBMP</v>
          </cell>
          <cell r="K692">
            <v>839</v>
          </cell>
        </row>
        <row r="693">
          <cell r="F693" t="str">
            <v>SSCMP</v>
          </cell>
          <cell r="K693">
            <v>840</v>
          </cell>
        </row>
        <row r="694">
          <cell r="F694" t="str">
            <v>BA1SP</v>
          </cell>
          <cell r="K694">
            <v>841</v>
          </cell>
        </row>
        <row r="695">
          <cell r="F695" t="str">
            <v>BA2SP</v>
          </cell>
          <cell r="K695">
            <v>842</v>
          </cell>
        </row>
        <row r="696">
          <cell r="F696" t="str">
            <v>BB1SP</v>
          </cell>
          <cell r="K696">
            <v>843</v>
          </cell>
        </row>
        <row r="697">
          <cell r="F697" t="str">
            <v>BB2SP</v>
          </cell>
          <cell r="K697">
            <v>844</v>
          </cell>
        </row>
        <row r="698">
          <cell r="F698" t="str">
            <v>BC1SP</v>
          </cell>
          <cell r="K698">
            <v>845</v>
          </cell>
        </row>
        <row r="699">
          <cell r="F699" t="str">
            <v>CA1SP</v>
          </cell>
          <cell r="K699">
            <v>846</v>
          </cell>
        </row>
        <row r="700">
          <cell r="F700" t="str">
            <v>CA2SP</v>
          </cell>
          <cell r="K700">
            <v>847</v>
          </cell>
        </row>
        <row r="701">
          <cell r="F701" t="str">
            <v>CB1SP</v>
          </cell>
          <cell r="K701">
            <v>848</v>
          </cell>
        </row>
        <row r="702">
          <cell r="F702" t="str">
            <v>CB2SP</v>
          </cell>
          <cell r="K702">
            <v>849</v>
          </cell>
        </row>
        <row r="703">
          <cell r="F703" t="str">
            <v>CC1SP</v>
          </cell>
          <cell r="K703">
            <v>850</v>
          </cell>
        </row>
        <row r="704">
          <cell r="F704" t="str">
            <v>CC2SP</v>
          </cell>
          <cell r="K704">
            <v>851</v>
          </cell>
        </row>
        <row r="705">
          <cell r="F705" t="str">
            <v>IA1SP</v>
          </cell>
          <cell r="K705">
            <v>852</v>
          </cell>
        </row>
        <row r="706">
          <cell r="F706" t="str">
            <v>IA2SP</v>
          </cell>
          <cell r="K706">
            <v>853</v>
          </cell>
        </row>
        <row r="707">
          <cell r="F707" t="str">
            <v>IB1SP</v>
          </cell>
          <cell r="K707">
            <v>854</v>
          </cell>
        </row>
        <row r="708">
          <cell r="F708" t="str">
            <v>IB2SP</v>
          </cell>
          <cell r="K708">
            <v>855</v>
          </cell>
        </row>
        <row r="709">
          <cell r="F709" t="str">
            <v>PA1SP</v>
          </cell>
          <cell r="K709">
            <v>856</v>
          </cell>
        </row>
        <row r="710">
          <cell r="F710" t="str">
            <v>PA2SP</v>
          </cell>
          <cell r="K710">
            <v>857</v>
          </cell>
        </row>
        <row r="711">
          <cell r="F711" t="str">
            <v>PB1SP</v>
          </cell>
          <cell r="K711">
            <v>858</v>
          </cell>
        </row>
        <row r="712">
          <cell r="F712" t="str">
            <v>PB2SP</v>
          </cell>
          <cell r="K712">
            <v>859</v>
          </cell>
        </row>
        <row r="713">
          <cell r="F713" t="str">
            <v>PC1SP</v>
          </cell>
          <cell r="K713">
            <v>860</v>
          </cell>
        </row>
        <row r="714">
          <cell r="F714" t="str">
            <v>PC2SP</v>
          </cell>
          <cell r="K714">
            <v>861</v>
          </cell>
        </row>
        <row r="715">
          <cell r="F715" t="str">
            <v>PCESP</v>
          </cell>
          <cell r="K715">
            <v>862</v>
          </cell>
        </row>
        <row r="716">
          <cell r="F716" t="str">
            <v>PD1SP</v>
          </cell>
          <cell r="K716">
            <v>863</v>
          </cell>
        </row>
        <row r="717">
          <cell r="F717" t="str">
            <v>PD2SP</v>
          </cell>
          <cell r="K717">
            <v>864</v>
          </cell>
        </row>
        <row r="718">
          <cell r="F718" t="str">
            <v>PE1SP</v>
          </cell>
          <cell r="K718">
            <v>865</v>
          </cell>
        </row>
        <row r="719">
          <cell r="F719" t="str">
            <v>PE2SP</v>
          </cell>
          <cell r="K719">
            <v>866</v>
          </cell>
        </row>
        <row r="720">
          <cell r="F720" t="str">
            <v>RAASP</v>
          </cell>
          <cell r="K720">
            <v>867</v>
          </cell>
        </row>
        <row r="721">
          <cell r="F721" t="str">
            <v>RABSP</v>
          </cell>
          <cell r="K721">
            <v>868</v>
          </cell>
        </row>
        <row r="722">
          <cell r="F722" t="str">
            <v>RACSP</v>
          </cell>
          <cell r="K722">
            <v>869</v>
          </cell>
        </row>
        <row r="723">
          <cell r="F723" t="str">
            <v>RADSP</v>
          </cell>
          <cell r="K723">
            <v>870</v>
          </cell>
        </row>
        <row r="724">
          <cell r="F724" t="str">
            <v>SE1SP</v>
          </cell>
          <cell r="K724">
            <v>871</v>
          </cell>
        </row>
        <row r="725">
          <cell r="F725" t="str">
            <v>SE2SP</v>
          </cell>
          <cell r="K725">
            <v>872</v>
          </cell>
        </row>
        <row r="726">
          <cell r="F726" t="str">
            <v>SE3SP</v>
          </cell>
          <cell r="K726">
            <v>873</v>
          </cell>
        </row>
        <row r="727">
          <cell r="F727" t="str">
            <v>SSASP</v>
          </cell>
          <cell r="K727">
            <v>874</v>
          </cell>
        </row>
        <row r="728">
          <cell r="F728" t="str">
            <v>SSBSP</v>
          </cell>
          <cell r="K728">
            <v>875</v>
          </cell>
        </row>
        <row r="729">
          <cell r="F729" t="str">
            <v>SSCSP</v>
          </cell>
          <cell r="K729">
            <v>876</v>
          </cell>
        </row>
        <row r="730">
          <cell r="F730" t="str">
            <v>S9128SPU7U5</v>
          </cell>
          <cell r="K730">
            <v>877</v>
          </cell>
        </row>
        <row r="731">
          <cell r="F731" t="e">
            <v>#N/A</v>
          </cell>
          <cell r="K731">
            <v>878</v>
          </cell>
        </row>
        <row r="732">
          <cell r="F732" t="e">
            <v>#N/A</v>
          </cell>
          <cell r="K732">
            <v>879</v>
          </cell>
        </row>
        <row r="733">
          <cell r="F733" t="e">
            <v>#N/A</v>
          </cell>
          <cell r="K733">
            <v>880</v>
          </cell>
        </row>
        <row r="734">
          <cell r="F734" t="e">
            <v>#N/A</v>
          </cell>
          <cell r="K734">
            <v>881</v>
          </cell>
        </row>
        <row r="735">
          <cell r="F735" t="str">
            <v>S5140SPU1</v>
          </cell>
          <cell r="K735">
            <v>882</v>
          </cell>
        </row>
        <row r="736">
          <cell r="F736" t="str">
            <v>S5140MPU1</v>
          </cell>
          <cell r="K736">
            <v>883</v>
          </cell>
        </row>
        <row r="737">
          <cell r="F737" t="str">
            <v>S5140SPU2</v>
          </cell>
          <cell r="K737">
            <v>884</v>
          </cell>
        </row>
        <row r="738">
          <cell r="F738" t="str">
            <v>S5140MPU2</v>
          </cell>
          <cell r="K738">
            <v>885</v>
          </cell>
        </row>
        <row r="739">
          <cell r="F739" t="str">
            <v>S5140SPU3</v>
          </cell>
          <cell r="K739">
            <v>886</v>
          </cell>
        </row>
        <row r="740">
          <cell r="F740" t="str">
            <v>S5140MPU3</v>
          </cell>
          <cell r="K740">
            <v>887</v>
          </cell>
        </row>
        <row r="741">
          <cell r="F741" t="str">
            <v>T2031MPUBU1</v>
          </cell>
          <cell r="K741">
            <v>888</v>
          </cell>
        </row>
        <row r="742">
          <cell r="F742" t="str">
            <v>T2031SPUBU1</v>
          </cell>
          <cell r="K742">
            <v>889</v>
          </cell>
        </row>
        <row r="743">
          <cell r="F743" t="str">
            <v>T2031MPU1</v>
          </cell>
          <cell r="K743">
            <v>890</v>
          </cell>
        </row>
        <row r="744">
          <cell r="F744" t="str">
            <v>T2031SPU1</v>
          </cell>
          <cell r="K744">
            <v>891</v>
          </cell>
        </row>
        <row r="745">
          <cell r="F745" t="str">
            <v>T2031MPUAU1</v>
          </cell>
          <cell r="K745">
            <v>892</v>
          </cell>
        </row>
        <row r="746">
          <cell r="F746" t="str">
            <v>T2031SPUAU1</v>
          </cell>
          <cell r="K746">
            <v>893</v>
          </cell>
        </row>
        <row r="747">
          <cell r="F747" t="str">
            <v>T2031MPUBU2</v>
          </cell>
          <cell r="K747">
            <v>894</v>
          </cell>
        </row>
        <row r="748">
          <cell r="F748" t="str">
            <v>T2031SPUBU2</v>
          </cell>
          <cell r="K748">
            <v>895</v>
          </cell>
        </row>
        <row r="749">
          <cell r="F749" t="str">
            <v>T2031MPU2</v>
          </cell>
          <cell r="K749">
            <v>896</v>
          </cell>
        </row>
        <row r="750">
          <cell r="F750" t="str">
            <v>T2031SPU2</v>
          </cell>
          <cell r="K750">
            <v>897</v>
          </cell>
        </row>
        <row r="751">
          <cell r="F751" t="str">
            <v>T2031MPUAU2</v>
          </cell>
          <cell r="K751">
            <v>898</v>
          </cell>
        </row>
        <row r="752">
          <cell r="F752" t="str">
            <v>T2031SPUAU2</v>
          </cell>
          <cell r="K752">
            <v>899</v>
          </cell>
        </row>
        <row r="753">
          <cell r="F753" t="str">
            <v>T2031MPUBU3</v>
          </cell>
          <cell r="K753">
            <v>900</v>
          </cell>
        </row>
        <row r="754">
          <cell r="F754" t="str">
            <v>T2031SPUBU3</v>
          </cell>
          <cell r="K754">
            <v>901</v>
          </cell>
        </row>
        <row r="755">
          <cell r="F755" t="str">
            <v>T2031MPU3</v>
          </cell>
          <cell r="K755">
            <v>902</v>
          </cell>
        </row>
        <row r="756">
          <cell r="F756" t="str">
            <v>T2031SPU3</v>
          </cell>
          <cell r="K756">
            <v>903</v>
          </cell>
        </row>
        <row r="757">
          <cell r="F757" t="str">
            <v>T2031MPUAU3</v>
          </cell>
          <cell r="K757">
            <v>904</v>
          </cell>
        </row>
        <row r="758">
          <cell r="F758" t="str">
            <v>T2031SPUAU3</v>
          </cell>
          <cell r="K758">
            <v>905</v>
          </cell>
        </row>
        <row r="759">
          <cell r="F759" t="str">
            <v>T2031MPUBU4</v>
          </cell>
          <cell r="K759">
            <v>906</v>
          </cell>
        </row>
        <row r="760">
          <cell r="F760" t="str">
            <v>T2031SPUBU4</v>
          </cell>
          <cell r="K760">
            <v>907</v>
          </cell>
        </row>
        <row r="761">
          <cell r="F761" t="str">
            <v>T2031MPU4</v>
          </cell>
          <cell r="K761">
            <v>908</v>
          </cell>
        </row>
        <row r="762">
          <cell r="F762" t="str">
            <v>T2031SPU4</v>
          </cell>
          <cell r="K762">
            <v>909</v>
          </cell>
        </row>
        <row r="763">
          <cell r="F763" t="str">
            <v>T2031MPUAU4</v>
          </cell>
          <cell r="K763">
            <v>910</v>
          </cell>
        </row>
        <row r="764">
          <cell r="F764" t="str">
            <v>T2031SPUAU4</v>
          </cell>
          <cell r="K764">
            <v>911</v>
          </cell>
        </row>
        <row r="765">
          <cell r="F765" t="str">
            <v>T2031MPUBU5</v>
          </cell>
          <cell r="K765">
            <v>912</v>
          </cell>
        </row>
        <row r="766">
          <cell r="F766" t="str">
            <v>T2031SPUBU5</v>
          </cell>
          <cell r="K766">
            <v>913</v>
          </cell>
        </row>
        <row r="767">
          <cell r="F767" t="str">
            <v>T2031MPU5</v>
          </cell>
          <cell r="K767">
            <v>914</v>
          </cell>
        </row>
        <row r="768">
          <cell r="F768" t="str">
            <v>T2031SPU5</v>
          </cell>
          <cell r="K768">
            <v>915</v>
          </cell>
        </row>
        <row r="769">
          <cell r="F769" t="str">
            <v>T2031MPUAU5</v>
          </cell>
          <cell r="K769">
            <v>916</v>
          </cell>
        </row>
        <row r="770">
          <cell r="F770" t="str">
            <v>T2031SPUAU5</v>
          </cell>
          <cell r="K770">
            <v>917</v>
          </cell>
        </row>
        <row r="771">
          <cell r="F771" t="str">
            <v>T2031MPUBU6</v>
          </cell>
          <cell r="K771">
            <v>918</v>
          </cell>
        </row>
        <row r="772">
          <cell r="F772" t="str">
            <v>T2031SPUBU6</v>
          </cell>
          <cell r="K772">
            <v>919</v>
          </cell>
        </row>
        <row r="773">
          <cell r="F773" t="str">
            <v>T2031MPU6</v>
          </cell>
          <cell r="K773">
            <v>920</v>
          </cell>
        </row>
        <row r="774">
          <cell r="F774" t="str">
            <v>T2031SPU6</v>
          </cell>
          <cell r="K774">
            <v>921</v>
          </cell>
        </row>
        <row r="775">
          <cell r="F775" t="str">
            <v>T2031MPUAU6</v>
          </cell>
          <cell r="K775">
            <v>922</v>
          </cell>
        </row>
        <row r="776">
          <cell r="F776" t="str">
            <v>T2031SPUAU6</v>
          </cell>
          <cell r="K776">
            <v>923</v>
          </cell>
        </row>
        <row r="777">
          <cell r="F777" t="str">
            <v>97129SPU3</v>
          </cell>
          <cell r="K777">
            <v>924</v>
          </cell>
        </row>
        <row r="778">
          <cell r="F778" t="str">
            <v>97129MPU3</v>
          </cell>
          <cell r="K778">
            <v>925</v>
          </cell>
        </row>
        <row r="779">
          <cell r="F779" t="str">
            <v>97129SPU3UC</v>
          </cell>
          <cell r="K779">
            <v>926</v>
          </cell>
        </row>
        <row r="780">
          <cell r="F780" t="str">
            <v>97130MPU3UC</v>
          </cell>
          <cell r="K780">
            <v>927</v>
          </cell>
        </row>
        <row r="781">
          <cell r="F781" t="str">
            <v>97129SPU3UD</v>
          </cell>
          <cell r="K781">
            <v>928</v>
          </cell>
        </row>
        <row r="782">
          <cell r="F782" t="str">
            <v>97129MPU3UD</v>
          </cell>
          <cell r="K782">
            <v>929</v>
          </cell>
        </row>
        <row r="783">
          <cell r="F783" t="str">
            <v>T2040SPU3U9</v>
          </cell>
          <cell r="K783">
            <v>930</v>
          </cell>
        </row>
        <row r="784">
          <cell r="F784" t="str">
            <v>T2040MPU3U9</v>
          </cell>
          <cell r="K784">
            <v>931</v>
          </cell>
        </row>
        <row r="785">
          <cell r="F785" t="str">
            <v>T2040SPU3U9U7</v>
          </cell>
          <cell r="K785">
            <v>932</v>
          </cell>
        </row>
        <row r="786">
          <cell r="F786" t="str">
            <v>T2040MPU3U9U7</v>
          </cell>
          <cell r="K786">
            <v>933</v>
          </cell>
        </row>
        <row r="787">
          <cell r="F787" t="str">
            <v>H2025SPU3UC</v>
          </cell>
          <cell r="K787">
            <v>934</v>
          </cell>
        </row>
        <row r="788">
          <cell r="F788" t="str">
            <v>H2025MPU3UC</v>
          </cell>
          <cell r="K788">
            <v>935</v>
          </cell>
        </row>
        <row r="789">
          <cell r="F789" t="str">
            <v>H2025SPU3UD</v>
          </cell>
          <cell r="K789">
            <v>936</v>
          </cell>
        </row>
        <row r="790">
          <cell r="F790" t="str">
            <v>H2025MPU3UD</v>
          </cell>
          <cell r="K790">
            <v>937</v>
          </cell>
        </row>
        <row r="791">
          <cell r="F791" t="str">
            <v>H2025SPU3</v>
          </cell>
          <cell r="K791">
            <v>938</v>
          </cell>
        </row>
        <row r="792">
          <cell r="F792" t="str">
            <v>H2025MPU3</v>
          </cell>
          <cell r="K792">
            <v>939</v>
          </cell>
        </row>
        <row r="793">
          <cell r="F793" t="str">
            <v>H2023SPU3UC</v>
          </cell>
          <cell r="K793">
            <v>940</v>
          </cell>
        </row>
        <row r="794">
          <cell r="F794" t="str">
            <v>H2023MPU3UC</v>
          </cell>
          <cell r="K794">
            <v>941</v>
          </cell>
        </row>
        <row r="795">
          <cell r="F795" t="str">
            <v>H2023SPU3UD</v>
          </cell>
          <cell r="K795">
            <v>942</v>
          </cell>
        </row>
        <row r="796">
          <cell r="F796" t="str">
            <v>H2023MPU3UD</v>
          </cell>
          <cell r="K796">
            <v>943</v>
          </cell>
        </row>
        <row r="797">
          <cell r="F797" t="str">
            <v>H2023SPU3</v>
          </cell>
          <cell r="K797">
            <v>944</v>
          </cell>
        </row>
        <row r="798">
          <cell r="F798" t="str">
            <v>H2023MPU3</v>
          </cell>
          <cell r="K798">
            <v>945</v>
          </cell>
        </row>
        <row r="799">
          <cell r="F799" t="str">
            <v>S5160MP</v>
          </cell>
          <cell r="K799">
            <v>946</v>
          </cell>
        </row>
        <row r="800">
          <cell r="F800" t="str">
            <v>S5160SP</v>
          </cell>
          <cell r="K800">
            <v>947</v>
          </cell>
        </row>
        <row r="801">
          <cell r="F801" t="str">
            <v>S5161SPU3</v>
          </cell>
          <cell r="K801">
            <v>948</v>
          </cell>
        </row>
        <row r="802">
          <cell r="F802" t="str">
            <v>S5161MPU3</v>
          </cell>
          <cell r="K802">
            <v>949</v>
          </cell>
        </row>
        <row r="803">
          <cell r="F803" t="str">
            <v>S5161MPU3U7</v>
          </cell>
          <cell r="K803">
            <v>950</v>
          </cell>
        </row>
        <row r="804">
          <cell r="F804" t="str">
            <v>S5161SPU3U7</v>
          </cell>
          <cell r="K804">
            <v>951</v>
          </cell>
        </row>
        <row r="805">
          <cell r="F805" t="str">
            <v>T2017SPU3U7UC</v>
          </cell>
          <cell r="K805">
            <v>952</v>
          </cell>
        </row>
        <row r="806">
          <cell r="F806" t="str">
            <v>T2017MPU3U7UC</v>
          </cell>
          <cell r="K806">
            <v>953</v>
          </cell>
        </row>
        <row r="807">
          <cell r="F807" t="str">
            <v>T2017SPU3U7UD</v>
          </cell>
          <cell r="K807">
            <v>954</v>
          </cell>
        </row>
        <row r="808">
          <cell r="F808" t="str">
            <v>T2017MPU3U7UD</v>
          </cell>
          <cell r="K808">
            <v>955</v>
          </cell>
        </row>
        <row r="809">
          <cell r="F809" t="str">
            <v>T2017SPU3U7</v>
          </cell>
          <cell r="K809">
            <v>956</v>
          </cell>
        </row>
        <row r="810">
          <cell r="F810" t="str">
            <v>T2017MPU3U7</v>
          </cell>
          <cell r="K810">
            <v>957</v>
          </cell>
        </row>
        <row r="811">
          <cell r="F811" t="str">
            <v>S5170SP</v>
          </cell>
          <cell r="K811">
            <v>958</v>
          </cell>
        </row>
        <row r="812">
          <cell r="F812" t="str">
            <v>S5170MP</v>
          </cell>
          <cell r="K812">
            <v>959</v>
          </cell>
        </row>
        <row r="813">
          <cell r="F813" t="str">
            <v>T1005SPU3UC</v>
          </cell>
          <cell r="K813">
            <v>960</v>
          </cell>
        </row>
        <row r="814">
          <cell r="F814" t="str">
            <v>T1005MPU3UC</v>
          </cell>
          <cell r="K814">
            <v>961</v>
          </cell>
        </row>
        <row r="815">
          <cell r="F815" t="str">
            <v>T1005SPU3UD</v>
          </cell>
          <cell r="K815">
            <v>962</v>
          </cell>
        </row>
        <row r="816">
          <cell r="F816" t="str">
            <v>T1005MPU3UD</v>
          </cell>
          <cell r="K816">
            <v>963</v>
          </cell>
        </row>
        <row r="817">
          <cell r="F817" t="str">
            <v>T1005SPU3</v>
          </cell>
          <cell r="K817">
            <v>964</v>
          </cell>
        </row>
        <row r="818">
          <cell r="F818" t="str">
            <v>T1005MPU3</v>
          </cell>
          <cell r="K818">
            <v>965</v>
          </cell>
        </row>
        <row r="819">
          <cell r="F819" t="str">
            <v>S9124SPU3UC</v>
          </cell>
          <cell r="K819">
            <v>966</v>
          </cell>
        </row>
        <row r="820">
          <cell r="F820" t="str">
            <v>S9124MPU3UC</v>
          </cell>
          <cell r="K820">
            <v>967</v>
          </cell>
        </row>
        <row r="821">
          <cell r="F821" t="str">
            <v>S9124SPU3UCUA</v>
          </cell>
          <cell r="K821">
            <v>968</v>
          </cell>
        </row>
        <row r="822">
          <cell r="F822" t="str">
            <v>S9124MPU3UCUA</v>
          </cell>
          <cell r="K822">
            <v>969</v>
          </cell>
        </row>
        <row r="823">
          <cell r="F823" t="str">
            <v>S9124SPU3UD</v>
          </cell>
          <cell r="K823">
            <v>970</v>
          </cell>
        </row>
        <row r="824">
          <cell r="F824" t="str">
            <v>S9124MPU3UD</v>
          </cell>
          <cell r="K824">
            <v>971</v>
          </cell>
        </row>
        <row r="825">
          <cell r="F825" t="str">
            <v>S9124SPU3UDUA</v>
          </cell>
          <cell r="K825">
            <v>972</v>
          </cell>
        </row>
        <row r="826">
          <cell r="F826" t="str">
            <v>S9124MPU3UDUA</v>
          </cell>
          <cell r="K826">
            <v>973</v>
          </cell>
        </row>
        <row r="827">
          <cell r="F827" t="str">
            <v>S9124SPU3</v>
          </cell>
          <cell r="K827">
            <v>974</v>
          </cell>
        </row>
        <row r="828">
          <cell r="F828" t="str">
            <v>S9124MPU3</v>
          </cell>
          <cell r="K828">
            <v>975</v>
          </cell>
        </row>
        <row r="829">
          <cell r="F829" t="str">
            <v>S9124SPU3UA</v>
          </cell>
          <cell r="K829">
            <v>976</v>
          </cell>
        </row>
        <row r="830">
          <cell r="F830" t="str">
            <v>S9124MPU3UA</v>
          </cell>
          <cell r="K830">
            <v>977</v>
          </cell>
        </row>
        <row r="831">
          <cell r="F831" t="str">
            <v>S9123SPU3UC</v>
          </cell>
          <cell r="K831">
            <v>978</v>
          </cell>
        </row>
        <row r="832">
          <cell r="F832" t="str">
            <v>S9123MPU3UC</v>
          </cell>
          <cell r="K832">
            <v>979</v>
          </cell>
        </row>
        <row r="833">
          <cell r="F833" t="str">
            <v>S9123SPU3UCUA</v>
          </cell>
          <cell r="K833">
            <v>980</v>
          </cell>
        </row>
        <row r="834">
          <cell r="F834" t="str">
            <v>S9123MPU3UCUA</v>
          </cell>
          <cell r="K834">
            <v>981</v>
          </cell>
        </row>
        <row r="835">
          <cell r="F835" t="str">
            <v>S9123SPU3UD</v>
          </cell>
          <cell r="K835">
            <v>982</v>
          </cell>
        </row>
        <row r="836">
          <cell r="F836" t="str">
            <v>S9123MPU3UD</v>
          </cell>
          <cell r="K836">
            <v>983</v>
          </cell>
        </row>
        <row r="837">
          <cell r="F837" t="str">
            <v>S9123SPU3UDUA</v>
          </cell>
          <cell r="K837">
            <v>984</v>
          </cell>
        </row>
        <row r="838">
          <cell r="F838" t="str">
            <v>S9123MPU3UDUA</v>
          </cell>
          <cell r="K838">
            <v>985</v>
          </cell>
        </row>
        <row r="839">
          <cell r="F839" t="str">
            <v>S9123SPU3</v>
          </cell>
          <cell r="K839">
            <v>986</v>
          </cell>
        </row>
        <row r="840">
          <cell r="F840" t="str">
            <v>S9123MPU3</v>
          </cell>
          <cell r="K840">
            <v>987</v>
          </cell>
        </row>
        <row r="841">
          <cell r="F841" t="str">
            <v>S9123SPU3UA</v>
          </cell>
          <cell r="K841">
            <v>988</v>
          </cell>
        </row>
        <row r="842">
          <cell r="F842" t="str">
            <v>S9123MPU3UA</v>
          </cell>
          <cell r="K842">
            <v>989</v>
          </cell>
        </row>
        <row r="843">
          <cell r="F843" t="str">
            <v>S9129SPU3UC</v>
          </cell>
          <cell r="K843">
            <v>990</v>
          </cell>
        </row>
        <row r="844">
          <cell r="F844" t="str">
            <v>S9129MPU3UC</v>
          </cell>
          <cell r="K844">
            <v>991</v>
          </cell>
        </row>
        <row r="845">
          <cell r="F845" t="str">
            <v>S9129SPU3UD</v>
          </cell>
          <cell r="K845">
            <v>992</v>
          </cell>
        </row>
        <row r="846">
          <cell r="F846" t="str">
            <v>S9129MPU3UD</v>
          </cell>
          <cell r="K846">
            <v>993</v>
          </cell>
        </row>
        <row r="847">
          <cell r="F847" t="str">
            <v>S9129SPU3</v>
          </cell>
          <cell r="K847">
            <v>994</v>
          </cell>
        </row>
        <row r="848">
          <cell r="F848" t="str">
            <v>S9129MPU3</v>
          </cell>
          <cell r="K848">
            <v>995</v>
          </cell>
        </row>
        <row r="849">
          <cell r="F849" t="str">
            <v>S5151MPUDU1</v>
          </cell>
          <cell r="K849">
            <v>996</v>
          </cell>
        </row>
        <row r="850">
          <cell r="F850" t="str">
            <v>S5151SPUDU1</v>
          </cell>
          <cell r="K850">
            <v>997</v>
          </cell>
        </row>
        <row r="851">
          <cell r="F851" t="str">
            <v>S5151MPUDU2</v>
          </cell>
          <cell r="K851">
            <v>998</v>
          </cell>
        </row>
        <row r="852">
          <cell r="F852" t="str">
            <v>S5151SPUDU2</v>
          </cell>
          <cell r="K852">
            <v>999</v>
          </cell>
        </row>
        <row r="853">
          <cell r="F853" t="str">
            <v>S5151MPUDU3</v>
          </cell>
          <cell r="K853">
            <v>1000</v>
          </cell>
        </row>
        <row r="854">
          <cell r="F854" t="str">
            <v>S5151SPUDU3</v>
          </cell>
          <cell r="K854">
            <v>1001</v>
          </cell>
        </row>
        <row r="855">
          <cell r="F855" t="str">
            <v>S5151SPU8UBU1</v>
          </cell>
          <cell r="K855">
            <v>1002</v>
          </cell>
        </row>
        <row r="856">
          <cell r="F856" t="str">
            <v>S5151MPU8UBU1</v>
          </cell>
          <cell r="K856">
            <v>1003</v>
          </cell>
        </row>
        <row r="857">
          <cell r="F857" t="str">
            <v>S5151MPU8UBU2</v>
          </cell>
          <cell r="K857">
            <v>1004</v>
          </cell>
        </row>
        <row r="858">
          <cell r="F858" t="str">
            <v>S5151SPU8UBU2</v>
          </cell>
          <cell r="K858">
            <v>1005</v>
          </cell>
        </row>
        <row r="859">
          <cell r="F859" t="str">
            <v>S5151MPU8UBU3</v>
          </cell>
          <cell r="K859">
            <v>1006</v>
          </cell>
        </row>
        <row r="860">
          <cell r="F860" t="str">
            <v>S5151SPU8UBU3</v>
          </cell>
          <cell r="K860">
            <v>1007</v>
          </cell>
        </row>
        <row r="861">
          <cell r="F861" t="str">
            <v>S5151MPU8UBU4</v>
          </cell>
          <cell r="K861">
            <v>1008</v>
          </cell>
        </row>
        <row r="862">
          <cell r="F862" t="str">
            <v>S5151SPU8UBU4</v>
          </cell>
          <cell r="K862">
            <v>1009</v>
          </cell>
        </row>
        <row r="863">
          <cell r="F863" t="str">
            <v>S5151MPU8UBU5</v>
          </cell>
          <cell r="K863">
            <v>1010</v>
          </cell>
        </row>
        <row r="864">
          <cell r="F864" t="str">
            <v>S5151SPU8UBU5</v>
          </cell>
          <cell r="K864">
            <v>1011</v>
          </cell>
        </row>
        <row r="865">
          <cell r="F865" t="str">
            <v>S5151MPU8UBU6</v>
          </cell>
          <cell r="K865">
            <v>1012</v>
          </cell>
        </row>
        <row r="866">
          <cell r="F866" t="str">
            <v>S5151SPU8UBU6</v>
          </cell>
          <cell r="K866">
            <v>1013</v>
          </cell>
        </row>
        <row r="867">
          <cell r="F867" t="str">
            <v>S5151MPU8U9U1</v>
          </cell>
          <cell r="K867">
            <v>1014</v>
          </cell>
        </row>
        <row r="868">
          <cell r="F868" t="str">
            <v>S5151SPU8U9U1</v>
          </cell>
          <cell r="K868">
            <v>1015</v>
          </cell>
        </row>
        <row r="869">
          <cell r="F869" t="str">
            <v>S5151MPU8U9U2</v>
          </cell>
          <cell r="K869">
            <v>1016</v>
          </cell>
        </row>
        <row r="870">
          <cell r="F870" t="str">
            <v>S5151SPU8U9U2</v>
          </cell>
          <cell r="K870">
            <v>1017</v>
          </cell>
        </row>
        <row r="871">
          <cell r="F871" t="str">
            <v>S5151MPU8U9U3</v>
          </cell>
          <cell r="K871">
            <v>1018</v>
          </cell>
        </row>
        <row r="872">
          <cell r="F872" t="str">
            <v>S5151SPU8U9U3</v>
          </cell>
          <cell r="K872">
            <v>1019</v>
          </cell>
        </row>
        <row r="873">
          <cell r="F873" t="str">
            <v>S5151MPU8U9U4</v>
          </cell>
          <cell r="K873">
            <v>1020</v>
          </cell>
        </row>
        <row r="874">
          <cell r="F874" t="str">
            <v>S5151SPU8U9U4</v>
          </cell>
          <cell r="K874">
            <v>1021</v>
          </cell>
        </row>
        <row r="875">
          <cell r="F875" t="str">
            <v>S5151MPU8U9U5</v>
          </cell>
          <cell r="K875">
            <v>1022</v>
          </cell>
        </row>
        <row r="876">
          <cell r="F876" t="str">
            <v>S5151SPU8U9U5</v>
          </cell>
          <cell r="K876">
            <v>1023</v>
          </cell>
        </row>
        <row r="877">
          <cell r="F877" t="str">
            <v>S5151MPU8U9U6</v>
          </cell>
          <cell r="K877">
            <v>1024</v>
          </cell>
        </row>
        <row r="878">
          <cell r="F878" t="str">
            <v>S5151SPU8U9U6</v>
          </cell>
          <cell r="K878">
            <v>1025</v>
          </cell>
        </row>
        <row r="879">
          <cell r="F879" t="str">
            <v>S5151MPU8UAU1</v>
          </cell>
          <cell r="K879">
            <v>1026</v>
          </cell>
        </row>
        <row r="880">
          <cell r="F880" t="str">
            <v>S5151SPU8UAU1</v>
          </cell>
          <cell r="K880">
            <v>1027</v>
          </cell>
        </row>
        <row r="881">
          <cell r="F881" t="str">
            <v>S5151MPU8UAU2</v>
          </cell>
          <cell r="K881">
            <v>1028</v>
          </cell>
        </row>
        <row r="882">
          <cell r="F882" t="str">
            <v>S5151SPU8UAU2</v>
          </cell>
          <cell r="K882">
            <v>1029</v>
          </cell>
        </row>
        <row r="883">
          <cell r="F883" t="str">
            <v>S5151MPU8UAU3</v>
          </cell>
          <cell r="K883">
            <v>1030</v>
          </cell>
        </row>
        <row r="884">
          <cell r="F884" t="str">
            <v>S5151SPU8UAU3</v>
          </cell>
          <cell r="K884">
            <v>1031</v>
          </cell>
        </row>
        <row r="885">
          <cell r="F885" t="str">
            <v>S5151MPU8UAU4</v>
          </cell>
          <cell r="K885">
            <v>1032</v>
          </cell>
        </row>
        <row r="886">
          <cell r="F886" t="str">
            <v>S5151SPU8UAU4</v>
          </cell>
          <cell r="K886">
            <v>1033</v>
          </cell>
        </row>
        <row r="887">
          <cell r="F887" t="str">
            <v>S5151MPU8UAU5</v>
          </cell>
          <cell r="K887">
            <v>1034</v>
          </cell>
        </row>
        <row r="888">
          <cell r="F888" t="str">
            <v>S5151SPU8UAU5</v>
          </cell>
          <cell r="K888">
            <v>1035</v>
          </cell>
        </row>
        <row r="889">
          <cell r="F889" t="str">
            <v>S5151MPU8UAU6</v>
          </cell>
          <cell r="K889">
            <v>1036</v>
          </cell>
        </row>
        <row r="890">
          <cell r="F890" t="str">
            <v>S5151SPU8UAU6</v>
          </cell>
          <cell r="K890">
            <v>1037</v>
          </cell>
        </row>
        <row r="891">
          <cell r="F891" t="str">
            <v>S5151SPUC</v>
          </cell>
          <cell r="K891">
            <v>1038</v>
          </cell>
        </row>
        <row r="892">
          <cell r="F892" t="str">
            <v>S5151MPUC</v>
          </cell>
          <cell r="K892">
            <v>1039</v>
          </cell>
        </row>
        <row r="893">
          <cell r="F893" t="str">
            <v>S5151SPUC</v>
          </cell>
          <cell r="K893">
            <v>1040</v>
          </cell>
        </row>
        <row r="894">
          <cell r="F894" t="str">
            <v>S5151MPUC</v>
          </cell>
          <cell r="K894">
            <v>1041</v>
          </cell>
        </row>
        <row r="895">
          <cell r="F895" t="str">
            <v>S5125SPU3UC</v>
          </cell>
          <cell r="K895">
            <v>1042</v>
          </cell>
        </row>
        <row r="896">
          <cell r="F896" t="str">
            <v>S5125MPU3UC</v>
          </cell>
          <cell r="K896">
            <v>1043</v>
          </cell>
        </row>
        <row r="897">
          <cell r="F897" t="str">
            <v>S5125SPU3U7UC</v>
          </cell>
          <cell r="K897">
            <v>1044</v>
          </cell>
        </row>
        <row r="898">
          <cell r="F898" t="str">
            <v>S5125MPU3U7UC</v>
          </cell>
          <cell r="K898">
            <v>1045</v>
          </cell>
        </row>
        <row r="899">
          <cell r="F899" t="str">
            <v>S5125SPU3UD</v>
          </cell>
          <cell r="K899">
            <v>1046</v>
          </cell>
        </row>
        <row r="900">
          <cell r="F900" t="str">
            <v>S5125MPU3UD</v>
          </cell>
          <cell r="K900">
            <v>1047</v>
          </cell>
        </row>
        <row r="901">
          <cell r="F901" t="str">
            <v>S5125SPU3U7UD</v>
          </cell>
          <cell r="K901">
            <v>1048</v>
          </cell>
        </row>
        <row r="902">
          <cell r="F902" t="str">
            <v>S5125MPU3U7UD</v>
          </cell>
          <cell r="K902">
            <v>1049</v>
          </cell>
        </row>
        <row r="903">
          <cell r="F903" t="str">
            <v>S5125SPU3</v>
          </cell>
          <cell r="K903">
            <v>1050</v>
          </cell>
        </row>
        <row r="904">
          <cell r="F904" t="str">
            <v>S5125MPU3</v>
          </cell>
          <cell r="K904">
            <v>1051</v>
          </cell>
        </row>
        <row r="905">
          <cell r="F905" t="str">
            <v>S5125SPU3U7</v>
          </cell>
          <cell r="K905">
            <v>1052</v>
          </cell>
        </row>
        <row r="906">
          <cell r="F906" t="str">
            <v>S5125MPU3U7</v>
          </cell>
          <cell r="K906">
            <v>1053</v>
          </cell>
        </row>
        <row r="907">
          <cell r="F907" t="str">
            <v>S5125SPU3U1UC</v>
          </cell>
          <cell r="K907">
            <v>1054</v>
          </cell>
        </row>
        <row r="908">
          <cell r="F908" t="str">
            <v>S5125MPU3U1UC</v>
          </cell>
          <cell r="K908">
            <v>1055</v>
          </cell>
        </row>
        <row r="909">
          <cell r="F909" t="str">
            <v>S5125SPU3U1UD</v>
          </cell>
          <cell r="K909">
            <v>1056</v>
          </cell>
        </row>
        <row r="910">
          <cell r="F910" t="str">
            <v>S5125MPU3U1UD</v>
          </cell>
          <cell r="K910">
            <v>1057</v>
          </cell>
        </row>
        <row r="911">
          <cell r="F911" t="str">
            <v>S5125SPU3U1</v>
          </cell>
          <cell r="K911">
            <v>1058</v>
          </cell>
        </row>
        <row r="912">
          <cell r="F912" t="str">
            <v>S5125MPU3U1</v>
          </cell>
          <cell r="K912">
            <v>1059</v>
          </cell>
        </row>
        <row r="913">
          <cell r="F913" t="str">
            <v>S9131SPU3UC</v>
          </cell>
          <cell r="K913">
            <v>1060</v>
          </cell>
        </row>
        <row r="914">
          <cell r="F914" t="str">
            <v>S9131MPU3UC</v>
          </cell>
          <cell r="K914">
            <v>1061</v>
          </cell>
        </row>
        <row r="915">
          <cell r="F915" t="str">
            <v>S9131SPU3UD</v>
          </cell>
          <cell r="K915">
            <v>1062</v>
          </cell>
        </row>
        <row r="916">
          <cell r="F916" t="str">
            <v>S9131MPU3UD</v>
          </cell>
          <cell r="K916">
            <v>1063</v>
          </cell>
        </row>
        <row r="917">
          <cell r="F917" t="str">
            <v>S9131SPU3</v>
          </cell>
          <cell r="K917">
            <v>1064</v>
          </cell>
        </row>
        <row r="918">
          <cell r="F918" t="str">
            <v>S9131MPU3</v>
          </cell>
          <cell r="K918">
            <v>1065</v>
          </cell>
        </row>
        <row r="919">
          <cell r="F919" t="str">
            <v>S9128SPU3UC</v>
          </cell>
          <cell r="K919">
            <v>1066</v>
          </cell>
        </row>
        <row r="920">
          <cell r="F920" t="str">
            <v>S9128MPU3UC</v>
          </cell>
          <cell r="K920">
            <v>1067</v>
          </cell>
        </row>
        <row r="921">
          <cell r="F921" t="str">
            <v>S9128SPU3UD</v>
          </cell>
          <cell r="K921">
            <v>1068</v>
          </cell>
        </row>
        <row r="922">
          <cell r="F922" t="str">
            <v>S9128MPU3UD</v>
          </cell>
          <cell r="K922">
            <v>1069</v>
          </cell>
        </row>
        <row r="923">
          <cell r="F923" t="str">
            <v>S9128SPU3</v>
          </cell>
          <cell r="K923">
            <v>1070</v>
          </cell>
        </row>
        <row r="924">
          <cell r="F924" t="str">
            <v>S9128MPU3</v>
          </cell>
          <cell r="K924">
            <v>1071</v>
          </cell>
        </row>
        <row r="925">
          <cell r="F925" t="str">
            <v>T2038SP</v>
          </cell>
          <cell r="K925">
            <v>1072</v>
          </cell>
        </row>
        <row r="926">
          <cell r="F926" t="str">
            <v>T2038MP</v>
          </cell>
          <cell r="K926">
            <v>1073</v>
          </cell>
        </row>
        <row r="927">
          <cell r="F927" t="str">
            <v>2235M0189</v>
          </cell>
          <cell r="K927">
            <v>1074</v>
          </cell>
        </row>
        <row r="928">
          <cell r="F928" t="str">
            <v>2235VM0190</v>
          </cell>
          <cell r="K928">
            <v>1075</v>
          </cell>
        </row>
        <row r="929">
          <cell r="F929" t="str">
            <v>2243AVM0193</v>
          </cell>
          <cell r="K929">
            <v>1076</v>
          </cell>
        </row>
        <row r="930">
          <cell r="F930" t="str">
            <v>2243AM0192</v>
          </cell>
          <cell r="K930">
            <v>1077</v>
          </cell>
        </row>
        <row r="931">
          <cell r="F931" t="str">
            <v>2263CFVM0365</v>
          </cell>
          <cell r="K931">
            <v>1078</v>
          </cell>
        </row>
        <row r="932">
          <cell r="F932" t="str">
            <v>2263VM0209</v>
          </cell>
          <cell r="K932">
            <v>1079</v>
          </cell>
        </row>
        <row r="933">
          <cell r="F933" t="str">
            <v>2257CFVM0413</v>
          </cell>
          <cell r="K933">
            <v>1080</v>
          </cell>
        </row>
        <row r="934">
          <cell r="F934" t="str">
            <v>2257VM0314</v>
          </cell>
          <cell r="K934">
            <v>1081</v>
          </cell>
        </row>
        <row r="935">
          <cell r="F935" t="str">
            <v>2234VM0205</v>
          </cell>
          <cell r="K935">
            <v>1085</v>
          </cell>
        </row>
        <row r="936">
          <cell r="F936" t="str">
            <v>2234M0204</v>
          </cell>
          <cell r="K936">
            <v>1086</v>
          </cell>
        </row>
        <row r="937">
          <cell r="F937" t="str">
            <v>2254VM0208</v>
          </cell>
          <cell r="K937">
            <v>1087</v>
          </cell>
        </row>
        <row r="938">
          <cell r="F938" t="str">
            <v>2254M0207</v>
          </cell>
          <cell r="K938">
            <v>1088</v>
          </cell>
        </row>
        <row r="939">
          <cell r="F939" t="str">
            <v>2237VM0244</v>
          </cell>
          <cell r="K939">
            <v>1089</v>
          </cell>
        </row>
        <row r="940">
          <cell r="F940" t="str">
            <v>2237M0243</v>
          </cell>
          <cell r="K940">
            <v>1090</v>
          </cell>
        </row>
        <row r="941">
          <cell r="F941" t="str">
            <v>2220CFCM0364</v>
          </cell>
          <cell r="K941">
            <v>1091</v>
          </cell>
        </row>
        <row r="942">
          <cell r="F942" t="str">
            <v>2223M1005</v>
          </cell>
          <cell r="K942">
            <v>1092</v>
          </cell>
        </row>
        <row r="943">
          <cell r="F943" t="str">
            <v>2223M1006</v>
          </cell>
          <cell r="K943">
            <v>1093</v>
          </cell>
        </row>
        <row r="944">
          <cell r="F944" t="str">
            <v>2223M1008</v>
          </cell>
          <cell r="K944">
            <v>1094</v>
          </cell>
        </row>
        <row r="945">
          <cell r="F945" t="str">
            <v>2223M1100</v>
          </cell>
          <cell r="K945">
            <v>1095</v>
          </cell>
        </row>
        <row r="946">
          <cell r="F946" t="str">
            <v>2223M1101</v>
          </cell>
          <cell r="K946">
            <v>1096</v>
          </cell>
        </row>
        <row r="947">
          <cell r="F947" t="str">
            <v>2223M1103</v>
          </cell>
          <cell r="K947">
            <v>1097</v>
          </cell>
        </row>
        <row r="948">
          <cell r="F948" t="str">
            <v>2223M1104</v>
          </cell>
          <cell r="K948">
            <v>1098</v>
          </cell>
        </row>
        <row r="949">
          <cell r="F949" t="str">
            <v>2223M1105</v>
          </cell>
          <cell r="K949">
            <v>1099</v>
          </cell>
        </row>
        <row r="950">
          <cell r="F950" t="str">
            <v>2223M1107</v>
          </cell>
          <cell r="K950">
            <v>1100</v>
          </cell>
        </row>
        <row r="951">
          <cell r="F951" t="str">
            <v>2223M1108</v>
          </cell>
          <cell r="K951">
            <v>1101</v>
          </cell>
        </row>
        <row r="952">
          <cell r="F952" t="str">
            <v>2223M1109</v>
          </cell>
          <cell r="K952">
            <v>1102</v>
          </cell>
        </row>
        <row r="953">
          <cell r="F953" t="str">
            <v>2223M1111</v>
          </cell>
          <cell r="K953">
            <v>1103</v>
          </cell>
        </row>
        <row r="954">
          <cell r="F954" t="str">
            <v>2223M1112</v>
          </cell>
          <cell r="K954">
            <v>1104</v>
          </cell>
        </row>
        <row r="955">
          <cell r="F955" t="str">
            <v>2223M1113</v>
          </cell>
          <cell r="K955">
            <v>1105</v>
          </cell>
        </row>
        <row r="956">
          <cell r="F956" t="str">
            <v>2223M1115</v>
          </cell>
          <cell r="K956">
            <v>1106</v>
          </cell>
        </row>
        <row r="957">
          <cell r="F957" t="str">
            <v>2223M1007</v>
          </cell>
          <cell r="K957">
            <v>1107</v>
          </cell>
        </row>
        <row r="958">
          <cell r="F958" t="str">
            <v>2223M1116</v>
          </cell>
          <cell r="K958">
            <v>1108</v>
          </cell>
        </row>
        <row r="959">
          <cell r="F959" t="str">
            <v>2223M1102</v>
          </cell>
          <cell r="K959">
            <v>1109</v>
          </cell>
        </row>
        <row r="960">
          <cell r="F960" t="str">
            <v>2223M1117</v>
          </cell>
          <cell r="K960">
            <v>1110</v>
          </cell>
        </row>
        <row r="961">
          <cell r="F961" t="str">
            <v>2223M1106</v>
          </cell>
          <cell r="K961">
            <v>1111</v>
          </cell>
        </row>
        <row r="962">
          <cell r="F962" t="str">
            <v>2223M1110</v>
          </cell>
          <cell r="K962">
            <v>1112</v>
          </cell>
        </row>
        <row r="963">
          <cell r="F963" t="str">
            <v>2223VM1011</v>
          </cell>
          <cell r="K963">
            <v>1113</v>
          </cell>
        </row>
        <row r="964">
          <cell r="F964" t="str">
            <v>2223VM1009</v>
          </cell>
          <cell r="K964">
            <v>1114</v>
          </cell>
        </row>
        <row r="965">
          <cell r="F965" t="str">
            <v>2223VM1010</v>
          </cell>
          <cell r="K965">
            <v>1115</v>
          </cell>
        </row>
        <row r="966">
          <cell r="F966" t="str">
            <v>2223VM1012</v>
          </cell>
          <cell r="K966">
            <v>1116</v>
          </cell>
        </row>
        <row r="967">
          <cell r="F967" t="str">
            <v>2223VM1120</v>
          </cell>
          <cell r="K967">
            <v>1117</v>
          </cell>
        </row>
        <row r="968">
          <cell r="F968" t="str">
            <v>2223VM1121</v>
          </cell>
          <cell r="K968">
            <v>1118</v>
          </cell>
        </row>
        <row r="969">
          <cell r="F969" t="str">
            <v>2223VM1122</v>
          </cell>
          <cell r="K969">
            <v>1119</v>
          </cell>
        </row>
        <row r="970">
          <cell r="F970" t="str">
            <v>2223VM1123</v>
          </cell>
          <cell r="K970">
            <v>1120</v>
          </cell>
        </row>
        <row r="971">
          <cell r="F971" t="str">
            <v>2223VM1124</v>
          </cell>
          <cell r="K971">
            <v>1121</v>
          </cell>
        </row>
        <row r="972">
          <cell r="F972" t="str">
            <v>2223VM1125</v>
          </cell>
          <cell r="K972">
            <v>1122</v>
          </cell>
        </row>
        <row r="973">
          <cell r="F973" t="str">
            <v>2223VM1126</v>
          </cell>
          <cell r="K973">
            <v>1123</v>
          </cell>
        </row>
        <row r="974">
          <cell r="F974" t="str">
            <v>2223VM1127</v>
          </cell>
          <cell r="K974">
            <v>1124</v>
          </cell>
        </row>
        <row r="975">
          <cell r="F975" t="str">
            <v>2223VM1128</v>
          </cell>
          <cell r="K975">
            <v>1125</v>
          </cell>
        </row>
        <row r="976">
          <cell r="F976" t="str">
            <v>2223VM1129</v>
          </cell>
          <cell r="K976">
            <v>1126</v>
          </cell>
        </row>
        <row r="977">
          <cell r="F977" t="str">
            <v>2223VM1130</v>
          </cell>
          <cell r="K977">
            <v>1127</v>
          </cell>
        </row>
        <row r="978">
          <cell r="F978" t="str">
            <v>2223VM1131</v>
          </cell>
          <cell r="K978">
            <v>1128</v>
          </cell>
        </row>
        <row r="979">
          <cell r="F979" t="str">
            <v>2223VM1132</v>
          </cell>
          <cell r="K979">
            <v>1129</v>
          </cell>
        </row>
        <row r="980">
          <cell r="F980" t="str">
            <v>2223VM1133</v>
          </cell>
          <cell r="K980">
            <v>1130</v>
          </cell>
        </row>
        <row r="981">
          <cell r="F981" t="str">
            <v>2223VM1134</v>
          </cell>
          <cell r="K981">
            <v>1131</v>
          </cell>
        </row>
        <row r="982">
          <cell r="F982" t="str">
            <v>2223VM1135</v>
          </cell>
          <cell r="K982">
            <v>1132</v>
          </cell>
        </row>
        <row r="983">
          <cell r="F983" t="str">
            <v>2223VM1136</v>
          </cell>
          <cell r="K983">
            <v>1133</v>
          </cell>
        </row>
        <row r="984">
          <cell r="F984" t="str">
            <v>2213AVM0310</v>
          </cell>
          <cell r="K984">
            <v>1134</v>
          </cell>
        </row>
        <row r="985">
          <cell r="F985" t="str">
            <v>2213BVM0311</v>
          </cell>
          <cell r="K985">
            <v>1135</v>
          </cell>
        </row>
        <row r="986">
          <cell r="F986" t="str">
            <v>2213DVM0312</v>
          </cell>
          <cell r="K986">
            <v>1136</v>
          </cell>
        </row>
        <row r="987">
          <cell r="F987" t="str">
            <v>2213CVM0313</v>
          </cell>
          <cell r="K987">
            <v>1137</v>
          </cell>
        </row>
        <row r="988">
          <cell r="F988" t="str">
            <v>2213AM0306</v>
          </cell>
          <cell r="K988">
            <v>1138</v>
          </cell>
        </row>
        <row r="989">
          <cell r="F989" t="str">
            <v>2213BM0307</v>
          </cell>
          <cell r="K989">
            <v>1139</v>
          </cell>
        </row>
        <row r="990">
          <cell r="F990" t="str">
            <v>2213CM0309</v>
          </cell>
          <cell r="K990">
            <v>1140</v>
          </cell>
        </row>
        <row r="991">
          <cell r="F991" t="str">
            <v>2213DM0308</v>
          </cell>
          <cell r="K991">
            <v>1141</v>
          </cell>
        </row>
        <row r="992">
          <cell r="F992" t="str">
            <v>227M0231</v>
          </cell>
          <cell r="K992">
            <v>1142</v>
          </cell>
        </row>
        <row r="993">
          <cell r="F993" t="str">
            <v>227VM0232</v>
          </cell>
          <cell r="K993">
            <v>1143</v>
          </cell>
        </row>
        <row r="994">
          <cell r="F994" t="str">
            <v>2210CFCM0360</v>
          </cell>
          <cell r="K994">
            <v>1144</v>
          </cell>
        </row>
        <row r="995">
          <cell r="F995" t="str">
            <v>2210CFVM0361</v>
          </cell>
          <cell r="K995">
            <v>1145</v>
          </cell>
        </row>
        <row r="996">
          <cell r="F996" t="str">
            <v>2248M0419</v>
          </cell>
          <cell r="K996">
            <v>1146</v>
          </cell>
        </row>
        <row r="997">
          <cell r="F997" t="str">
            <v>2248VM0420</v>
          </cell>
          <cell r="K997">
            <v>1147</v>
          </cell>
        </row>
        <row r="998">
          <cell r="F998" t="str">
            <v>228VM0235</v>
          </cell>
          <cell r="K998">
            <v>1148</v>
          </cell>
        </row>
        <row r="999">
          <cell r="F999" t="str">
            <v>228M0234</v>
          </cell>
          <cell r="K999">
            <v>1149</v>
          </cell>
        </row>
        <row r="1000">
          <cell r="F1000" t="str">
            <v>2241M0178</v>
          </cell>
          <cell r="K1000">
            <v>1150</v>
          </cell>
        </row>
        <row r="1001">
          <cell r="F1001" t="str">
            <v>2241M0180</v>
          </cell>
          <cell r="K1001">
            <v>1151</v>
          </cell>
        </row>
        <row r="1002">
          <cell r="F1002" t="str">
            <v>2241M0181</v>
          </cell>
          <cell r="K1002">
            <v>1152</v>
          </cell>
        </row>
        <row r="1003">
          <cell r="F1003" t="str">
            <v>2241M0182</v>
          </cell>
          <cell r="K1003">
            <v>1153</v>
          </cell>
        </row>
        <row r="1004">
          <cell r="F1004" t="str">
            <v>2241M0183</v>
          </cell>
          <cell r="K1004">
            <v>1154</v>
          </cell>
        </row>
        <row r="1005">
          <cell r="F1005" t="str">
            <v>2241M0184</v>
          </cell>
          <cell r="K1005">
            <v>1155</v>
          </cell>
        </row>
        <row r="1006">
          <cell r="F1006" t="str">
            <v>2241M0185</v>
          </cell>
          <cell r="K1006">
            <v>1156</v>
          </cell>
        </row>
        <row r="1007">
          <cell r="F1007" t="str">
            <v>2241M0186</v>
          </cell>
          <cell r="K1007">
            <v>1157</v>
          </cell>
        </row>
        <row r="1008">
          <cell r="F1008" t="str">
            <v>2241M0187</v>
          </cell>
          <cell r="K1008">
            <v>1158</v>
          </cell>
        </row>
        <row r="1009">
          <cell r="F1009" t="str">
            <v>2241M0179</v>
          </cell>
          <cell r="K1009">
            <v>1159</v>
          </cell>
        </row>
        <row r="1010">
          <cell r="F1010" t="str">
            <v>2241M0188</v>
          </cell>
          <cell r="K1010">
            <v>1160</v>
          </cell>
        </row>
        <row r="1011">
          <cell r="F1011" t="str">
            <v>2241EM0321</v>
          </cell>
          <cell r="K1011">
            <v>1161</v>
          </cell>
        </row>
        <row r="1012">
          <cell r="F1012" t="str">
            <v>2241EM0323</v>
          </cell>
          <cell r="K1012">
            <v>1162</v>
          </cell>
        </row>
        <row r="1013">
          <cell r="F1013" t="str">
            <v>2241EM0322</v>
          </cell>
          <cell r="K1013">
            <v>1163</v>
          </cell>
        </row>
        <row r="1014">
          <cell r="F1014" t="str">
            <v>2241BM0464</v>
          </cell>
          <cell r="K1014">
            <v>1164</v>
          </cell>
        </row>
        <row r="1015">
          <cell r="F1015" t="str">
            <v>2241BM0465</v>
          </cell>
          <cell r="K1015">
            <v>1165</v>
          </cell>
        </row>
        <row r="1016">
          <cell r="F1016" t="str">
            <v>2241BM0466</v>
          </cell>
          <cell r="K1016">
            <v>1166</v>
          </cell>
        </row>
        <row r="1017">
          <cell r="F1017" t="str">
            <v>2241BM0467</v>
          </cell>
          <cell r="K1017">
            <v>1167</v>
          </cell>
        </row>
        <row r="1018">
          <cell r="F1018" t="str">
            <v>2241BM0468</v>
          </cell>
          <cell r="K1018">
            <v>1168</v>
          </cell>
        </row>
        <row r="1019">
          <cell r="F1019" t="str">
            <v>2241BM0469</v>
          </cell>
          <cell r="K1019">
            <v>1169</v>
          </cell>
        </row>
        <row r="1020">
          <cell r="F1020" t="str">
            <v>2241BM0470</v>
          </cell>
          <cell r="K1020">
            <v>1170</v>
          </cell>
        </row>
        <row r="1021">
          <cell r="F1021" t="str">
            <v>2241BM0471</v>
          </cell>
          <cell r="K1021">
            <v>1171</v>
          </cell>
        </row>
        <row r="1022">
          <cell r="F1022" t="str">
            <v>2241BM0472</v>
          </cell>
          <cell r="K1022">
            <v>1172</v>
          </cell>
        </row>
        <row r="1023">
          <cell r="F1023" t="str">
            <v>2241BM0473</v>
          </cell>
          <cell r="K1023">
            <v>1173</v>
          </cell>
        </row>
        <row r="1024">
          <cell r="F1024" t="str">
            <v>2241BM0474</v>
          </cell>
          <cell r="K1024">
            <v>1174</v>
          </cell>
        </row>
        <row r="1025">
          <cell r="F1025" t="str">
            <v>2241BM0475</v>
          </cell>
          <cell r="K1025">
            <v>1175</v>
          </cell>
        </row>
        <row r="1026">
          <cell r="F1026" t="str">
            <v>2241BM0476</v>
          </cell>
          <cell r="K1026">
            <v>1176</v>
          </cell>
        </row>
        <row r="1027">
          <cell r="F1027" t="str">
            <v>2241BM0477</v>
          </cell>
          <cell r="K1027">
            <v>1177</v>
          </cell>
        </row>
        <row r="1028">
          <cell r="F1028" t="str">
            <v>2211XVM0241</v>
          </cell>
          <cell r="K1028">
            <v>1178</v>
          </cell>
        </row>
        <row r="1029">
          <cell r="F1029" t="str">
            <v>2211XM0240</v>
          </cell>
          <cell r="K1029">
            <v>1179</v>
          </cell>
        </row>
        <row r="1030">
          <cell r="F1030" t="str">
            <v>229VM0247</v>
          </cell>
          <cell r="K1030">
            <v>1180</v>
          </cell>
        </row>
        <row r="1031">
          <cell r="F1031" t="str">
            <v>229M0246</v>
          </cell>
          <cell r="K1031">
            <v>1181</v>
          </cell>
        </row>
        <row r="1032">
          <cell r="F1032" t="str">
            <v>H2023UD</v>
          </cell>
          <cell r="K1032">
            <v>1182</v>
          </cell>
        </row>
        <row r="1033">
          <cell r="F1033" t="str">
            <v>H2015HN</v>
          </cell>
          <cell r="K1033">
            <v>1183</v>
          </cell>
        </row>
        <row r="1034">
          <cell r="F1034" t="str">
            <v>H2015HQHN</v>
          </cell>
          <cell r="K1034">
            <v>1184</v>
          </cell>
        </row>
        <row r="1035">
          <cell r="F1035" t="str">
            <v>H2015HO</v>
          </cell>
          <cell r="K1035">
            <v>1185</v>
          </cell>
        </row>
        <row r="1036">
          <cell r="F1036" t="str">
            <v>H2015HQHO</v>
          </cell>
          <cell r="K1036">
            <v>1186</v>
          </cell>
        </row>
        <row r="1037">
          <cell r="F1037" t="str">
            <v>H0038HA</v>
          </cell>
          <cell r="K1037">
            <v>1187</v>
          </cell>
        </row>
        <row r="1038">
          <cell r="F1038" t="str">
            <v>H0038HQ</v>
          </cell>
          <cell r="K1038">
            <v>1188</v>
          </cell>
        </row>
        <row r="1039">
          <cell r="F1039"/>
          <cell r="K1039">
            <v>1189</v>
          </cell>
        </row>
        <row r="1040">
          <cell r="F1040"/>
          <cell r="K1040">
            <v>1190</v>
          </cell>
        </row>
        <row r="1041">
          <cell r="K1041">
            <v>1191</v>
          </cell>
        </row>
        <row r="1042">
          <cell r="K1042">
            <v>1192</v>
          </cell>
        </row>
        <row r="1043">
          <cell r="K1043">
            <v>1193</v>
          </cell>
        </row>
        <row r="1044">
          <cell r="K1044">
            <v>1194</v>
          </cell>
        </row>
        <row r="1045">
          <cell r="K1045">
            <v>1195</v>
          </cell>
        </row>
        <row r="1046">
          <cell r="K1046">
            <v>1196</v>
          </cell>
        </row>
        <row r="1047">
          <cell r="K1047">
            <v>1197</v>
          </cell>
        </row>
        <row r="1048">
          <cell r="K1048">
            <v>1198</v>
          </cell>
        </row>
        <row r="1049">
          <cell r="K1049">
            <v>1199</v>
          </cell>
        </row>
        <row r="1050">
          <cell r="K1050">
            <v>1200</v>
          </cell>
        </row>
        <row r="1051">
          <cell r="K1051">
            <v>1201</v>
          </cell>
        </row>
        <row r="1052">
          <cell r="K1052">
            <v>1202</v>
          </cell>
        </row>
        <row r="1053">
          <cell r="K1053">
            <v>1203</v>
          </cell>
        </row>
        <row r="1054">
          <cell r="K1054">
            <v>1204</v>
          </cell>
        </row>
        <row r="1055">
          <cell r="K1055">
            <v>1205</v>
          </cell>
        </row>
        <row r="1056">
          <cell r="K1056">
            <v>1206</v>
          </cell>
        </row>
        <row r="1057">
          <cell r="K1057">
            <v>1207</v>
          </cell>
        </row>
        <row r="1058">
          <cell r="K1058">
            <v>1208</v>
          </cell>
        </row>
        <row r="1059">
          <cell r="K1059">
            <v>1209</v>
          </cell>
        </row>
        <row r="1060">
          <cell r="K1060">
            <v>1210</v>
          </cell>
        </row>
        <row r="1061">
          <cell r="F1061" t="str">
            <v>H2032U5</v>
          </cell>
          <cell r="K1061">
            <v>1211</v>
          </cell>
        </row>
        <row r="1062">
          <cell r="F1062" t="str">
            <v>H2032U1</v>
          </cell>
          <cell r="K1062">
            <v>1212</v>
          </cell>
        </row>
        <row r="1063">
          <cell r="F1063" t="str">
            <v>H2032U6</v>
          </cell>
          <cell r="K1063">
            <v>1213</v>
          </cell>
        </row>
        <row r="1064">
          <cell r="F1064" t="str">
            <v>H2032U3</v>
          </cell>
          <cell r="K1064">
            <v>1214</v>
          </cell>
        </row>
        <row r="1065">
          <cell r="F1065" t="str">
            <v>H2032U9</v>
          </cell>
          <cell r="K1065">
            <v>1215</v>
          </cell>
        </row>
        <row r="1066">
          <cell r="F1066" t="str">
            <v>H2032U7</v>
          </cell>
          <cell r="K1066">
            <v>1216</v>
          </cell>
        </row>
        <row r="1067">
          <cell r="F1067" t="str">
            <v>H2032HQ</v>
          </cell>
          <cell r="K1067">
            <v>1217</v>
          </cell>
        </row>
        <row r="1068">
          <cell r="F1068" t="str">
            <v>H2032HE</v>
          </cell>
          <cell r="K1068">
            <v>1218</v>
          </cell>
        </row>
        <row r="1069">
          <cell r="F1069" t="str">
            <v>T2027U9</v>
          </cell>
          <cell r="K1069">
            <v>1219</v>
          </cell>
        </row>
        <row r="1070">
          <cell r="F1070" t="str">
            <v>H2032TG</v>
          </cell>
          <cell r="K1070">
            <v>1220</v>
          </cell>
        </row>
        <row r="1071">
          <cell r="F1071" t="str">
            <v>H2032TF</v>
          </cell>
          <cell r="K1071">
            <v>1221</v>
          </cell>
        </row>
        <row r="1072">
          <cell r="F1072" t="str">
            <v>T2003HA</v>
          </cell>
          <cell r="K1072">
            <v>1222</v>
          </cell>
        </row>
        <row r="1073">
          <cell r="F1073" t="str">
            <v>T2025HT</v>
          </cell>
          <cell r="K1073">
            <v>1223</v>
          </cell>
        </row>
        <row r="1074">
          <cell r="F1074" t="str">
            <v>T2025HR</v>
          </cell>
          <cell r="K1074">
            <v>1224</v>
          </cell>
        </row>
        <row r="1075">
          <cell r="F1075" t="str">
            <v>T2025ET</v>
          </cell>
          <cell r="K1075">
            <v>1225</v>
          </cell>
        </row>
        <row r="1076">
          <cell r="F1076" t="str">
            <v>T1005U1UC</v>
          </cell>
          <cell r="K1076">
            <v>1226</v>
          </cell>
        </row>
        <row r="1077">
          <cell r="F1077" t="str">
            <v>T1005U2UB</v>
          </cell>
          <cell r="K1077">
            <v>1227</v>
          </cell>
        </row>
        <row r="1078">
          <cell r="F1078" t="str">
            <v>T1005U2UC</v>
          </cell>
          <cell r="K1078">
            <v>1228</v>
          </cell>
        </row>
        <row r="1079">
          <cell r="F1079" t="str">
            <v>T1005HKUC</v>
          </cell>
          <cell r="K1079">
            <v>1229</v>
          </cell>
        </row>
        <row r="1080">
          <cell r="F1080" t="str">
            <v>T1005UAUB</v>
          </cell>
          <cell r="K1080">
            <v>1230</v>
          </cell>
        </row>
        <row r="1081">
          <cell r="F1081" t="str">
            <v>T1005UAUC</v>
          </cell>
          <cell r="K1081">
            <v>1231</v>
          </cell>
        </row>
        <row r="1082">
          <cell r="F1082" t="str">
            <v>T1005U1UB</v>
          </cell>
          <cell r="K1082">
            <v>1232</v>
          </cell>
        </row>
        <row r="1083">
          <cell r="F1083" t="str">
            <v>T1005HKUB</v>
          </cell>
          <cell r="K1083">
            <v>1233</v>
          </cell>
        </row>
        <row r="1084">
          <cell r="F1084" t="str">
            <v>S5150HKUC</v>
          </cell>
          <cell r="K1084">
            <v>1234</v>
          </cell>
        </row>
        <row r="1085">
          <cell r="F1085" t="str">
            <v>S5150UAUB</v>
          </cell>
          <cell r="K1085">
            <v>1235</v>
          </cell>
        </row>
        <row r="1086">
          <cell r="F1086" t="str">
            <v>S5150UAUC</v>
          </cell>
          <cell r="K1086">
            <v>1236</v>
          </cell>
        </row>
        <row r="1087">
          <cell r="F1087" t="str">
            <v>S5150HKUB</v>
          </cell>
          <cell r="K1087">
            <v>1237</v>
          </cell>
        </row>
        <row r="1088">
          <cell r="F1088" t="str">
            <v>T2027HA</v>
          </cell>
          <cell r="K1088">
            <v>1238</v>
          </cell>
        </row>
        <row r="1089">
          <cell r="F1089" t="str">
            <v>H2021HA</v>
          </cell>
          <cell r="K1089">
            <v>1239</v>
          </cell>
        </row>
        <row r="1090">
          <cell r="F1090" t="str">
            <v>H2021HQ</v>
          </cell>
          <cell r="K1090">
            <v>1240</v>
          </cell>
        </row>
        <row r="1091">
          <cell r="F1091" t="str">
            <v>H2025UD</v>
          </cell>
          <cell r="K1091">
            <v>1241</v>
          </cell>
        </row>
        <row r="1092">
          <cell r="F1092" t="str">
            <v>H2020HT</v>
          </cell>
          <cell r="K1092">
            <v>1242</v>
          </cell>
        </row>
        <row r="1093">
          <cell r="F1093" t="str">
            <v>H2020HR</v>
          </cell>
          <cell r="K1093">
            <v>1243</v>
          </cell>
        </row>
        <row r="1094">
          <cell r="F1094" t="str">
            <v>T2038HA</v>
          </cell>
          <cell r="K1094">
            <v>1244</v>
          </cell>
        </row>
        <row r="1095">
          <cell r="F1095" t="str">
            <v>2111XM0850</v>
          </cell>
          <cell r="K1095">
            <v>1245</v>
          </cell>
        </row>
        <row r="1096">
          <cell r="F1096" t="str">
            <v>2111XM0855</v>
          </cell>
          <cell r="K1096">
            <v>1246</v>
          </cell>
        </row>
        <row r="1097">
          <cell r="F1097" t="str">
            <v>2111XM0860</v>
          </cell>
          <cell r="K1097">
            <v>1247</v>
          </cell>
        </row>
        <row r="1098">
          <cell r="F1098" t="str">
            <v>2111XM0865</v>
          </cell>
          <cell r="K1098">
            <v>1248</v>
          </cell>
        </row>
        <row r="1099">
          <cell r="F1099" t="str">
            <v>2111XM0867</v>
          </cell>
          <cell r="K1099">
            <v>1249</v>
          </cell>
        </row>
        <row r="1100">
          <cell r="F1100" t="str">
            <v>2111XM0869</v>
          </cell>
          <cell r="K1100">
            <v>1250</v>
          </cell>
        </row>
        <row r="1101">
          <cell r="F1101" t="str">
            <v>2111XM0851</v>
          </cell>
          <cell r="K1101">
            <v>1251</v>
          </cell>
        </row>
        <row r="1102">
          <cell r="F1102" t="str">
            <v>2111XM0856</v>
          </cell>
          <cell r="K1102">
            <v>1252</v>
          </cell>
        </row>
        <row r="1103">
          <cell r="F1103" t="str">
            <v>2111XM0861</v>
          </cell>
          <cell r="K1103">
            <v>1253</v>
          </cell>
        </row>
        <row r="1104">
          <cell r="F1104" t="str">
            <v>2111XM0866</v>
          </cell>
          <cell r="K1104">
            <v>1254</v>
          </cell>
        </row>
        <row r="1105">
          <cell r="F1105" t="str">
            <v>2111XM0868</v>
          </cell>
          <cell r="K1105">
            <v>1255</v>
          </cell>
        </row>
        <row r="1106">
          <cell r="F1106" t="str">
            <v>2111XM0870</v>
          </cell>
          <cell r="K1106">
            <v>1256</v>
          </cell>
        </row>
        <row r="1107">
          <cell r="F1107" t="str">
            <v>2111XVM0871</v>
          </cell>
          <cell r="K1107">
            <v>1257</v>
          </cell>
        </row>
        <row r="1108">
          <cell r="F1108" t="str">
            <v>2111XVM0873</v>
          </cell>
          <cell r="K1108">
            <v>1258</v>
          </cell>
        </row>
        <row r="1109">
          <cell r="F1109" t="str">
            <v>2111XVM0875</v>
          </cell>
          <cell r="K1109">
            <v>1259</v>
          </cell>
        </row>
        <row r="1110">
          <cell r="F1110" t="str">
            <v>2111XVM0877</v>
          </cell>
          <cell r="K1110">
            <v>1260</v>
          </cell>
        </row>
        <row r="1111">
          <cell r="F1111" t="str">
            <v>2111XVM0872</v>
          </cell>
          <cell r="K1111">
            <v>1261</v>
          </cell>
        </row>
        <row r="1112">
          <cell r="F1112" t="str">
            <v>2111XVM0874</v>
          </cell>
          <cell r="K1112">
            <v>1262</v>
          </cell>
        </row>
        <row r="1113">
          <cell r="F1113" t="str">
            <v>2111XVM0876</v>
          </cell>
          <cell r="K1113">
            <v>1263</v>
          </cell>
        </row>
        <row r="1114">
          <cell r="F1114" t="str">
            <v>2111XVM0878</v>
          </cell>
          <cell r="K1114">
            <v>1264</v>
          </cell>
        </row>
        <row r="1115">
          <cell r="F1115" t="str">
            <v>2111XVM1091</v>
          </cell>
          <cell r="K1115">
            <v>1265</v>
          </cell>
        </row>
        <row r="1116">
          <cell r="F1116" t="str">
            <v>2111XVM1092</v>
          </cell>
          <cell r="K1116">
            <v>1266</v>
          </cell>
        </row>
        <row r="1117">
          <cell r="F1117" t="str">
            <v>2211XM0903</v>
          </cell>
          <cell r="K1117">
            <v>1267</v>
          </cell>
        </row>
        <row r="1118">
          <cell r="F1118" t="str">
            <v>2211XM0904</v>
          </cell>
          <cell r="K1118">
            <v>1268</v>
          </cell>
        </row>
        <row r="1119">
          <cell r="F1119" t="str">
            <v>2211XM0905</v>
          </cell>
          <cell r="K1119">
            <v>1269</v>
          </cell>
        </row>
        <row r="1120">
          <cell r="F1120" t="str">
            <v>2211XM0906</v>
          </cell>
          <cell r="K1120">
            <v>1270</v>
          </cell>
        </row>
        <row r="1121">
          <cell r="F1121" t="str">
            <v>2211XM1093</v>
          </cell>
          <cell r="K1121">
            <v>1271</v>
          </cell>
        </row>
        <row r="1122">
          <cell r="F1122" t="str">
            <v>2211XVM0907</v>
          </cell>
          <cell r="K1122">
            <v>1272</v>
          </cell>
        </row>
        <row r="1123">
          <cell r="F1123" t="str">
            <v>2211XVM0908</v>
          </cell>
          <cell r="K1123">
            <v>1273</v>
          </cell>
        </row>
        <row r="1124">
          <cell r="F1124" t="str">
            <v>2211XVM0909</v>
          </cell>
          <cell r="K1124">
            <v>1274</v>
          </cell>
        </row>
        <row r="1125">
          <cell r="F1125" t="str">
            <v>2211XVM0910</v>
          </cell>
          <cell r="K1125">
            <v>1275</v>
          </cell>
        </row>
        <row r="1126">
          <cell r="F1126" t="str">
            <v>2211XVM1094</v>
          </cell>
          <cell r="K1126">
            <v>1276</v>
          </cell>
        </row>
        <row r="1127">
          <cell r="F1127" t="str">
            <v>217G2254</v>
          </cell>
          <cell r="K1127">
            <v>1277</v>
          </cell>
        </row>
        <row r="1128">
          <cell r="F1128" t="str">
            <v>217G2255</v>
          </cell>
          <cell r="K1128">
            <v>1278</v>
          </cell>
        </row>
        <row r="1129">
          <cell r="F1129" t="str">
            <v>217G2286</v>
          </cell>
          <cell r="K1129">
            <v>1279</v>
          </cell>
        </row>
        <row r="1130">
          <cell r="F1130" t="str">
            <v>217G2287</v>
          </cell>
          <cell r="K1130">
            <v>1280</v>
          </cell>
        </row>
        <row r="1131">
          <cell r="F1131" t="str">
            <v>217G2298</v>
          </cell>
          <cell r="K1131">
            <v>1281</v>
          </cell>
        </row>
        <row r="1132">
          <cell r="F1132" t="str">
            <v>217G2299</v>
          </cell>
          <cell r="K1132">
            <v>1282</v>
          </cell>
        </row>
        <row r="1133">
          <cell r="F1133" t="str">
            <v>218G2256</v>
          </cell>
          <cell r="K1133">
            <v>1283</v>
          </cell>
        </row>
        <row r="1134">
          <cell r="F1134" t="str">
            <v>218G2257</v>
          </cell>
          <cell r="K1134">
            <v>1284</v>
          </cell>
        </row>
        <row r="1135">
          <cell r="F1135" t="str">
            <v>218G2288</v>
          </cell>
          <cell r="K1135">
            <v>1285</v>
          </cell>
        </row>
        <row r="1136">
          <cell r="F1136" t="str">
            <v>218G2289</v>
          </cell>
          <cell r="K1136">
            <v>1286</v>
          </cell>
        </row>
        <row r="1137">
          <cell r="F1137" t="str">
            <v>218G2300</v>
          </cell>
          <cell r="K1137">
            <v>1287</v>
          </cell>
        </row>
        <row r="1138">
          <cell r="F1138" t="str">
            <v>218G2301</v>
          </cell>
          <cell r="K1138">
            <v>1288</v>
          </cell>
        </row>
        <row r="1139">
          <cell r="F1139" t="str">
            <v>2113AG2258</v>
          </cell>
          <cell r="K1139">
            <v>1289</v>
          </cell>
        </row>
        <row r="1140">
          <cell r="F1140" t="str">
            <v>2113AG2259</v>
          </cell>
          <cell r="K1140">
            <v>1290</v>
          </cell>
        </row>
        <row r="1141">
          <cell r="F1141" t="str">
            <v>2113AG2290</v>
          </cell>
          <cell r="K1141">
            <v>1291</v>
          </cell>
        </row>
        <row r="1142">
          <cell r="F1142" t="str">
            <v>2113AG2291</v>
          </cell>
          <cell r="K1142">
            <v>1292</v>
          </cell>
        </row>
        <row r="1143">
          <cell r="F1143" t="str">
            <v>2113AG2302</v>
          </cell>
          <cell r="K1143">
            <v>1293</v>
          </cell>
        </row>
        <row r="1144">
          <cell r="F1144" t="str">
            <v>2113AG2303</v>
          </cell>
          <cell r="K1144">
            <v>1294</v>
          </cell>
        </row>
        <row r="1145">
          <cell r="F1145" t="str">
            <v>2113AVG2260</v>
          </cell>
          <cell r="K1145">
            <v>1295</v>
          </cell>
        </row>
        <row r="1146">
          <cell r="F1146" t="str">
            <v>2113AVG2261</v>
          </cell>
          <cell r="K1146">
            <v>1296</v>
          </cell>
        </row>
        <row r="1147">
          <cell r="F1147" t="str">
            <v>2113AVG2304</v>
          </cell>
          <cell r="K1147">
            <v>1297</v>
          </cell>
        </row>
        <row r="1148">
          <cell r="F1148" t="str">
            <v>2113AVG2305</v>
          </cell>
          <cell r="K1148">
            <v>1298</v>
          </cell>
        </row>
        <row r="1149">
          <cell r="F1149" t="str">
            <v>2113BG2262</v>
          </cell>
          <cell r="K1149">
            <v>1299</v>
          </cell>
        </row>
        <row r="1150">
          <cell r="F1150" t="str">
            <v>2113BG2263</v>
          </cell>
          <cell r="K1150">
            <v>1300</v>
          </cell>
        </row>
        <row r="1151">
          <cell r="F1151" t="str">
            <v>2113BG2292</v>
          </cell>
          <cell r="K1151">
            <v>1301</v>
          </cell>
        </row>
        <row r="1152">
          <cell r="F1152" t="str">
            <v>2113BG2293</v>
          </cell>
          <cell r="K1152">
            <v>1302</v>
          </cell>
        </row>
        <row r="1153">
          <cell r="F1153" t="str">
            <v>2113BG2306</v>
          </cell>
          <cell r="K1153">
            <v>1303</v>
          </cell>
        </row>
        <row r="1154">
          <cell r="F1154" t="str">
            <v>2113BG2307</v>
          </cell>
          <cell r="K1154">
            <v>1304</v>
          </cell>
        </row>
        <row r="1155">
          <cell r="F1155" t="str">
            <v>2113BVG2264</v>
          </cell>
          <cell r="K1155">
            <v>1305</v>
          </cell>
        </row>
        <row r="1156">
          <cell r="F1156" t="str">
            <v>2113BVG2265</v>
          </cell>
          <cell r="K1156">
            <v>1306</v>
          </cell>
        </row>
        <row r="1157">
          <cell r="F1157" t="str">
            <v>2113BVG2308</v>
          </cell>
          <cell r="K1157">
            <v>1307</v>
          </cell>
        </row>
        <row r="1158">
          <cell r="F1158" t="str">
            <v>2113BVG2309</v>
          </cell>
          <cell r="K1158">
            <v>1308</v>
          </cell>
        </row>
        <row r="1159">
          <cell r="F1159" t="str">
            <v>2113CG2266</v>
          </cell>
          <cell r="K1159">
            <v>1309</v>
          </cell>
        </row>
        <row r="1160">
          <cell r="F1160" t="str">
            <v>2113CG2267</v>
          </cell>
          <cell r="K1160">
            <v>1310</v>
          </cell>
        </row>
        <row r="1161">
          <cell r="F1161" t="str">
            <v>2113CG2294</v>
          </cell>
          <cell r="K1161">
            <v>1311</v>
          </cell>
        </row>
        <row r="1162">
          <cell r="F1162" t="str">
            <v>2113CG2295</v>
          </cell>
          <cell r="K1162">
            <v>1312</v>
          </cell>
        </row>
        <row r="1163">
          <cell r="F1163" t="str">
            <v>2113CG2310</v>
          </cell>
          <cell r="K1163">
            <v>1313</v>
          </cell>
        </row>
        <row r="1164">
          <cell r="F1164" t="str">
            <v>2113CG2311</v>
          </cell>
          <cell r="K1164">
            <v>1314</v>
          </cell>
        </row>
        <row r="1165">
          <cell r="F1165" t="str">
            <v>2113CVG2268</v>
          </cell>
          <cell r="K1165">
            <v>1315</v>
          </cell>
        </row>
        <row r="1166">
          <cell r="F1166" t="str">
            <v>2113CVG2269</v>
          </cell>
          <cell r="K1166">
            <v>1316</v>
          </cell>
        </row>
        <row r="1167">
          <cell r="F1167" t="str">
            <v>2113CVG2312</v>
          </cell>
          <cell r="K1167">
            <v>1317</v>
          </cell>
        </row>
        <row r="1168">
          <cell r="F1168" t="str">
            <v>2113CVG2313</v>
          </cell>
          <cell r="K1168">
            <v>1318</v>
          </cell>
        </row>
        <row r="1169">
          <cell r="F1169" t="str">
            <v>2113DG2270</v>
          </cell>
          <cell r="K1169">
            <v>1319</v>
          </cell>
        </row>
        <row r="1170">
          <cell r="F1170" t="str">
            <v>2113DG2271</v>
          </cell>
          <cell r="K1170">
            <v>1320</v>
          </cell>
        </row>
        <row r="1171">
          <cell r="F1171" t="str">
            <v>2113DG2296</v>
          </cell>
          <cell r="K1171">
            <v>1321</v>
          </cell>
        </row>
        <row r="1172">
          <cell r="F1172" t="str">
            <v>2113DG2297</v>
          </cell>
          <cell r="K1172">
            <v>1322</v>
          </cell>
        </row>
        <row r="1173">
          <cell r="F1173" t="str">
            <v>2113DG2314</v>
          </cell>
          <cell r="K1173">
            <v>1323</v>
          </cell>
        </row>
        <row r="1174">
          <cell r="F1174" t="str">
            <v>2113DG2315</v>
          </cell>
          <cell r="K1174">
            <v>1324</v>
          </cell>
        </row>
        <row r="1175">
          <cell r="F1175" t="str">
            <v>2113DVG2272</v>
          </cell>
          <cell r="K1175">
            <v>1325</v>
          </cell>
        </row>
        <row r="1176">
          <cell r="F1176" t="str">
            <v>2113DVG2273</v>
          </cell>
          <cell r="K1176">
            <v>1326</v>
          </cell>
        </row>
        <row r="1177">
          <cell r="F1177" t="str">
            <v>2113DVG2316</v>
          </cell>
          <cell r="K1177">
            <v>1327</v>
          </cell>
        </row>
        <row r="1178">
          <cell r="F1178" t="str">
            <v>2113DVG2317</v>
          </cell>
          <cell r="K1178">
            <v>1328</v>
          </cell>
        </row>
        <row r="1179">
          <cell r="F1179" t="str">
            <v>227G2274</v>
          </cell>
          <cell r="K1179">
            <v>1329</v>
          </cell>
        </row>
        <row r="1180">
          <cell r="F1180" t="str">
            <v>227G2318</v>
          </cell>
          <cell r="K1180">
            <v>1330</v>
          </cell>
        </row>
        <row r="1181">
          <cell r="F1181" t="str">
            <v>228G2275</v>
          </cell>
          <cell r="K1181">
            <v>1331</v>
          </cell>
        </row>
        <row r="1182">
          <cell r="F1182" t="str">
            <v>228G2319</v>
          </cell>
          <cell r="K1182">
            <v>1332</v>
          </cell>
        </row>
        <row r="1183">
          <cell r="F1183" t="str">
            <v>2213AG2276</v>
          </cell>
          <cell r="K1183">
            <v>1333</v>
          </cell>
        </row>
        <row r="1184">
          <cell r="F1184" t="str">
            <v>2213AG2320</v>
          </cell>
          <cell r="K1184">
            <v>1334</v>
          </cell>
        </row>
        <row r="1185">
          <cell r="F1185" t="str">
            <v>2213AVG2277</v>
          </cell>
          <cell r="K1185">
            <v>1335</v>
          </cell>
        </row>
        <row r="1186">
          <cell r="F1186" t="str">
            <v>2213AVG2321</v>
          </cell>
          <cell r="K1186">
            <v>1336</v>
          </cell>
        </row>
        <row r="1187">
          <cell r="F1187" t="str">
            <v>2213BG2278</v>
          </cell>
          <cell r="K1187">
            <v>1337</v>
          </cell>
        </row>
        <row r="1188">
          <cell r="F1188" t="str">
            <v>2213BG2322</v>
          </cell>
          <cell r="K1188">
            <v>1338</v>
          </cell>
        </row>
        <row r="1189">
          <cell r="F1189" t="str">
            <v>2213BVG2279</v>
          </cell>
          <cell r="K1189">
            <v>1339</v>
          </cell>
        </row>
        <row r="1190">
          <cell r="F1190" t="str">
            <v>2213BVG2323</v>
          </cell>
          <cell r="K1190">
            <v>1340</v>
          </cell>
        </row>
        <row r="1191">
          <cell r="F1191" t="str">
            <v>2213CG2280</v>
          </cell>
          <cell r="K1191">
            <v>1341</v>
          </cell>
        </row>
        <row r="1192">
          <cell r="F1192" t="str">
            <v>2213CG2324</v>
          </cell>
          <cell r="K1192">
            <v>1342</v>
          </cell>
        </row>
        <row r="1193">
          <cell r="F1193" t="str">
            <v>2213CVG2281</v>
          </cell>
          <cell r="K1193">
            <v>1343</v>
          </cell>
        </row>
        <row r="1194">
          <cell r="F1194" t="str">
            <v>2213CVG2325</v>
          </cell>
          <cell r="K1194">
            <v>1344</v>
          </cell>
        </row>
        <row r="1195">
          <cell r="F1195" t="str">
            <v>2213DG2282</v>
          </cell>
          <cell r="K1195">
            <v>1345</v>
          </cell>
        </row>
        <row r="1196">
          <cell r="F1196" t="str">
            <v>2213DG2326</v>
          </cell>
          <cell r="K1196">
            <v>1346</v>
          </cell>
        </row>
        <row r="1197">
          <cell r="F1197" t="str">
            <v>2213DVG2283</v>
          </cell>
          <cell r="K1197">
            <v>1347</v>
          </cell>
        </row>
        <row r="1198">
          <cell r="F1198" t="str">
            <v>2213DVG2327</v>
          </cell>
          <cell r="K1198">
            <v>1348</v>
          </cell>
        </row>
        <row r="1199">
          <cell r="F1199" t="str">
            <v>227VG2284</v>
          </cell>
          <cell r="K1199">
            <v>1349</v>
          </cell>
        </row>
        <row r="1200">
          <cell r="F1200" t="str">
            <v>227VG2328</v>
          </cell>
          <cell r="K1200">
            <v>1350</v>
          </cell>
        </row>
        <row r="1201">
          <cell r="F1201" t="str">
            <v>228VG2285</v>
          </cell>
          <cell r="K1201">
            <v>1351</v>
          </cell>
        </row>
        <row r="1202">
          <cell r="F1202" t="str">
            <v>228VG2329</v>
          </cell>
          <cell r="K1202">
            <v>1352</v>
          </cell>
        </row>
        <row r="1203">
          <cell r="F1203" t="str">
            <v>210CFCG1119</v>
          </cell>
          <cell r="K1203">
            <v>1353</v>
          </cell>
        </row>
        <row r="1204">
          <cell r="F1204" t="str">
            <v>1610CFCG1119</v>
          </cell>
          <cell r="K1204">
            <v>1354</v>
          </cell>
        </row>
        <row r="1205">
          <cell r="F1205" t="str">
            <v>YES-Req</v>
          </cell>
          <cell r="K1205">
            <v>1355</v>
          </cell>
        </row>
        <row r="1206">
          <cell r="F1206" t="str">
            <v>717DVG0750</v>
          </cell>
          <cell r="K1206">
            <v>1356</v>
          </cell>
        </row>
        <row r="1207">
          <cell r="F1207" t="str">
            <v>717CVG0747</v>
          </cell>
          <cell r="K1207">
            <v>1357</v>
          </cell>
        </row>
        <row r="1208">
          <cell r="F1208" t="str">
            <v>61BF0231</v>
          </cell>
          <cell r="K1208">
            <v>460</v>
          </cell>
        </row>
        <row r="1209">
          <cell r="F1209" t="str">
            <v>61CF0232</v>
          </cell>
          <cell r="K1209">
            <v>460</v>
          </cell>
        </row>
        <row r="1210">
          <cell r="F1210" t="str">
            <v>61DF0233</v>
          </cell>
          <cell r="K1210">
            <v>460</v>
          </cell>
        </row>
        <row r="1211">
          <cell r="F1211" t="str">
            <v>T1019SKUDU1U6</v>
          </cell>
          <cell r="K1211">
            <v>1358</v>
          </cell>
        </row>
        <row r="1212">
          <cell r="F1212" t="str">
            <v>T1019SKUDUCU6</v>
          </cell>
          <cell r="K1212">
            <v>1359</v>
          </cell>
        </row>
        <row r="1213">
          <cell r="F1213" t="str">
            <v>T1019SKUDU1</v>
          </cell>
          <cell r="K1213">
            <v>1360</v>
          </cell>
        </row>
        <row r="1214">
          <cell r="F1214" t="str">
            <v>T1019SKUBUC</v>
          </cell>
          <cell r="K1214">
            <v>1361</v>
          </cell>
        </row>
        <row r="1215">
          <cell r="F1215" t="str">
            <v>T1019SKU1</v>
          </cell>
          <cell r="K1215">
            <v>1362</v>
          </cell>
        </row>
        <row r="1216">
          <cell r="F1216" t="str">
            <v>T1019SKUDUC</v>
          </cell>
          <cell r="K1216">
            <v>1363</v>
          </cell>
        </row>
        <row r="1217">
          <cell r="F1217" t="str">
            <v>T1019SKUC</v>
          </cell>
          <cell r="K1217">
            <v>1364</v>
          </cell>
        </row>
        <row r="1218">
          <cell r="F1218" t="str">
            <v>T1019SKUDU2</v>
          </cell>
          <cell r="K1218">
            <v>1365</v>
          </cell>
        </row>
        <row r="1219">
          <cell r="F1219" t="str">
            <v>T1019SKUBU1</v>
          </cell>
          <cell r="K1219">
            <v>1366</v>
          </cell>
        </row>
        <row r="1220">
          <cell r="F1220" t="str">
            <v>T1019SKU2</v>
          </cell>
          <cell r="K1220">
            <v>1367</v>
          </cell>
        </row>
        <row r="1221">
          <cell r="F1221" t="str">
            <v>T1019SKUBU2</v>
          </cell>
          <cell r="K1221">
            <v>1368</v>
          </cell>
        </row>
        <row r="1222">
          <cell r="F1222" t="str">
            <v>T1019SHU5</v>
          </cell>
          <cell r="K1222">
            <v>1369</v>
          </cell>
        </row>
        <row r="1223">
          <cell r="F1223" t="str">
            <v>T1019SHU1</v>
          </cell>
          <cell r="K1223">
            <v>1370</v>
          </cell>
        </row>
        <row r="1224">
          <cell r="F1224" t="str">
            <v>T1019SHUC</v>
          </cell>
          <cell r="K1224">
            <v>1371</v>
          </cell>
        </row>
        <row r="1225">
          <cell r="F1225" t="str">
            <v>T1019SHUDUC</v>
          </cell>
          <cell r="K1225">
            <v>1372</v>
          </cell>
        </row>
        <row r="1226">
          <cell r="F1226" t="str">
            <v>T1019SHUBU1</v>
          </cell>
          <cell r="K1226">
            <v>1373</v>
          </cell>
        </row>
        <row r="1227">
          <cell r="F1227" t="str">
            <v>T1019SHUBUC</v>
          </cell>
          <cell r="K1227">
            <v>1374</v>
          </cell>
        </row>
        <row r="1228">
          <cell r="F1228" t="str">
            <v>T1019SHUDU1</v>
          </cell>
          <cell r="K1228">
            <v>1375</v>
          </cell>
        </row>
        <row r="1229">
          <cell r="F1229" t="str">
            <v>T1019SHU8</v>
          </cell>
          <cell r="K1229">
            <v>1376</v>
          </cell>
        </row>
        <row r="1230">
          <cell r="F1230" t="str">
            <v>T1019U9U1</v>
          </cell>
          <cell r="K1230">
            <v>1377</v>
          </cell>
        </row>
        <row r="1231">
          <cell r="F1231" t="str">
            <v>T1019UDU1</v>
          </cell>
          <cell r="K1231">
            <v>1378</v>
          </cell>
        </row>
        <row r="1232">
          <cell r="F1232" t="str">
            <v>T1019UD</v>
          </cell>
          <cell r="K1232">
            <v>1379</v>
          </cell>
        </row>
        <row r="1233">
          <cell r="F1233" t="str">
            <v>T1019U8</v>
          </cell>
          <cell r="K1233">
            <v>1380</v>
          </cell>
        </row>
        <row r="1234">
          <cell r="F1234" t="str">
            <v>T1019U4</v>
          </cell>
          <cell r="K1234">
            <v>1381</v>
          </cell>
        </row>
        <row r="1235">
          <cell r="F1235" t="str">
            <v>T1019U5</v>
          </cell>
          <cell r="K1235">
            <v>1382</v>
          </cell>
        </row>
        <row r="1236">
          <cell r="F1236" t="str">
            <v>T1019U9</v>
          </cell>
          <cell r="K1236">
            <v>1383</v>
          </cell>
        </row>
        <row r="1237">
          <cell r="F1237" t="str">
            <v>T1019U7</v>
          </cell>
          <cell r="K1237">
            <v>1384</v>
          </cell>
        </row>
        <row r="1238">
          <cell r="F1238" t="str">
            <v>T1019UB</v>
          </cell>
          <cell r="K1238">
            <v>1385</v>
          </cell>
        </row>
        <row r="1239">
          <cell r="F1239" t="str">
            <v>T1019U6</v>
          </cell>
          <cell r="K1239">
            <v>1386</v>
          </cell>
        </row>
        <row r="1240">
          <cell r="F1240" t="str">
            <v>T1019UA</v>
          </cell>
          <cell r="K1240">
            <v>1387</v>
          </cell>
        </row>
        <row r="1241">
          <cell r="F1241" t="str">
            <v>S5101SK</v>
          </cell>
        </row>
        <row r="1242">
          <cell r="F1242" t="str">
            <v>T2040SKU9U1</v>
          </cell>
          <cell r="K1242">
            <v>1389</v>
          </cell>
        </row>
        <row r="1243">
          <cell r="F1243" t="str">
            <v>T2040SKU9U2</v>
          </cell>
          <cell r="K1243">
            <v>1390</v>
          </cell>
        </row>
        <row r="1244">
          <cell r="F1244" t="str">
            <v>S9482SKU4TDU1</v>
          </cell>
        </row>
        <row r="1245">
          <cell r="F1245" t="str">
            <v>S9482SKU4UC</v>
          </cell>
        </row>
        <row r="1246">
          <cell r="F1246" t="str">
            <v>S9482SKU4U1</v>
          </cell>
        </row>
        <row r="1247">
          <cell r="F1247" t="str">
            <v>T1005SKU4TDUC</v>
          </cell>
        </row>
        <row r="1248">
          <cell r="F1248" t="str">
            <v>T1005SKU4TDU2</v>
          </cell>
        </row>
        <row r="1249">
          <cell r="F1249" t="str">
            <v>T1005SKU4TDU1</v>
          </cell>
        </row>
        <row r="1250">
          <cell r="F1250" t="str">
            <v>T1005SKU4UC</v>
          </cell>
        </row>
        <row r="1251">
          <cell r="F1251" t="str">
            <v>T1005SKU4U2</v>
          </cell>
        </row>
        <row r="1252">
          <cell r="F1252" t="str">
            <v>T1005SKU4U1</v>
          </cell>
        </row>
        <row r="1253">
          <cell r="F1253" t="str">
            <v>213AG2202</v>
          </cell>
        </row>
        <row r="1254">
          <cell r="F1254" t="str">
            <v>213AG2220</v>
          </cell>
        </row>
        <row r="1255">
          <cell r="F1255" t="str">
            <v>213AG2238</v>
          </cell>
        </row>
        <row r="1256">
          <cell r="F1256" t="str">
            <v>213AVG2203</v>
          </cell>
        </row>
        <row r="1257">
          <cell r="F1257" t="str">
            <v>213AVG2221</v>
          </cell>
        </row>
        <row r="1258">
          <cell r="F1258" t="str">
            <v>213AVG2239</v>
          </cell>
        </row>
        <row r="1259">
          <cell r="F1259" t="str">
            <v>213BG2204</v>
          </cell>
        </row>
        <row r="1260">
          <cell r="F1260" t="str">
            <v>213BG2222</v>
          </cell>
        </row>
        <row r="1261">
          <cell r="F1261" t="str">
            <v>213BG2240</v>
          </cell>
        </row>
        <row r="1262">
          <cell r="F1262" t="str">
            <v>213BVG2205</v>
          </cell>
        </row>
        <row r="1263">
          <cell r="F1263" t="str">
            <v>213BVG2223</v>
          </cell>
        </row>
        <row r="1264">
          <cell r="F1264" t="str">
            <v>213BVG2241</v>
          </cell>
        </row>
        <row r="1265">
          <cell r="F1265" t="str">
            <v>213DG2208</v>
          </cell>
        </row>
        <row r="1266">
          <cell r="F1266" t="str">
            <v>213DG2226</v>
          </cell>
        </row>
        <row r="1267">
          <cell r="F1267" t="str">
            <v>213DG2244</v>
          </cell>
        </row>
        <row r="1268">
          <cell r="F1268" t="str">
            <v>213DVG2209</v>
          </cell>
        </row>
        <row r="1269">
          <cell r="F1269" t="str">
            <v>213DVG2227</v>
          </cell>
        </row>
        <row r="1270">
          <cell r="F1270" t="str">
            <v>213DVG2245</v>
          </cell>
        </row>
        <row r="1271">
          <cell r="F1271" t="str">
            <v>213CG2206</v>
          </cell>
        </row>
        <row r="1272">
          <cell r="F1272" t="str">
            <v>213CG2224</v>
          </cell>
        </row>
        <row r="1273">
          <cell r="F1273" t="str">
            <v>213CG2242</v>
          </cell>
        </row>
        <row r="1274">
          <cell r="F1274" t="str">
            <v>213CVG2207</v>
          </cell>
        </row>
        <row r="1275">
          <cell r="F1275" t="str">
            <v>213CVG2225</v>
          </cell>
        </row>
        <row r="1276">
          <cell r="F1276" t="str">
            <v>213CVG2243</v>
          </cell>
        </row>
        <row r="1277">
          <cell r="F1277" t="str">
            <v>27G2200</v>
          </cell>
        </row>
        <row r="1278">
          <cell r="F1278" t="str">
            <v>27G2218</v>
          </cell>
        </row>
        <row r="1279">
          <cell r="F1279" t="str">
            <v>27G2236</v>
          </cell>
        </row>
        <row r="1280">
          <cell r="F1280" t="str">
            <v>27VG2210</v>
          </cell>
        </row>
        <row r="1281">
          <cell r="F1281" t="str">
            <v>27VG2228</v>
          </cell>
        </row>
        <row r="1282">
          <cell r="F1282" t="str">
            <v>27VG2246</v>
          </cell>
        </row>
        <row r="1283">
          <cell r="F1283" t="str">
            <v>28G2201</v>
          </cell>
        </row>
        <row r="1284">
          <cell r="F1284" t="str">
            <v>28G2219</v>
          </cell>
        </row>
        <row r="1285">
          <cell r="F1285" t="str">
            <v>28G2237</v>
          </cell>
        </row>
        <row r="1286">
          <cell r="F1286" t="str">
            <v>28VG2211</v>
          </cell>
        </row>
        <row r="1287">
          <cell r="F1287" t="str">
            <v>28VG2229</v>
          </cell>
        </row>
        <row r="1288">
          <cell r="F1288" t="str">
            <v>28VG2247</v>
          </cell>
        </row>
        <row r="1289">
          <cell r="F1289" t="str">
            <v>167G2212</v>
          </cell>
        </row>
        <row r="1290">
          <cell r="F1290" t="str">
            <v>167G2230</v>
          </cell>
        </row>
        <row r="1291">
          <cell r="F1291" t="str">
            <v>167G2248</v>
          </cell>
        </row>
        <row r="1292">
          <cell r="F1292" t="str">
            <v>168G2213</v>
          </cell>
        </row>
        <row r="1293">
          <cell r="F1293" t="str">
            <v>168G2231</v>
          </cell>
        </row>
        <row r="1294">
          <cell r="F1294" t="str">
            <v>168G2249</v>
          </cell>
        </row>
        <row r="1295">
          <cell r="F1295" t="str">
            <v>1613AG2214</v>
          </cell>
        </row>
        <row r="1296">
          <cell r="F1296" t="str">
            <v>1613AG2232</v>
          </cell>
        </row>
        <row r="1297">
          <cell r="F1297" t="str">
            <v>1613AG2250</v>
          </cell>
        </row>
        <row r="1298">
          <cell r="F1298" t="str">
            <v>1613BG2215</v>
          </cell>
        </row>
        <row r="1299">
          <cell r="F1299" t="str">
            <v>1613BG2233</v>
          </cell>
        </row>
        <row r="1300">
          <cell r="F1300" t="str">
            <v>1613BG2251</v>
          </cell>
        </row>
        <row r="1301">
          <cell r="F1301" t="str">
            <v>1613DG2217</v>
          </cell>
        </row>
        <row r="1302">
          <cell r="F1302" t="str">
            <v>1613DG2235</v>
          </cell>
        </row>
        <row r="1303">
          <cell r="F1303" t="str">
            <v>1613DG2253</v>
          </cell>
        </row>
        <row r="1304">
          <cell r="F1304" t="str">
            <v>1613CG2216</v>
          </cell>
        </row>
        <row r="1305">
          <cell r="F1305" t="str">
            <v>1613CG2234</v>
          </cell>
        </row>
        <row r="1306">
          <cell r="F1306" t="str">
            <v>1613CG2252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lable Services"/>
      <sheetName val="Billing Data_Service Crosswalk"/>
      <sheetName val="Original 7-12-2023"/>
      <sheetName val="Edited Tables"/>
    </sheetNames>
    <sheetDataSet>
      <sheetData sheetId="0">
        <row r="3">
          <cell r="L3" t="str">
            <v>Adjusted Hours Per Unit</v>
          </cell>
        </row>
        <row r="4">
          <cell r="L4">
            <v>6.85</v>
          </cell>
          <cell r="O4" t="str">
            <v>2147M0166</v>
          </cell>
        </row>
        <row r="5">
          <cell r="L5">
            <v>6.85</v>
          </cell>
          <cell r="O5" t="str">
            <v>2147M0167</v>
          </cell>
        </row>
        <row r="6">
          <cell r="L6">
            <v>6.85</v>
          </cell>
          <cell r="O6" t="str">
            <v>2147M0169</v>
          </cell>
        </row>
        <row r="7">
          <cell r="L7">
            <v>6.85</v>
          </cell>
          <cell r="O7" t="str">
            <v>2147M0168</v>
          </cell>
        </row>
        <row r="8">
          <cell r="L8">
            <v>6.85</v>
          </cell>
          <cell r="O8" t="str">
            <v>2147M0170</v>
          </cell>
        </row>
        <row r="9">
          <cell r="L9">
            <v>6.85</v>
          </cell>
          <cell r="O9" t="str">
            <v>2146M0149</v>
          </cell>
        </row>
        <row r="10">
          <cell r="L10">
            <v>6.85</v>
          </cell>
          <cell r="O10" t="str">
            <v>2146M0150</v>
          </cell>
        </row>
        <row r="11">
          <cell r="L11">
            <v>6.85</v>
          </cell>
          <cell r="O11" t="str">
            <v>2146M0152</v>
          </cell>
        </row>
        <row r="12">
          <cell r="L12">
            <v>6.85</v>
          </cell>
          <cell r="O12" t="str">
            <v>2146M0151</v>
          </cell>
        </row>
        <row r="13">
          <cell r="L13">
            <v>6.85</v>
          </cell>
          <cell r="O13" t="str">
            <v>2146M0153</v>
          </cell>
        </row>
        <row r="14">
          <cell r="L14"/>
          <cell r="O14" t="str">
            <v>2110CM0115</v>
          </cell>
        </row>
        <row r="15">
          <cell r="L15"/>
          <cell r="O15" t="str">
            <v>2110CM0421</v>
          </cell>
        </row>
        <row r="16">
          <cell r="L16"/>
          <cell r="O16" t="str">
            <v>2110CM0944</v>
          </cell>
        </row>
        <row r="17">
          <cell r="L17"/>
          <cell r="O17" t="str">
            <v>2110CM0116</v>
          </cell>
        </row>
        <row r="18">
          <cell r="L18"/>
          <cell r="O18" t="str">
            <v>2110CM0422</v>
          </cell>
        </row>
        <row r="19">
          <cell r="L19"/>
          <cell r="O19" t="str">
            <v>2110CM0945</v>
          </cell>
        </row>
        <row r="20">
          <cell r="L20"/>
          <cell r="O20" t="str">
            <v>2110CM0118</v>
          </cell>
        </row>
        <row r="21">
          <cell r="L21"/>
          <cell r="O21" t="str">
            <v>2110CM0424</v>
          </cell>
        </row>
        <row r="22">
          <cell r="L22"/>
          <cell r="O22" t="str">
            <v>2110CM0947</v>
          </cell>
        </row>
        <row r="23">
          <cell r="L23"/>
          <cell r="O23" t="str">
            <v>2110CM0117</v>
          </cell>
        </row>
        <row r="24">
          <cell r="L24"/>
          <cell r="O24" t="str">
            <v>2110CM0423</v>
          </cell>
        </row>
        <row r="25">
          <cell r="L25"/>
          <cell r="O25" t="str">
            <v>2110CM0946</v>
          </cell>
        </row>
        <row r="26">
          <cell r="L26"/>
          <cell r="O26" t="str">
            <v>2110CM0119</v>
          </cell>
        </row>
        <row r="27">
          <cell r="L27"/>
          <cell r="O27" t="str">
            <v>2110CM0425</v>
          </cell>
        </row>
        <row r="28">
          <cell r="L28"/>
          <cell r="O28" t="str">
            <v>2110CM0948</v>
          </cell>
        </row>
        <row r="29">
          <cell r="L29"/>
          <cell r="O29" t="str">
            <v>2210CM0201</v>
          </cell>
        </row>
        <row r="30">
          <cell r="L30"/>
          <cell r="O30" t="str">
            <v>2210CM0460</v>
          </cell>
        </row>
        <row r="31">
          <cell r="L31">
            <v>0.14000000000000001</v>
          </cell>
          <cell r="O31" t="str">
            <v>2123M0977</v>
          </cell>
        </row>
        <row r="32">
          <cell r="L32">
            <v>0.14000000000000001</v>
          </cell>
          <cell r="O32" t="str">
            <v>2123M0980</v>
          </cell>
        </row>
        <row r="33">
          <cell r="L33">
            <v>0.14000000000000001</v>
          </cell>
          <cell r="O33" t="str">
            <v>2123M1095</v>
          </cell>
        </row>
        <row r="34">
          <cell r="L34">
            <v>0.2</v>
          </cell>
          <cell r="O34" t="str">
            <v>2123M0981</v>
          </cell>
        </row>
        <row r="35">
          <cell r="L35">
            <v>0.2</v>
          </cell>
          <cell r="O35" t="str">
            <v>2123M0984</v>
          </cell>
        </row>
        <row r="36">
          <cell r="L36">
            <v>0.2</v>
          </cell>
          <cell r="O36" t="str">
            <v>2123M1096</v>
          </cell>
        </row>
        <row r="37">
          <cell r="L37">
            <v>0.33</v>
          </cell>
          <cell r="O37" t="str">
            <v>2123M0989</v>
          </cell>
        </row>
        <row r="38">
          <cell r="L38">
            <v>0.33</v>
          </cell>
          <cell r="O38" t="str">
            <v>2123M0992</v>
          </cell>
        </row>
        <row r="39">
          <cell r="L39">
            <v>0.33</v>
          </cell>
          <cell r="O39" t="str">
            <v>2123M1098</v>
          </cell>
        </row>
        <row r="40">
          <cell r="L40">
            <v>0.33</v>
          </cell>
          <cell r="O40" t="str">
            <v>2123M0985</v>
          </cell>
        </row>
        <row r="41">
          <cell r="L41">
            <v>0.33</v>
          </cell>
          <cell r="O41" t="str">
            <v>2123M0988</v>
          </cell>
        </row>
        <row r="42">
          <cell r="L42">
            <v>0.33</v>
          </cell>
          <cell r="O42" t="str">
            <v>2123M1097</v>
          </cell>
        </row>
        <row r="43">
          <cell r="L43">
            <v>1</v>
          </cell>
          <cell r="O43" t="str">
            <v>2123M0993</v>
          </cell>
        </row>
        <row r="44">
          <cell r="L44">
            <v>1</v>
          </cell>
          <cell r="O44" t="str">
            <v>2123M0996</v>
          </cell>
        </row>
        <row r="45">
          <cell r="L45">
            <v>1</v>
          </cell>
          <cell r="O45" t="str">
            <v>2123M1099</v>
          </cell>
        </row>
        <row r="46">
          <cell r="L46">
            <v>0.14000000000000001</v>
          </cell>
          <cell r="O46" t="str">
            <v>2223M1005</v>
          </cell>
        </row>
        <row r="47">
          <cell r="L47">
            <v>0.14000000000000001</v>
          </cell>
          <cell r="O47" t="str">
            <v>2223M1008</v>
          </cell>
        </row>
        <row r="48">
          <cell r="L48">
            <v>0.2</v>
          </cell>
          <cell r="O48" t="str">
            <v>2223M1100</v>
          </cell>
        </row>
        <row r="49">
          <cell r="L49">
            <v>0.2</v>
          </cell>
          <cell r="O49" t="str">
            <v>2223M1103</v>
          </cell>
        </row>
        <row r="50">
          <cell r="L50">
            <v>0.33</v>
          </cell>
          <cell r="O50" t="str">
            <v>2223M1104</v>
          </cell>
        </row>
        <row r="51">
          <cell r="L51">
            <v>0.33</v>
          </cell>
          <cell r="O51" t="str">
            <v>2223M1107</v>
          </cell>
        </row>
        <row r="52">
          <cell r="L52">
            <v>0.33</v>
          </cell>
          <cell r="O52" t="str">
            <v>2223M1108</v>
          </cell>
        </row>
        <row r="53">
          <cell r="L53">
            <v>0.33</v>
          </cell>
          <cell r="O53" t="str">
            <v>2223M1111</v>
          </cell>
        </row>
        <row r="54">
          <cell r="L54">
            <v>1</v>
          </cell>
          <cell r="O54" t="str">
            <v>2223M1112</v>
          </cell>
        </row>
        <row r="55">
          <cell r="L55">
            <v>1</v>
          </cell>
          <cell r="O55" t="str">
            <v>2223M1115</v>
          </cell>
        </row>
        <row r="56">
          <cell r="L56">
            <v>0.13</v>
          </cell>
          <cell r="O56" t="str">
            <v>2123M0978</v>
          </cell>
        </row>
        <row r="57">
          <cell r="L57">
            <v>0.13</v>
          </cell>
          <cell r="O57" t="str">
            <v>2123M0982</v>
          </cell>
        </row>
        <row r="58">
          <cell r="L58">
            <v>0.5</v>
          </cell>
          <cell r="O58" t="str">
            <v>2123M0990</v>
          </cell>
        </row>
        <row r="59">
          <cell r="L59">
            <v>0.5</v>
          </cell>
          <cell r="O59" t="str">
            <v>2123M0986</v>
          </cell>
        </row>
        <row r="60">
          <cell r="L60">
            <v>1</v>
          </cell>
          <cell r="O60" t="str">
            <v>2123M0994</v>
          </cell>
        </row>
        <row r="61">
          <cell r="L61">
            <v>0.5</v>
          </cell>
          <cell r="O61" t="str">
            <v>2123M0979</v>
          </cell>
        </row>
        <row r="62">
          <cell r="L62">
            <v>0.5</v>
          </cell>
          <cell r="O62" t="str">
            <v>2123M0983</v>
          </cell>
        </row>
        <row r="63">
          <cell r="L63">
            <v>1</v>
          </cell>
          <cell r="O63" t="str">
            <v>2123M1118</v>
          </cell>
        </row>
        <row r="64">
          <cell r="L64">
            <v>1</v>
          </cell>
          <cell r="O64" t="str">
            <v>2123M1119</v>
          </cell>
        </row>
        <row r="65">
          <cell r="L65">
            <v>1</v>
          </cell>
          <cell r="O65" t="str">
            <v>2123M0987</v>
          </cell>
        </row>
        <row r="66">
          <cell r="L66">
            <v>1</v>
          </cell>
          <cell r="O66" t="str">
            <v>2123M0991</v>
          </cell>
        </row>
        <row r="67">
          <cell r="L67">
            <v>0.13</v>
          </cell>
          <cell r="O67" t="str">
            <v>2223M1006</v>
          </cell>
        </row>
        <row r="68">
          <cell r="L68">
            <v>0.13</v>
          </cell>
          <cell r="O68" t="str">
            <v>2223M1101</v>
          </cell>
        </row>
        <row r="69">
          <cell r="L69">
            <v>0.5</v>
          </cell>
          <cell r="O69" t="str">
            <v>2223M1105</v>
          </cell>
        </row>
        <row r="70">
          <cell r="L70">
            <v>0.5</v>
          </cell>
          <cell r="O70" t="str">
            <v>2223M1109</v>
          </cell>
        </row>
        <row r="71">
          <cell r="L71">
            <v>1</v>
          </cell>
          <cell r="O71" t="str">
            <v>2223M1113</v>
          </cell>
        </row>
        <row r="72">
          <cell r="L72">
            <v>0.5</v>
          </cell>
          <cell r="O72" t="str">
            <v>2223M1007</v>
          </cell>
        </row>
        <row r="73">
          <cell r="L73">
            <v>0.5</v>
          </cell>
          <cell r="O73" t="str">
            <v>2223M1102</v>
          </cell>
        </row>
        <row r="74">
          <cell r="L74">
            <v>1</v>
          </cell>
          <cell r="O74" t="str">
            <v>2223M1116</v>
          </cell>
        </row>
        <row r="75">
          <cell r="L75">
            <v>1</v>
          </cell>
          <cell r="O75" t="str">
            <v>2223M1117</v>
          </cell>
        </row>
        <row r="76">
          <cell r="L76">
            <v>1</v>
          </cell>
          <cell r="O76" t="str">
            <v>2223M1106</v>
          </cell>
        </row>
        <row r="77">
          <cell r="L77">
            <v>1</v>
          </cell>
          <cell r="O77" t="str">
            <v>2223M1110</v>
          </cell>
        </row>
        <row r="78">
          <cell r="L78">
            <v>1</v>
          </cell>
          <cell r="O78" t="str">
            <v>2148M0372</v>
          </cell>
        </row>
        <row r="79">
          <cell r="L79">
            <v>1</v>
          </cell>
          <cell r="O79" t="str">
            <v>2148M0374</v>
          </cell>
        </row>
        <row r="80">
          <cell r="L80">
            <v>1</v>
          </cell>
          <cell r="O80" t="str">
            <v>2110CFCM0354</v>
          </cell>
        </row>
        <row r="81">
          <cell r="L81">
            <v>1</v>
          </cell>
          <cell r="O81" t="str">
            <v>2110CFCM0366</v>
          </cell>
        </row>
        <row r="82">
          <cell r="L82">
            <v>1</v>
          </cell>
          <cell r="O82" t="str">
            <v>2248M0419</v>
          </cell>
        </row>
        <row r="83">
          <cell r="L83">
            <v>1</v>
          </cell>
          <cell r="O83" t="str">
            <v>2210CFCM0360</v>
          </cell>
        </row>
        <row r="84">
          <cell r="L84">
            <v>1</v>
          </cell>
          <cell r="O84" t="str">
            <v>2111XM0850</v>
          </cell>
        </row>
        <row r="85">
          <cell r="L85">
            <v>1</v>
          </cell>
          <cell r="O85" t="str">
            <v>2111XM0855</v>
          </cell>
        </row>
        <row r="86">
          <cell r="L86">
            <v>1</v>
          </cell>
          <cell r="O86" t="str">
            <v>2111XM0860</v>
          </cell>
        </row>
        <row r="87">
          <cell r="L87">
            <v>1</v>
          </cell>
          <cell r="O87" t="str">
            <v>2111XM0865</v>
          </cell>
        </row>
        <row r="88">
          <cell r="L88">
            <v>1</v>
          </cell>
          <cell r="O88" t="str">
            <v>2111XM0867</v>
          </cell>
        </row>
        <row r="89">
          <cell r="L89">
            <v>1</v>
          </cell>
          <cell r="O89" t="str">
            <v>2111XM0869</v>
          </cell>
        </row>
        <row r="90">
          <cell r="L90">
            <v>1</v>
          </cell>
          <cell r="O90" t="str">
            <v>1211XM0143</v>
          </cell>
        </row>
        <row r="91">
          <cell r="L91">
            <v>1</v>
          </cell>
          <cell r="O91" t="str">
            <v>2111XM0143</v>
          </cell>
        </row>
        <row r="92">
          <cell r="L92">
            <v>1</v>
          </cell>
          <cell r="O92" t="str">
            <v>2111XM0851</v>
          </cell>
        </row>
        <row r="93">
          <cell r="L93">
            <v>1</v>
          </cell>
          <cell r="O93" t="str">
            <v>2111XM0856</v>
          </cell>
        </row>
        <row r="94">
          <cell r="L94">
            <v>1</v>
          </cell>
          <cell r="O94" t="str">
            <v>2111XM0861</v>
          </cell>
        </row>
        <row r="95">
          <cell r="L95">
            <v>1</v>
          </cell>
          <cell r="O95" t="str">
            <v>2111XM0866</v>
          </cell>
        </row>
        <row r="96">
          <cell r="L96">
            <v>1</v>
          </cell>
          <cell r="O96" t="str">
            <v>2111XM0868</v>
          </cell>
        </row>
        <row r="97">
          <cell r="L97">
            <v>1</v>
          </cell>
          <cell r="O97" t="str">
            <v>2111XM0870</v>
          </cell>
        </row>
        <row r="98">
          <cell r="L98">
            <v>1</v>
          </cell>
          <cell r="O98" t="str">
            <v>1211XM0144</v>
          </cell>
        </row>
        <row r="99">
          <cell r="L99">
            <v>1</v>
          </cell>
          <cell r="O99" t="str">
            <v>2111XM0144</v>
          </cell>
        </row>
        <row r="100">
          <cell r="L100">
            <v>1</v>
          </cell>
          <cell r="O100" t="str">
            <v>1511XM0240</v>
          </cell>
        </row>
        <row r="101">
          <cell r="L101">
            <v>1</v>
          </cell>
          <cell r="O101" t="str">
            <v>2211XM0240</v>
          </cell>
        </row>
        <row r="102">
          <cell r="L102">
            <v>1</v>
          </cell>
          <cell r="O102" t="str">
            <v>2211XM0903</v>
          </cell>
        </row>
        <row r="103">
          <cell r="L103">
            <v>1</v>
          </cell>
          <cell r="O103" t="str">
            <v>2211XM0904</v>
          </cell>
        </row>
        <row r="104">
          <cell r="L104">
            <v>1</v>
          </cell>
          <cell r="O104" t="str">
            <v>2211XM0905</v>
          </cell>
        </row>
        <row r="105">
          <cell r="L105">
            <v>1</v>
          </cell>
          <cell r="O105" t="str">
            <v>2211XM0906</v>
          </cell>
        </row>
        <row r="106">
          <cell r="L106">
            <v>1</v>
          </cell>
          <cell r="O106" t="str">
            <v>2137M0154</v>
          </cell>
        </row>
        <row r="107">
          <cell r="L107">
            <v>1</v>
          </cell>
          <cell r="O107" t="str">
            <v>2137M0155</v>
          </cell>
        </row>
        <row r="108">
          <cell r="L108">
            <v>1</v>
          </cell>
          <cell r="O108" t="str">
            <v>2237M0243</v>
          </cell>
        </row>
        <row r="109">
          <cell r="L109">
            <v>1</v>
          </cell>
          <cell r="O109" t="str">
            <v>2154M0347</v>
          </cell>
        </row>
        <row r="110">
          <cell r="L110">
            <v>1</v>
          </cell>
          <cell r="O110" t="str">
            <v>2154M0332</v>
          </cell>
        </row>
        <row r="111">
          <cell r="L111">
            <v>1</v>
          </cell>
          <cell r="O111" t="str">
            <v>2254M0207</v>
          </cell>
        </row>
      </sheetData>
      <sheetData sheetId="1"/>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List"/>
      <sheetName val="PFD Syntax Revised"/>
      <sheetName val="PFD Syntax"/>
      <sheetName val="Pivot Summary"/>
      <sheetName val="Combined Data"/>
      <sheetName val="Notes"/>
      <sheetName val="1 - MCO"/>
      <sheetName val="2 - FFS"/>
      <sheetName val="3 - NF FFS"/>
      <sheetName val="5 - PCS FFS"/>
      <sheetName val="4 - NF MCO"/>
      <sheetName val="6 - PCS MCO"/>
      <sheetName val="7 - ICF"/>
      <sheetName val="8 - Pediatric NF"/>
      <sheetName val="T1019 PCS - Habilitation codes"/>
      <sheetName val="PCS MCO Revised"/>
      <sheetName val="T1019 Bill Codes"/>
    </sheetNames>
    <sheetDataSet>
      <sheetData sheetId="0"/>
      <sheetData sheetId="1"/>
      <sheetData sheetId="2"/>
      <sheetData sheetId="3"/>
      <sheetData sheetId="4"/>
      <sheetData sheetId="5"/>
      <sheetData sheetId="6"/>
      <sheetData sheetId="7"/>
      <sheetData sheetId="8"/>
      <sheetData sheetId="9"/>
      <sheetData sheetId="10"/>
      <sheetData sheetId="11">
        <row r="1">
          <cell r="C1" t="str">
            <v>Service Category</v>
          </cell>
          <cell r="F1" t="str">
            <v>Final Bill Code Combo w SK Trend</v>
          </cell>
        </row>
        <row r="2">
          <cell r="C2" t="str">
            <v>CFC Habilitation</v>
          </cell>
          <cell r="F2" t="str">
            <v>T1019SHU9UC</v>
          </cell>
        </row>
        <row r="3">
          <cell r="C3" t="str">
            <v>FMS</v>
          </cell>
          <cell r="F3" t="str">
            <v>T1019SHU5</v>
          </cell>
        </row>
        <row r="4">
          <cell r="C4" t="str">
            <v>CFC Habilitation</v>
          </cell>
          <cell r="F4" t="str">
            <v>T1019SHU9UCU6</v>
          </cell>
        </row>
        <row r="5">
          <cell r="C5" t="str">
            <v>PCS</v>
          </cell>
          <cell r="F5" t="str">
            <v>T1019SHU1</v>
          </cell>
        </row>
        <row r="6">
          <cell r="C6" t="str">
            <v>PCS</v>
          </cell>
          <cell r="F6" t="str">
            <v>T1019SHU1</v>
          </cell>
        </row>
        <row r="7">
          <cell r="C7" t="str">
            <v>PCS</v>
          </cell>
          <cell r="F7" t="str">
            <v>T1019SHUC</v>
          </cell>
        </row>
        <row r="8">
          <cell r="C8" t="str">
            <v>PCS</v>
          </cell>
          <cell r="F8" t="str">
            <v>T1019SHUDUC</v>
          </cell>
        </row>
        <row r="9">
          <cell r="C9" t="str">
            <v>CFC Habilitation</v>
          </cell>
          <cell r="F9" t="str">
            <v>T1019SKU9U1 - Children 1 - 5</v>
          </cell>
        </row>
        <row r="10">
          <cell r="C10" t="str">
            <v>PCS</v>
          </cell>
          <cell r="F10" t="str">
            <v>T1019SKUDU1 - Children 1 - 5</v>
          </cell>
        </row>
        <row r="11">
          <cell r="C11" t="str">
            <v>PCS</v>
          </cell>
          <cell r="F11" t="str">
            <v>T1019SKUBUC - Children 1 - 5</v>
          </cell>
        </row>
        <row r="12">
          <cell r="C12" t="str">
            <v>CFC Habilitation</v>
          </cell>
          <cell r="F12" t="str">
            <v>T1019SKU9U1 - Children 1 - 5</v>
          </cell>
        </row>
        <row r="13">
          <cell r="C13" t="str">
            <v>PCS</v>
          </cell>
          <cell r="F13" t="str">
            <v>T1019SKU1 - Children 1 - 5</v>
          </cell>
        </row>
        <row r="14">
          <cell r="C14" t="str">
            <v>CFC Habilitation</v>
          </cell>
          <cell r="F14" t="str">
            <v>T1019SKU9U1 - Children 1 - 5</v>
          </cell>
        </row>
        <row r="15">
          <cell r="C15" t="str">
            <v>PCS</v>
          </cell>
          <cell r="F15" t="str">
            <v>T1019SKUDU1U6 - Children 6 - 14</v>
          </cell>
        </row>
        <row r="16">
          <cell r="C16" t="str">
            <v>PCS</v>
          </cell>
          <cell r="F16" t="str">
            <v>T1019SKUDUC - Children 6 - 14</v>
          </cell>
        </row>
        <row r="17">
          <cell r="C17" t="str">
            <v>PCS</v>
          </cell>
          <cell r="F17" t="str">
            <v>T1019SKUDU1U6 - Children 6 - 14</v>
          </cell>
        </row>
        <row r="18">
          <cell r="C18" t="str">
            <v>PCS</v>
          </cell>
          <cell r="F18" t="str">
            <v>T1019SKUDUC - Children 6 - 14</v>
          </cell>
        </row>
        <row r="19">
          <cell r="C19" t="str">
            <v>CFC Habilitation</v>
          </cell>
          <cell r="F19" t="str">
            <v>T1019SKU9U2 - Children 6 - 14</v>
          </cell>
        </row>
        <row r="20">
          <cell r="C20" t="str">
            <v>PCS</v>
          </cell>
          <cell r="F20" t="str">
            <v>T1019SKUDU1U6 - Children 6 - 14</v>
          </cell>
        </row>
        <row r="21">
          <cell r="C21" t="str">
            <v>PCS</v>
          </cell>
          <cell r="F21" t="str">
            <v>T1019SKU1 - Children 15 - 20</v>
          </cell>
        </row>
        <row r="22">
          <cell r="C22" t="str">
            <v>PCS</v>
          </cell>
          <cell r="F22" t="str">
            <v>T1019SKU1 - Children 15 - 20</v>
          </cell>
        </row>
        <row r="23">
          <cell r="C23" t="str">
            <v>PCS</v>
          </cell>
          <cell r="F23" t="str">
            <v>T1019SKUDUC - Children 15 - 20</v>
          </cell>
        </row>
        <row r="24">
          <cell r="C24" t="str">
            <v>CFC Habilitation</v>
          </cell>
          <cell r="F24" t="str">
            <v>T1019SKU9U1U6 - Children 15 - 20</v>
          </cell>
        </row>
        <row r="25">
          <cell r="C25" t="str">
            <v>CFC Habilitation</v>
          </cell>
          <cell r="F25" t="str">
            <v>T1019SKU9UC - Children 15 - 20</v>
          </cell>
        </row>
        <row r="26">
          <cell r="C26" t="str">
            <v>PCS</v>
          </cell>
          <cell r="F26" t="str">
            <v>T1019SKUDU1 - Children 15 - 20</v>
          </cell>
        </row>
        <row r="27">
          <cell r="C27" t="str">
            <v>CFC Habilitation</v>
          </cell>
          <cell r="F27" t="str">
            <v>T1019SKU9UCU6 - MDCP</v>
          </cell>
        </row>
        <row r="28">
          <cell r="C28" t="str">
            <v>CFC Habilitation</v>
          </cell>
          <cell r="F28" t="str">
            <v>T1019SKU9U1U6 - MDCP</v>
          </cell>
        </row>
        <row r="29">
          <cell r="C29" t="str">
            <v>PCS</v>
          </cell>
          <cell r="F29" t="str">
            <v>T1019SKUDU1 - MDCP</v>
          </cell>
        </row>
        <row r="30">
          <cell r="C30" t="str">
            <v>PCS</v>
          </cell>
          <cell r="F30" t="str">
            <v>T1019SKUBUC - MDCP</v>
          </cell>
        </row>
        <row r="31">
          <cell r="C31" t="str">
            <v>CFC Habilitation</v>
          </cell>
          <cell r="F31" t="str">
            <v>T1019SKU9U1 - YES</v>
          </cell>
        </row>
        <row r="32">
          <cell r="C32" t="str">
            <v>PCS</v>
          </cell>
          <cell r="F32" t="str">
            <v>T1019SKUDUC - YES</v>
          </cell>
        </row>
        <row r="33">
          <cell r="C33" t="str">
            <v>PCS</v>
          </cell>
          <cell r="F33" t="str">
            <v>T1019SKUC - IDD</v>
          </cell>
        </row>
        <row r="34">
          <cell r="C34" t="str">
            <v>PCS</v>
          </cell>
          <cell r="F34" t="str">
            <v>T1019SHU1</v>
          </cell>
        </row>
        <row r="35">
          <cell r="C35" t="str">
            <v>PCS</v>
          </cell>
          <cell r="F35" t="str">
            <v>T1019SHU1</v>
          </cell>
        </row>
        <row r="36">
          <cell r="C36" t="str">
            <v>PCS</v>
          </cell>
          <cell r="F36" t="str">
            <v>T1019SHUDUC</v>
          </cell>
        </row>
        <row r="37">
          <cell r="C37" t="str">
            <v>PCS</v>
          </cell>
          <cell r="F37" t="str">
            <v>T1019SKUDUC - Avg SK Child Age</v>
          </cell>
        </row>
        <row r="38">
          <cell r="C38" t="str">
            <v>PCS</v>
          </cell>
          <cell r="F38" t="str">
            <v>T1019SKUDU1 - Children 1 - 5</v>
          </cell>
        </row>
        <row r="39">
          <cell r="C39" t="str">
            <v>PCS</v>
          </cell>
          <cell r="F39" t="str">
            <v>T1019SKUDU1 - Children 1 - 5</v>
          </cell>
        </row>
        <row r="40">
          <cell r="C40" t="str">
            <v>CFC Habilitation</v>
          </cell>
          <cell r="F40" t="str">
            <v>T1019SKU9U1 - Children 6 - 14</v>
          </cell>
        </row>
        <row r="41">
          <cell r="C41" t="str">
            <v>PCS</v>
          </cell>
          <cell r="F41" t="str">
            <v>T1019SKUDUC - Children 6 - 14</v>
          </cell>
        </row>
        <row r="42">
          <cell r="C42" t="str">
            <v>CFC Habilitation</v>
          </cell>
          <cell r="F42" t="str">
            <v>T1019SKU9U1 - Children 6 - 14</v>
          </cell>
        </row>
        <row r="43">
          <cell r="C43" t="str">
            <v>PCS</v>
          </cell>
          <cell r="F43" t="str">
            <v>T1019SKUC - Children 6 - 14</v>
          </cell>
        </row>
        <row r="44">
          <cell r="C44" t="str">
            <v>CFC Habilitation</v>
          </cell>
          <cell r="F44" t="str">
            <v>T1019SKU9U1 - Children 6 - 14</v>
          </cell>
        </row>
        <row r="45">
          <cell r="C45" t="str">
            <v>PCS</v>
          </cell>
          <cell r="F45" t="str">
            <v>T1019SKUC - Children 6 - 14</v>
          </cell>
        </row>
        <row r="46">
          <cell r="C46" t="str">
            <v>PCS</v>
          </cell>
          <cell r="F46" t="str">
            <v>T1019SKUDU1 - Children 6 - 14</v>
          </cell>
        </row>
        <row r="47">
          <cell r="C47" t="str">
            <v>PCS</v>
          </cell>
          <cell r="F47" t="str">
            <v>T1019SKUDU2 - Children 6 - 14</v>
          </cell>
        </row>
        <row r="48">
          <cell r="C48" t="str">
            <v>CFC Habilitation</v>
          </cell>
          <cell r="F48" t="str">
            <v>T1019SKU9U1 - Children 6 - 14</v>
          </cell>
        </row>
        <row r="49">
          <cell r="C49" t="str">
            <v>CFC Habilitation</v>
          </cell>
          <cell r="F49" t="str">
            <v>T1019SKU9U1U6 - Children 6 - 14</v>
          </cell>
        </row>
        <row r="50">
          <cell r="C50" t="str">
            <v>PCS</v>
          </cell>
          <cell r="F50" t="str">
            <v>T1019SKUDU1 - Children 6 - 14</v>
          </cell>
        </row>
        <row r="51">
          <cell r="C51" t="str">
            <v>PCS</v>
          </cell>
          <cell r="F51" t="str">
            <v>T1019SKUBUC - Children 15 - 20</v>
          </cell>
        </row>
        <row r="52">
          <cell r="C52" t="str">
            <v>CFC Habilitation</v>
          </cell>
          <cell r="F52" t="str">
            <v>T1019SKU9U1 - Children 15 - 20</v>
          </cell>
        </row>
        <row r="53">
          <cell r="C53" t="str">
            <v>CFC Habilitation</v>
          </cell>
          <cell r="F53" t="str">
            <v>T1019SKU9U2 - Children 15 - 20</v>
          </cell>
        </row>
        <row r="54">
          <cell r="C54" t="str">
            <v>PCS</v>
          </cell>
          <cell r="F54" t="str">
            <v>T1019SKUDUC - Children 15 - 20</v>
          </cell>
        </row>
        <row r="55">
          <cell r="C55" t="str">
            <v>CFC Habilitation</v>
          </cell>
          <cell r="F55" t="str">
            <v>T1019SKU9U1 - Children 15 - 20</v>
          </cell>
        </row>
        <row r="56">
          <cell r="C56" t="str">
            <v>PCS</v>
          </cell>
          <cell r="F56" t="str">
            <v>T1019SKUBU1 - Children 15 - 20</v>
          </cell>
        </row>
        <row r="57">
          <cell r="C57" t="str">
            <v>PCS</v>
          </cell>
          <cell r="F57" t="str">
            <v>T1019SKUBU1 - Children 15 - 20</v>
          </cell>
        </row>
        <row r="58">
          <cell r="C58" t="str">
            <v>CFC Habilitation</v>
          </cell>
          <cell r="F58" t="str">
            <v>T1019SKU9U2 - Children 15 - 20</v>
          </cell>
        </row>
        <row r="59">
          <cell r="C59" t="str">
            <v>PCS</v>
          </cell>
          <cell r="F59" t="str">
            <v>T1019SKUBU1 - Children 15 - 20</v>
          </cell>
        </row>
        <row r="60">
          <cell r="C60" t="str">
            <v>PCS</v>
          </cell>
          <cell r="F60" t="str">
            <v>T1019SKUBU1 - Children 15 - 20</v>
          </cell>
        </row>
        <row r="61">
          <cell r="C61" t="str">
            <v>CFC Habilitation</v>
          </cell>
          <cell r="F61" t="str">
            <v>T1019SKU9UCU6 - MDCP</v>
          </cell>
        </row>
        <row r="62">
          <cell r="C62" t="str">
            <v>PCS</v>
          </cell>
          <cell r="F62" t="str">
            <v>T1019SKUDUC - MDCP</v>
          </cell>
        </row>
        <row r="63">
          <cell r="C63" t="str">
            <v>PCS</v>
          </cell>
          <cell r="F63" t="str">
            <v>T1019SKUDU1U6 - MDCP</v>
          </cell>
        </row>
        <row r="64">
          <cell r="C64" t="str">
            <v>PCS</v>
          </cell>
          <cell r="F64" t="str">
            <v>T1019SKUDU1U6 - MDCP</v>
          </cell>
        </row>
        <row r="65">
          <cell r="C65" t="str">
            <v>PCS</v>
          </cell>
          <cell r="F65" t="str">
            <v>T1019SKUDU1U6 - MDCP</v>
          </cell>
        </row>
        <row r="66">
          <cell r="C66" t="str">
            <v>CFC Habilitation</v>
          </cell>
          <cell r="F66" t="str">
            <v>T1019SKU9UC - YES</v>
          </cell>
        </row>
        <row r="67">
          <cell r="C67" t="str">
            <v>PCS</v>
          </cell>
          <cell r="F67" t="str">
            <v>T1019SKUBUC - YES</v>
          </cell>
        </row>
        <row r="68">
          <cell r="C68" t="str">
            <v>CFC Habilitation</v>
          </cell>
          <cell r="F68" t="str">
            <v>T1019SKU9U1 - YES</v>
          </cell>
        </row>
        <row r="69">
          <cell r="C69" t="str">
            <v>PCS</v>
          </cell>
          <cell r="F69" t="str">
            <v>T1019SKUDU1 - YES</v>
          </cell>
        </row>
        <row r="70">
          <cell r="C70" t="str">
            <v>CFC Habilitation</v>
          </cell>
          <cell r="F70" t="str">
            <v>T1019SKU9U1 - YES</v>
          </cell>
        </row>
        <row r="71">
          <cell r="C71" t="str">
            <v>PCS</v>
          </cell>
          <cell r="F71" t="str">
            <v>T1019SKUDU1 - YES</v>
          </cell>
        </row>
        <row r="72">
          <cell r="C72" t="str">
            <v>PCS</v>
          </cell>
          <cell r="F72" t="str">
            <v>T1019SKUBUC - IDD</v>
          </cell>
        </row>
        <row r="73">
          <cell r="C73" t="str">
            <v>PCS</v>
          </cell>
          <cell r="F73" t="str">
            <v>T1019SHUBU1</v>
          </cell>
        </row>
        <row r="74">
          <cell r="C74" t="str">
            <v>PCS</v>
          </cell>
          <cell r="F74" t="str">
            <v>T1019SHUBUC</v>
          </cell>
        </row>
        <row r="75">
          <cell r="C75" t="str">
            <v>PCS</v>
          </cell>
          <cell r="F75" t="str">
            <v>T1019SHUBU1</v>
          </cell>
        </row>
        <row r="76">
          <cell r="C76" t="str">
            <v>PCS</v>
          </cell>
          <cell r="F76" t="str">
            <v>T1019SHUBUC</v>
          </cell>
        </row>
        <row r="77">
          <cell r="C77" t="str">
            <v>PCS</v>
          </cell>
          <cell r="F77" t="str">
            <v>T1019SKUBU1 - Avg SK Child Age</v>
          </cell>
        </row>
        <row r="78">
          <cell r="C78" t="str">
            <v>PCS</v>
          </cell>
          <cell r="F78" t="str">
            <v>T1019SKUBU1 - Avg SK Child Age</v>
          </cell>
        </row>
        <row r="79">
          <cell r="C79" t="str">
            <v>CFC Habilitation</v>
          </cell>
          <cell r="F79" t="str">
            <v>T1019SKU9UC - Avg SK Child Age</v>
          </cell>
        </row>
        <row r="80">
          <cell r="C80" t="str">
            <v>PCS</v>
          </cell>
          <cell r="F80" t="str">
            <v>T1019SKUDU2 - Children 1 - 5</v>
          </cell>
        </row>
        <row r="81">
          <cell r="C81" t="str">
            <v>PCS</v>
          </cell>
          <cell r="F81" t="str">
            <v>T1019SKUC - Children 1 - 5</v>
          </cell>
        </row>
        <row r="82">
          <cell r="C82" t="str">
            <v>PCS</v>
          </cell>
          <cell r="F82" t="str">
            <v>T1019SKUDU1 - Children 1 - 5</v>
          </cell>
        </row>
        <row r="83">
          <cell r="C83" t="str">
            <v>PCS</v>
          </cell>
          <cell r="F83" t="str">
            <v>T1019SKU1 - Children 1 - 5</v>
          </cell>
        </row>
        <row r="84">
          <cell r="C84" t="str">
            <v>PCS</v>
          </cell>
          <cell r="F84" t="str">
            <v>T1019SKU1 - Children 1 - 5</v>
          </cell>
        </row>
        <row r="85">
          <cell r="C85" t="str">
            <v>PCS</v>
          </cell>
          <cell r="F85" t="str">
            <v>T1019SKU1 - Children 1 - 5</v>
          </cell>
        </row>
        <row r="86">
          <cell r="C86" t="str">
            <v>PCS</v>
          </cell>
          <cell r="F86" t="str">
            <v>T1019SKU1 - Children 1 - 5</v>
          </cell>
        </row>
        <row r="87">
          <cell r="C87" t="str">
            <v>PCS</v>
          </cell>
          <cell r="F87" t="str">
            <v>T1019SKUBUC - Children 1 - 5</v>
          </cell>
        </row>
        <row r="88">
          <cell r="C88" t="str">
            <v>PCS</v>
          </cell>
          <cell r="F88" t="str">
            <v>T1019SKUBUC - Children 1 - 5</v>
          </cell>
        </row>
        <row r="89">
          <cell r="C89" t="str">
            <v>PCS</v>
          </cell>
          <cell r="F89" t="str">
            <v>T1019SKU1 - Children 1 - 5</v>
          </cell>
        </row>
        <row r="90">
          <cell r="C90" t="str">
            <v>PCS</v>
          </cell>
          <cell r="F90" t="str">
            <v>T1019SKUBUC - Children 1 - 5</v>
          </cell>
        </row>
        <row r="91">
          <cell r="C91" t="str">
            <v>PCS</v>
          </cell>
          <cell r="F91" t="str">
            <v>T1019SKUBU1 - Children 6 - 14</v>
          </cell>
        </row>
        <row r="92">
          <cell r="C92" t="str">
            <v>PCS</v>
          </cell>
          <cell r="F92" t="str">
            <v>T1019SKUBU1 - Children 6 - 14</v>
          </cell>
        </row>
        <row r="93">
          <cell r="C93" t="str">
            <v>CFC Habilitation</v>
          </cell>
          <cell r="F93" t="str">
            <v>T1019SKU9U1 - Children 6 - 14</v>
          </cell>
        </row>
        <row r="94">
          <cell r="C94" t="str">
            <v>CFC Habilitation</v>
          </cell>
          <cell r="F94" t="str">
            <v>T1019SKU9U1 - Children 6 - 14</v>
          </cell>
        </row>
        <row r="95">
          <cell r="C95" t="str">
            <v>PCS</v>
          </cell>
          <cell r="F95" t="str">
            <v>T1019SKUDUCU6 - Children 6 - 14</v>
          </cell>
        </row>
        <row r="96">
          <cell r="C96" t="str">
            <v>CFC Habilitation</v>
          </cell>
          <cell r="F96" t="str">
            <v>T1019SKU2 - Children 6 - 14</v>
          </cell>
        </row>
        <row r="97">
          <cell r="C97" t="str">
            <v>PCS</v>
          </cell>
          <cell r="F97" t="str">
            <v>T1019SKUDUC - Children 6 - 14</v>
          </cell>
        </row>
        <row r="98">
          <cell r="C98" t="str">
            <v>PCS</v>
          </cell>
          <cell r="F98" t="str">
            <v>T1019SKUDUCU6 - Children 6 - 14</v>
          </cell>
        </row>
        <row r="99">
          <cell r="C99" t="str">
            <v>PCS</v>
          </cell>
          <cell r="F99" t="str">
            <v>T1019SKUDUC - Children 6 - 14</v>
          </cell>
        </row>
        <row r="100">
          <cell r="C100" t="str">
            <v>PCS</v>
          </cell>
          <cell r="F100" t="str">
            <v>T1019SKUDUC - Children 6 - 14</v>
          </cell>
        </row>
        <row r="101">
          <cell r="C101" t="str">
            <v>PCS</v>
          </cell>
          <cell r="F101" t="str">
            <v>T1019SKUBU1 - Children 15 - 20</v>
          </cell>
        </row>
        <row r="102">
          <cell r="C102" t="str">
            <v>PCS</v>
          </cell>
          <cell r="F102" t="str">
            <v>T1019SKUBU1 - Children 15 - 20</v>
          </cell>
        </row>
        <row r="103">
          <cell r="C103" t="str">
            <v>CFC Habilitation</v>
          </cell>
          <cell r="F103" t="str">
            <v>T1019SKU9UCU6 - Children 15 - 20</v>
          </cell>
        </row>
        <row r="104">
          <cell r="C104" t="str">
            <v>CFC Habilitation</v>
          </cell>
          <cell r="F104" t="str">
            <v>T1019SKU9UC - Children 15 - 20</v>
          </cell>
        </row>
        <row r="105">
          <cell r="C105" t="str">
            <v>CFC Habilitation</v>
          </cell>
          <cell r="F105" t="str">
            <v>T1019SKU9UC - Children 15 - 20</v>
          </cell>
        </row>
        <row r="106">
          <cell r="C106" t="str">
            <v>CFC Habilitation</v>
          </cell>
          <cell r="F106" t="str">
            <v>T1019SKU9UC - Children 15 - 20</v>
          </cell>
        </row>
        <row r="107">
          <cell r="C107" t="str">
            <v>CFC Habilitation</v>
          </cell>
          <cell r="F107" t="str">
            <v>T1019SKU9UC - Children 15 - 20</v>
          </cell>
        </row>
        <row r="108">
          <cell r="C108" t="str">
            <v>CFC Habilitation</v>
          </cell>
          <cell r="F108" t="str">
            <v>T1019SKU9UCU6 - Children 15 - 20</v>
          </cell>
        </row>
        <row r="109">
          <cell r="C109" t="str">
            <v>CFC Habilitation</v>
          </cell>
          <cell r="F109" t="str">
            <v>T1019SKU9U1 - MDCP</v>
          </cell>
        </row>
        <row r="110">
          <cell r="C110" t="str">
            <v>PCS</v>
          </cell>
          <cell r="F110" t="str">
            <v>T1019SKU1 - MDCP</v>
          </cell>
        </row>
        <row r="111">
          <cell r="C111" t="str">
            <v>PCS</v>
          </cell>
          <cell r="F111" t="str">
            <v>T1019SKUDU1 - MDCP</v>
          </cell>
        </row>
        <row r="112">
          <cell r="C112" t="str">
            <v>PCS</v>
          </cell>
          <cell r="F112" t="str">
            <v>T1019SKU1 - MDCP</v>
          </cell>
        </row>
        <row r="113">
          <cell r="C113" t="str">
            <v>PCS</v>
          </cell>
          <cell r="F113" t="str">
            <v>T1019SKU1 - MDCP</v>
          </cell>
        </row>
        <row r="114">
          <cell r="C114" t="str">
            <v>CFC Habilitation</v>
          </cell>
          <cell r="F114" t="str">
            <v>T1019SKU9U1 - YES</v>
          </cell>
        </row>
        <row r="115">
          <cell r="C115" t="str">
            <v>PCS</v>
          </cell>
          <cell r="F115" t="str">
            <v>T1019SKUDU1 - YES</v>
          </cell>
        </row>
        <row r="116">
          <cell r="C116" t="str">
            <v>PCS</v>
          </cell>
          <cell r="F116" t="str">
            <v>T1019SKUDU1 - YES</v>
          </cell>
        </row>
        <row r="117">
          <cell r="C117" t="str">
            <v>PCS</v>
          </cell>
          <cell r="F117" t="str">
            <v>T1019SHUC</v>
          </cell>
        </row>
        <row r="118">
          <cell r="C118" t="str">
            <v>PCS</v>
          </cell>
          <cell r="F118" t="str">
            <v>T1019SHUC</v>
          </cell>
        </row>
        <row r="119">
          <cell r="C119" t="str">
            <v>CFC Habilitation</v>
          </cell>
          <cell r="F119" t="str">
            <v>T1019SHU9U1</v>
          </cell>
        </row>
        <row r="120">
          <cell r="C120" t="str">
            <v>FMS</v>
          </cell>
          <cell r="F120" t="str">
            <v>T1019SHU5</v>
          </cell>
        </row>
        <row r="121">
          <cell r="C121" t="str">
            <v>CFC Habilitation</v>
          </cell>
          <cell r="F121" t="str">
            <v>T1019SKU9U1 - Avg SK Child Age</v>
          </cell>
        </row>
        <row r="122">
          <cell r="C122" t="str">
            <v>CFC Habilitation</v>
          </cell>
          <cell r="F122" t="str">
            <v>T1019SKU9UC - Children 1 - 5</v>
          </cell>
        </row>
        <row r="123">
          <cell r="C123" t="str">
            <v>PCS</v>
          </cell>
          <cell r="F123" t="str">
            <v>T1019SKUC - Children 1 - 5</v>
          </cell>
        </row>
        <row r="124">
          <cell r="C124" t="str">
            <v>PCS</v>
          </cell>
          <cell r="F124" t="str">
            <v>T1019SKUDUC - Children 1 - 5</v>
          </cell>
        </row>
        <row r="125">
          <cell r="C125" t="str">
            <v>PCS</v>
          </cell>
          <cell r="F125" t="str">
            <v>T1019SKUBU1 - Children 1 - 5</v>
          </cell>
        </row>
        <row r="126">
          <cell r="C126" t="str">
            <v>CFC Habilitation</v>
          </cell>
          <cell r="F126" t="str">
            <v>T1019SKU9UC - Children 1 - 5</v>
          </cell>
        </row>
        <row r="127">
          <cell r="C127" t="str">
            <v>PCS</v>
          </cell>
          <cell r="F127" t="str">
            <v>T1019SKUBU1 - Children 1 - 5</v>
          </cell>
        </row>
        <row r="128">
          <cell r="C128" t="str">
            <v>PCS</v>
          </cell>
          <cell r="F128" t="str">
            <v>T1019SKUBU1 - Children 1 - 5</v>
          </cell>
        </row>
        <row r="129">
          <cell r="C129" t="str">
            <v>PCS</v>
          </cell>
          <cell r="F129" t="str">
            <v>T1019SKUC - Children 1 - 5</v>
          </cell>
        </row>
        <row r="130">
          <cell r="C130" t="str">
            <v>CFC Habilitation</v>
          </cell>
          <cell r="F130" t="str">
            <v>T1019SKU9U1 - Children 6 - 14</v>
          </cell>
        </row>
        <row r="131">
          <cell r="C131" t="str">
            <v>CFC Habilitation</v>
          </cell>
          <cell r="F131" t="str">
            <v>T1019SKU9UCU6 - Children 6 - 14</v>
          </cell>
        </row>
        <row r="132">
          <cell r="C132" t="str">
            <v>PCS</v>
          </cell>
          <cell r="F132" t="str">
            <v>T1019SKUBUC - Children 6 - 14</v>
          </cell>
        </row>
        <row r="133">
          <cell r="C133" t="str">
            <v>PCS</v>
          </cell>
          <cell r="F133" t="str">
            <v>T1019SKUC - Children 6 - 14</v>
          </cell>
        </row>
        <row r="134">
          <cell r="C134" t="str">
            <v>PCS</v>
          </cell>
          <cell r="F134" t="str">
            <v>T1019SKUDU1 - Children 6 - 14</v>
          </cell>
        </row>
        <row r="135">
          <cell r="C135" t="str">
            <v>PCS</v>
          </cell>
          <cell r="F135" t="str">
            <v>T1019SKUDUCU6 - Children 6 - 14</v>
          </cell>
        </row>
        <row r="136">
          <cell r="C136" t="str">
            <v>CFC Habilitation</v>
          </cell>
          <cell r="F136" t="str">
            <v>T1019SKU9U1 - Children 6 - 14</v>
          </cell>
        </row>
        <row r="137">
          <cell r="C137" t="str">
            <v>CFC Habilitation</v>
          </cell>
          <cell r="F137" t="str">
            <v>T1019SKU9UCU6 - Children 6 - 14</v>
          </cell>
        </row>
        <row r="138">
          <cell r="C138" t="str">
            <v>PCS</v>
          </cell>
          <cell r="F138" t="str">
            <v>T1019SKUBU2 - Children 6 - 14</v>
          </cell>
        </row>
        <row r="139">
          <cell r="C139" t="str">
            <v>PCS</v>
          </cell>
          <cell r="F139" t="str">
            <v>T1019SKUDU1 - Children 6 - 14</v>
          </cell>
        </row>
        <row r="140">
          <cell r="C140" t="str">
            <v>CFC Habilitation</v>
          </cell>
          <cell r="F140" t="str">
            <v>T1019SKU9UC - Children 6 - 14</v>
          </cell>
        </row>
        <row r="141">
          <cell r="C141" t="str">
            <v>PCS</v>
          </cell>
          <cell r="F141" t="str">
            <v>T1019SKUBUC - Children 6 - 14</v>
          </cell>
        </row>
        <row r="142">
          <cell r="C142" t="str">
            <v>PCS</v>
          </cell>
          <cell r="F142" t="str">
            <v>T1019SKUBUC - Children 6 - 14</v>
          </cell>
        </row>
        <row r="143">
          <cell r="C143" t="str">
            <v>CFC Habilitation</v>
          </cell>
          <cell r="F143" t="str">
            <v>T1019SKU9U1 - Children 6 - 14</v>
          </cell>
        </row>
        <row r="144">
          <cell r="C144" t="str">
            <v>CFC Habilitation</v>
          </cell>
          <cell r="F144" t="str">
            <v>T1019SKU9UCU6 - Children 6 - 14</v>
          </cell>
        </row>
        <row r="145">
          <cell r="C145" t="str">
            <v>PCS</v>
          </cell>
          <cell r="F145" t="str">
            <v>T1019SKUDU1 - Children 6 - 14</v>
          </cell>
        </row>
        <row r="146">
          <cell r="C146" t="str">
            <v>PCS</v>
          </cell>
          <cell r="F146" t="str">
            <v>T1019SKUBUC - Children 15 - 20</v>
          </cell>
        </row>
        <row r="147">
          <cell r="C147" t="str">
            <v>PCS</v>
          </cell>
          <cell r="F147" t="str">
            <v>T1019SKUDUC - Children 15 - 20</v>
          </cell>
        </row>
        <row r="148">
          <cell r="C148" t="str">
            <v>CFC Habilitation</v>
          </cell>
          <cell r="F148" t="str">
            <v>T1019SKU9U1 - Children 15 - 20</v>
          </cell>
        </row>
        <row r="149">
          <cell r="C149" t="str">
            <v>PCS</v>
          </cell>
          <cell r="F149" t="str">
            <v>T1019SKUBUC - Children 15 - 20</v>
          </cell>
        </row>
        <row r="150">
          <cell r="C150" t="str">
            <v>PCS</v>
          </cell>
          <cell r="F150" t="str">
            <v>T1019SKUBUC - Children 15 - 20</v>
          </cell>
        </row>
        <row r="151">
          <cell r="C151" t="str">
            <v>CFC Habilitation</v>
          </cell>
          <cell r="F151" t="str">
            <v>T1019SKU9U1 - Children 15 - 20</v>
          </cell>
        </row>
        <row r="152">
          <cell r="C152" t="str">
            <v>PCS</v>
          </cell>
          <cell r="F152" t="str">
            <v>T1019SKUBU1 - Children 15 - 20</v>
          </cell>
        </row>
        <row r="153">
          <cell r="C153" t="str">
            <v>PCS</v>
          </cell>
          <cell r="F153" t="str">
            <v>T1019SKU1 - Children 15 - 20</v>
          </cell>
        </row>
        <row r="154">
          <cell r="C154" t="str">
            <v>PCS</v>
          </cell>
          <cell r="F154" t="str">
            <v>T1019SKU1 - Children 15 - 20</v>
          </cell>
        </row>
        <row r="155">
          <cell r="C155" t="str">
            <v>PCS</v>
          </cell>
          <cell r="F155" t="str">
            <v>T1019SKUDUC - Children 15 - 20</v>
          </cell>
        </row>
        <row r="156">
          <cell r="C156" t="str">
            <v>CFC Habilitation</v>
          </cell>
          <cell r="F156" t="str">
            <v>T1019SKU9U1 - Children 15 - 20</v>
          </cell>
        </row>
        <row r="157">
          <cell r="C157" t="str">
            <v>CFC Habilitation</v>
          </cell>
          <cell r="F157" t="str">
            <v>T1019SKU9UC - MDCP</v>
          </cell>
        </row>
        <row r="158">
          <cell r="C158" t="str">
            <v>PCS</v>
          </cell>
          <cell r="F158" t="str">
            <v>T1019SKUDUCU6 - MDCP</v>
          </cell>
        </row>
        <row r="159">
          <cell r="C159" t="str">
            <v>PCS</v>
          </cell>
          <cell r="F159" t="str">
            <v>T1019SKUDUC - MDCP</v>
          </cell>
        </row>
        <row r="160">
          <cell r="C160" t="str">
            <v>PCS</v>
          </cell>
          <cell r="F160" t="str">
            <v>T1019SKUBU1 - MDCP</v>
          </cell>
        </row>
        <row r="161">
          <cell r="C161" t="str">
            <v>PCS</v>
          </cell>
          <cell r="F161" t="str">
            <v>T1019SKUDU1U6 - MDCP</v>
          </cell>
        </row>
        <row r="162">
          <cell r="C162" t="str">
            <v>PCS</v>
          </cell>
          <cell r="F162" t="str">
            <v>T1019SKUDUC - MDCP</v>
          </cell>
        </row>
        <row r="163">
          <cell r="C163" t="str">
            <v>CFC Habilitation</v>
          </cell>
          <cell r="F163" t="str">
            <v>T1019SKU9U1U6 - MDCP</v>
          </cell>
        </row>
        <row r="164">
          <cell r="C164" t="str">
            <v>CFC Habilitation</v>
          </cell>
          <cell r="F164" t="str">
            <v>T1019SKU9UC - MDCP</v>
          </cell>
        </row>
        <row r="165">
          <cell r="C165" t="str">
            <v>PCS</v>
          </cell>
          <cell r="F165" t="str">
            <v>T1019SKUDU1 - MDCP</v>
          </cell>
        </row>
        <row r="166">
          <cell r="C166" t="str">
            <v>PCS</v>
          </cell>
          <cell r="F166" t="str">
            <v>T1019SKUDUCU6 - MDCP</v>
          </cell>
        </row>
        <row r="167">
          <cell r="C167" t="str">
            <v>PCS</v>
          </cell>
          <cell r="F167" t="str">
            <v>T1019SKUBUC - YES</v>
          </cell>
        </row>
        <row r="168">
          <cell r="C168" t="str">
            <v>CFC Habilitation</v>
          </cell>
          <cell r="F168" t="str">
            <v>T1019SKU9UC - YES</v>
          </cell>
        </row>
        <row r="169">
          <cell r="C169" t="str">
            <v>PCS</v>
          </cell>
          <cell r="F169" t="str">
            <v>T1019SKUBUC - YES</v>
          </cell>
        </row>
        <row r="170">
          <cell r="C170" t="str">
            <v>PCS</v>
          </cell>
          <cell r="F170" t="str">
            <v>T1019SKUDU1 - YES</v>
          </cell>
        </row>
        <row r="171">
          <cell r="C171" t="str">
            <v>CFC Habilitation</v>
          </cell>
          <cell r="F171" t="str">
            <v>T1019SKU9U1 - IDD</v>
          </cell>
        </row>
        <row r="172">
          <cell r="C172" t="str">
            <v>PCS</v>
          </cell>
          <cell r="F172" t="str">
            <v>T1019SKU1 - IDD</v>
          </cell>
        </row>
        <row r="173">
          <cell r="C173" t="str">
            <v>PCS</v>
          </cell>
          <cell r="F173" t="str">
            <v>T1019SHU1</v>
          </cell>
        </row>
        <row r="174">
          <cell r="C174" t="str">
            <v>CFC Habilitation</v>
          </cell>
          <cell r="F174" t="str">
            <v>T1019SHU9U1</v>
          </cell>
        </row>
        <row r="175">
          <cell r="C175" t="str">
            <v>PCS</v>
          </cell>
          <cell r="F175" t="str">
            <v>T1019SHUBU1</v>
          </cell>
        </row>
        <row r="176">
          <cell r="C176" t="str">
            <v>PCS</v>
          </cell>
          <cell r="F176" t="str">
            <v>T1019SHUBUC</v>
          </cell>
        </row>
        <row r="177">
          <cell r="C177" t="str">
            <v>CFC Habilitation</v>
          </cell>
          <cell r="F177" t="str">
            <v>T1019SKU9UC - Avg SK Child Age</v>
          </cell>
        </row>
        <row r="178">
          <cell r="C178" t="str">
            <v>PCS</v>
          </cell>
          <cell r="F178" t="str">
            <v>T1019SKUBU1 - Avg SK Child Age</v>
          </cell>
        </row>
        <row r="179">
          <cell r="C179" t="str">
            <v>PCS</v>
          </cell>
          <cell r="F179" t="str">
            <v>T1019SKUDUC - Avg SK Child Age</v>
          </cell>
        </row>
        <row r="180">
          <cell r="C180" t="str">
            <v>PCS</v>
          </cell>
          <cell r="F180" t="str">
            <v>T1019SKUDUCU6 - Avg SK Child Age</v>
          </cell>
        </row>
        <row r="181">
          <cell r="C181" t="str">
            <v>PCS</v>
          </cell>
          <cell r="F181" t="str">
            <v>T1019SKUDUC - Avg SK Child Age</v>
          </cell>
        </row>
        <row r="182">
          <cell r="C182" t="str">
            <v>PCS</v>
          </cell>
          <cell r="F182" t="str">
            <v>T1019SKUDUC - Children 1 - 5</v>
          </cell>
        </row>
        <row r="183">
          <cell r="C183" t="str">
            <v>PCS</v>
          </cell>
          <cell r="F183" t="str">
            <v>T1019SKUDU1 - Children 1 - 5</v>
          </cell>
        </row>
        <row r="184">
          <cell r="C184" t="str">
            <v>CFC Habilitation</v>
          </cell>
          <cell r="F184" t="str">
            <v>T1019SKU9UC - Children 6 - 14</v>
          </cell>
        </row>
        <row r="185">
          <cell r="C185" t="str">
            <v>CFC Habilitation</v>
          </cell>
          <cell r="F185" t="str">
            <v>T1019SKU9UC - Children 6 - 14</v>
          </cell>
        </row>
        <row r="186">
          <cell r="C186" t="str">
            <v>PCS</v>
          </cell>
          <cell r="F186" t="str">
            <v>T1019SKUDU1 - Children 6 - 14</v>
          </cell>
        </row>
        <row r="187">
          <cell r="C187" t="str">
            <v>PCS</v>
          </cell>
          <cell r="F187" t="str">
            <v>T1019SKU1 - Children 6 - 14</v>
          </cell>
        </row>
        <row r="188">
          <cell r="C188" t="str">
            <v>PCS</v>
          </cell>
          <cell r="F188" t="str">
            <v>T1019SKU1 - Children 6 - 14</v>
          </cell>
        </row>
        <row r="189">
          <cell r="C189" t="str">
            <v>CFC Habilitation</v>
          </cell>
          <cell r="F189" t="str">
            <v>T1019SKU9UC - Children 6 - 14</v>
          </cell>
        </row>
        <row r="190">
          <cell r="C190" t="str">
            <v>PCS</v>
          </cell>
          <cell r="F190" t="str">
            <v>T1019SKUC - Children 6 - 14</v>
          </cell>
        </row>
        <row r="191">
          <cell r="C191" t="str">
            <v>PCS</v>
          </cell>
          <cell r="F191" t="str">
            <v>T1019SKU1 - Children 15 - 20</v>
          </cell>
        </row>
        <row r="192">
          <cell r="C192" t="str">
            <v>PCS</v>
          </cell>
          <cell r="F192" t="str">
            <v>T1019SKU1 - Children 15 - 20</v>
          </cell>
        </row>
        <row r="193">
          <cell r="C193" t="str">
            <v>PCS</v>
          </cell>
          <cell r="F193" t="str">
            <v>T1019SKUBU1 - Children 15 - 20</v>
          </cell>
        </row>
        <row r="194">
          <cell r="C194" t="str">
            <v>PCS</v>
          </cell>
          <cell r="F194" t="str">
            <v>T1019SKUBU1 - Children 15 - 20</v>
          </cell>
        </row>
        <row r="195">
          <cell r="C195" t="str">
            <v>PCS</v>
          </cell>
          <cell r="F195" t="str">
            <v>T1019SKUDUC - Children 15 - 20</v>
          </cell>
        </row>
        <row r="196">
          <cell r="C196" t="str">
            <v>CFC Habilitation</v>
          </cell>
          <cell r="F196" t="str">
            <v>T1019SKU9U1 - Children 15 - 20</v>
          </cell>
        </row>
        <row r="197">
          <cell r="C197" t="str">
            <v>PCS</v>
          </cell>
          <cell r="F197" t="str">
            <v>T1019SKUBUC - Children 15 - 20</v>
          </cell>
        </row>
        <row r="198">
          <cell r="C198" t="str">
            <v>PCS</v>
          </cell>
          <cell r="F198" t="str">
            <v>T1019SKUDUC - MDCP</v>
          </cell>
        </row>
        <row r="199">
          <cell r="C199" t="str">
            <v>PCS</v>
          </cell>
          <cell r="F199" t="str">
            <v>T1019SKUBU1 - MDCP</v>
          </cell>
        </row>
        <row r="200">
          <cell r="C200" t="str">
            <v>PCS</v>
          </cell>
          <cell r="F200" t="str">
            <v>T1019SKUDUCU6 - MDCP</v>
          </cell>
        </row>
        <row r="201">
          <cell r="C201" t="str">
            <v>CFC Habilitation</v>
          </cell>
          <cell r="F201" t="str">
            <v>T1019SKU9UCU6 - MDCP</v>
          </cell>
        </row>
        <row r="202">
          <cell r="C202" t="str">
            <v>PCS</v>
          </cell>
          <cell r="F202" t="str">
            <v>T1019SKUBU2 - MDCP</v>
          </cell>
        </row>
        <row r="203">
          <cell r="C203" t="str">
            <v>PCS</v>
          </cell>
          <cell r="F203" t="str">
            <v>T1019SKUDU1 - MDCP</v>
          </cell>
        </row>
        <row r="204">
          <cell r="C204" t="str">
            <v>CFC Habilitation</v>
          </cell>
          <cell r="F204" t="str">
            <v>T1019SKU9UC - MDCP</v>
          </cell>
        </row>
        <row r="205">
          <cell r="C205" t="str">
            <v>CFC Habilitation</v>
          </cell>
          <cell r="F205" t="str">
            <v>T1019SKU9UCU6 - MDCP</v>
          </cell>
        </row>
        <row r="206">
          <cell r="C206" t="str">
            <v>PCS</v>
          </cell>
          <cell r="F206" t="str">
            <v>T1019SKUDU1 - MDCP</v>
          </cell>
        </row>
        <row r="207">
          <cell r="C207" t="str">
            <v>PCS</v>
          </cell>
          <cell r="F207" t="str">
            <v>T1019SKUDU1 - MDCP</v>
          </cell>
        </row>
        <row r="208">
          <cell r="C208" t="str">
            <v>PCS</v>
          </cell>
          <cell r="F208" t="str">
            <v>T1019SKUDU1 - YES</v>
          </cell>
        </row>
        <row r="209">
          <cell r="C209" t="str">
            <v>CFC Habilitation</v>
          </cell>
          <cell r="F209" t="str">
            <v>T1019SKU9U1 - YES</v>
          </cell>
        </row>
        <row r="210">
          <cell r="C210" t="str">
            <v>PCS</v>
          </cell>
          <cell r="F210" t="str">
            <v>T1019SKU1 - YES</v>
          </cell>
        </row>
        <row r="211">
          <cell r="C211" t="str">
            <v>PCS</v>
          </cell>
          <cell r="F211" t="str">
            <v>T1019SKUBU1 - IDD</v>
          </cell>
        </row>
        <row r="212">
          <cell r="C212" t="str">
            <v>PCS</v>
          </cell>
          <cell r="F212" t="str">
            <v>T1019SKU1 - IDD</v>
          </cell>
        </row>
        <row r="213">
          <cell r="C213" t="str">
            <v>PCS</v>
          </cell>
          <cell r="F213" t="str">
            <v>T1019SKUBU1 - IDD</v>
          </cell>
        </row>
        <row r="214">
          <cell r="C214" t="str">
            <v>PCS</v>
          </cell>
          <cell r="F214" t="str">
            <v>T1019SHUDU1</v>
          </cell>
        </row>
        <row r="215">
          <cell r="C215" t="str">
            <v>PCS</v>
          </cell>
          <cell r="F215" t="str">
            <v>T1019SHUDUC</v>
          </cell>
        </row>
        <row r="216">
          <cell r="C216" t="str">
            <v>FMS</v>
          </cell>
          <cell r="F216" t="str">
            <v>T1019SHU8</v>
          </cell>
        </row>
        <row r="217">
          <cell r="C217" t="str">
            <v>CFC Habilitation</v>
          </cell>
          <cell r="F217" t="str">
            <v>T1019SKU9U1 - Avg SK Child Age</v>
          </cell>
        </row>
        <row r="218">
          <cell r="C218" t="str">
            <v>PCS</v>
          </cell>
          <cell r="F218" t="str">
            <v>T1019SKU1 - Avg SK Child Age</v>
          </cell>
        </row>
        <row r="219">
          <cell r="C219" t="str">
            <v>PCS</v>
          </cell>
          <cell r="F219" t="str">
            <v>T1019SKU1 - Avg SK Child Age</v>
          </cell>
        </row>
        <row r="220">
          <cell r="C220" t="str">
            <v>PCS</v>
          </cell>
          <cell r="F220" t="str">
            <v>T1019SKUBUC - Children 1 - 5</v>
          </cell>
        </row>
        <row r="221">
          <cell r="C221" t="str">
            <v>CFC Habilitation</v>
          </cell>
          <cell r="F221" t="str">
            <v>T1019SKU9U1 - Children 1 - 5</v>
          </cell>
        </row>
        <row r="222">
          <cell r="C222" t="str">
            <v>CFC Habilitation</v>
          </cell>
          <cell r="F222" t="str">
            <v>T1019SKU9UC - Children 1 - 5</v>
          </cell>
        </row>
        <row r="223">
          <cell r="C223" t="str">
            <v>CFC Habilitation</v>
          </cell>
          <cell r="F223" t="str">
            <v>T1019SKU9U1 - Children 1 - 5</v>
          </cell>
        </row>
        <row r="224">
          <cell r="C224" t="str">
            <v>CFC Habilitation</v>
          </cell>
          <cell r="F224" t="str">
            <v>T1019SKU9U1 - Children 1 - 5</v>
          </cell>
        </row>
        <row r="225">
          <cell r="C225" t="str">
            <v>CFC Habilitation</v>
          </cell>
          <cell r="F225" t="str">
            <v>T1019SKU9UC - Children 1 - 5</v>
          </cell>
        </row>
        <row r="226">
          <cell r="C226" t="str">
            <v>PCS</v>
          </cell>
          <cell r="F226" t="str">
            <v>T1019SKUDU1 - Children 6 - 14</v>
          </cell>
        </row>
        <row r="227">
          <cell r="C227" t="str">
            <v>PCS</v>
          </cell>
          <cell r="F227" t="str">
            <v>T1019SKUDUC - Children 6 - 14</v>
          </cell>
        </row>
        <row r="228">
          <cell r="C228" t="str">
            <v>PCS</v>
          </cell>
          <cell r="F228" t="str">
            <v>T1019SKUBUC - Children 6 - 14</v>
          </cell>
        </row>
        <row r="229">
          <cell r="C229" t="str">
            <v>PCS</v>
          </cell>
          <cell r="F229" t="str">
            <v>T1019SKUBUC - Children 6 - 14</v>
          </cell>
        </row>
        <row r="230">
          <cell r="C230" t="str">
            <v>CFC Habilitation</v>
          </cell>
          <cell r="F230" t="str">
            <v>T1019SKU9U2 - Children 6 - 14</v>
          </cell>
        </row>
        <row r="231">
          <cell r="C231" t="str">
            <v>PCS</v>
          </cell>
          <cell r="F231" t="str">
            <v>T1019SKUBU1 - Children 6 - 14</v>
          </cell>
        </row>
        <row r="232">
          <cell r="C232" t="str">
            <v>PCS</v>
          </cell>
          <cell r="F232" t="str">
            <v>T1019SKUBU1 - Children 6 - 14</v>
          </cell>
        </row>
        <row r="233">
          <cell r="C233" t="str">
            <v>PCS</v>
          </cell>
          <cell r="F233" t="str">
            <v>T1019SKUBU1 - Children 6 - 14</v>
          </cell>
        </row>
        <row r="234">
          <cell r="C234" t="str">
            <v>PCS</v>
          </cell>
          <cell r="F234" t="str">
            <v>T1019SKU1 - Children 6 - 14</v>
          </cell>
        </row>
        <row r="235">
          <cell r="C235" t="str">
            <v>CFC Habilitation</v>
          </cell>
          <cell r="F235" t="str">
            <v>T1019SKU9UC - Children 6 - 14</v>
          </cell>
        </row>
        <row r="236">
          <cell r="C236" t="str">
            <v>PCS</v>
          </cell>
          <cell r="F236" t="str">
            <v>T1019SKUBU1 - Children 6 - 14</v>
          </cell>
        </row>
        <row r="237">
          <cell r="C237" t="str">
            <v>PCS</v>
          </cell>
          <cell r="F237" t="str">
            <v>T1019SKUBU1 - Children 6 - 14</v>
          </cell>
        </row>
        <row r="238">
          <cell r="C238" t="str">
            <v>CFC Habilitation</v>
          </cell>
          <cell r="F238" t="str">
            <v>T1019SKU9UC - Children 15 - 20</v>
          </cell>
        </row>
        <row r="239">
          <cell r="C239" t="str">
            <v>CFC Habilitation</v>
          </cell>
          <cell r="F239" t="str">
            <v>T1019SKU9UCU6 - Children 15 - 20</v>
          </cell>
        </row>
        <row r="240">
          <cell r="C240" t="str">
            <v>PCS</v>
          </cell>
          <cell r="F240" t="str">
            <v>T1019SKUC - Children 15 - 20</v>
          </cell>
        </row>
        <row r="241">
          <cell r="C241" t="str">
            <v>PCS</v>
          </cell>
          <cell r="F241" t="str">
            <v>T1019SKUDU1 - Children 15 - 20</v>
          </cell>
        </row>
        <row r="242">
          <cell r="C242" t="str">
            <v>PCS</v>
          </cell>
          <cell r="F242" t="str">
            <v>T1019SKUBU2 - Children 15 - 20</v>
          </cell>
        </row>
        <row r="243">
          <cell r="C243" t="str">
            <v>PCS</v>
          </cell>
          <cell r="F243" t="str">
            <v>T1019SKUDU1 - Children 15 - 20</v>
          </cell>
        </row>
        <row r="244">
          <cell r="C244" t="str">
            <v>PCS</v>
          </cell>
          <cell r="F244" t="str">
            <v>T1019SKUDU1U6 - Children 15 - 20</v>
          </cell>
        </row>
        <row r="245">
          <cell r="C245" t="str">
            <v>PCS</v>
          </cell>
          <cell r="F245" t="str">
            <v>T1019SKUBUC - Children 15 - 20</v>
          </cell>
        </row>
        <row r="246">
          <cell r="C246" t="str">
            <v>PCS</v>
          </cell>
          <cell r="F246" t="str">
            <v>T1019SKUBUC - Children 15 - 20</v>
          </cell>
        </row>
        <row r="247">
          <cell r="C247" t="str">
            <v>PCS</v>
          </cell>
          <cell r="F247" t="str">
            <v>T1019SKUC - Children 15 - 20</v>
          </cell>
        </row>
        <row r="248">
          <cell r="C248" t="str">
            <v>PCS</v>
          </cell>
          <cell r="F248" t="str">
            <v>T1019SKUDU1 - Children 15 - 20</v>
          </cell>
        </row>
        <row r="249">
          <cell r="C249" t="str">
            <v>PCS</v>
          </cell>
          <cell r="F249" t="str">
            <v>T1019SKUDU1 - Children 15 - 20</v>
          </cell>
        </row>
        <row r="250">
          <cell r="C250" t="str">
            <v>PCS</v>
          </cell>
          <cell r="F250" t="str">
            <v>T1019SKUBUC - MDCP</v>
          </cell>
        </row>
        <row r="251">
          <cell r="C251" t="str">
            <v>CFC Habilitation</v>
          </cell>
          <cell r="F251" t="str">
            <v>T1019SKU9U1 - MDCP</v>
          </cell>
        </row>
        <row r="252">
          <cell r="C252" t="str">
            <v>CFC Habilitation</v>
          </cell>
          <cell r="F252" t="str">
            <v>T1019SKU9UCU6 - MDCP</v>
          </cell>
        </row>
        <row r="253">
          <cell r="C253" t="str">
            <v>CFC Habilitation</v>
          </cell>
          <cell r="F253" t="str">
            <v>T1019SKU9U1 - MDCP</v>
          </cell>
        </row>
        <row r="254">
          <cell r="C254" t="str">
            <v>CFC Habilitation</v>
          </cell>
          <cell r="F254" t="str">
            <v>T1019SKU9U1U6 - MDCP</v>
          </cell>
        </row>
        <row r="255">
          <cell r="C255" t="str">
            <v>PCS</v>
          </cell>
          <cell r="F255" t="str">
            <v>T1019SKUDUC - MDCP</v>
          </cell>
        </row>
        <row r="256">
          <cell r="C256" t="str">
            <v>PCS</v>
          </cell>
          <cell r="F256" t="str">
            <v>T1019SKUDUCU6 - MDCP</v>
          </cell>
        </row>
        <row r="257">
          <cell r="C257" t="str">
            <v>CFC Habilitation</v>
          </cell>
          <cell r="F257" t="str">
            <v>T1019SKU9U1 - MDCP</v>
          </cell>
        </row>
        <row r="258">
          <cell r="C258" t="str">
            <v>CFC Habilitation</v>
          </cell>
          <cell r="F258" t="str">
            <v>T1019SKU9U1 - MDCP</v>
          </cell>
        </row>
        <row r="259">
          <cell r="C259" t="str">
            <v>CFC Habilitation</v>
          </cell>
          <cell r="F259" t="str">
            <v>T1019SKU9UCU6 - MDCP</v>
          </cell>
        </row>
        <row r="260">
          <cell r="C260" t="str">
            <v>PCS</v>
          </cell>
          <cell r="F260" t="str">
            <v>T1019SKUBU1 - YES</v>
          </cell>
        </row>
        <row r="261">
          <cell r="C261" t="str">
            <v>CFC Habilitation</v>
          </cell>
          <cell r="F261" t="str">
            <v>T1019SKU9UC - YES</v>
          </cell>
        </row>
        <row r="262">
          <cell r="C262" t="str">
            <v>PCS</v>
          </cell>
          <cell r="F262" t="str">
            <v>T1019SKUBU1 - YES</v>
          </cell>
        </row>
        <row r="263">
          <cell r="C263" t="str">
            <v>PCS</v>
          </cell>
          <cell r="F263" t="str">
            <v>T1019SKUBU1 - YES</v>
          </cell>
        </row>
        <row r="264">
          <cell r="C264" t="str">
            <v>CFC Habilitation</v>
          </cell>
          <cell r="F264" t="str">
            <v>T1019SKU9UCU6 - IDD</v>
          </cell>
        </row>
        <row r="265">
          <cell r="C265" t="str">
            <v>PCS</v>
          </cell>
          <cell r="F265" t="str">
            <v>T1019SHUDUC</v>
          </cell>
        </row>
        <row r="266">
          <cell r="C266" t="str">
            <v>PCS</v>
          </cell>
          <cell r="F266" t="str">
            <v>T1019SHUDU1</v>
          </cell>
        </row>
        <row r="267">
          <cell r="C267" t="str">
            <v>PCS</v>
          </cell>
          <cell r="F267" t="str">
            <v>T1019SKUDU1 - Avg SK Child Age</v>
          </cell>
        </row>
        <row r="268">
          <cell r="C268" t="str">
            <v>PCS</v>
          </cell>
          <cell r="F268" t="str">
            <v>T1019SKUBU1 - Children 1 - 5</v>
          </cell>
        </row>
        <row r="269">
          <cell r="C269" t="str">
            <v>PCS</v>
          </cell>
          <cell r="F269" t="str">
            <v>T1019SKUBU1 - Children 1 - 5</v>
          </cell>
        </row>
        <row r="270">
          <cell r="C270" t="str">
            <v>CFC Habilitation</v>
          </cell>
          <cell r="F270" t="str">
            <v>T1019SKU9U1 - Children 1 - 5</v>
          </cell>
        </row>
        <row r="271">
          <cell r="C271" t="str">
            <v>CFC Habilitation</v>
          </cell>
          <cell r="F271" t="str">
            <v>T1019SKU9UC - Children 1 - 5</v>
          </cell>
        </row>
        <row r="272">
          <cell r="C272" t="str">
            <v>CFC Habilitation</v>
          </cell>
          <cell r="F272" t="str">
            <v>T1019SKU9U1 - Children 6 - 14</v>
          </cell>
        </row>
        <row r="273">
          <cell r="C273" t="str">
            <v>PCS</v>
          </cell>
          <cell r="F273" t="str">
            <v>T1019SKUDU2 - Children 6 - 14</v>
          </cell>
        </row>
        <row r="274">
          <cell r="C274" t="str">
            <v>PCS</v>
          </cell>
          <cell r="F274" t="str">
            <v>T1019SKU1 - Children 6 - 14</v>
          </cell>
        </row>
        <row r="275">
          <cell r="C275" t="str">
            <v>PCS</v>
          </cell>
          <cell r="F275" t="str">
            <v>T1019SKU1 - Children 6 - 14</v>
          </cell>
        </row>
        <row r="276">
          <cell r="C276" t="str">
            <v>PCS</v>
          </cell>
          <cell r="F276" t="str">
            <v>T1019SKU1 - Children 6 - 14</v>
          </cell>
        </row>
        <row r="277">
          <cell r="C277" t="str">
            <v>CFC Habilitation</v>
          </cell>
          <cell r="F277" t="str">
            <v>T1019SKU9UC - Children 6 - 14</v>
          </cell>
        </row>
        <row r="278">
          <cell r="C278" t="str">
            <v>CFC Habilitation</v>
          </cell>
          <cell r="F278" t="str">
            <v>T1019SKU9U1 - Children 6 - 14</v>
          </cell>
        </row>
        <row r="279">
          <cell r="C279" t="str">
            <v>PCS</v>
          </cell>
          <cell r="F279" t="str">
            <v>T1019SKUBU1 - Children 6 - 14</v>
          </cell>
        </row>
        <row r="280">
          <cell r="C280" t="str">
            <v>PCS</v>
          </cell>
          <cell r="F280" t="str">
            <v>T1019SKUBU1 - Children 6 - 14</v>
          </cell>
        </row>
        <row r="281">
          <cell r="C281" t="str">
            <v>PCS</v>
          </cell>
          <cell r="F281" t="str">
            <v>T1019SKU1 - Children 6 - 14</v>
          </cell>
        </row>
        <row r="282">
          <cell r="C282" t="str">
            <v>PCS</v>
          </cell>
          <cell r="F282" t="str">
            <v>T1019SKU1 - Children 6 - 14</v>
          </cell>
        </row>
        <row r="283">
          <cell r="C283" t="str">
            <v>PCS</v>
          </cell>
          <cell r="F283" t="str">
            <v>T1019SKUBU1 - Children 15 - 20</v>
          </cell>
        </row>
        <row r="284">
          <cell r="C284" t="str">
            <v>PCS</v>
          </cell>
          <cell r="F284" t="str">
            <v>T1019SKUBU1 - Children 15 - 20</v>
          </cell>
        </row>
        <row r="285">
          <cell r="C285" t="str">
            <v>CFC Habilitation</v>
          </cell>
          <cell r="F285" t="str">
            <v>T1019SKU9U1 - Children 15 - 20</v>
          </cell>
        </row>
        <row r="286">
          <cell r="C286" t="str">
            <v>CFC Habilitation</v>
          </cell>
          <cell r="F286" t="str">
            <v>T1019SKU9U1U6 - Children 15 - 20</v>
          </cell>
        </row>
        <row r="287">
          <cell r="C287" t="str">
            <v>PCS</v>
          </cell>
          <cell r="F287" t="str">
            <v>T1019SKUBUC - Children 15 - 20</v>
          </cell>
        </row>
        <row r="288">
          <cell r="C288" t="str">
            <v>PCS</v>
          </cell>
          <cell r="F288" t="str">
            <v>T1019SKUC - Children 15 - 20</v>
          </cell>
        </row>
        <row r="289">
          <cell r="C289" t="str">
            <v>PCS</v>
          </cell>
          <cell r="F289" t="str">
            <v>T1019SKUDU1 - Children 15 - 20</v>
          </cell>
        </row>
        <row r="290">
          <cell r="C290" t="str">
            <v>PCS</v>
          </cell>
          <cell r="F290" t="str">
            <v>T1019SKUDU1U6 - Children 15 - 20</v>
          </cell>
        </row>
        <row r="291">
          <cell r="C291" t="str">
            <v>PCS</v>
          </cell>
          <cell r="F291" t="str">
            <v>T1019SKUDUC - Children 15 - 20</v>
          </cell>
        </row>
        <row r="292">
          <cell r="C292" t="str">
            <v>CFC Habilitation</v>
          </cell>
          <cell r="F292" t="str">
            <v>T1019SKU9U1U6 - Children 15 - 20</v>
          </cell>
        </row>
        <row r="293">
          <cell r="C293" t="str">
            <v>PCS</v>
          </cell>
          <cell r="F293" t="str">
            <v>T1019SKUBUC - Children 15 - 20</v>
          </cell>
        </row>
        <row r="294">
          <cell r="C294" t="str">
            <v>PCS</v>
          </cell>
          <cell r="F294" t="str">
            <v>T1019SKUDU1U6 - MDCP</v>
          </cell>
        </row>
        <row r="295">
          <cell r="C295" t="str">
            <v>CFC Habilitation</v>
          </cell>
          <cell r="F295" t="str">
            <v>T1019SKU9UC - MDCP</v>
          </cell>
        </row>
        <row r="296">
          <cell r="C296" t="str">
            <v>CFC Habilitation</v>
          </cell>
          <cell r="F296" t="str">
            <v>T1019SKU9UC - MDCP</v>
          </cell>
        </row>
        <row r="297">
          <cell r="C297" t="str">
            <v>CFC Habilitation</v>
          </cell>
          <cell r="F297" t="str">
            <v>T1019SKU9UC - MDCP</v>
          </cell>
        </row>
        <row r="298">
          <cell r="C298" t="str">
            <v>PCS</v>
          </cell>
          <cell r="F298" t="str">
            <v>T1019SKUDU1 - MDCP</v>
          </cell>
        </row>
        <row r="299">
          <cell r="C299" t="str">
            <v>PCS</v>
          </cell>
          <cell r="F299" t="str">
            <v>T1019SKUDUC - MDCP</v>
          </cell>
        </row>
        <row r="300">
          <cell r="C300" t="str">
            <v>PCS</v>
          </cell>
          <cell r="F300" t="str">
            <v>T1019SKUDUCU6 - MDCP</v>
          </cell>
        </row>
        <row r="301">
          <cell r="C301" t="str">
            <v>CFC Habilitation</v>
          </cell>
          <cell r="F301" t="str">
            <v>T1019SKU9U1 - MDCP</v>
          </cell>
        </row>
        <row r="302">
          <cell r="C302" t="str">
            <v>CFC Habilitation</v>
          </cell>
          <cell r="F302" t="str">
            <v>T1019SKU9U1 - MDCP</v>
          </cell>
        </row>
        <row r="303">
          <cell r="C303" t="str">
            <v>CFC Habilitation</v>
          </cell>
          <cell r="F303" t="str">
            <v>T1019SKU9UC - MDCP</v>
          </cell>
        </row>
        <row r="304">
          <cell r="C304" t="str">
            <v>PCS</v>
          </cell>
          <cell r="F304" t="str">
            <v>T1019SKUDUC - MDCP</v>
          </cell>
        </row>
        <row r="305">
          <cell r="C305" t="str">
            <v>PCS</v>
          </cell>
          <cell r="F305" t="str">
            <v>T1019SKU1 - YES</v>
          </cell>
        </row>
        <row r="306">
          <cell r="C306" t="str">
            <v>PCS</v>
          </cell>
          <cell r="F306" t="str">
            <v>T1019SKU1 - YES</v>
          </cell>
        </row>
        <row r="307">
          <cell r="C307" t="str">
            <v>CFC Habilitation</v>
          </cell>
          <cell r="F307" t="str">
            <v>T1019SKU9UC - YES</v>
          </cell>
        </row>
        <row r="308">
          <cell r="C308" t="str">
            <v>PCS</v>
          </cell>
          <cell r="F308" t="str">
            <v>T1019SKU1 - YES</v>
          </cell>
        </row>
        <row r="309">
          <cell r="C309" t="str">
            <v>CFC Habilitation</v>
          </cell>
          <cell r="F309" t="str">
            <v>T1019SKU9UC - YES</v>
          </cell>
        </row>
        <row r="310">
          <cell r="C310" t="str">
            <v>PCS</v>
          </cell>
          <cell r="F310" t="str">
            <v>T1019SHU1</v>
          </cell>
        </row>
        <row r="311">
          <cell r="C311" t="str">
            <v>PCS</v>
          </cell>
          <cell r="F311" t="str">
            <v>T1019SHUC</v>
          </cell>
        </row>
        <row r="312">
          <cell r="C312" t="str">
            <v>CFC Habilitation</v>
          </cell>
          <cell r="F312" t="str">
            <v>T1019SKU9UCU6 - Avg SK Child Age</v>
          </cell>
        </row>
        <row r="313">
          <cell r="C313" t="str">
            <v>CFC Habilitation</v>
          </cell>
          <cell r="F313" t="str">
            <v>T1019SKU9U1 - Avg SK Child Age</v>
          </cell>
        </row>
        <row r="314">
          <cell r="C314" t="str">
            <v>PCS</v>
          </cell>
          <cell r="F314" t="str">
            <v>T1019SKUBU1 - Children 1 - 5</v>
          </cell>
        </row>
        <row r="315">
          <cell r="C315" t="str">
            <v>PCS</v>
          </cell>
          <cell r="F315" t="str">
            <v>T1019SKU1 - Children 1 - 5</v>
          </cell>
        </row>
        <row r="316">
          <cell r="C316" t="str">
            <v>PCS</v>
          </cell>
          <cell r="F316" t="str">
            <v>T1019SKU1 - Children 1 - 5</v>
          </cell>
        </row>
        <row r="317">
          <cell r="C317" t="str">
            <v>CFC Habilitation</v>
          </cell>
          <cell r="F317" t="str">
            <v>T1019SKU9U1 - Children 1 - 5</v>
          </cell>
        </row>
        <row r="318">
          <cell r="C318" t="str">
            <v>CFC Habilitation</v>
          </cell>
          <cell r="F318" t="str">
            <v>T1019SKU9UC - Children 1 - 5</v>
          </cell>
        </row>
        <row r="319">
          <cell r="C319" t="str">
            <v>PCS</v>
          </cell>
          <cell r="F319" t="str">
            <v>T1019SKUBU1 - Children 1 - 5</v>
          </cell>
        </row>
        <row r="320">
          <cell r="C320" t="str">
            <v>PCS</v>
          </cell>
          <cell r="F320" t="str">
            <v>T1019SKUBU1 - Children 1 - 5</v>
          </cell>
        </row>
        <row r="321">
          <cell r="C321" t="str">
            <v>PCS</v>
          </cell>
          <cell r="F321" t="str">
            <v>T1019SKUC - Children 1 - 5</v>
          </cell>
        </row>
        <row r="322">
          <cell r="C322" t="str">
            <v>PCS</v>
          </cell>
          <cell r="F322" t="str">
            <v>T1019SKUDU1 - Children 1 - 5</v>
          </cell>
        </row>
        <row r="323">
          <cell r="C323" t="str">
            <v>CFC Habilitation</v>
          </cell>
          <cell r="F323" t="str">
            <v>T1019SKU9UC - Children 1 - 5</v>
          </cell>
        </row>
        <row r="324">
          <cell r="C324" t="str">
            <v>CFC Habilitation</v>
          </cell>
          <cell r="F324" t="str">
            <v>T1019SKU9UC - Children 6 - 14</v>
          </cell>
        </row>
        <row r="325">
          <cell r="C325" t="str">
            <v>PCS</v>
          </cell>
          <cell r="F325" t="str">
            <v>T1019SKUDU1 - Children 6 - 14</v>
          </cell>
        </row>
        <row r="326">
          <cell r="C326" t="str">
            <v>PCS</v>
          </cell>
          <cell r="F326" t="str">
            <v>T1019SKUBU1 - Children 6 - 14</v>
          </cell>
        </row>
        <row r="327">
          <cell r="C327" t="str">
            <v>PCS</v>
          </cell>
          <cell r="F327" t="str">
            <v>T1019SKUDUC - Children 6 - 14</v>
          </cell>
        </row>
        <row r="328">
          <cell r="C328" t="str">
            <v>PCS</v>
          </cell>
          <cell r="F328" t="str">
            <v>T1019SKUBU1 - Children 6 - 14</v>
          </cell>
        </row>
        <row r="329">
          <cell r="C329" t="str">
            <v>PCS</v>
          </cell>
          <cell r="F329" t="str">
            <v>T1019SKUBU1 - Children 6 - 14</v>
          </cell>
        </row>
        <row r="330">
          <cell r="C330" t="str">
            <v>PCS</v>
          </cell>
          <cell r="F330" t="str">
            <v>T1019SKUBUC - Children 6 - 14</v>
          </cell>
        </row>
        <row r="331">
          <cell r="C331" t="str">
            <v>CFC Habilitation</v>
          </cell>
          <cell r="F331" t="str">
            <v>T1019SKU9U1 - Children 6 - 14</v>
          </cell>
        </row>
        <row r="332">
          <cell r="C332" t="str">
            <v>CFC Habilitation</v>
          </cell>
          <cell r="F332" t="str">
            <v>T1019SKU9UCU6 - Children 6 - 14</v>
          </cell>
        </row>
        <row r="333">
          <cell r="C333" t="str">
            <v>PCS</v>
          </cell>
          <cell r="F333" t="str">
            <v>T1019SKUDU1 - Children 6 - 14</v>
          </cell>
        </row>
        <row r="334">
          <cell r="C334" t="str">
            <v>CFC Habilitation</v>
          </cell>
          <cell r="F334" t="str">
            <v>T1019SKU9UC - Children 6 - 14</v>
          </cell>
        </row>
        <row r="335">
          <cell r="C335" t="str">
            <v>PCS</v>
          </cell>
          <cell r="F335" t="str">
            <v>T1019SKUBUC - Children 6 - 14</v>
          </cell>
        </row>
        <row r="336">
          <cell r="C336" t="str">
            <v>PCS</v>
          </cell>
          <cell r="F336" t="str">
            <v>T1019SKUBUC - Children 6 - 14</v>
          </cell>
        </row>
        <row r="337">
          <cell r="C337" t="str">
            <v>CFC Habilitation</v>
          </cell>
          <cell r="F337" t="str">
            <v>T1019SKU9U1 - Children 15 - 20</v>
          </cell>
        </row>
        <row r="338">
          <cell r="C338" t="str">
            <v>PCS</v>
          </cell>
          <cell r="F338" t="str">
            <v>T1019SKUDU2 - Children 15 - 20</v>
          </cell>
        </row>
        <row r="339">
          <cell r="C339" t="str">
            <v>CFC Habilitation</v>
          </cell>
          <cell r="F339" t="str">
            <v>T1019SKU9UC - Children 15 - 20</v>
          </cell>
        </row>
        <row r="340">
          <cell r="C340" t="str">
            <v>PCS</v>
          </cell>
          <cell r="F340" t="str">
            <v>T1019SKUDU1 - Children 15 - 20</v>
          </cell>
        </row>
        <row r="341">
          <cell r="C341" t="str">
            <v>CFC Habilitation</v>
          </cell>
          <cell r="F341" t="str">
            <v>T1019SKU9U1 - Children 15 - 20</v>
          </cell>
        </row>
        <row r="342">
          <cell r="C342" t="str">
            <v>PCS</v>
          </cell>
          <cell r="F342" t="str">
            <v>T1019SKUDU2 - Children 15 - 20</v>
          </cell>
        </row>
        <row r="343">
          <cell r="C343" t="str">
            <v>PCS</v>
          </cell>
          <cell r="F343" t="str">
            <v>T1019SKU1 - Children 15 - 20</v>
          </cell>
        </row>
        <row r="344">
          <cell r="C344" t="str">
            <v>PCS</v>
          </cell>
          <cell r="F344" t="str">
            <v>T1019SKU1 - Children 15 - 20</v>
          </cell>
        </row>
        <row r="345">
          <cell r="C345" t="str">
            <v>PCS</v>
          </cell>
          <cell r="F345" t="str">
            <v>T1019SKUDU1U6 - Children 15 - 20</v>
          </cell>
        </row>
        <row r="346">
          <cell r="C346" t="str">
            <v>PCS</v>
          </cell>
          <cell r="F346" t="str">
            <v>T1019SKUDUC - Children 15 - 20</v>
          </cell>
        </row>
        <row r="347">
          <cell r="C347" t="str">
            <v>CFC Habilitation</v>
          </cell>
          <cell r="F347" t="str">
            <v>T1019SKU9U1U6 - MDCP</v>
          </cell>
        </row>
        <row r="348">
          <cell r="C348" t="str">
            <v>PCS</v>
          </cell>
          <cell r="F348" t="str">
            <v>T1019SKU1 - MDCP</v>
          </cell>
        </row>
        <row r="349">
          <cell r="C349" t="str">
            <v>CFC Habilitation</v>
          </cell>
          <cell r="F349" t="str">
            <v>T1019SKU9U1 - MDCP</v>
          </cell>
        </row>
        <row r="350">
          <cell r="C350" t="str">
            <v>CFC Habilitation</v>
          </cell>
          <cell r="F350" t="str">
            <v>T1019SKU9UC - MDCP</v>
          </cell>
        </row>
        <row r="351">
          <cell r="C351" t="str">
            <v>PCS</v>
          </cell>
          <cell r="F351" t="str">
            <v>T1019SKUDU1 - MDCP</v>
          </cell>
        </row>
        <row r="352">
          <cell r="C352" t="str">
            <v>PCS</v>
          </cell>
          <cell r="F352" t="str">
            <v>T1019SKUDUC - MDCP</v>
          </cell>
        </row>
        <row r="353">
          <cell r="C353" t="str">
            <v>CFC Habilitation</v>
          </cell>
          <cell r="F353" t="str">
            <v>T1019SKU9U1U6 - MDCP</v>
          </cell>
        </row>
        <row r="354">
          <cell r="C354" t="str">
            <v>CFC Habilitation</v>
          </cell>
          <cell r="F354" t="str">
            <v>T1019SKU9UC - MDCP</v>
          </cell>
        </row>
        <row r="355">
          <cell r="C355" t="str">
            <v>CFC Habilitation</v>
          </cell>
          <cell r="F355" t="str">
            <v>T1019SKU9U1U6 - YES</v>
          </cell>
        </row>
        <row r="356">
          <cell r="C356" t="str">
            <v>PCS</v>
          </cell>
          <cell r="F356" t="str">
            <v>T1019SKUBU1 - YES</v>
          </cell>
        </row>
        <row r="357">
          <cell r="C357" t="str">
            <v>PCS</v>
          </cell>
          <cell r="F357" t="str">
            <v>T1019SKUBU1 - YES</v>
          </cell>
        </row>
        <row r="358">
          <cell r="C358" t="str">
            <v>CFC Habilitation</v>
          </cell>
          <cell r="F358" t="str">
            <v>T1019SKU9U1 - YES</v>
          </cell>
        </row>
        <row r="359">
          <cell r="C359" t="str">
            <v>CFC Habilitation</v>
          </cell>
          <cell r="F359" t="str">
            <v>T1019SKU9UC - YES</v>
          </cell>
        </row>
        <row r="360">
          <cell r="C360" t="str">
            <v>CFC Habilitation</v>
          </cell>
          <cell r="F360" t="str">
            <v>T1019SKU9U1 - IDD</v>
          </cell>
        </row>
        <row r="361">
          <cell r="C361" t="str">
            <v>PCS</v>
          </cell>
          <cell r="F361" t="str">
            <v>T1019SKU1 - IDD</v>
          </cell>
        </row>
        <row r="362">
          <cell r="C362" t="str">
            <v>PCS</v>
          </cell>
          <cell r="F362" t="str">
            <v>T1019SKU2 - Children 6 - 14</v>
          </cell>
        </row>
        <row r="363">
          <cell r="C363" t="str">
            <v>PCS</v>
          </cell>
          <cell r="F363" t="str">
            <v>T1019SKU2 - Children 6 - 14</v>
          </cell>
        </row>
        <row r="364">
          <cell r="C364" t="str">
            <v>PCS</v>
          </cell>
          <cell r="F364" t="str">
            <v>T1019SKU2</v>
          </cell>
        </row>
      </sheetData>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Ellison,Brooke (HHSC)" id="{E23BA8A6-A083-4889-B1A4-60E0968C2E47}" userId="S::brooke.ellison@hhs.texas.gov::63b5535b-fbee-4886-bb8f-17ef83fbd4e7" providerId="AD"/>
  <person displayName="Reed,Aleksandra (HHSC)" id="{E84754DA-4C31-4506-8717-A71A0734A45C}" userId="S::Aleksandra.Reed@hhs.texas.gov::24797346-867e-4344-9bf7-593b1120a7f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24" dT="2024-10-17T20:39:37.73" personId="{E84754DA-4C31-4506-8717-A71A0734A45C}" id="{CFAFECFE-43B4-4598-BCFD-12D49A32377A}">
    <text>DBMD Assisted Living assumes same ratio as RC/AL.</text>
  </threadedComment>
  <threadedComment ref="T84" dT="2025-02-07T00:34:32.80" personId="{E23BA8A6-A083-4889-B1A4-60E0968C2E47}" id="{7C30BD56-3440-453A-BB14-CB1FBB200AE3}">
    <text>Reverted back to prior UOS assumption</text>
  </threadedComment>
  <threadedComment ref="T129" dT="2025-02-07T00:36:45.40" personId="{E23BA8A6-A083-4889-B1A4-60E0968C2E47}" id="{43CABA73-A619-4DC8-9FFF-1E03D92AE36A}">
    <text>Reverted back to prior assumption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1FB3-F771-4A6F-A116-A0BE291A73E3}">
  <sheetPr>
    <tabColor theme="6" tint="0.79998168889431442"/>
    <pageSetUpPr fitToPage="1"/>
  </sheetPr>
  <dimension ref="A1:J132"/>
  <sheetViews>
    <sheetView tabSelected="1" zoomScale="80" zoomScaleNormal="80" zoomScaleSheetLayoutView="70" workbookViewId="0">
      <pane xSplit="1" ySplit="19" topLeftCell="B20" activePane="bottomRight" state="frozen"/>
      <selection pane="bottomRight"/>
      <selection pane="bottomLeft" activeCell="A20" sqref="A20"/>
      <selection pane="topRight" activeCell="B1" sqref="B1"/>
    </sheetView>
  </sheetViews>
  <sheetFormatPr defaultColWidth="8.5703125" defaultRowHeight="12.6"/>
  <cols>
    <col min="1" max="1" width="61.85546875" style="31" customWidth="1"/>
    <col min="2" max="3" width="21.28515625" style="24" bestFit="1" customWidth="1"/>
    <col min="4" max="4" width="24.140625" style="32" customWidth="1"/>
    <col min="5" max="7" width="21.28515625" style="32" customWidth="1"/>
    <col min="8" max="9" width="18.28515625" style="33" customWidth="1"/>
    <col min="10" max="10" width="28.42578125" style="361" hidden="1" customWidth="1"/>
    <col min="11" max="16384" width="8.5703125" style="361"/>
  </cols>
  <sheetData>
    <row r="1" spans="1:10" s="344" customFormat="1" ht="16.149999999999999">
      <c r="A1" s="365" t="s">
        <v>0</v>
      </c>
      <c r="C1" s="23"/>
      <c r="D1" s="23"/>
      <c r="E1" s="23"/>
      <c r="F1" s="64"/>
      <c r="G1" s="23"/>
      <c r="H1" s="23"/>
      <c r="I1" s="23"/>
    </row>
    <row r="2" spans="1:10" s="344" customFormat="1" ht="16.149999999999999">
      <c r="A2" s="342" t="s">
        <v>1</v>
      </c>
      <c r="B2" s="342"/>
      <c r="C2" s="342"/>
      <c r="D2" s="342"/>
      <c r="E2" s="342"/>
      <c r="F2" s="342"/>
      <c r="G2" s="342"/>
      <c r="H2" s="342"/>
      <c r="I2" s="342"/>
    </row>
    <row r="3" spans="1:10" s="344" customFormat="1" ht="16.149999999999999">
      <c r="A3" s="342" t="s">
        <v>2</v>
      </c>
      <c r="B3" s="342"/>
      <c r="C3" s="342"/>
      <c r="D3" s="342"/>
      <c r="E3" s="342"/>
      <c r="F3" s="342"/>
      <c r="G3" s="342"/>
      <c r="H3" s="342"/>
      <c r="I3" s="342"/>
    </row>
    <row r="4" spans="1:10" ht="16.149999999999999">
      <c r="A4" s="343" t="s">
        <v>3</v>
      </c>
      <c r="B4" s="343"/>
      <c r="C4" s="343"/>
      <c r="D4" s="343"/>
      <c r="E4" s="343"/>
      <c r="F4" s="343"/>
      <c r="G4" s="343"/>
      <c r="H4" s="343"/>
      <c r="I4" s="343"/>
    </row>
    <row r="5" spans="1:10" ht="16.149999999999999">
      <c r="A5" s="343" t="s">
        <v>4</v>
      </c>
      <c r="B5" s="343"/>
      <c r="C5" s="343"/>
      <c r="D5" s="343"/>
      <c r="E5" s="343"/>
      <c r="F5" s="343"/>
      <c r="G5" s="343"/>
      <c r="H5" s="343"/>
      <c r="I5" s="343"/>
    </row>
    <row r="6" spans="1:10" ht="13.15" thickBot="1">
      <c r="A6" s="25"/>
      <c r="B6" s="26"/>
      <c r="C6" s="26"/>
      <c r="D6" s="27"/>
      <c r="E6" s="27"/>
      <c r="F6" s="27"/>
      <c r="G6" s="27"/>
      <c r="H6" s="28"/>
      <c r="I6" s="28"/>
    </row>
    <row r="7" spans="1:10" ht="27.6" customHeight="1" thickBot="1">
      <c r="A7" s="86" t="s">
        <v>5</v>
      </c>
      <c r="B7" s="467">
        <v>10.6</v>
      </c>
      <c r="C7" s="468"/>
      <c r="D7" s="471" t="s">
        <v>6</v>
      </c>
      <c r="E7" s="472"/>
      <c r="F7" s="472"/>
      <c r="G7" s="472"/>
      <c r="H7" s="472"/>
      <c r="I7" s="473"/>
    </row>
    <row r="8" spans="1:10" ht="27.6" customHeight="1" thickBot="1">
      <c r="A8" s="60" t="s">
        <v>7</v>
      </c>
      <c r="B8" s="469">
        <v>0.1075</v>
      </c>
      <c r="C8" s="470"/>
      <c r="D8" s="474" t="s">
        <v>6</v>
      </c>
      <c r="E8" s="475"/>
      <c r="F8" s="475"/>
      <c r="G8" s="475"/>
      <c r="H8" s="475"/>
      <c r="I8" s="476"/>
    </row>
    <row r="9" spans="1:10" ht="27.6" customHeight="1" thickBot="1">
      <c r="A9" s="60" t="s">
        <v>8</v>
      </c>
      <c r="B9" s="469">
        <v>0.1075</v>
      </c>
      <c r="C9" s="470"/>
      <c r="D9" s="477" t="s">
        <v>6</v>
      </c>
      <c r="E9" s="478"/>
      <c r="F9" s="478"/>
      <c r="G9" s="478"/>
      <c r="H9" s="478"/>
      <c r="I9" s="479"/>
    </row>
    <row r="10" spans="1:10">
      <c r="A10" s="25"/>
      <c r="B10" s="26"/>
      <c r="C10" s="26"/>
      <c r="D10" s="27"/>
      <c r="E10" s="27"/>
      <c r="F10" s="27"/>
      <c r="G10" s="27"/>
      <c r="H10" s="28"/>
      <c r="I10" s="28"/>
      <c r="J10" s="361" t="s">
        <v>9</v>
      </c>
    </row>
    <row r="11" spans="1:10">
      <c r="A11" s="466" t="s">
        <v>10</v>
      </c>
      <c r="B11" s="466"/>
      <c r="C11" s="466"/>
      <c r="D11" s="466"/>
      <c r="E11" s="466"/>
      <c r="F11" s="466"/>
      <c r="G11" s="466"/>
      <c r="H11" s="466"/>
      <c r="I11" s="466"/>
    </row>
    <row r="12" spans="1:10">
      <c r="A12" s="61"/>
      <c r="B12" s="61"/>
      <c r="C12" s="61"/>
      <c r="D12" s="61"/>
      <c r="E12" s="61"/>
      <c r="F12" s="61"/>
      <c r="G12" s="61"/>
      <c r="H12" s="61"/>
      <c r="I12" s="61"/>
    </row>
    <row r="13" spans="1:10" s="453" customFormat="1" ht="11.45">
      <c r="A13" s="34" t="s">
        <v>11</v>
      </c>
      <c r="B13" s="29"/>
      <c r="C13" s="29"/>
      <c r="D13" s="29"/>
      <c r="E13" s="29"/>
      <c r="F13" s="29"/>
      <c r="G13" s="29"/>
      <c r="H13" s="30"/>
      <c r="I13" s="30"/>
    </row>
    <row r="14" spans="1:10" s="453" customFormat="1" ht="28.15" customHeight="1">
      <c r="A14" s="480" t="s">
        <v>12</v>
      </c>
      <c r="B14" s="480"/>
      <c r="C14" s="480"/>
      <c r="D14" s="480"/>
      <c r="E14" s="480"/>
      <c r="F14" s="480"/>
      <c r="G14" s="480"/>
      <c r="H14" s="480"/>
      <c r="I14" s="480"/>
    </row>
    <row r="15" spans="1:10" s="453" customFormat="1" ht="28.15" customHeight="1">
      <c r="A15" s="480" t="s">
        <v>13</v>
      </c>
      <c r="B15" s="480"/>
      <c r="C15" s="480"/>
      <c r="D15" s="480"/>
      <c r="E15" s="480"/>
      <c r="F15" s="480"/>
      <c r="G15" s="480"/>
      <c r="H15" s="480"/>
      <c r="I15" s="480"/>
    </row>
    <row r="16" spans="1:10" ht="13.15" thickBot="1">
      <c r="A16" s="366"/>
      <c r="B16" s="361"/>
      <c r="C16" s="361"/>
      <c r="D16" s="367"/>
      <c r="E16" s="367"/>
      <c r="F16" s="367"/>
      <c r="G16" s="367"/>
      <c r="H16" s="368"/>
      <c r="I16" s="368"/>
    </row>
    <row r="17" spans="1:10">
      <c r="A17" s="464" t="s">
        <v>14</v>
      </c>
      <c r="B17" s="35" t="s">
        <v>15</v>
      </c>
      <c r="C17" s="36"/>
      <c r="D17" s="347"/>
      <c r="E17" s="35" t="s">
        <v>16</v>
      </c>
      <c r="F17" s="36"/>
      <c r="G17" s="347"/>
      <c r="H17" s="399" t="s">
        <v>17</v>
      </c>
      <c r="I17" s="440"/>
    </row>
    <row r="18" spans="1:10" ht="13.15" thickBot="1">
      <c r="A18" s="465"/>
      <c r="B18" s="415" t="s">
        <v>18</v>
      </c>
      <c r="C18" s="416" t="s">
        <v>19</v>
      </c>
      <c r="D18" s="417" t="s">
        <v>20</v>
      </c>
      <c r="E18" s="415" t="s">
        <v>18</v>
      </c>
      <c r="F18" s="416" t="s">
        <v>19</v>
      </c>
      <c r="G18" s="417" t="s">
        <v>20</v>
      </c>
      <c r="H18" s="418" t="s">
        <v>15</v>
      </c>
      <c r="I18" s="441" t="s">
        <v>16</v>
      </c>
    </row>
    <row r="19" spans="1:10" ht="13.15" thickBot="1">
      <c r="A19" s="37" t="s">
        <v>21</v>
      </c>
      <c r="B19" s="411">
        <f t="shared" ref="B19:I19" si="0">B117</f>
        <v>0</v>
      </c>
      <c r="C19" s="412">
        <f t="shared" si="0"/>
        <v>0</v>
      </c>
      <c r="D19" s="413">
        <f t="shared" si="0"/>
        <v>0</v>
      </c>
      <c r="E19" s="411">
        <f t="shared" si="0"/>
        <v>0</v>
      </c>
      <c r="F19" s="412">
        <f t="shared" si="0"/>
        <v>0</v>
      </c>
      <c r="G19" s="413">
        <f t="shared" si="0"/>
        <v>0</v>
      </c>
      <c r="H19" s="414">
        <f t="shared" si="0"/>
        <v>0</v>
      </c>
      <c r="I19" s="442">
        <f t="shared" si="0"/>
        <v>0</v>
      </c>
      <c r="J19" s="363"/>
    </row>
    <row r="20" spans="1:10">
      <c r="A20" s="38" t="s">
        <v>22</v>
      </c>
      <c r="B20" s="39"/>
      <c r="C20" s="40"/>
      <c r="D20" s="348"/>
      <c r="E20" s="39"/>
      <c r="F20" s="40"/>
      <c r="G20" s="348"/>
      <c r="H20" s="402"/>
      <c r="I20" s="443"/>
      <c r="J20" s="363"/>
    </row>
    <row r="21" spans="1:10" s="362" customFormat="1">
      <c r="A21" s="41" t="s">
        <v>23</v>
      </c>
      <c r="B21" s="41"/>
      <c r="C21" s="42"/>
      <c r="D21" s="349"/>
      <c r="E21" s="41"/>
      <c r="F21" s="42"/>
      <c r="G21" s="349"/>
      <c r="H21" s="403"/>
      <c r="I21" s="444"/>
      <c r="J21" s="363"/>
    </row>
    <row r="22" spans="1:10">
      <c r="A22" s="43" t="s">
        <v>24</v>
      </c>
      <c r="B22" s="44">
        <f>SUMIFS('Fiscal Calculation'!AO:AO,'Fiscal Calculation'!J:J,'Fiscal by Program'!$J22)</f>
        <v>0</v>
      </c>
      <c r="C22" s="345">
        <f>B22-D22</f>
        <v>0</v>
      </c>
      <c r="D22" s="350">
        <f>SUMIFS('Fiscal Calculation'!AP:AP,'Fiscal Calculation'!J:J,'Fiscal by Program'!$J22)</f>
        <v>0</v>
      </c>
      <c r="E22" s="44">
        <f>SUMIFS('Fiscal Calculation'!AQ:AQ,'Fiscal Calculation'!J:J,'Fiscal by Program'!$J22)</f>
        <v>0</v>
      </c>
      <c r="F22" s="345">
        <f>E22-G22</f>
        <v>0</v>
      </c>
      <c r="G22" s="350">
        <f>SUMIFS('Fiscal Calculation'!AR:AR,'Fiscal Calculation'!J:J,'Fiscal by Program'!$J22)</f>
        <v>0</v>
      </c>
      <c r="H22" s="400" t="str">
        <f>IF(B22&gt;0,SUMIFS('Fiscal Calculation'!AM:AM,'Fiscal Calculation'!J:J,'Fiscal by Program'!$J22),"")</f>
        <v/>
      </c>
      <c r="I22" s="445" t="str">
        <f>IF(E22&gt;0,SUMIFS('Fiscal Calculation'!AN:AN,'Fiscal Calculation'!J:J,'Fiscal by Program'!$J22),"")</f>
        <v/>
      </c>
      <c r="J22" s="363" t="str" cm="1">
        <f t="array" ref="J22">INDEX('Rate Table Service Desc XWalk'!F:F,MATCH(1,(A22='Rate Table Service Desc XWalk'!B:B)*("CLASS"='Rate Table Service Desc XWalk'!A:A),0))</f>
        <v>1-1-23</v>
      </c>
    </row>
    <row r="23" spans="1:10">
      <c r="A23" s="43" t="s">
        <v>25</v>
      </c>
      <c r="B23" s="44">
        <f>SUMIFS('Fiscal Calculation'!AO:AO,'Fiscal Calculation'!J:J,'Fiscal by Program'!$J23)</f>
        <v>0</v>
      </c>
      <c r="C23" s="345">
        <f t="shared" ref="C23:C29" si="1">B23-D23</f>
        <v>0</v>
      </c>
      <c r="D23" s="350">
        <f>SUMIFS('Fiscal Calculation'!AP:AP,'Fiscal Calculation'!J:J,'Fiscal by Program'!$J23)</f>
        <v>0</v>
      </c>
      <c r="E23" s="44">
        <f>SUMIFS('Fiscal Calculation'!AQ:AQ,'Fiscal Calculation'!J:J,'Fiscal by Program'!$J23)</f>
        <v>0</v>
      </c>
      <c r="F23" s="345">
        <f t="shared" ref="F23:F29" si="2">E23-G23</f>
        <v>0</v>
      </c>
      <c r="G23" s="350">
        <f>SUMIFS('Fiscal Calculation'!AR:AR,'Fiscal Calculation'!J:J,'Fiscal by Program'!$J23)</f>
        <v>0</v>
      </c>
      <c r="H23" s="400" t="str">
        <f>IF(B23&gt;0,SUMIFS('Fiscal Calculation'!AM:AM,'Fiscal Calculation'!J:J,'Fiscal by Program'!$J23),"")</f>
        <v/>
      </c>
      <c r="I23" s="445" t="str">
        <f>IF(E23&gt;0,SUMIFS('Fiscal Calculation'!AN:AN,'Fiscal Calculation'!J:J,'Fiscal by Program'!$J23),"")</f>
        <v/>
      </c>
      <c r="J23" s="363" t="str" cm="1">
        <f t="array" ref="J23">INDEX('Rate Table Service Desc XWalk'!F:F,MATCH(1,(A23='Rate Table Service Desc XWalk'!B:B)*("CLASS"='Rate Table Service Desc XWalk'!A:A),0))</f>
        <v>1-1-26</v>
      </c>
    </row>
    <row r="24" spans="1:10">
      <c r="A24" s="43" t="s">
        <v>26</v>
      </c>
      <c r="B24" s="44">
        <f>SUMIFS('Fiscal Calculation'!AO:AO,'Fiscal Calculation'!J:J,'Fiscal by Program'!$J24)</f>
        <v>0</v>
      </c>
      <c r="C24" s="345">
        <f t="shared" si="1"/>
        <v>0</v>
      </c>
      <c r="D24" s="350">
        <f>SUMIFS('Fiscal Calculation'!AP:AP,'Fiscal Calculation'!J:J,'Fiscal by Program'!$J24)</f>
        <v>0</v>
      </c>
      <c r="E24" s="44">
        <f>SUMIFS('Fiscal Calculation'!AQ:AQ,'Fiscal Calculation'!J:J,'Fiscal by Program'!$J24)</f>
        <v>0</v>
      </c>
      <c r="F24" s="345">
        <f t="shared" si="2"/>
        <v>0</v>
      </c>
      <c r="G24" s="350">
        <f>SUMIFS('Fiscal Calculation'!AR:AR,'Fiscal Calculation'!J:J,'Fiscal by Program'!$J24)</f>
        <v>0</v>
      </c>
      <c r="H24" s="400" t="str">
        <f>IF(B24&gt;0,SUMIFS('Fiscal Calculation'!AM:AM,'Fiscal Calculation'!J:J,'Fiscal by Program'!$J24),"")</f>
        <v/>
      </c>
      <c r="I24" s="445" t="str">
        <f>IF(E24&gt;0,SUMIFS('Fiscal Calculation'!AN:AN,'Fiscal Calculation'!J:J,'Fiscal by Program'!$J24),"")</f>
        <v/>
      </c>
      <c r="J24" s="363" t="str" cm="1">
        <f t="array" ref="J24">INDEX('Rate Table Service Desc XWalk'!F:F,MATCH(1,(A24='Rate Table Service Desc XWalk'!B:B)*("CLASS"='Rate Table Service Desc XWalk'!A:A),0))</f>
        <v>1-1-55</v>
      </c>
    </row>
    <row r="25" spans="1:10">
      <c r="A25" s="43" t="s">
        <v>27</v>
      </c>
      <c r="B25" s="44">
        <f>SUMIFS('Fiscal Calculation'!AO:AO,'Fiscal Calculation'!J:J,'Fiscal by Program'!$J25)</f>
        <v>0</v>
      </c>
      <c r="C25" s="345">
        <f t="shared" si="1"/>
        <v>0</v>
      </c>
      <c r="D25" s="350">
        <f>SUMIFS('Fiscal Calculation'!AP:AP,'Fiscal Calculation'!J:J,'Fiscal by Program'!$J25)</f>
        <v>0</v>
      </c>
      <c r="E25" s="44">
        <f>SUMIFS('Fiscal Calculation'!AQ:AQ,'Fiscal Calculation'!J:J,'Fiscal by Program'!$J25)</f>
        <v>0</v>
      </c>
      <c r="F25" s="345">
        <f t="shared" si="2"/>
        <v>0</v>
      </c>
      <c r="G25" s="350">
        <f>SUMIFS('Fiscal Calculation'!AR:AR,'Fiscal Calculation'!J:J,'Fiscal by Program'!$J25)</f>
        <v>0</v>
      </c>
      <c r="H25" s="400" t="str">
        <f>IF(B25&gt;0,SUMIFS('Fiscal Calculation'!AM:AM,'Fiscal Calculation'!J:J,'Fiscal by Program'!$J25),"")</f>
        <v/>
      </c>
      <c r="I25" s="445" t="str">
        <f>IF(E25&gt;0,SUMIFS('Fiscal Calculation'!AN:AN,'Fiscal Calculation'!J:J,'Fiscal by Program'!$J25),"")</f>
        <v/>
      </c>
      <c r="J25" s="363" t="str" cm="1">
        <f t="array" ref="J25">INDEX('Rate Table Service Desc XWalk'!F:F,MATCH(1,(A25='Rate Table Service Desc XWalk'!B:B)*("CLASS"='Rate Table Service Desc XWalk'!A:A),0))</f>
        <v>1-1-78</v>
      </c>
    </row>
    <row r="26" spans="1:10">
      <c r="A26" s="43" t="s">
        <v>28</v>
      </c>
      <c r="B26" s="44">
        <f>SUMIFS('Fiscal Calculation'!AO:AO,'Fiscal Calculation'!J:J,'Fiscal by Program'!$J26)</f>
        <v>0</v>
      </c>
      <c r="C26" s="345">
        <f t="shared" si="1"/>
        <v>0</v>
      </c>
      <c r="D26" s="350">
        <f>SUMIFS('Fiscal Calculation'!AP:AP,'Fiscal Calculation'!J:J,'Fiscal by Program'!$J26)</f>
        <v>0</v>
      </c>
      <c r="E26" s="44">
        <f>SUMIFS('Fiscal Calculation'!AQ:AQ,'Fiscal Calculation'!J:J,'Fiscal by Program'!$J26)</f>
        <v>0</v>
      </c>
      <c r="F26" s="345">
        <f t="shared" si="2"/>
        <v>0</v>
      </c>
      <c r="G26" s="350">
        <f>SUMIFS('Fiscal Calculation'!AR:AR,'Fiscal Calculation'!J:J,'Fiscal by Program'!$J26)</f>
        <v>0</v>
      </c>
      <c r="H26" s="400" t="str">
        <f>IF(B26&gt;0,SUMIFS('Fiscal Calculation'!AM:AM,'Fiscal Calculation'!J:J,'Fiscal by Program'!$J26),"")</f>
        <v/>
      </c>
      <c r="I26" s="445" t="str">
        <f>IF(E26&gt;0,SUMIFS('Fiscal Calculation'!AN:AN,'Fiscal Calculation'!J:J,'Fiscal by Program'!$J26),"")</f>
        <v/>
      </c>
      <c r="J26" s="363" t="str" cm="1">
        <f t="array" ref="J26">INDEX('Rate Table Service Desc XWalk'!F:F,MATCH(1,(A26='Rate Table Service Desc XWalk'!B:B)*("CLASS"='Rate Table Service Desc XWalk'!A:A),0))</f>
        <v>1-5-121</v>
      </c>
    </row>
    <row r="27" spans="1:10">
      <c r="A27" s="43" t="s">
        <v>29</v>
      </c>
      <c r="B27" s="44">
        <f>SUMIFS('Fiscal Calculation'!AO:AO,'Fiscal Calculation'!J:J,'Fiscal by Program'!$J27)</f>
        <v>0</v>
      </c>
      <c r="C27" s="345">
        <f t="shared" si="1"/>
        <v>0</v>
      </c>
      <c r="D27" s="350">
        <f>SUMIFS('Fiscal Calculation'!AP:AP,'Fiscal Calculation'!J:J,'Fiscal by Program'!$J27)</f>
        <v>0</v>
      </c>
      <c r="E27" s="44">
        <f>SUMIFS('Fiscal Calculation'!AQ:AQ,'Fiscal Calculation'!J:J,'Fiscal by Program'!$J27)</f>
        <v>0</v>
      </c>
      <c r="F27" s="345">
        <f t="shared" si="2"/>
        <v>0</v>
      </c>
      <c r="G27" s="350">
        <f>SUMIFS('Fiscal Calculation'!AR:AR,'Fiscal Calculation'!J:J,'Fiscal by Program'!$J27)</f>
        <v>0</v>
      </c>
      <c r="H27" s="400" t="str">
        <f>IF(B27&gt;0,SUMIFS('Fiscal Calculation'!AM:AM,'Fiscal Calculation'!J:J,'Fiscal by Program'!$J27),"")</f>
        <v/>
      </c>
      <c r="I27" s="445" t="str">
        <f>IF(E27&gt;0,SUMIFS('Fiscal Calculation'!AN:AN,'Fiscal Calculation'!J:J,'Fiscal by Program'!$J27),"")</f>
        <v/>
      </c>
      <c r="J27" s="363" t="str" cm="1">
        <f t="array" ref="J27">INDEX('Rate Table Service Desc XWalk'!F:F,MATCH(1,(A27='Rate Table Service Desc XWalk'!B:B)*("CLASS"='Rate Table Service Desc XWalk'!A:A),0))</f>
        <v>1-5-122</v>
      </c>
    </row>
    <row r="28" spans="1:10">
      <c r="A28" s="43" t="s">
        <v>30</v>
      </c>
      <c r="B28" s="44">
        <f>SUMIFS('Fiscal Calculation'!AO:AO,'Fiscal Calculation'!J:J,'Fiscal by Program'!$J28)</f>
        <v>0</v>
      </c>
      <c r="C28" s="345">
        <f t="shared" si="1"/>
        <v>0</v>
      </c>
      <c r="D28" s="350">
        <f>SUMIFS('Fiscal Calculation'!AP:AP,'Fiscal Calculation'!J:J,'Fiscal by Program'!$J28)</f>
        <v>0</v>
      </c>
      <c r="E28" s="44">
        <f>SUMIFS('Fiscal Calculation'!AQ:AQ,'Fiscal Calculation'!J:J,'Fiscal by Program'!$J28)</f>
        <v>0</v>
      </c>
      <c r="F28" s="345">
        <f t="shared" si="2"/>
        <v>0</v>
      </c>
      <c r="G28" s="350">
        <f>SUMIFS('Fiscal Calculation'!AR:AR,'Fiscal Calculation'!J:J,'Fiscal by Program'!$J28)</f>
        <v>0</v>
      </c>
      <c r="H28" s="400" t="str">
        <f>IF(B28&gt;0,SUMIFS('Fiscal Calculation'!AM:AM,'Fiscal Calculation'!J:J,'Fiscal by Program'!$J28),"")</f>
        <v/>
      </c>
      <c r="I28" s="445" t="str">
        <f>IF(E28&gt;0,SUMIFS('Fiscal Calculation'!AN:AN,'Fiscal Calculation'!J:J,'Fiscal by Program'!$J28),"")</f>
        <v/>
      </c>
      <c r="J28" s="363" t="str" cm="1">
        <f t="array" ref="J28">INDEX('Rate Table Service Desc XWalk'!F:F,MATCH(1,(A28='Rate Table Service Desc XWalk'!B:B)*("CLASS"='Rate Table Service Desc XWalk'!A:A),0))</f>
        <v>1-5-136</v>
      </c>
    </row>
    <row r="29" spans="1:10">
      <c r="A29" s="43" t="s">
        <v>31</v>
      </c>
      <c r="B29" s="44">
        <f>SUMIFS('Fiscal Calculation'!AO:AO,'Fiscal Calculation'!J:J,'Fiscal by Program'!$J29)</f>
        <v>0</v>
      </c>
      <c r="C29" s="345">
        <f t="shared" si="1"/>
        <v>0</v>
      </c>
      <c r="D29" s="350">
        <f>SUMIFS('Fiscal Calculation'!AP:AP,'Fiscal Calculation'!J:J,'Fiscal by Program'!$J29)</f>
        <v>0</v>
      </c>
      <c r="E29" s="44">
        <f>SUMIFS('Fiscal Calculation'!AQ:AQ,'Fiscal Calculation'!J:J,'Fiscal by Program'!$J29)</f>
        <v>0</v>
      </c>
      <c r="F29" s="345">
        <f t="shared" si="2"/>
        <v>0</v>
      </c>
      <c r="G29" s="350">
        <f>SUMIFS('Fiscal Calculation'!AR:AR,'Fiscal Calculation'!J:J,'Fiscal by Program'!$J29)</f>
        <v>0</v>
      </c>
      <c r="H29" s="400" t="str">
        <f>IF(B29&gt;0,SUMIFS('Fiscal Calculation'!AM:AM,'Fiscal Calculation'!J:J,'Fiscal by Program'!$J29),"")</f>
        <v/>
      </c>
      <c r="I29" s="445" t="str">
        <f>IF(E29&gt;0,SUMIFS('Fiscal Calculation'!AN:AN,'Fiscal Calculation'!J:J,'Fiscal by Program'!$J29),"")</f>
        <v/>
      </c>
      <c r="J29" s="363" t="str" cm="1">
        <f t="array" ref="J29">INDEX('Rate Table Service Desc XWalk'!F:F,MATCH(1,(A29='Rate Table Service Desc XWalk'!B:B)*("CLASS"='Rate Table Service Desc XWalk'!A:A),0))</f>
        <v>1-5-142</v>
      </c>
    </row>
    <row r="30" spans="1:10">
      <c r="A30" s="45" t="s">
        <v>32</v>
      </c>
      <c r="B30" s="46">
        <f>SUM(B22:B29)</f>
        <v>0</v>
      </c>
      <c r="C30" s="47">
        <f t="shared" ref="C30:I30" si="3">SUM(C22:C29)</f>
        <v>0</v>
      </c>
      <c r="D30" s="351">
        <f t="shared" si="3"/>
        <v>0</v>
      </c>
      <c r="E30" s="46">
        <f t="shared" si="3"/>
        <v>0</v>
      </c>
      <c r="F30" s="47">
        <f t="shared" si="3"/>
        <v>0</v>
      </c>
      <c r="G30" s="351">
        <f t="shared" si="3"/>
        <v>0</v>
      </c>
      <c r="H30" s="401">
        <f t="shared" si="3"/>
        <v>0</v>
      </c>
      <c r="I30" s="446">
        <f t="shared" si="3"/>
        <v>0</v>
      </c>
      <c r="J30" s="363"/>
    </row>
    <row r="31" spans="1:10" s="362" customFormat="1">
      <c r="A31" s="48" t="s">
        <v>33</v>
      </c>
      <c r="B31" s="49"/>
      <c r="C31" s="50"/>
      <c r="D31" s="352"/>
      <c r="E31" s="49"/>
      <c r="F31" s="50"/>
      <c r="G31" s="352"/>
      <c r="H31" s="404"/>
      <c r="I31" s="447"/>
      <c r="J31" s="363"/>
    </row>
    <row r="32" spans="1:10">
      <c r="A32" s="43" t="s">
        <v>34</v>
      </c>
      <c r="B32" s="44">
        <f>SUMIFS('Fiscal Calculation'!AO:AO,'Fiscal Calculation'!J:J,'Fiscal by Program'!$J32)</f>
        <v>0</v>
      </c>
      <c r="C32" s="345">
        <f t="shared" ref="C32:C38" si="4">B32-D32</f>
        <v>0</v>
      </c>
      <c r="D32" s="350">
        <f>SUMIFS('Fiscal Calculation'!AP:AP,'Fiscal Calculation'!J:J,'Fiscal by Program'!$J32)</f>
        <v>0</v>
      </c>
      <c r="E32" s="44">
        <f>SUMIFS('Fiscal Calculation'!AQ:AQ,'Fiscal Calculation'!J:J,'Fiscal by Program'!$J32)</f>
        <v>0</v>
      </c>
      <c r="F32" s="345">
        <f t="shared" ref="F32:F38" si="5">E32-G32</f>
        <v>0</v>
      </c>
      <c r="G32" s="350">
        <f>SUMIFS('Fiscal Calculation'!AR:AR,'Fiscal Calculation'!J:J,'Fiscal by Program'!$J32)</f>
        <v>0</v>
      </c>
      <c r="H32" s="400" t="str">
        <f>IF(B32&gt;0,SUMIFS('Fiscal Calculation'!AM:AM,'Fiscal Calculation'!J:J,'Fiscal by Program'!$J32),"")</f>
        <v/>
      </c>
      <c r="I32" s="445" t="str">
        <f>IF(E32&gt;0,SUMIFS('Fiscal Calculation'!AN:AN,'Fiscal Calculation'!J:J,'Fiscal by Program'!$J32),"")</f>
        <v/>
      </c>
      <c r="J32" s="363" t="str" cm="1">
        <f t="array" ref="J32">INDEX('Rate Table Service Desc XWalk'!F:F,MATCH(1,(A32='Rate Table Service Desc XWalk'!B:B)*("DBMD"='Rate Table Service Desc XWalk'!A:A),0))</f>
        <v>2-1-3</v>
      </c>
    </row>
    <row r="33" spans="1:10">
      <c r="A33" s="43" t="s">
        <v>35</v>
      </c>
      <c r="B33" s="44">
        <f>SUMIFS('Fiscal Calculation'!AO:AO,'Fiscal Calculation'!J:J,'Fiscal by Program'!$J33)</f>
        <v>0</v>
      </c>
      <c r="C33" s="345">
        <f t="shared" si="4"/>
        <v>0</v>
      </c>
      <c r="D33" s="350">
        <f>SUMIFS('Fiscal Calculation'!AP:AP,'Fiscal Calculation'!J:J,'Fiscal by Program'!$J33)</f>
        <v>0</v>
      </c>
      <c r="E33" s="44">
        <f>SUMIFS('Fiscal Calculation'!AQ:AQ,'Fiscal Calculation'!J:J,'Fiscal by Program'!$J33)</f>
        <v>0</v>
      </c>
      <c r="F33" s="345">
        <f t="shared" si="5"/>
        <v>0</v>
      </c>
      <c r="G33" s="350">
        <f>SUMIFS('Fiscal Calculation'!AR:AR,'Fiscal Calculation'!J:J,'Fiscal by Program'!$J33)</f>
        <v>0</v>
      </c>
      <c r="H33" s="400" t="str">
        <f>IF(B33&gt;0,SUMIFS('Fiscal Calculation'!AM:AM,'Fiscal Calculation'!J:J,'Fiscal by Program'!$J33),"")</f>
        <v/>
      </c>
      <c r="I33" s="445" t="str">
        <f>IF(E33&gt;0,SUMIFS('Fiscal Calculation'!AN:AN,'Fiscal Calculation'!J:J,'Fiscal by Program'!$J33),"")</f>
        <v/>
      </c>
      <c r="J33" s="363" t="str" cm="1">
        <f t="array" ref="J33">INDEX('Rate Table Service Desc XWalk'!F:F,MATCH(1,(A33='Rate Table Service Desc XWalk'!B:B)*("DBMD"='Rate Table Service Desc XWalk'!A:A),0))</f>
        <v>2-1-12</v>
      </c>
    </row>
    <row r="34" spans="1:10">
      <c r="A34" s="43" t="s">
        <v>36</v>
      </c>
      <c r="B34" s="44">
        <f>SUMIFS('Fiscal Calculation'!AO:AO,'Fiscal Calculation'!J:J,'Fiscal by Program'!$J34)</f>
        <v>0</v>
      </c>
      <c r="C34" s="345">
        <f t="shared" si="4"/>
        <v>0</v>
      </c>
      <c r="D34" s="350">
        <f>SUMIFS('Fiscal Calculation'!AP:AP,'Fiscal Calculation'!J:J,'Fiscal by Program'!$J34)</f>
        <v>0</v>
      </c>
      <c r="E34" s="44">
        <f>SUMIFS('Fiscal Calculation'!AQ:AQ,'Fiscal Calculation'!J:J,'Fiscal by Program'!$J34)</f>
        <v>0</v>
      </c>
      <c r="F34" s="345">
        <f t="shared" si="5"/>
        <v>0</v>
      </c>
      <c r="G34" s="350">
        <f>SUMIFS('Fiscal Calculation'!AR:AR,'Fiscal Calculation'!J:J,'Fiscal by Program'!$J34)</f>
        <v>0</v>
      </c>
      <c r="H34" s="400" t="str">
        <f>IF(B34&gt;0,SUMIFS('Fiscal Calculation'!AM:AM,'Fiscal Calculation'!J:J,'Fiscal by Program'!$J34),"")</f>
        <v/>
      </c>
      <c r="I34" s="445" t="str">
        <f>IF(E34&gt;0,SUMIFS('Fiscal Calculation'!AN:AN,'Fiscal Calculation'!J:J,'Fiscal by Program'!$J34),"")</f>
        <v/>
      </c>
      <c r="J34" s="363" t="str" cm="1">
        <f t="array" ref="J34">INDEX('Rate Table Service Desc XWalk'!F:F,MATCH(1,(A34='Rate Table Service Desc XWalk'!B:B)*("DBMD"='Rate Table Service Desc XWalk'!A:A),0))</f>
        <v>2-1-44</v>
      </c>
    </row>
    <row r="35" spans="1:10">
      <c r="A35" s="43" t="s">
        <v>26</v>
      </c>
      <c r="B35" s="44">
        <f>SUMIFS('Fiscal Calculation'!AO:AO,'Fiscal Calculation'!J:J,'Fiscal by Program'!$J35)</f>
        <v>0</v>
      </c>
      <c r="C35" s="345">
        <f t="shared" si="4"/>
        <v>0</v>
      </c>
      <c r="D35" s="350">
        <f>SUMIFS('Fiscal Calculation'!AP:AP,'Fiscal Calculation'!J:J,'Fiscal by Program'!$J35)</f>
        <v>0</v>
      </c>
      <c r="E35" s="44">
        <f>SUMIFS('Fiscal Calculation'!AQ:AQ,'Fiscal Calculation'!J:J,'Fiscal by Program'!$J35)</f>
        <v>0</v>
      </c>
      <c r="F35" s="345">
        <f t="shared" si="5"/>
        <v>0</v>
      </c>
      <c r="G35" s="350">
        <f>SUMIFS('Fiscal Calculation'!AR:AR,'Fiscal Calculation'!J:J,'Fiscal by Program'!$J35)</f>
        <v>0</v>
      </c>
      <c r="H35" s="400" t="str">
        <f>IF(B35&gt;0,SUMIFS('Fiscal Calculation'!AM:AM,'Fiscal Calculation'!J:J,'Fiscal by Program'!$J35),"")</f>
        <v/>
      </c>
      <c r="I35" s="445" t="str">
        <f>IF(E35&gt;0,SUMIFS('Fiscal Calculation'!AN:AN,'Fiscal Calculation'!J:J,'Fiscal by Program'!$J35),"")</f>
        <v/>
      </c>
      <c r="J35" s="363" t="str" cm="1">
        <f t="array" ref="J35">INDEX('Rate Table Service Desc XWalk'!F:F,MATCH(1,(A35='Rate Table Service Desc XWalk'!B:B)*("DBMD"='Rate Table Service Desc XWalk'!A:A),0))</f>
        <v>2-1-55</v>
      </c>
    </row>
    <row r="36" spans="1:10">
      <c r="A36" s="43" t="s">
        <v>37</v>
      </c>
      <c r="B36" s="44">
        <f>SUMIFS('Fiscal Calculation'!AO:AO,'Fiscal Calculation'!J:J,'Fiscal by Program'!$J36)</f>
        <v>0</v>
      </c>
      <c r="C36" s="345">
        <f t="shared" si="4"/>
        <v>0</v>
      </c>
      <c r="D36" s="350">
        <f>SUMIFS('Fiscal Calculation'!AP:AP,'Fiscal Calculation'!J:J,'Fiscal by Program'!$J36)</f>
        <v>0</v>
      </c>
      <c r="E36" s="44">
        <f>SUMIFS('Fiscal Calculation'!AQ:AQ,'Fiscal Calculation'!J:J,'Fiscal by Program'!$J36)</f>
        <v>0</v>
      </c>
      <c r="F36" s="345">
        <f t="shared" si="5"/>
        <v>0</v>
      </c>
      <c r="G36" s="350">
        <f>SUMIFS('Fiscal Calculation'!AR:AR,'Fiscal Calculation'!J:J,'Fiscal by Program'!$J36)</f>
        <v>0</v>
      </c>
      <c r="H36" s="400" t="str">
        <f>IF(B36&gt;0,SUMIFS('Fiscal Calculation'!AM:AM,'Fiscal Calculation'!J:J,'Fiscal by Program'!$J36),"")</f>
        <v/>
      </c>
      <c r="I36" s="445" t="str">
        <f>IF(E36&gt;0,SUMIFS('Fiscal Calculation'!AN:AN,'Fiscal Calculation'!J:J,'Fiscal by Program'!$J36),"")</f>
        <v/>
      </c>
      <c r="J36" s="363" t="str" cm="1">
        <f t="array" ref="J36">INDEX('Rate Table Service Desc XWalk'!F:F,MATCH(1,(A36='Rate Table Service Desc XWalk'!B:B)*("DBMD"='Rate Table Service Desc XWalk'!A:A),0))</f>
        <v>2-1-79</v>
      </c>
    </row>
    <row r="37" spans="1:10">
      <c r="A37" s="43" t="s">
        <v>30</v>
      </c>
      <c r="B37" s="44">
        <f>SUMIFS('Fiscal Calculation'!AO:AO,'Fiscal Calculation'!J:J,'Fiscal by Program'!$J37)</f>
        <v>0</v>
      </c>
      <c r="C37" s="345">
        <f t="shared" si="4"/>
        <v>0</v>
      </c>
      <c r="D37" s="350">
        <f>SUMIFS('Fiscal Calculation'!AP:AP,'Fiscal Calculation'!J:J,'Fiscal by Program'!$J37)</f>
        <v>0</v>
      </c>
      <c r="E37" s="44">
        <f>SUMIFS('Fiscal Calculation'!AQ:AQ,'Fiscal Calculation'!J:J,'Fiscal by Program'!$J37)</f>
        <v>0</v>
      </c>
      <c r="F37" s="345">
        <f t="shared" si="5"/>
        <v>0</v>
      </c>
      <c r="G37" s="350">
        <f>SUMIFS('Fiscal Calculation'!AR:AR,'Fiscal Calculation'!J:J,'Fiscal by Program'!$J37)</f>
        <v>0</v>
      </c>
      <c r="H37" s="400" t="str">
        <f>IF(B37&gt;0,SUMIFS('Fiscal Calculation'!AM:AM,'Fiscal Calculation'!J:J,'Fiscal by Program'!$J37),"")</f>
        <v/>
      </c>
      <c r="I37" s="445" t="str">
        <f>IF(E37&gt;0,SUMIFS('Fiscal Calculation'!AN:AN,'Fiscal Calculation'!J:J,'Fiscal by Program'!$J37),"")</f>
        <v/>
      </c>
      <c r="J37" s="363" t="str" cm="1">
        <f t="array" ref="J37">INDEX('Rate Table Service Desc XWalk'!F:F,MATCH(1,(A37='Rate Table Service Desc XWalk'!B:B)*("DBMD"='Rate Table Service Desc XWalk'!A:A),0))</f>
        <v>2-5-136</v>
      </c>
    </row>
    <row r="38" spans="1:10">
      <c r="A38" s="43" t="s">
        <v>38</v>
      </c>
      <c r="B38" s="44">
        <f>SUMIFS('Fiscal Calculation'!AO:AO,'Fiscal Calculation'!J:J,'Fiscal by Program'!$J38)</f>
        <v>0</v>
      </c>
      <c r="C38" s="345">
        <f t="shared" si="4"/>
        <v>0</v>
      </c>
      <c r="D38" s="350">
        <f>SUMIFS('Fiscal Calculation'!AP:AP,'Fiscal Calculation'!J:J,'Fiscal by Program'!$J38)</f>
        <v>0</v>
      </c>
      <c r="E38" s="44">
        <f>SUMIFS('Fiscal Calculation'!AQ:AQ,'Fiscal Calculation'!J:J,'Fiscal by Program'!$J38)</f>
        <v>0</v>
      </c>
      <c r="F38" s="345">
        <f t="shared" si="5"/>
        <v>0</v>
      </c>
      <c r="G38" s="350">
        <f>SUMIFS('Fiscal Calculation'!AR:AR,'Fiscal Calculation'!J:J,'Fiscal by Program'!$J38)</f>
        <v>0</v>
      </c>
      <c r="H38" s="400" t="str">
        <f>IF(B38&gt;0,SUMIFS('Fiscal Calculation'!AM:AM,'Fiscal Calculation'!J:J,'Fiscal by Program'!$J38),"")</f>
        <v/>
      </c>
      <c r="I38" s="445" t="str">
        <f>IF(E38&gt;0,SUMIFS('Fiscal Calculation'!AN:AN,'Fiscal Calculation'!J:J,'Fiscal by Program'!$J38),"")</f>
        <v/>
      </c>
      <c r="J38" s="363" t="str" cm="1">
        <f t="array" ref="J38">INDEX('Rate Table Service Desc XWalk'!F:F,MATCH(1,(A38='Rate Table Service Desc XWalk'!B:B)*("DBMD"='Rate Table Service Desc XWalk'!A:A),0))</f>
        <v>2-5-143</v>
      </c>
    </row>
    <row r="39" spans="1:10">
      <c r="A39" s="45" t="s">
        <v>39</v>
      </c>
      <c r="B39" s="46">
        <f>SUM(B32:B38)</f>
        <v>0</v>
      </c>
      <c r="C39" s="47">
        <f t="shared" ref="C39:I39" si="6">SUM(C32:C38)</f>
        <v>0</v>
      </c>
      <c r="D39" s="351">
        <f t="shared" si="6"/>
        <v>0</v>
      </c>
      <c r="E39" s="46">
        <f t="shared" si="6"/>
        <v>0</v>
      </c>
      <c r="F39" s="47">
        <f t="shared" si="6"/>
        <v>0</v>
      </c>
      <c r="G39" s="351">
        <f t="shared" si="6"/>
        <v>0</v>
      </c>
      <c r="H39" s="401">
        <f t="shared" si="6"/>
        <v>0</v>
      </c>
      <c r="I39" s="446">
        <f t="shared" si="6"/>
        <v>0</v>
      </c>
      <c r="J39" s="363"/>
    </row>
    <row r="40" spans="1:10" s="362" customFormat="1">
      <c r="A40" s="41" t="s">
        <v>40</v>
      </c>
      <c r="B40" s="51"/>
      <c r="C40" s="52"/>
      <c r="D40" s="353"/>
      <c r="E40" s="51"/>
      <c r="F40" s="52"/>
      <c r="G40" s="353"/>
      <c r="H40" s="405"/>
      <c r="I40" s="448"/>
      <c r="J40" s="363"/>
    </row>
    <row r="41" spans="1:10">
      <c r="A41" s="43" t="s">
        <v>24</v>
      </c>
      <c r="B41" s="44">
        <f>SUMIFS('Fiscal Calculation'!AO:AO,'Fiscal Calculation'!J:J,'Fiscal by Program'!$J41)</f>
        <v>0</v>
      </c>
      <c r="C41" s="345">
        <f t="shared" ref="C41:C50" si="7">B41-D41</f>
        <v>0</v>
      </c>
      <c r="D41" s="350">
        <f>SUMIFS('Fiscal Calculation'!AP:AP,'Fiscal Calculation'!J:J,'Fiscal by Program'!$J41)</f>
        <v>0</v>
      </c>
      <c r="E41" s="44">
        <f>SUMIFS('Fiscal Calculation'!AQ:AQ,'Fiscal Calculation'!J:J,'Fiscal by Program'!$J41)</f>
        <v>0</v>
      </c>
      <c r="F41" s="345">
        <f t="shared" ref="F41:F50" si="8">E41-G41</f>
        <v>0</v>
      </c>
      <c r="G41" s="350">
        <f>SUMIFS('Fiscal Calculation'!AR:AR,'Fiscal Calculation'!J:J,'Fiscal by Program'!$J41)</f>
        <v>0</v>
      </c>
      <c r="H41" s="400" t="str">
        <f>IF(B41&gt;0,SUMIFS('Fiscal Calculation'!AM:AM,'Fiscal Calculation'!J:J,'Fiscal by Program'!$J41),"")</f>
        <v/>
      </c>
      <c r="I41" s="445" t="str">
        <f>IF(E41&gt;0,SUMIFS('Fiscal Calculation'!AN:AN,'Fiscal Calculation'!J:J,'Fiscal by Program'!$J41),"")</f>
        <v/>
      </c>
      <c r="J41" s="363" t="str" cm="1">
        <f t="array" ref="J41">INDEX('Rate Table Service Desc XWalk'!F:F,MATCH(1,(A41='Rate Table Service Desc XWalk'!B:B)*("HCS"='Rate Table Service Desc XWalk'!A:A),0))</f>
        <v>3-1-23</v>
      </c>
    </row>
    <row r="42" spans="1:10">
      <c r="A42" s="43" t="s">
        <v>26</v>
      </c>
      <c r="B42" s="44">
        <f>SUMIFS('Fiscal Calculation'!AO:AO,'Fiscal Calculation'!J:J,'Fiscal by Program'!$J42)</f>
        <v>0</v>
      </c>
      <c r="C42" s="345">
        <f t="shared" si="7"/>
        <v>0</v>
      </c>
      <c r="D42" s="350">
        <f>SUMIFS('Fiscal Calculation'!AP:AP,'Fiscal Calculation'!J:J,'Fiscal by Program'!$J42)</f>
        <v>0</v>
      </c>
      <c r="E42" s="44">
        <f>SUMIFS('Fiscal Calculation'!AQ:AQ,'Fiscal Calculation'!J:J,'Fiscal by Program'!$J42)</f>
        <v>0</v>
      </c>
      <c r="F42" s="345">
        <f t="shared" si="8"/>
        <v>0</v>
      </c>
      <c r="G42" s="350">
        <f>SUMIFS('Fiscal Calculation'!AR:AR,'Fiscal Calculation'!J:J,'Fiscal by Program'!$J42)</f>
        <v>0</v>
      </c>
      <c r="H42" s="400" t="str">
        <f>IF(B42&gt;0,SUMIFS('Fiscal Calculation'!AM:AM,'Fiscal Calculation'!J:J,'Fiscal by Program'!$J42),"")</f>
        <v/>
      </c>
      <c r="I42" s="445" t="str">
        <f>IF(E42&gt;0,SUMIFS('Fiscal Calculation'!AN:AN,'Fiscal Calculation'!J:J,'Fiscal by Program'!$J42),"")</f>
        <v/>
      </c>
      <c r="J42" s="363" t="str" cm="1">
        <f t="array" ref="J42">INDEX('Rate Table Service Desc XWalk'!F:F,MATCH(1,(A42='Rate Table Service Desc XWalk'!B:B)*("HCS"='Rate Table Service Desc XWalk'!A:A),0))</f>
        <v>3-1-39</v>
      </c>
    </row>
    <row r="43" spans="1:10">
      <c r="A43" s="43" t="s">
        <v>41</v>
      </c>
      <c r="B43" s="44">
        <f>SUMIFS('Fiscal Calculation'!AO:AO,'Fiscal Calculation'!J:J,'Fiscal by Program'!$J43)</f>
        <v>0</v>
      </c>
      <c r="C43" s="345">
        <f t="shared" si="7"/>
        <v>0</v>
      </c>
      <c r="D43" s="350">
        <f>SUMIFS('Fiscal Calculation'!AP:AP,'Fiscal Calculation'!J:J,'Fiscal by Program'!$J43)</f>
        <v>0</v>
      </c>
      <c r="E43" s="44">
        <f>SUMIFS('Fiscal Calculation'!AQ:AQ,'Fiscal Calculation'!J:J,'Fiscal by Program'!$J43)</f>
        <v>0</v>
      </c>
      <c r="F43" s="345">
        <f t="shared" si="8"/>
        <v>0</v>
      </c>
      <c r="G43" s="350">
        <f>SUMIFS('Fiscal Calculation'!AR:AR,'Fiscal Calculation'!J:J,'Fiscal by Program'!$J43)</f>
        <v>0</v>
      </c>
      <c r="H43" s="400" t="str">
        <f>IF(B43&gt;0,SUMIFS('Fiscal Calculation'!AM:AM,'Fiscal Calculation'!J:J,'Fiscal by Program'!$J43),"")</f>
        <v/>
      </c>
      <c r="I43" s="445" t="str">
        <f>IF(E43&gt;0,SUMIFS('Fiscal Calculation'!AN:AN,'Fiscal Calculation'!J:J,'Fiscal by Program'!$J43),"")</f>
        <v/>
      </c>
      <c r="J43" s="363" t="str" cm="1">
        <f t="array" ref="J43">INDEX('Rate Table Service Desc XWalk'!F:F,MATCH(1,(A43='Rate Table Service Desc XWalk'!B:B)*("HCS"='Rate Table Service Desc XWalk'!A:A),0))</f>
        <v>3-1-45</v>
      </c>
    </row>
    <row r="44" spans="1:10">
      <c r="A44" s="43" t="s">
        <v>42</v>
      </c>
      <c r="B44" s="44">
        <f>SUMIFS('Fiscal Calculation'!AO:AO,'Fiscal Calculation'!J:J,'Fiscal by Program'!$J44)</f>
        <v>0</v>
      </c>
      <c r="C44" s="345">
        <f t="shared" si="7"/>
        <v>0</v>
      </c>
      <c r="D44" s="350">
        <f>SUMIFS('Fiscal Calculation'!AP:AP,'Fiscal Calculation'!J:J,'Fiscal by Program'!$J44)</f>
        <v>0</v>
      </c>
      <c r="E44" s="44">
        <f>SUMIFS('Fiscal Calculation'!AQ:AQ,'Fiscal Calculation'!J:J,'Fiscal by Program'!$J44)</f>
        <v>0</v>
      </c>
      <c r="F44" s="345">
        <f t="shared" si="8"/>
        <v>0</v>
      </c>
      <c r="G44" s="350">
        <f>SUMIFS('Fiscal Calculation'!AR:AR,'Fiscal Calculation'!J:J,'Fiscal by Program'!$J44)</f>
        <v>0</v>
      </c>
      <c r="H44" s="400" t="str">
        <f>IF(B44&gt;0,SUMIFS('Fiscal Calculation'!AM:AM,'Fiscal Calculation'!J:J,'Fiscal by Program'!$J44),"")</f>
        <v/>
      </c>
      <c r="I44" s="445" t="str">
        <f>IF(E44&gt;0,SUMIFS('Fiscal Calculation'!AN:AN,'Fiscal Calculation'!J:J,'Fiscal by Program'!$J44),"")</f>
        <v/>
      </c>
      <c r="J44" s="363" t="str" cm="1">
        <f t="array" ref="J44">INDEX('Rate Table Service Desc XWalk'!F:F,MATCH(1,(A44='Rate Table Service Desc XWalk'!B:B)*("HCS"='Rate Table Service Desc XWalk'!A:A),0))</f>
        <v>3-1-74</v>
      </c>
    </row>
    <row r="45" spans="1:10">
      <c r="A45" s="43" t="s">
        <v>37</v>
      </c>
      <c r="B45" s="44">
        <f>SUMIFS('Fiscal Calculation'!AO:AO,'Fiscal Calculation'!J:J,'Fiscal by Program'!$J45)</f>
        <v>0</v>
      </c>
      <c r="C45" s="345">
        <f t="shared" si="7"/>
        <v>0</v>
      </c>
      <c r="D45" s="350">
        <f>SUMIFS('Fiscal Calculation'!AP:AP,'Fiscal Calculation'!J:J,'Fiscal by Program'!$J45)</f>
        <v>0</v>
      </c>
      <c r="E45" s="44">
        <f>SUMIFS('Fiscal Calculation'!AQ:AQ,'Fiscal Calculation'!J:J,'Fiscal by Program'!$J45)</f>
        <v>0</v>
      </c>
      <c r="F45" s="345">
        <f t="shared" si="8"/>
        <v>0</v>
      </c>
      <c r="G45" s="350">
        <f>SUMIFS('Fiscal Calculation'!AR:AR,'Fiscal Calculation'!J:J,'Fiscal by Program'!$J45)</f>
        <v>0</v>
      </c>
      <c r="H45" s="400" t="str">
        <f>IF(B45&gt;0,SUMIFS('Fiscal Calculation'!AM:AM,'Fiscal Calculation'!J:J,'Fiscal by Program'!$J45),"")</f>
        <v/>
      </c>
      <c r="I45" s="445" t="str">
        <f>IF(E45&gt;0,SUMIFS('Fiscal Calculation'!AN:AN,'Fiscal Calculation'!J:J,'Fiscal by Program'!$J45),"")</f>
        <v/>
      </c>
      <c r="J45" s="363" t="str" cm="1">
        <f t="array" ref="J45">INDEX('Rate Table Service Desc XWalk'!F:F,MATCH(1,(A45='Rate Table Service Desc XWalk'!B:B)*("HCS"='Rate Table Service Desc XWalk'!A:A),0))</f>
        <v>3-1-79</v>
      </c>
    </row>
    <row r="46" spans="1:10">
      <c r="A46" s="43" t="s">
        <v>43</v>
      </c>
      <c r="B46" s="44">
        <f>SUMIFS('Fiscal Calculation'!AO:AO,'Fiscal Calculation'!J:J,'Fiscal by Program'!$J46)</f>
        <v>0</v>
      </c>
      <c r="C46" s="345">
        <f t="shared" si="7"/>
        <v>0</v>
      </c>
      <c r="D46" s="350">
        <f>SUMIFS('Fiscal Calculation'!AP:AP,'Fiscal Calculation'!J:J,'Fiscal by Program'!$J46)</f>
        <v>0</v>
      </c>
      <c r="E46" s="44">
        <f>SUMIFS('Fiscal Calculation'!AQ:AQ,'Fiscal Calculation'!J:J,'Fiscal by Program'!$J46)</f>
        <v>0</v>
      </c>
      <c r="F46" s="345">
        <f t="shared" si="8"/>
        <v>0</v>
      </c>
      <c r="G46" s="350">
        <f>SUMIFS('Fiscal Calculation'!AR:AR,'Fiscal Calculation'!J:J,'Fiscal by Program'!$J46)</f>
        <v>0</v>
      </c>
      <c r="H46" s="400" t="str">
        <f>IF(B46&gt;0,SUMIFS('Fiscal Calculation'!AM:AM,'Fiscal Calculation'!J:J,'Fiscal by Program'!$J46),"")</f>
        <v/>
      </c>
      <c r="I46" s="445" t="str">
        <f>IF(E46&gt;0,SUMIFS('Fiscal Calculation'!AN:AN,'Fiscal Calculation'!J:J,'Fiscal by Program'!$J46),"")</f>
        <v/>
      </c>
      <c r="J46" s="363" t="str" cm="1">
        <f t="array" ref="J46">INDEX('Rate Table Service Desc XWalk'!F:F,MATCH(1,(A46='Rate Table Service Desc XWalk'!B:B)*("HCS"='Rate Table Service Desc XWalk'!A:A),0))</f>
        <v>3-1-97</v>
      </c>
    </row>
    <row r="47" spans="1:10">
      <c r="A47" s="43" t="s">
        <v>28</v>
      </c>
      <c r="B47" s="44">
        <f>SUMIFS('Fiscal Calculation'!AO:AO,'Fiscal Calculation'!J:J,'Fiscal by Program'!$J47)</f>
        <v>0</v>
      </c>
      <c r="C47" s="345">
        <f t="shared" si="7"/>
        <v>0</v>
      </c>
      <c r="D47" s="350">
        <f>SUMIFS('Fiscal Calculation'!AP:AP,'Fiscal Calculation'!J:J,'Fiscal by Program'!$J47)</f>
        <v>0</v>
      </c>
      <c r="E47" s="44">
        <f>SUMIFS('Fiscal Calculation'!AQ:AQ,'Fiscal Calculation'!J:J,'Fiscal by Program'!$J47)</f>
        <v>0</v>
      </c>
      <c r="F47" s="345">
        <f t="shared" si="8"/>
        <v>0</v>
      </c>
      <c r="G47" s="350">
        <f>SUMIFS('Fiscal Calculation'!AR:AR,'Fiscal Calculation'!J:J,'Fiscal by Program'!$J47)</f>
        <v>0</v>
      </c>
      <c r="H47" s="400" t="str">
        <f>IF(B47&gt;0,SUMIFS('Fiscal Calculation'!AM:AM,'Fiscal Calculation'!J:J,'Fiscal by Program'!$J47),"")</f>
        <v/>
      </c>
      <c r="I47" s="445" t="str">
        <f>IF(E47&gt;0,SUMIFS('Fiscal Calculation'!AN:AN,'Fiscal Calculation'!J:J,'Fiscal by Program'!$J47),"")</f>
        <v/>
      </c>
      <c r="J47" s="363" t="str" cm="1">
        <f t="array" ref="J47">INDEX('Rate Table Service Desc XWalk'!F:F,MATCH(1,(A47='Rate Table Service Desc XWalk'!B:B)*("HCS"='Rate Table Service Desc XWalk'!A:A),0))</f>
        <v>3-5-121</v>
      </c>
    </row>
    <row r="48" spans="1:10">
      <c r="A48" s="43" t="s">
        <v>30</v>
      </c>
      <c r="B48" s="44">
        <f>SUMIFS('Fiscal Calculation'!AO:AO,'Fiscal Calculation'!J:J,'Fiscal by Program'!$J48)</f>
        <v>0</v>
      </c>
      <c r="C48" s="345">
        <f t="shared" si="7"/>
        <v>0</v>
      </c>
      <c r="D48" s="350">
        <f>SUMIFS('Fiscal Calculation'!AP:AP,'Fiscal Calculation'!J:J,'Fiscal by Program'!$J48)</f>
        <v>0</v>
      </c>
      <c r="E48" s="44">
        <f>SUMIFS('Fiscal Calculation'!AQ:AQ,'Fiscal Calculation'!J:J,'Fiscal by Program'!$J48)</f>
        <v>0</v>
      </c>
      <c r="F48" s="345">
        <f t="shared" si="8"/>
        <v>0</v>
      </c>
      <c r="G48" s="350">
        <f>SUMIFS('Fiscal Calculation'!AR:AR,'Fiscal Calculation'!J:J,'Fiscal by Program'!$J48)</f>
        <v>0</v>
      </c>
      <c r="H48" s="400" t="str">
        <f>IF(B48&gt;0,SUMIFS('Fiscal Calculation'!AM:AM,'Fiscal Calculation'!J:J,'Fiscal by Program'!$J48),"")</f>
        <v/>
      </c>
      <c r="I48" s="445" t="str">
        <f>IF(E48&gt;0,SUMIFS('Fiscal Calculation'!AN:AN,'Fiscal Calculation'!J:J,'Fiscal by Program'!$J48),"")</f>
        <v/>
      </c>
      <c r="J48" s="363" t="str" cm="1">
        <f t="array" ref="J48">INDEX('Rate Table Service Desc XWalk'!F:F,MATCH(1,(A48='Rate Table Service Desc XWalk'!B:B)*("HCS"='Rate Table Service Desc XWalk'!A:A),0))</f>
        <v>3-5-124</v>
      </c>
    </row>
    <row r="49" spans="1:10">
      <c r="A49" s="43" t="s">
        <v>44</v>
      </c>
      <c r="B49" s="44">
        <f>SUMIFS('Fiscal Calculation'!AO:AO,'Fiscal Calculation'!J:J,'Fiscal by Program'!$J49)</f>
        <v>0</v>
      </c>
      <c r="C49" s="345">
        <f t="shared" si="7"/>
        <v>0</v>
      </c>
      <c r="D49" s="350">
        <f>SUMIFS('Fiscal Calculation'!AP:AP,'Fiscal Calculation'!J:J,'Fiscal by Program'!$J49)</f>
        <v>0</v>
      </c>
      <c r="E49" s="44">
        <f>SUMIFS('Fiscal Calculation'!AQ:AQ,'Fiscal Calculation'!J:J,'Fiscal by Program'!$J49)</f>
        <v>0</v>
      </c>
      <c r="F49" s="345">
        <f t="shared" si="8"/>
        <v>0</v>
      </c>
      <c r="G49" s="350">
        <f>SUMIFS('Fiscal Calculation'!AR:AR,'Fiscal Calculation'!J:J,'Fiscal by Program'!$J49)</f>
        <v>0</v>
      </c>
      <c r="H49" s="400" t="str">
        <f>IF(B49&gt;0,SUMIFS('Fiscal Calculation'!AM:AM,'Fiscal Calculation'!J:J,'Fiscal by Program'!$J49),"")</f>
        <v/>
      </c>
      <c r="I49" s="445" t="str">
        <f>IF(E49&gt;0,SUMIFS('Fiscal Calculation'!AN:AN,'Fiscal Calculation'!J:J,'Fiscal by Program'!$J49),"")</f>
        <v/>
      </c>
      <c r="J49" s="363" t="str" cm="1">
        <f t="array" ref="J49">INDEX('Rate Table Service Desc XWalk'!F:F,MATCH(1,(A49='Rate Table Service Desc XWalk'!B:B)*("HCS"='Rate Table Service Desc XWalk'!A:A),0))</f>
        <v>3-5-139</v>
      </c>
    </row>
    <row r="50" spans="1:10">
      <c r="A50" s="43" t="s">
        <v>38</v>
      </c>
      <c r="B50" s="44">
        <f>SUMIFS('Fiscal Calculation'!AO:AO,'Fiscal Calculation'!J:J,'Fiscal by Program'!$J50)</f>
        <v>0</v>
      </c>
      <c r="C50" s="345">
        <f t="shared" si="7"/>
        <v>0</v>
      </c>
      <c r="D50" s="350">
        <f>SUMIFS('Fiscal Calculation'!AP:AP,'Fiscal Calculation'!J:J,'Fiscal by Program'!$J50)</f>
        <v>0</v>
      </c>
      <c r="E50" s="44">
        <f>SUMIFS('Fiscal Calculation'!AQ:AQ,'Fiscal Calculation'!J:J,'Fiscal by Program'!$J50)</f>
        <v>0</v>
      </c>
      <c r="F50" s="345">
        <f t="shared" si="8"/>
        <v>0</v>
      </c>
      <c r="G50" s="350">
        <f>SUMIFS('Fiscal Calculation'!AR:AR,'Fiscal Calculation'!J:J,'Fiscal by Program'!$J50)</f>
        <v>0</v>
      </c>
      <c r="H50" s="400" t="str">
        <f>IF(B50&gt;0,SUMIFS('Fiscal Calculation'!AM:AM,'Fiscal Calculation'!J:J,'Fiscal by Program'!$J50),"")</f>
        <v/>
      </c>
      <c r="I50" s="445" t="str">
        <f>IF(E50&gt;0,SUMIFS('Fiscal Calculation'!AN:AN,'Fiscal Calculation'!J:J,'Fiscal by Program'!$J50),"")</f>
        <v/>
      </c>
      <c r="J50" s="363" t="str" cm="1">
        <f t="array" ref="J50">INDEX('Rate Table Service Desc XWalk'!F:F,MATCH(1,(A50='Rate Table Service Desc XWalk'!B:B)*("HCS"='Rate Table Service Desc XWalk'!A:A),0))</f>
        <v>3-5-143</v>
      </c>
    </row>
    <row r="51" spans="1:10">
      <c r="A51" s="45" t="s">
        <v>45</v>
      </c>
      <c r="B51" s="46">
        <f>SUM(B41:B50)</f>
        <v>0</v>
      </c>
      <c r="C51" s="47">
        <f t="shared" ref="C51:I51" si="9">SUM(C41:C50)</f>
        <v>0</v>
      </c>
      <c r="D51" s="351">
        <f t="shared" si="9"/>
        <v>0</v>
      </c>
      <c r="E51" s="46">
        <f t="shared" si="9"/>
        <v>0</v>
      </c>
      <c r="F51" s="47">
        <f t="shared" si="9"/>
        <v>0</v>
      </c>
      <c r="G51" s="351">
        <f t="shared" si="9"/>
        <v>0</v>
      </c>
      <c r="H51" s="401">
        <f t="shared" si="9"/>
        <v>0</v>
      </c>
      <c r="I51" s="446">
        <f t="shared" si="9"/>
        <v>0</v>
      </c>
      <c r="J51" s="363"/>
    </row>
    <row r="52" spans="1:10" s="362" customFormat="1">
      <c r="A52" s="41" t="s">
        <v>46</v>
      </c>
      <c r="B52" s="51"/>
      <c r="C52" s="52"/>
      <c r="D52" s="353"/>
      <c r="E52" s="51"/>
      <c r="F52" s="52"/>
      <c r="G52" s="353"/>
      <c r="H52" s="405"/>
      <c r="I52" s="448"/>
      <c r="J52" s="363"/>
    </row>
    <row r="53" spans="1:10">
      <c r="A53" s="43" t="s">
        <v>24</v>
      </c>
      <c r="B53" s="44">
        <f>SUMIFS('Fiscal Calculation'!AO:AO,'Fiscal Calculation'!J:J,'Fiscal by Program'!$J53)</f>
        <v>0</v>
      </c>
      <c r="C53" s="345">
        <f t="shared" ref="C53:C62" si="10">B53-D53</f>
        <v>0</v>
      </c>
      <c r="D53" s="350">
        <f>SUMIFS('Fiscal Calculation'!AP:AP,'Fiscal Calculation'!J:J,'Fiscal by Program'!$J53)</f>
        <v>0</v>
      </c>
      <c r="E53" s="44">
        <f>SUMIFS('Fiscal Calculation'!AQ:AQ,'Fiscal Calculation'!J:J,'Fiscal by Program'!$J53)</f>
        <v>0</v>
      </c>
      <c r="F53" s="345">
        <f t="shared" ref="F53:F62" si="11">E53-G53</f>
        <v>0</v>
      </c>
      <c r="G53" s="350">
        <f>SUMIFS('Fiscal Calculation'!AR:AR,'Fiscal Calculation'!J:J,'Fiscal by Program'!$J53)</f>
        <v>0</v>
      </c>
      <c r="H53" s="400" t="str">
        <f>IF(B53&gt;0,SUMIFS('Fiscal Calculation'!AM:AM,'Fiscal Calculation'!J:J,'Fiscal by Program'!$J53),"")</f>
        <v/>
      </c>
      <c r="I53" s="445" t="str">
        <f>IF(E53&gt;0,SUMIFS('Fiscal Calculation'!AN:AN,'Fiscal Calculation'!J:J,'Fiscal by Program'!$J53),"")</f>
        <v/>
      </c>
      <c r="J53" s="363" t="str" cm="1">
        <f t="array" ref="J53">INDEX('Rate Table Service Desc XWalk'!F:F,MATCH(1,(A53='Rate Table Service Desc XWalk'!B:B)*("TxHmL"='Rate Table Service Desc XWalk'!A:A),0))</f>
        <v>4-1-23</v>
      </c>
    </row>
    <row r="54" spans="1:10">
      <c r="A54" s="43" t="s">
        <v>26</v>
      </c>
      <c r="B54" s="44">
        <f>SUMIFS('Fiscal Calculation'!AO:AO,'Fiscal Calculation'!J:J,'Fiscal by Program'!$J54)</f>
        <v>0</v>
      </c>
      <c r="C54" s="345">
        <f t="shared" si="10"/>
        <v>0</v>
      </c>
      <c r="D54" s="350">
        <f>SUMIFS('Fiscal Calculation'!AP:AP,'Fiscal Calculation'!J:J,'Fiscal by Program'!$J54)</f>
        <v>0</v>
      </c>
      <c r="E54" s="44">
        <f>SUMIFS('Fiscal Calculation'!AQ:AQ,'Fiscal Calculation'!J:J,'Fiscal by Program'!$J54)</f>
        <v>0</v>
      </c>
      <c r="F54" s="345">
        <f t="shared" si="11"/>
        <v>0</v>
      </c>
      <c r="G54" s="350">
        <f>SUMIFS('Fiscal Calculation'!AR:AR,'Fiscal Calculation'!J:J,'Fiscal by Program'!$J54)</f>
        <v>0</v>
      </c>
      <c r="H54" s="400" t="str">
        <f>IF(B54&gt;0,SUMIFS('Fiscal Calculation'!AM:AM,'Fiscal Calculation'!J:J,'Fiscal by Program'!$J54),"")</f>
        <v/>
      </c>
      <c r="I54" s="445" t="str">
        <f>IF(E54&gt;0,SUMIFS('Fiscal Calculation'!AN:AN,'Fiscal Calculation'!J:J,'Fiscal by Program'!$J54),"")</f>
        <v/>
      </c>
      <c r="J54" s="363" t="str" cm="1">
        <f t="array" ref="J54">INDEX('Rate Table Service Desc XWalk'!F:F,MATCH(1,(A54='Rate Table Service Desc XWalk'!B:B)*("TxHmL"='Rate Table Service Desc XWalk'!A:A),0))</f>
        <v>4-1-55</v>
      </c>
    </row>
    <row r="55" spans="1:10">
      <c r="A55" s="43" t="s">
        <v>41</v>
      </c>
      <c r="B55" s="44">
        <f>SUMIFS('Fiscal Calculation'!AO:AO,'Fiscal Calculation'!J:J,'Fiscal by Program'!$J55)</f>
        <v>0</v>
      </c>
      <c r="C55" s="345">
        <f t="shared" si="10"/>
        <v>0</v>
      </c>
      <c r="D55" s="350">
        <f>SUMIFS('Fiscal Calculation'!AP:AP,'Fiscal Calculation'!J:J,'Fiscal by Program'!$J55)</f>
        <v>0</v>
      </c>
      <c r="E55" s="44">
        <f>SUMIFS('Fiscal Calculation'!AQ:AQ,'Fiscal Calculation'!J:J,'Fiscal by Program'!$J55)</f>
        <v>0</v>
      </c>
      <c r="F55" s="345">
        <f t="shared" si="11"/>
        <v>0</v>
      </c>
      <c r="G55" s="350">
        <f>SUMIFS('Fiscal Calculation'!AR:AR,'Fiscal Calculation'!J:J,'Fiscal by Program'!$J55)</f>
        <v>0</v>
      </c>
      <c r="H55" s="400" t="str">
        <f>IF(B55&gt;0,SUMIFS('Fiscal Calculation'!AM:AM,'Fiscal Calculation'!J:J,'Fiscal by Program'!$J55),"")</f>
        <v/>
      </c>
      <c r="I55" s="445" t="str">
        <f>IF(E55&gt;0,SUMIFS('Fiscal Calculation'!AN:AN,'Fiscal Calculation'!J:J,'Fiscal by Program'!$J55),"")</f>
        <v/>
      </c>
      <c r="J55" s="363" t="str" cm="1">
        <f t="array" ref="J55">INDEX('Rate Table Service Desc XWalk'!F:F,MATCH(1,(A55='Rate Table Service Desc XWalk'!B:B)*("TxHmL"='Rate Table Service Desc XWalk'!A:A),0))</f>
        <v>4-1-45</v>
      </c>
    </row>
    <row r="56" spans="1:10">
      <c r="A56" s="43" t="s">
        <v>42</v>
      </c>
      <c r="B56" s="44">
        <f>SUMIFS('Fiscal Calculation'!AO:AO,'Fiscal Calculation'!J:J,'Fiscal by Program'!$J56)</f>
        <v>0</v>
      </c>
      <c r="C56" s="345">
        <f t="shared" si="10"/>
        <v>0</v>
      </c>
      <c r="D56" s="350">
        <f>SUMIFS('Fiscal Calculation'!AP:AP,'Fiscal Calculation'!J:J,'Fiscal by Program'!$J56)</f>
        <v>0</v>
      </c>
      <c r="E56" s="44">
        <f>SUMIFS('Fiscal Calculation'!AQ:AQ,'Fiscal Calculation'!J:J,'Fiscal by Program'!$J56)</f>
        <v>0</v>
      </c>
      <c r="F56" s="345">
        <f t="shared" si="11"/>
        <v>0</v>
      </c>
      <c r="G56" s="350">
        <f>SUMIFS('Fiscal Calculation'!AR:AR,'Fiscal Calculation'!J:J,'Fiscal by Program'!$J56)</f>
        <v>0</v>
      </c>
      <c r="H56" s="400" t="str">
        <f>IF(B56&gt;0,SUMIFS('Fiscal Calculation'!AM:AM,'Fiscal Calculation'!J:J,'Fiscal by Program'!$J56),"")</f>
        <v/>
      </c>
      <c r="I56" s="445" t="str">
        <f>IF(E56&gt;0,SUMIFS('Fiscal Calculation'!AN:AN,'Fiscal Calculation'!J:J,'Fiscal by Program'!$J56),"")</f>
        <v/>
      </c>
      <c r="J56" s="363" t="str" cm="1">
        <f t="array" ref="J56">INDEX('Rate Table Service Desc XWalk'!F:F,MATCH(1,(A56='Rate Table Service Desc XWalk'!B:B)*("TxHmL"='Rate Table Service Desc XWalk'!A:A),0))</f>
        <v>4-1-74</v>
      </c>
    </row>
    <row r="57" spans="1:10">
      <c r="A57" s="43" t="s">
        <v>37</v>
      </c>
      <c r="B57" s="44">
        <f>SUMIFS('Fiscal Calculation'!AO:AO,'Fiscal Calculation'!J:J,'Fiscal by Program'!$J57)</f>
        <v>0</v>
      </c>
      <c r="C57" s="345">
        <f t="shared" si="10"/>
        <v>0</v>
      </c>
      <c r="D57" s="350">
        <f>SUMIFS('Fiscal Calculation'!AP:AP,'Fiscal Calculation'!J:J,'Fiscal by Program'!$J57)</f>
        <v>0</v>
      </c>
      <c r="E57" s="44">
        <f>SUMIFS('Fiscal Calculation'!AQ:AQ,'Fiscal Calculation'!J:J,'Fiscal by Program'!$J57)</f>
        <v>0</v>
      </c>
      <c r="F57" s="345">
        <f t="shared" si="11"/>
        <v>0</v>
      </c>
      <c r="G57" s="350">
        <f>SUMIFS('Fiscal Calculation'!AR:AR,'Fiscal Calculation'!J:J,'Fiscal by Program'!$J57)</f>
        <v>0</v>
      </c>
      <c r="H57" s="400" t="str">
        <f>IF(B57&gt;0,SUMIFS('Fiscal Calculation'!AM:AM,'Fiscal Calculation'!J:J,'Fiscal by Program'!$J57),"")</f>
        <v/>
      </c>
      <c r="I57" s="445" t="str">
        <f>IF(E57&gt;0,SUMIFS('Fiscal Calculation'!AN:AN,'Fiscal Calculation'!J:J,'Fiscal by Program'!$J57),"")</f>
        <v/>
      </c>
      <c r="J57" s="363" t="str" cm="1">
        <f t="array" ref="J57">INDEX('Rate Table Service Desc XWalk'!F:F,MATCH(1,(A57='Rate Table Service Desc XWalk'!B:B)*("TxHmL"='Rate Table Service Desc XWalk'!A:A),0))</f>
        <v>4-1-79</v>
      </c>
    </row>
    <row r="58" spans="1:10">
      <c r="A58" s="43" t="s">
        <v>28</v>
      </c>
      <c r="B58" s="44">
        <f>SUMIFS('Fiscal Calculation'!AO:AO,'Fiscal Calculation'!J:J,'Fiscal by Program'!$J58)</f>
        <v>0</v>
      </c>
      <c r="C58" s="345">
        <f t="shared" si="10"/>
        <v>0</v>
      </c>
      <c r="D58" s="350">
        <f>SUMIFS('Fiscal Calculation'!AP:AP,'Fiscal Calculation'!J:J,'Fiscal by Program'!$J58)</f>
        <v>0</v>
      </c>
      <c r="E58" s="44">
        <f>SUMIFS('Fiscal Calculation'!AQ:AQ,'Fiscal Calculation'!J:J,'Fiscal by Program'!$J58)</f>
        <v>0</v>
      </c>
      <c r="F58" s="345">
        <f t="shared" si="11"/>
        <v>0</v>
      </c>
      <c r="G58" s="350">
        <f>SUMIFS('Fiscal Calculation'!AR:AR,'Fiscal Calculation'!J:J,'Fiscal by Program'!$J58)</f>
        <v>0</v>
      </c>
      <c r="H58" s="400" t="str">
        <f>IF(B58&gt;0,SUMIFS('Fiscal Calculation'!AM:AM,'Fiscal Calculation'!J:J,'Fiscal by Program'!$J58),"")</f>
        <v/>
      </c>
      <c r="I58" s="445" t="str">
        <f>IF(E58&gt;0,SUMIFS('Fiscal Calculation'!AN:AN,'Fiscal Calculation'!J:J,'Fiscal by Program'!$J58),"")</f>
        <v/>
      </c>
      <c r="J58" s="363" t="str" cm="1">
        <f t="array" ref="J58">INDEX('Rate Table Service Desc XWalk'!F:F,MATCH(1,(A58='Rate Table Service Desc XWalk'!B:B)*("TxHmL"='Rate Table Service Desc XWalk'!A:A),0))</f>
        <v>4-5-121</v>
      </c>
    </row>
    <row r="59" spans="1:10">
      <c r="A59" s="43" t="s">
        <v>30</v>
      </c>
      <c r="B59" s="44">
        <f>SUMIFS('Fiscal Calculation'!AO:AO,'Fiscal Calculation'!J:J,'Fiscal by Program'!$J59)</f>
        <v>0</v>
      </c>
      <c r="C59" s="345">
        <f t="shared" si="10"/>
        <v>0</v>
      </c>
      <c r="D59" s="350">
        <f>SUMIFS('Fiscal Calculation'!AP:AP,'Fiscal Calculation'!J:J,'Fiscal by Program'!$J59)</f>
        <v>0</v>
      </c>
      <c r="E59" s="44">
        <f>SUMIFS('Fiscal Calculation'!AQ:AQ,'Fiscal Calculation'!J:J,'Fiscal by Program'!$J59)</f>
        <v>0</v>
      </c>
      <c r="F59" s="345">
        <f t="shared" si="11"/>
        <v>0</v>
      </c>
      <c r="G59" s="350">
        <f>SUMIFS('Fiscal Calculation'!AR:AR,'Fiscal Calculation'!J:J,'Fiscal by Program'!$J59)</f>
        <v>0</v>
      </c>
      <c r="H59" s="400" t="str">
        <f>IF(B59&gt;0,SUMIFS('Fiscal Calculation'!AM:AM,'Fiscal Calculation'!J:J,'Fiscal by Program'!$J59),"")</f>
        <v/>
      </c>
      <c r="I59" s="445" t="str">
        <f>IF(E59&gt;0,SUMIFS('Fiscal Calculation'!AN:AN,'Fiscal Calculation'!J:J,'Fiscal by Program'!$J59),"")</f>
        <v/>
      </c>
      <c r="J59" s="363" t="str" cm="1">
        <f t="array" ref="J59">INDEX('Rate Table Service Desc XWalk'!F:F,MATCH(1,(A59='Rate Table Service Desc XWalk'!B:B)*("TxHmL"='Rate Table Service Desc XWalk'!A:A),0))</f>
        <v>4-5-124</v>
      </c>
    </row>
    <row r="60" spans="1:10">
      <c r="A60" s="43" t="s">
        <v>47</v>
      </c>
      <c r="B60" s="44">
        <f>SUMIFS('Fiscal Calculation'!AO:AO,'Fiscal Calculation'!J:J,'Fiscal by Program'!$J60)</f>
        <v>0</v>
      </c>
      <c r="C60" s="345">
        <f t="shared" si="10"/>
        <v>0</v>
      </c>
      <c r="D60" s="350">
        <f>SUMIFS('Fiscal Calculation'!AP:AP,'Fiscal Calculation'!J:J,'Fiscal by Program'!$J60)</f>
        <v>0</v>
      </c>
      <c r="E60" s="44">
        <f>SUMIFS('Fiscal Calculation'!AQ:AQ,'Fiscal Calculation'!J:J,'Fiscal by Program'!$J60)</f>
        <v>0</v>
      </c>
      <c r="F60" s="345">
        <f t="shared" si="11"/>
        <v>0</v>
      </c>
      <c r="G60" s="350">
        <f>SUMIFS('Fiscal Calculation'!AR:AR,'Fiscal Calculation'!J:J,'Fiscal by Program'!$J60)</f>
        <v>0</v>
      </c>
      <c r="H60" s="400" t="str">
        <f>IF(B60&gt;0,SUMIFS('Fiscal Calculation'!AM:AM,'Fiscal Calculation'!J:J,'Fiscal by Program'!$J60),"")</f>
        <v/>
      </c>
      <c r="I60" s="445" t="str">
        <f>IF(E60&gt;0,SUMIFS('Fiscal Calculation'!AN:AN,'Fiscal Calculation'!J:J,'Fiscal by Program'!$J60),"")</f>
        <v/>
      </c>
      <c r="J60" s="363" t="str" cm="1">
        <f t="array" ref="J60">INDEX('Rate Table Service Desc XWalk'!F:F,MATCH(1,(A60='Rate Table Service Desc XWalk'!B:B)*("TxHmL"='Rate Table Service Desc XWalk'!A:A),0))</f>
        <v>4-5-126</v>
      </c>
    </row>
    <row r="61" spans="1:10">
      <c r="A61" s="43" t="s">
        <v>44</v>
      </c>
      <c r="B61" s="44">
        <f>SUMIFS('Fiscal Calculation'!AO:AO,'Fiscal Calculation'!J:J,'Fiscal by Program'!$J61)</f>
        <v>0</v>
      </c>
      <c r="C61" s="345">
        <f t="shared" si="10"/>
        <v>0</v>
      </c>
      <c r="D61" s="350">
        <f>SUMIFS('Fiscal Calculation'!AP:AP,'Fiscal Calculation'!J:J,'Fiscal by Program'!$J61)</f>
        <v>0</v>
      </c>
      <c r="E61" s="44">
        <f>SUMIFS('Fiscal Calculation'!AQ:AQ,'Fiscal Calculation'!J:J,'Fiscal by Program'!$J61)</f>
        <v>0</v>
      </c>
      <c r="F61" s="345">
        <f t="shared" si="11"/>
        <v>0</v>
      </c>
      <c r="G61" s="350">
        <f>SUMIFS('Fiscal Calculation'!AR:AR,'Fiscal Calculation'!J:J,'Fiscal by Program'!$J61)</f>
        <v>0</v>
      </c>
      <c r="H61" s="400" t="str">
        <f>IF(B61&gt;0,SUMIFS('Fiscal Calculation'!AM:AM,'Fiscal Calculation'!J:J,'Fiscal by Program'!$J61),"")</f>
        <v/>
      </c>
      <c r="I61" s="445" t="str">
        <f>IF(E61&gt;0,SUMIFS('Fiscal Calculation'!AN:AN,'Fiscal Calculation'!J:J,'Fiscal by Program'!$J61),"")</f>
        <v/>
      </c>
      <c r="J61" s="363" t="str" cm="1">
        <f t="array" ref="J61">INDEX('Rate Table Service Desc XWalk'!F:F,MATCH(1,(A61='Rate Table Service Desc XWalk'!B:B)*("TxHmL"='Rate Table Service Desc XWalk'!A:A),0))</f>
        <v>4-5-139</v>
      </c>
    </row>
    <row r="62" spans="1:10">
      <c r="A62" s="43" t="s">
        <v>38</v>
      </c>
      <c r="B62" s="44">
        <f>SUMIFS('Fiscal Calculation'!AO:AO,'Fiscal Calculation'!J:J,'Fiscal by Program'!$J62)</f>
        <v>0</v>
      </c>
      <c r="C62" s="345">
        <f t="shared" si="10"/>
        <v>0</v>
      </c>
      <c r="D62" s="350">
        <f>SUMIFS('Fiscal Calculation'!AP:AP,'Fiscal Calculation'!J:J,'Fiscal by Program'!$J62)</f>
        <v>0</v>
      </c>
      <c r="E62" s="44">
        <f>SUMIFS('Fiscal Calculation'!AQ:AQ,'Fiscal Calculation'!J:J,'Fiscal by Program'!$J62)</f>
        <v>0</v>
      </c>
      <c r="F62" s="345">
        <f t="shared" si="11"/>
        <v>0</v>
      </c>
      <c r="G62" s="350">
        <f>SUMIFS('Fiscal Calculation'!AR:AR,'Fiscal Calculation'!J:J,'Fiscal by Program'!$J62)</f>
        <v>0</v>
      </c>
      <c r="H62" s="400" t="str">
        <f>IF(B62&gt;0,SUMIFS('Fiscal Calculation'!AM:AM,'Fiscal Calculation'!J:J,'Fiscal by Program'!$J62),"")</f>
        <v/>
      </c>
      <c r="I62" s="445" t="str">
        <f>IF(E62&gt;0,SUMIFS('Fiscal Calculation'!AN:AN,'Fiscal Calculation'!J:J,'Fiscal by Program'!$J62),"")</f>
        <v/>
      </c>
      <c r="J62" s="363" t="str" cm="1">
        <f t="array" ref="J62">INDEX('Rate Table Service Desc XWalk'!F:F,MATCH(1,(A62='Rate Table Service Desc XWalk'!B:B)*("TxHmL"='Rate Table Service Desc XWalk'!A:A),0))</f>
        <v>4-5-143</v>
      </c>
    </row>
    <row r="63" spans="1:10">
      <c r="A63" s="45" t="s">
        <v>48</v>
      </c>
      <c r="B63" s="46">
        <f>SUM(B53:B62)</f>
        <v>0</v>
      </c>
      <c r="C63" s="47">
        <f t="shared" ref="C63:I63" si="12">SUM(C53:C62)</f>
        <v>0</v>
      </c>
      <c r="D63" s="351">
        <f t="shared" si="12"/>
        <v>0</v>
      </c>
      <c r="E63" s="46">
        <f t="shared" si="12"/>
        <v>0</v>
      </c>
      <c r="F63" s="47">
        <f t="shared" si="12"/>
        <v>0</v>
      </c>
      <c r="G63" s="351">
        <f t="shared" si="12"/>
        <v>0</v>
      </c>
      <c r="H63" s="401">
        <f t="shared" si="12"/>
        <v>0</v>
      </c>
      <c r="I63" s="446">
        <f t="shared" si="12"/>
        <v>0</v>
      </c>
      <c r="J63" s="363"/>
    </row>
    <row r="64" spans="1:10" s="362" customFormat="1">
      <c r="A64" s="41" t="s">
        <v>49</v>
      </c>
      <c r="B64" s="51"/>
      <c r="C64" s="52"/>
      <c r="D64" s="353"/>
      <c r="E64" s="51"/>
      <c r="F64" s="52"/>
      <c r="G64" s="353"/>
      <c r="H64" s="405"/>
      <c r="I64" s="448"/>
      <c r="J64" s="363"/>
    </row>
    <row r="65" spans="1:10">
      <c r="A65" s="43" t="s">
        <v>50</v>
      </c>
      <c r="B65" s="44">
        <f>SUMIFS('Fiscal Calculation'!AO:AO,'Fiscal Calculation'!J:J,'Fiscal by Program'!$J65)</f>
        <v>0</v>
      </c>
      <c r="C65" s="345">
        <f t="shared" ref="C65:C72" si="13">B65-D65</f>
        <v>0</v>
      </c>
      <c r="D65" s="350">
        <f>SUMIFS('Fiscal Calculation'!AP:AP,'Fiscal Calculation'!J:J,'Fiscal by Program'!$J65)</f>
        <v>0</v>
      </c>
      <c r="E65" s="44">
        <f>SUMIFS('Fiscal Calculation'!AQ:AQ,'Fiscal Calculation'!J:J,'Fiscal by Program'!$J65)</f>
        <v>0</v>
      </c>
      <c r="F65" s="345">
        <f t="shared" ref="F65:F72" si="14">E65-G65</f>
        <v>0</v>
      </c>
      <c r="G65" s="350">
        <f>SUMIFS('Fiscal Calculation'!AR:AR,'Fiscal Calculation'!J:J,'Fiscal by Program'!$J65)</f>
        <v>0</v>
      </c>
      <c r="H65" s="400" t="str">
        <f>IF(B65&gt;0,SUMIFS('Fiscal Calculation'!AM:AM,'Fiscal Calculation'!J:J,'Fiscal by Program'!$J65),"")</f>
        <v/>
      </c>
      <c r="I65" s="445" t="str">
        <f>IF(E65&gt;0,SUMIFS('Fiscal Calculation'!AN:AN,'Fiscal Calculation'!J:J,'Fiscal by Program'!$J65),"")</f>
        <v/>
      </c>
      <c r="J65" s="363" t="str" cm="1">
        <f t="array" ref="J65">INDEX('Rate Table Service Desc XWalk'!F:F,MATCH(1,(A65='Rate Table Service Desc XWalk'!B:B)*("STAR+PLUS HCBS"='Rate Table Service Desc XWalk'!A:A),0))</f>
        <v>6-1-4</v>
      </c>
    </row>
    <row r="66" spans="1:10">
      <c r="A66" s="43" t="s">
        <v>24</v>
      </c>
      <c r="B66" s="44">
        <f>SUMIFS('Fiscal Calculation'!AO:AO,'Fiscal Calculation'!J:J,'Fiscal by Program'!$J66)</f>
        <v>0</v>
      </c>
      <c r="C66" s="345">
        <f t="shared" si="13"/>
        <v>0</v>
      </c>
      <c r="D66" s="350">
        <f>SUMIFS('Fiscal Calculation'!AP:AP,'Fiscal Calculation'!J:J,'Fiscal by Program'!$J66)</f>
        <v>0</v>
      </c>
      <c r="E66" s="44">
        <f>SUMIFS('Fiscal Calculation'!AQ:AQ,'Fiscal Calculation'!J:J,'Fiscal by Program'!$J66)</f>
        <v>0</v>
      </c>
      <c r="F66" s="345">
        <f t="shared" si="14"/>
        <v>0</v>
      </c>
      <c r="G66" s="350">
        <f>SUMIFS('Fiscal Calculation'!AR:AR,'Fiscal Calculation'!J:J,'Fiscal by Program'!$J66)</f>
        <v>0</v>
      </c>
      <c r="H66" s="400" t="str">
        <f>IF(B66&gt;0,SUMIFS('Fiscal Calculation'!AM:AM,'Fiscal Calculation'!J:J,'Fiscal by Program'!$J66),"")</f>
        <v/>
      </c>
      <c r="I66" s="445" t="str">
        <f>IF(E66&gt;0,SUMIFS('Fiscal Calculation'!AN:AN,'Fiscal Calculation'!J:J,'Fiscal by Program'!$J66),"")</f>
        <v/>
      </c>
      <c r="J66" s="363" t="str" cm="1">
        <f t="array" ref="J66">INDEX('Rate Table Service Desc XWalk'!F:F,MATCH(1,(A66='Rate Table Service Desc XWalk'!B:B)*("STAR+PLUS HCBS"='Rate Table Service Desc XWalk'!A:A),0))</f>
        <v>6-1-23</v>
      </c>
    </row>
    <row r="67" spans="1:10">
      <c r="A67" s="43" t="s">
        <v>51</v>
      </c>
      <c r="B67" s="44">
        <f>SUMIFS('Fiscal Calculation'!AO:AO,'Fiscal Calculation'!J:J,'Fiscal by Program'!$J67)</f>
        <v>0</v>
      </c>
      <c r="C67" s="345">
        <f t="shared" si="13"/>
        <v>0</v>
      </c>
      <c r="D67" s="350">
        <f>SUMIFS('Fiscal Calculation'!AP:AP,'Fiscal Calculation'!J:J,'Fiscal by Program'!$J67)</f>
        <v>0</v>
      </c>
      <c r="E67" s="44">
        <f>SUMIFS('Fiscal Calculation'!AQ:AQ,'Fiscal Calculation'!J:J,'Fiscal by Program'!$J67)</f>
        <v>0</v>
      </c>
      <c r="F67" s="345">
        <f t="shared" si="14"/>
        <v>0</v>
      </c>
      <c r="G67" s="350">
        <f>SUMIFS('Fiscal Calculation'!AR:AR,'Fiscal Calculation'!J:J,'Fiscal by Program'!$J67)</f>
        <v>0</v>
      </c>
      <c r="H67" s="400" t="str">
        <f>IF(B67&gt;0,SUMIFS('Fiscal Calculation'!AM:AM,'Fiscal Calculation'!J:J,'Fiscal by Program'!$J67),"")</f>
        <v/>
      </c>
      <c r="I67" s="445" t="str">
        <f>IF(E67&gt;0,SUMIFS('Fiscal Calculation'!AN:AN,'Fiscal Calculation'!J:J,'Fiscal by Program'!$J67),"")</f>
        <v/>
      </c>
      <c r="J67" s="363" t="str" cm="1">
        <f t="array" ref="J67">INDEX('Rate Table Service Desc XWalk'!F:F,MATCH(1,(A67='Rate Table Service Desc XWalk'!B:B)*("STAR+PLUS HCBS"='Rate Table Service Desc XWalk'!A:A),0))</f>
        <v>6-1-27</v>
      </c>
    </row>
    <row r="68" spans="1:10">
      <c r="A68" s="43" t="s">
        <v>26</v>
      </c>
      <c r="B68" s="44">
        <f>SUMIFS('Fiscal Calculation'!AO:AO,'Fiscal Calculation'!J:J,'Fiscal by Program'!$J68)</f>
        <v>0</v>
      </c>
      <c r="C68" s="345">
        <f t="shared" si="13"/>
        <v>0</v>
      </c>
      <c r="D68" s="350">
        <f>SUMIFS('Fiscal Calculation'!AP:AP,'Fiscal Calculation'!J:J,'Fiscal by Program'!$J68)</f>
        <v>0</v>
      </c>
      <c r="E68" s="44">
        <f>SUMIFS('Fiscal Calculation'!AQ:AQ,'Fiscal Calculation'!J:J,'Fiscal by Program'!$J68)</f>
        <v>0</v>
      </c>
      <c r="F68" s="345">
        <f t="shared" si="14"/>
        <v>0</v>
      </c>
      <c r="G68" s="350">
        <f>SUMIFS('Fiscal Calculation'!AR:AR,'Fiscal Calculation'!J:J,'Fiscal by Program'!$J68)</f>
        <v>0</v>
      </c>
      <c r="H68" s="400" t="str">
        <f>IF(B68&gt;0,SUMIFS('Fiscal Calculation'!AM:AM,'Fiscal Calculation'!J:J,'Fiscal by Program'!$J68),"")</f>
        <v/>
      </c>
      <c r="I68" s="445" t="str">
        <f>IF(E68&gt;0,SUMIFS('Fiscal Calculation'!AN:AN,'Fiscal Calculation'!J:J,'Fiscal by Program'!$J68),"")</f>
        <v/>
      </c>
      <c r="J68" s="363" t="str" cm="1">
        <f t="array" ref="J68">INDEX('Rate Table Service Desc XWalk'!F:F,MATCH(1,(A68='Rate Table Service Desc XWalk'!B:B)*("STAR+PLUS HCBS"='Rate Table Service Desc XWalk'!A:A),0))</f>
        <v>6-1-55</v>
      </c>
    </row>
    <row r="69" spans="1:10">
      <c r="A69" s="43" t="s">
        <v>52</v>
      </c>
      <c r="B69" s="44">
        <f>SUMIFS('Fiscal Calculation'!AO:AO,'Fiscal Calculation'!J:J,'Fiscal by Program'!$J69)</f>
        <v>0</v>
      </c>
      <c r="C69" s="345">
        <f t="shared" si="13"/>
        <v>0</v>
      </c>
      <c r="D69" s="350">
        <f>SUMIFS('Fiscal Calculation'!AP:AP,'Fiscal Calculation'!J:J,'Fiscal by Program'!$J69)</f>
        <v>0</v>
      </c>
      <c r="E69" s="44">
        <f>SUMIFS('Fiscal Calculation'!AQ:AQ,'Fiscal Calculation'!J:J,'Fiscal by Program'!$J69)</f>
        <v>0</v>
      </c>
      <c r="F69" s="345">
        <f t="shared" si="14"/>
        <v>0</v>
      </c>
      <c r="G69" s="350">
        <f>SUMIFS('Fiscal Calculation'!AR:AR,'Fiscal Calculation'!J:J,'Fiscal by Program'!$J69)</f>
        <v>0</v>
      </c>
      <c r="H69" s="400" t="str">
        <f>IF(B69&gt;0,SUMIFS('Fiscal Calculation'!AM:AM,'Fiscal Calculation'!J:J,'Fiscal by Program'!$J69),"")</f>
        <v/>
      </c>
      <c r="I69" s="445" t="str">
        <f>IF(E69&gt;0,SUMIFS('Fiscal Calculation'!AN:AN,'Fiscal Calculation'!J:J,'Fiscal by Program'!$J69),"")</f>
        <v/>
      </c>
      <c r="J69" s="363" t="str" cm="1">
        <f t="array" ref="J69">INDEX('Rate Table Service Desc XWalk'!F:F,MATCH(1,(A69='Rate Table Service Desc XWalk'!B:B)*("STAR+PLUS HCBS"='Rate Table Service Desc XWalk'!A:A),0))</f>
        <v>6-1-77</v>
      </c>
    </row>
    <row r="70" spans="1:10">
      <c r="A70" s="43" t="s">
        <v>53</v>
      </c>
      <c r="B70" s="44">
        <f>SUMIFS('Fiscal Calculation'!AO:AO,'Fiscal Calculation'!J:J,'Fiscal by Program'!$J70)</f>
        <v>0</v>
      </c>
      <c r="C70" s="345">
        <f t="shared" si="13"/>
        <v>0</v>
      </c>
      <c r="D70" s="350">
        <f>SUMIFS('Fiscal Calculation'!AP:AP,'Fiscal Calculation'!J:J,'Fiscal by Program'!$J70)</f>
        <v>0</v>
      </c>
      <c r="E70" s="44">
        <f>SUMIFS('Fiscal Calculation'!AQ:AQ,'Fiscal Calculation'!J:J,'Fiscal by Program'!$J70)</f>
        <v>0</v>
      </c>
      <c r="F70" s="345">
        <f t="shared" si="14"/>
        <v>0</v>
      </c>
      <c r="G70" s="350">
        <f>SUMIFS('Fiscal Calculation'!AR:AR,'Fiscal Calculation'!J:J,'Fiscal by Program'!$J70)</f>
        <v>0</v>
      </c>
      <c r="H70" s="400" t="str">
        <f>IF(B70&gt;0,SUMIFS('Fiscal Calculation'!AM:AM,'Fiscal Calculation'!J:J,'Fiscal by Program'!$J70),"")</f>
        <v/>
      </c>
      <c r="I70" s="445" t="str">
        <f>IF(E70&gt;0,SUMIFS('Fiscal Calculation'!AN:AN,'Fiscal Calculation'!J:J,'Fiscal by Program'!$J70),"")</f>
        <v/>
      </c>
      <c r="J70" s="363" t="str" cm="1">
        <f t="array" ref="J70">INDEX('Rate Table Service Desc XWalk'!F:F,MATCH(1,(A70='Rate Table Service Desc XWalk'!B:B)*("STAR+PLUS HCBS"='Rate Table Service Desc XWalk'!A:A),0))</f>
        <v>6-5-123</v>
      </c>
    </row>
    <row r="71" spans="1:10">
      <c r="A71" s="43" t="s">
        <v>30</v>
      </c>
      <c r="B71" s="44">
        <f>SUMIFS('Fiscal Calculation'!AO:AO,'Fiscal Calculation'!J:J,'Fiscal by Program'!$J71)</f>
        <v>0</v>
      </c>
      <c r="C71" s="345">
        <f t="shared" si="13"/>
        <v>0</v>
      </c>
      <c r="D71" s="350">
        <f>SUMIFS('Fiscal Calculation'!AP:AP,'Fiscal Calculation'!J:J,'Fiscal by Program'!$J71)</f>
        <v>0</v>
      </c>
      <c r="E71" s="44">
        <f>SUMIFS('Fiscal Calculation'!AQ:AQ,'Fiscal Calculation'!J:J,'Fiscal by Program'!$J71)</f>
        <v>0</v>
      </c>
      <c r="F71" s="345">
        <f t="shared" si="14"/>
        <v>0</v>
      </c>
      <c r="G71" s="350">
        <f>SUMIFS('Fiscal Calculation'!AR:AR,'Fiscal Calculation'!J:J,'Fiscal by Program'!$J71)</f>
        <v>0</v>
      </c>
      <c r="H71" s="400" t="str">
        <f>IF(B71&gt;0,SUMIFS('Fiscal Calculation'!AM:AM,'Fiscal Calculation'!J:J,'Fiscal by Program'!$J71),"")</f>
        <v/>
      </c>
      <c r="I71" s="445" t="str">
        <f>IF(E71&gt;0,SUMIFS('Fiscal Calculation'!AN:AN,'Fiscal Calculation'!J:J,'Fiscal by Program'!$J71),"")</f>
        <v/>
      </c>
      <c r="J71" s="363" t="str" cm="1">
        <f t="array" ref="J71">INDEX('Rate Table Service Desc XWalk'!F:F,MATCH(1,(A71='Rate Table Service Desc XWalk'!B:B)*("STAR+PLUS HCBS"='Rate Table Service Desc XWalk'!A:A),0))</f>
        <v>6-5-136</v>
      </c>
    </row>
    <row r="72" spans="1:10">
      <c r="A72" s="43" t="s">
        <v>54</v>
      </c>
      <c r="B72" s="44">
        <f>SUMIFS('Fiscal Calculation'!AO:AO,'Fiscal Calculation'!J:J,'Fiscal by Program'!$J72)</f>
        <v>0</v>
      </c>
      <c r="C72" s="345">
        <f t="shared" si="13"/>
        <v>0</v>
      </c>
      <c r="D72" s="350">
        <f>SUMIFS('Fiscal Calculation'!AP:AP,'Fiscal Calculation'!J:J,'Fiscal by Program'!$J72)</f>
        <v>0</v>
      </c>
      <c r="E72" s="44">
        <f>SUMIFS('Fiscal Calculation'!AQ:AQ,'Fiscal Calculation'!J:J,'Fiscal by Program'!$J72)</f>
        <v>0</v>
      </c>
      <c r="F72" s="345">
        <f t="shared" si="14"/>
        <v>0</v>
      </c>
      <c r="G72" s="350">
        <f>SUMIFS('Fiscal Calculation'!AR:AR,'Fiscal Calculation'!J:J,'Fiscal by Program'!$J72)</f>
        <v>0</v>
      </c>
      <c r="H72" s="400" t="str">
        <f>IF(B72&gt;0,SUMIFS('Fiscal Calculation'!AM:AM,'Fiscal Calculation'!J:J,'Fiscal by Program'!$J72),"")</f>
        <v/>
      </c>
      <c r="I72" s="445" t="str">
        <f>IF(E72&gt;0,SUMIFS('Fiscal Calculation'!AN:AN,'Fiscal Calculation'!J:J,'Fiscal by Program'!$J72),"")</f>
        <v/>
      </c>
      <c r="J72" s="363" t="str" cm="1">
        <f t="array" ref="J72">INDEX('Rate Table Service Desc XWalk'!F:F,MATCH(1,(A72='Rate Table Service Desc XWalk'!B:B)*("STAR+PLUS HCBS"='Rate Table Service Desc XWalk'!A:A),0))</f>
        <v>6-5-141</v>
      </c>
    </row>
    <row r="73" spans="1:10">
      <c r="A73" s="45" t="s">
        <v>55</v>
      </c>
      <c r="B73" s="46">
        <f>SUM(B65:B72)</f>
        <v>0</v>
      </c>
      <c r="C73" s="47">
        <f t="shared" ref="C73:I73" si="15">SUM(C65:C72)</f>
        <v>0</v>
      </c>
      <c r="D73" s="351">
        <f t="shared" si="15"/>
        <v>0</v>
      </c>
      <c r="E73" s="46">
        <f t="shared" si="15"/>
        <v>0</v>
      </c>
      <c r="F73" s="47">
        <f t="shared" si="15"/>
        <v>0</v>
      </c>
      <c r="G73" s="351">
        <f t="shared" si="15"/>
        <v>0</v>
      </c>
      <c r="H73" s="401">
        <f t="shared" si="15"/>
        <v>0</v>
      </c>
      <c r="I73" s="446">
        <f t="shared" si="15"/>
        <v>0</v>
      </c>
      <c r="J73" s="363"/>
    </row>
    <row r="74" spans="1:10" s="362" customFormat="1">
      <c r="A74" s="41" t="s">
        <v>56</v>
      </c>
      <c r="B74" s="51"/>
      <c r="C74" s="52"/>
      <c r="D74" s="353"/>
      <c r="E74" s="51"/>
      <c r="F74" s="52"/>
      <c r="G74" s="353"/>
      <c r="H74" s="405"/>
      <c r="I74" s="448"/>
      <c r="J74" s="363"/>
    </row>
    <row r="75" spans="1:10">
      <c r="A75" s="43" t="s">
        <v>57</v>
      </c>
      <c r="B75" s="44">
        <f>SUMIFS('Fiscal Calculation'!AO:AO,'Fiscal Calculation'!J:J,'Fiscal by Program'!$J75)</f>
        <v>0</v>
      </c>
      <c r="C75" s="345">
        <f t="shared" ref="C75:C79" si="16">B75-D75</f>
        <v>0</v>
      </c>
      <c r="D75" s="350">
        <f>SUMIFS('Fiscal Calculation'!AP:AP,'Fiscal Calculation'!J:J,'Fiscal by Program'!$J75)</f>
        <v>0</v>
      </c>
      <c r="E75" s="44">
        <f>SUMIFS('Fiscal Calculation'!AQ:AQ,'Fiscal Calculation'!J:J,'Fiscal by Program'!$J75)</f>
        <v>0</v>
      </c>
      <c r="F75" s="345">
        <f t="shared" ref="F75:F79" si="17">E75-G75</f>
        <v>0</v>
      </c>
      <c r="G75" s="350">
        <f>SUMIFS('Fiscal Calculation'!AR:AR,'Fiscal Calculation'!J:J,'Fiscal by Program'!$J75)</f>
        <v>0</v>
      </c>
      <c r="H75" s="400" t="str">
        <f>IF(B75&gt;0,SUMIFS('Fiscal Calculation'!AM:AM,'Fiscal Calculation'!J:J,'Fiscal by Program'!$J75),"")</f>
        <v/>
      </c>
      <c r="I75" s="445" t="str">
        <f>IF(E75&gt;0,SUMIFS('Fiscal Calculation'!AN:AN,'Fiscal Calculation'!J:J,'Fiscal by Program'!$J75),"")</f>
        <v/>
      </c>
      <c r="J75" s="363" t="str" cm="1">
        <f t="array" ref="J75">INDEX('Rate Table Service Desc XWalk'!F:F,MATCH(1,(A75='Rate Table Service Desc XWalk'!B:B)*("STAR+PLUS"='Rate Table Service Desc XWalk'!A:A),0))</f>
        <v>7-1-17</v>
      </c>
    </row>
    <row r="76" spans="1:10">
      <c r="A76" s="43" t="s">
        <v>51</v>
      </c>
      <c r="B76" s="44">
        <f>SUMIFS('Fiscal Calculation'!AO:AO,'Fiscal Calculation'!J:J,'Fiscal by Program'!$J76)</f>
        <v>0</v>
      </c>
      <c r="C76" s="345">
        <f t="shared" si="16"/>
        <v>0</v>
      </c>
      <c r="D76" s="350">
        <f>SUMIFS('Fiscal Calculation'!AP:AP,'Fiscal Calculation'!J:J,'Fiscal by Program'!$J76)</f>
        <v>0</v>
      </c>
      <c r="E76" s="44">
        <f>SUMIFS('Fiscal Calculation'!AQ:AQ,'Fiscal Calculation'!J:J,'Fiscal by Program'!$J76)</f>
        <v>0</v>
      </c>
      <c r="F76" s="345">
        <f t="shared" si="17"/>
        <v>0</v>
      </c>
      <c r="G76" s="350">
        <f>SUMIFS('Fiscal Calculation'!AR:AR,'Fiscal Calculation'!J:J,'Fiscal by Program'!$J76)</f>
        <v>0</v>
      </c>
      <c r="H76" s="400" t="str">
        <f>IF(B76&gt;0,SUMIFS('Fiscal Calculation'!AM:AM,'Fiscal Calculation'!J:J,'Fiscal by Program'!$J76),"")</f>
        <v/>
      </c>
      <c r="I76" s="445" t="str">
        <f>IF(E76&gt;0,SUMIFS('Fiscal Calculation'!AN:AN,'Fiscal Calculation'!J:J,'Fiscal by Program'!$J76),"")</f>
        <v/>
      </c>
      <c r="J76" s="363" t="str" cm="1">
        <f t="array" ref="J76">INDEX('Rate Table Service Desc XWalk'!F:F,MATCH(1,(A76='Rate Table Service Desc XWalk'!B:B)*("STAR+PLUS"='Rate Table Service Desc XWalk'!A:A),0))</f>
        <v>7-1-27</v>
      </c>
    </row>
    <row r="77" spans="1:10">
      <c r="A77" s="43" t="s">
        <v>52</v>
      </c>
      <c r="B77" s="44">
        <f>SUMIFS('Fiscal Calculation'!AO:AO,'Fiscal Calculation'!J:J,'Fiscal by Program'!$J77)</f>
        <v>0</v>
      </c>
      <c r="C77" s="345">
        <f t="shared" si="16"/>
        <v>0</v>
      </c>
      <c r="D77" s="350">
        <f>SUMIFS('Fiscal Calculation'!AP:AP,'Fiscal Calculation'!J:J,'Fiscal by Program'!$J77)</f>
        <v>0</v>
      </c>
      <c r="E77" s="44">
        <f>SUMIFS('Fiscal Calculation'!AQ:AQ,'Fiscal Calculation'!J:J,'Fiscal by Program'!$J77)</f>
        <v>0</v>
      </c>
      <c r="F77" s="345">
        <f t="shared" si="17"/>
        <v>0</v>
      </c>
      <c r="G77" s="350">
        <f>SUMIFS('Fiscal Calculation'!AR:AR,'Fiscal Calculation'!J:J,'Fiscal by Program'!$J77)</f>
        <v>0</v>
      </c>
      <c r="H77" s="400" t="str">
        <f>IF(B77&gt;0,SUMIFS('Fiscal Calculation'!AM:AM,'Fiscal Calculation'!J:J,'Fiscal by Program'!$J77),"")</f>
        <v/>
      </c>
      <c r="I77" s="445" t="str">
        <f>IF(E77&gt;0,SUMIFS('Fiscal Calculation'!AN:AN,'Fiscal Calculation'!J:J,'Fiscal by Program'!$J77),"")</f>
        <v/>
      </c>
      <c r="J77" s="363" t="str" cm="1">
        <f t="array" ref="J77">INDEX('Rate Table Service Desc XWalk'!F:F,MATCH(1,(A77='Rate Table Service Desc XWalk'!B:B)*("STAR+PLUS"='Rate Table Service Desc XWalk'!A:A),0))</f>
        <v>7-1-77</v>
      </c>
    </row>
    <row r="78" spans="1:10">
      <c r="A78" s="43" t="s">
        <v>53</v>
      </c>
      <c r="B78" s="44">
        <f>SUMIFS('Fiscal Calculation'!AO:AO,'Fiscal Calculation'!J:J,'Fiscal by Program'!$J78)</f>
        <v>0</v>
      </c>
      <c r="C78" s="345">
        <f t="shared" si="16"/>
        <v>0</v>
      </c>
      <c r="D78" s="350">
        <f>SUMIFS('Fiscal Calculation'!AP:AP,'Fiscal Calculation'!J:J,'Fiscal by Program'!$J78)</f>
        <v>0</v>
      </c>
      <c r="E78" s="44">
        <f>SUMIFS('Fiscal Calculation'!AQ:AQ,'Fiscal Calculation'!J:J,'Fiscal by Program'!$J78)</f>
        <v>0</v>
      </c>
      <c r="F78" s="345">
        <f t="shared" si="17"/>
        <v>0</v>
      </c>
      <c r="G78" s="350">
        <f>SUMIFS('Fiscal Calculation'!AR:AR,'Fiscal Calculation'!J:J,'Fiscal by Program'!$J78)</f>
        <v>0</v>
      </c>
      <c r="H78" s="400" t="str">
        <f>IF(B78&gt;0,SUMIFS('Fiscal Calculation'!AM:AM,'Fiscal Calculation'!J:J,'Fiscal by Program'!$J78),"")</f>
        <v/>
      </c>
      <c r="I78" s="445" t="str">
        <f>IF(E78&gt;0,SUMIFS('Fiscal Calculation'!AN:AN,'Fiscal Calculation'!J:J,'Fiscal by Program'!$J78),"")</f>
        <v/>
      </c>
      <c r="J78" s="363" t="str" cm="1">
        <f t="array" ref="J78">INDEX('Rate Table Service Desc XWalk'!F:F,MATCH(1,(A78='Rate Table Service Desc XWalk'!B:B)*("STAR+PLUS"='Rate Table Service Desc XWalk'!A:A),0))</f>
        <v>7-5-123</v>
      </c>
    </row>
    <row r="79" spans="1:10">
      <c r="A79" s="43" t="s">
        <v>54</v>
      </c>
      <c r="B79" s="44">
        <f>SUMIFS('Fiscal Calculation'!AO:AO,'Fiscal Calculation'!J:J,'Fiscal by Program'!$J79)</f>
        <v>0</v>
      </c>
      <c r="C79" s="345">
        <f t="shared" si="16"/>
        <v>0</v>
      </c>
      <c r="D79" s="350">
        <f>SUMIFS('Fiscal Calculation'!AP:AP,'Fiscal Calculation'!J:J,'Fiscal by Program'!$J79)</f>
        <v>0</v>
      </c>
      <c r="E79" s="44">
        <f>SUMIFS('Fiscal Calculation'!AQ:AQ,'Fiscal Calculation'!J:J,'Fiscal by Program'!$J79)</f>
        <v>0</v>
      </c>
      <c r="F79" s="345">
        <f t="shared" si="17"/>
        <v>0</v>
      </c>
      <c r="G79" s="350">
        <f>SUMIFS('Fiscal Calculation'!AR:AR,'Fiscal Calculation'!J:J,'Fiscal by Program'!$J79)</f>
        <v>0</v>
      </c>
      <c r="H79" s="400" t="str">
        <f>IF(B79&gt;0,SUMIFS('Fiscal Calculation'!AM:AM,'Fiscal Calculation'!J:J,'Fiscal by Program'!$J79),"")</f>
        <v/>
      </c>
      <c r="I79" s="445" t="str">
        <f>IF(E79&gt;0,SUMIFS('Fiscal Calculation'!AN:AN,'Fiscal Calculation'!J:J,'Fiscal by Program'!$J79),"")</f>
        <v/>
      </c>
      <c r="J79" s="363" t="str" cm="1">
        <f t="array" ref="J79">INDEX('Rate Table Service Desc XWalk'!F:F,MATCH(1,(A79='Rate Table Service Desc XWalk'!B:B)*("STAR+PLUS"='Rate Table Service Desc XWalk'!A:A),0))</f>
        <v>7-5-141</v>
      </c>
    </row>
    <row r="80" spans="1:10">
      <c r="A80" s="45" t="s">
        <v>58</v>
      </c>
      <c r="B80" s="46">
        <f>SUM(B75:B79)</f>
        <v>0</v>
      </c>
      <c r="C80" s="47">
        <f t="shared" ref="C80:I80" si="18">SUM(C75:C79)</f>
        <v>0</v>
      </c>
      <c r="D80" s="351">
        <f t="shared" si="18"/>
        <v>0</v>
      </c>
      <c r="E80" s="46">
        <f t="shared" si="18"/>
        <v>0</v>
      </c>
      <c r="F80" s="47">
        <f t="shared" si="18"/>
        <v>0</v>
      </c>
      <c r="G80" s="351">
        <f t="shared" si="18"/>
        <v>0</v>
      </c>
      <c r="H80" s="401">
        <f t="shared" si="18"/>
        <v>0</v>
      </c>
      <c r="I80" s="446">
        <f t="shared" si="18"/>
        <v>0</v>
      </c>
      <c r="J80" s="363"/>
    </row>
    <row r="81" spans="1:10" s="362" customFormat="1">
      <c r="A81" s="53" t="s">
        <v>59</v>
      </c>
      <c r="B81" s="51"/>
      <c r="C81" s="52"/>
      <c r="D81" s="353"/>
      <c r="E81" s="51"/>
      <c r="F81" s="52"/>
      <c r="G81" s="353"/>
      <c r="H81" s="405"/>
      <c r="I81" s="448"/>
      <c r="J81" s="363"/>
    </row>
    <row r="82" spans="1:10">
      <c r="A82" s="43" t="s">
        <v>60</v>
      </c>
      <c r="B82" s="44">
        <f>SUMIFS('Fiscal Calculation'!AO:AO,'Fiscal Calculation'!J:J,'Fiscal by Program'!$J82)</f>
        <v>0</v>
      </c>
      <c r="C82" s="345">
        <f t="shared" ref="C82:C87" si="19">B82-D82</f>
        <v>0</v>
      </c>
      <c r="D82" s="350">
        <f>SUMIFS('Fiscal Calculation'!AP:AP,'Fiscal Calculation'!J:J,'Fiscal by Program'!$J82)</f>
        <v>0</v>
      </c>
      <c r="E82" s="44">
        <f>SUMIFS('Fiscal Calculation'!AQ:AQ,'Fiscal Calculation'!J:J,'Fiscal by Program'!$J82)</f>
        <v>0</v>
      </c>
      <c r="F82" s="345">
        <f t="shared" ref="F82:F87" si="20">E82-G82</f>
        <v>0</v>
      </c>
      <c r="G82" s="350">
        <f>SUMIFS('Fiscal Calculation'!AR:AR,'Fiscal Calculation'!J:J,'Fiscal by Program'!$J82)</f>
        <v>0</v>
      </c>
      <c r="H82" s="400" t="str">
        <f>IF(B82&gt;0,SUMIFS('Fiscal Calculation'!AM:AM,'Fiscal Calculation'!J:J,'Fiscal by Program'!$J82),"")</f>
        <v/>
      </c>
      <c r="I82" s="445" t="str">
        <f>IF(E82&gt;0,SUMIFS('Fiscal Calculation'!AN:AN,'Fiscal Calculation'!J:J,'Fiscal by Program'!$J82),"")</f>
        <v/>
      </c>
      <c r="J82" s="363" t="str" cm="1">
        <f t="array" ref="J82">INDEX('Rate Table Service Desc XWalk'!F:F,MATCH(1,(A82='Rate Table Service Desc XWalk'!B:B)*("STAR Kids MDCP"='Rate Table Service Desc XWalk'!A:A),0))</f>
        <v>8-1-11</v>
      </c>
    </row>
    <row r="83" spans="1:10">
      <c r="A83" s="43" t="s">
        <v>61</v>
      </c>
      <c r="B83" s="44">
        <f>SUMIFS('Fiscal Calculation'!AO:AO,'Fiscal Calculation'!J:J,'Fiscal by Program'!$J83)</f>
        <v>0</v>
      </c>
      <c r="C83" s="345">
        <f t="shared" si="19"/>
        <v>0</v>
      </c>
      <c r="D83" s="350">
        <f>SUMIFS('Fiscal Calculation'!AP:AP,'Fiscal Calculation'!J:J,'Fiscal by Program'!$J83)</f>
        <v>0</v>
      </c>
      <c r="E83" s="44">
        <f>SUMIFS('Fiscal Calculation'!AQ:AQ,'Fiscal Calculation'!J:J,'Fiscal by Program'!$J83)</f>
        <v>0</v>
      </c>
      <c r="F83" s="345">
        <f t="shared" si="20"/>
        <v>0</v>
      </c>
      <c r="G83" s="350">
        <f>SUMIFS('Fiscal Calculation'!AR:AR,'Fiscal Calculation'!J:J,'Fiscal by Program'!$J83)</f>
        <v>0</v>
      </c>
      <c r="H83" s="400" t="str">
        <f>IF(B83&gt;0,SUMIFS('Fiscal Calculation'!AM:AM,'Fiscal Calculation'!J:J,'Fiscal by Program'!$J83),"")</f>
        <v/>
      </c>
      <c r="I83" s="445" t="str">
        <f>IF(E83&gt;0,SUMIFS('Fiscal Calculation'!AN:AN,'Fiscal Calculation'!J:J,'Fiscal by Program'!$J83),"")</f>
        <v/>
      </c>
      <c r="J83" s="363" t="str" cm="1">
        <f t="array" ref="J83">INDEX('Rate Table Service Desc XWalk'!F:F,MATCH(1,(A83='Rate Table Service Desc XWalk'!B:B)*("STAR Kids MDCP"='Rate Table Service Desc XWalk'!A:A),0))</f>
        <v>8-1-41</v>
      </c>
    </row>
    <row r="84" spans="1:10">
      <c r="A84" s="43" t="s">
        <v>62</v>
      </c>
      <c r="B84" s="44">
        <f>SUMIFS('Fiscal Calculation'!AO:AO,'Fiscal Calculation'!J:J,'Fiscal by Program'!$J84)</f>
        <v>0</v>
      </c>
      <c r="C84" s="345">
        <f t="shared" si="19"/>
        <v>0</v>
      </c>
      <c r="D84" s="350">
        <f>SUMIFS('Fiscal Calculation'!AP:AP,'Fiscal Calculation'!J:J,'Fiscal by Program'!$J84)</f>
        <v>0</v>
      </c>
      <c r="E84" s="44">
        <f>SUMIFS('Fiscal Calculation'!AQ:AQ,'Fiscal Calculation'!J:J,'Fiscal by Program'!$J84)</f>
        <v>0</v>
      </c>
      <c r="F84" s="345">
        <f t="shared" si="20"/>
        <v>0</v>
      </c>
      <c r="G84" s="350">
        <f>SUMIFS('Fiscal Calculation'!AR:AR,'Fiscal Calculation'!J:J,'Fiscal by Program'!$J84)</f>
        <v>0</v>
      </c>
      <c r="H84" s="400" t="str">
        <f>IF(B84&gt;0,SUMIFS('Fiscal Calculation'!AM:AM,'Fiscal Calculation'!J:J,'Fiscal by Program'!$J84),"")</f>
        <v/>
      </c>
      <c r="I84" s="445" t="str">
        <f>IF(E84&gt;0,SUMIFS('Fiscal Calculation'!AN:AN,'Fiscal Calculation'!J:J,'Fiscal by Program'!$J84),"")</f>
        <v/>
      </c>
      <c r="J84" s="363" t="str" cm="1">
        <f t="array" ref="J84">INDEX('Rate Table Service Desc XWalk'!F:F,MATCH(1,(A84='Rate Table Service Desc XWalk'!B:B)*("STAR Kids MDCP"='Rate Table Service Desc XWalk'!A:A),0))</f>
        <v>8-1-80</v>
      </c>
    </row>
    <row r="85" spans="1:10">
      <c r="A85" s="43" t="s">
        <v>63</v>
      </c>
      <c r="B85" s="44">
        <f>SUMIFS('Fiscal Calculation'!AO:AO,'Fiscal Calculation'!J:J,'Fiscal by Program'!$J85)</f>
        <v>0</v>
      </c>
      <c r="C85" s="345">
        <f t="shared" si="19"/>
        <v>0</v>
      </c>
      <c r="D85" s="350">
        <f>SUMIFS('Fiscal Calculation'!AP:AP,'Fiscal Calculation'!J:J,'Fiscal by Program'!$J85)</f>
        <v>0</v>
      </c>
      <c r="E85" s="44">
        <f>SUMIFS('Fiscal Calculation'!AQ:AQ,'Fiscal Calculation'!J:J,'Fiscal by Program'!$J85)</f>
        <v>0</v>
      </c>
      <c r="F85" s="345">
        <f t="shared" si="20"/>
        <v>0</v>
      </c>
      <c r="G85" s="350">
        <f>SUMIFS('Fiscal Calculation'!AR:AR,'Fiscal Calculation'!J:J,'Fiscal by Program'!$J85)</f>
        <v>0</v>
      </c>
      <c r="H85" s="400" t="str">
        <f>IF(B85&gt;0,SUMIFS('Fiscal Calculation'!AM:AM,'Fiscal Calculation'!J:J,'Fiscal by Program'!$J85),"")</f>
        <v/>
      </c>
      <c r="I85" s="445" t="str">
        <f>IF(E85&gt;0,SUMIFS('Fiscal Calculation'!AN:AN,'Fiscal Calculation'!J:J,'Fiscal by Program'!$J85),"")</f>
        <v/>
      </c>
      <c r="J85" s="363" t="str" cm="1">
        <f t="array" ref="J85">INDEX('Rate Table Service Desc XWalk'!F:F,MATCH(1,(A85='Rate Table Service Desc XWalk'!B:B)*("STAR Kids MDCP"='Rate Table Service Desc XWalk'!A:A),0))</f>
        <v>8-5-118</v>
      </c>
    </row>
    <row r="86" spans="1:10">
      <c r="A86" s="43" t="s">
        <v>64</v>
      </c>
      <c r="B86" s="44">
        <f>SUMIFS('Fiscal Calculation'!AO:AO,'Fiscal Calculation'!J:J,'Fiscal by Program'!$J86)</f>
        <v>0</v>
      </c>
      <c r="C86" s="345">
        <f t="shared" si="19"/>
        <v>0</v>
      </c>
      <c r="D86" s="350">
        <f>SUMIFS('Fiscal Calculation'!AP:AP,'Fiscal Calculation'!J:J,'Fiscal by Program'!$J86)</f>
        <v>0</v>
      </c>
      <c r="E86" s="44">
        <f>SUMIFS('Fiscal Calculation'!AQ:AQ,'Fiscal Calculation'!J:J,'Fiscal by Program'!$J86)</f>
        <v>0</v>
      </c>
      <c r="F86" s="345">
        <f t="shared" si="20"/>
        <v>0</v>
      </c>
      <c r="G86" s="350">
        <f>SUMIFS('Fiscal Calculation'!AR:AR,'Fiscal Calculation'!J:J,'Fiscal by Program'!$J86)</f>
        <v>0</v>
      </c>
      <c r="H86" s="400" t="str">
        <f>IF(B86&gt;0,SUMIFS('Fiscal Calculation'!AM:AM,'Fiscal Calculation'!J:J,'Fiscal by Program'!$J86),"")</f>
        <v/>
      </c>
      <c r="I86" s="445" t="str">
        <f>IF(E86&gt;0,SUMIFS('Fiscal Calculation'!AN:AN,'Fiscal Calculation'!J:J,'Fiscal by Program'!$J86),"")</f>
        <v/>
      </c>
      <c r="J86" s="363" t="str" cm="1">
        <f t="array" ref="J86">INDEX('Rate Table Service Desc XWalk'!F:F,MATCH(1,(A86='Rate Table Service Desc XWalk'!B:B)*("STAR Kids MDCP"='Rate Table Service Desc XWalk'!A:A),0))</f>
        <v>8-5-125</v>
      </c>
    </row>
    <row r="87" spans="1:10">
      <c r="A87" s="43" t="s">
        <v>65</v>
      </c>
      <c r="B87" s="44">
        <f>SUMIFS('Fiscal Calculation'!AO:AO,'Fiscal Calculation'!J:J,'Fiscal by Program'!$J87)</f>
        <v>0</v>
      </c>
      <c r="C87" s="345">
        <f t="shared" si="19"/>
        <v>0</v>
      </c>
      <c r="D87" s="350">
        <f>SUMIFS('Fiscal Calculation'!AP:AP,'Fiscal Calculation'!J:J,'Fiscal by Program'!$J87)</f>
        <v>0</v>
      </c>
      <c r="E87" s="44">
        <f>SUMIFS('Fiscal Calculation'!AQ:AQ,'Fiscal Calculation'!J:J,'Fiscal by Program'!$J87)</f>
        <v>0</v>
      </c>
      <c r="F87" s="345">
        <f t="shared" si="20"/>
        <v>0</v>
      </c>
      <c r="G87" s="350">
        <f>SUMIFS('Fiscal Calculation'!AR:AR,'Fiscal Calculation'!J:J,'Fiscal by Program'!$J87)</f>
        <v>0</v>
      </c>
      <c r="H87" s="400" t="str">
        <f>IF(B87&gt;0,SUMIFS('Fiscal Calculation'!AM:AM,'Fiscal Calculation'!J:J,'Fiscal by Program'!$J87),"")</f>
        <v/>
      </c>
      <c r="I87" s="445" t="str">
        <f>IF(E87&gt;0,SUMIFS('Fiscal Calculation'!AN:AN,'Fiscal Calculation'!J:J,'Fiscal by Program'!$J87),"")</f>
        <v/>
      </c>
      <c r="J87" s="363" t="str" cm="1">
        <f t="array" ref="J87">INDEX('Rate Table Service Desc XWalk'!F:F,MATCH(1,(A87='Rate Table Service Desc XWalk'!B:B)*("STAR Kids MDCP"='Rate Table Service Desc XWalk'!A:A),0))</f>
        <v>8-5-144</v>
      </c>
    </row>
    <row r="88" spans="1:10">
      <c r="A88" s="54" t="s">
        <v>66</v>
      </c>
      <c r="B88" s="46">
        <f>SUM(B82:B87)</f>
        <v>0</v>
      </c>
      <c r="C88" s="47">
        <f t="shared" ref="C88:I88" si="21">SUM(C82:C87)</f>
        <v>0</v>
      </c>
      <c r="D88" s="351">
        <f t="shared" si="21"/>
        <v>0</v>
      </c>
      <c r="E88" s="46">
        <f t="shared" si="21"/>
        <v>0</v>
      </c>
      <c r="F88" s="47">
        <f t="shared" si="21"/>
        <v>0</v>
      </c>
      <c r="G88" s="351">
        <f t="shared" si="21"/>
        <v>0</v>
      </c>
      <c r="H88" s="401">
        <f t="shared" si="21"/>
        <v>0</v>
      </c>
      <c r="I88" s="446">
        <f t="shared" si="21"/>
        <v>0</v>
      </c>
      <c r="J88" s="363"/>
    </row>
    <row r="89" spans="1:10" s="362" customFormat="1">
      <c r="A89" s="53" t="s">
        <v>67</v>
      </c>
      <c r="B89" s="51"/>
      <c r="C89" s="52"/>
      <c r="D89" s="353"/>
      <c r="E89" s="51"/>
      <c r="F89" s="52"/>
      <c r="G89" s="353"/>
      <c r="H89" s="405"/>
      <c r="I89" s="448"/>
      <c r="J89" s="363"/>
    </row>
    <row r="90" spans="1:10">
      <c r="A90" s="43" t="s">
        <v>61</v>
      </c>
      <c r="B90" s="44">
        <f>SUMIFS('Fiscal Calculation'!AO:AO,'Fiscal Calculation'!J:J,'Fiscal by Program'!$J90)</f>
        <v>0</v>
      </c>
      <c r="C90" s="345">
        <f t="shared" ref="C90:C91" si="22">B90-D90</f>
        <v>0</v>
      </c>
      <c r="D90" s="350">
        <f>SUMIFS('Fiscal Calculation'!AP:AP,'Fiscal Calculation'!J:J,'Fiscal by Program'!$J90)</f>
        <v>0</v>
      </c>
      <c r="E90" s="44">
        <f>SUMIFS('Fiscal Calculation'!AQ:AQ,'Fiscal Calculation'!J:J,'Fiscal by Program'!$J90)</f>
        <v>0</v>
      </c>
      <c r="F90" s="345">
        <f t="shared" ref="F90:F91" si="23">E90-G90</f>
        <v>0</v>
      </c>
      <c r="G90" s="350">
        <f>SUMIFS('Fiscal Calculation'!AR:AR,'Fiscal Calculation'!J:J,'Fiscal by Program'!$J90)</f>
        <v>0</v>
      </c>
      <c r="H90" s="400" t="str">
        <f>IF(B90&gt;0,SUMIFS('Fiscal Calculation'!AM:AM,'Fiscal Calculation'!J:J,'Fiscal by Program'!$J90),"")</f>
        <v/>
      </c>
      <c r="I90" s="445" t="str">
        <f>IF(E90&gt;0,SUMIFS('Fiscal Calculation'!AN:AN,'Fiscal Calculation'!J:J,'Fiscal by Program'!$J90),"")</f>
        <v/>
      </c>
      <c r="J90" s="363" t="str" cm="1">
        <f t="array" ref="J90">INDEX('Rate Table Service Desc XWalk'!F:F,MATCH(1,(A90='Rate Table Service Desc XWalk'!B:B)*("STAR Health MDCP"='Rate Table Service Desc XWalk'!A:A),0))</f>
        <v>12-1-41</v>
      </c>
    </row>
    <row r="91" spans="1:10">
      <c r="A91" s="43" t="s">
        <v>64</v>
      </c>
      <c r="B91" s="44">
        <f>SUMIFS('Fiscal Calculation'!AO:AO,'Fiscal Calculation'!J:J,'Fiscal by Program'!$J91)</f>
        <v>0</v>
      </c>
      <c r="C91" s="345">
        <f t="shared" si="22"/>
        <v>0</v>
      </c>
      <c r="D91" s="350">
        <f>SUMIFS('Fiscal Calculation'!AP:AP,'Fiscal Calculation'!J:J,'Fiscal by Program'!$J91)</f>
        <v>0</v>
      </c>
      <c r="E91" s="44">
        <f>SUMIFS('Fiscal Calculation'!AQ:AQ,'Fiscal Calculation'!J:J,'Fiscal by Program'!$J91)</f>
        <v>0</v>
      </c>
      <c r="F91" s="345">
        <f t="shared" si="23"/>
        <v>0</v>
      </c>
      <c r="G91" s="350">
        <f>SUMIFS('Fiscal Calculation'!AR:AR,'Fiscal Calculation'!J:J,'Fiscal by Program'!$J91)</f>
        <v>0</v>
      </c>
      <c r="H91" s="400" t="str">
        <f>IF(B91&gt;0,SUMIFS('Fiscal Calculation'!AM:AM,'Fiscal Calculation'!J:J,'Fiscal by Program'!$J91),"")</f>
        <v/>
      </c>
      <c r="I91" s="445" t="str">
        <f>IF(E91&gt;0,SUMIFS('Fiscal Calculation'!AN:AN,'Fiscal Calculation'!J:J,'Fiscal by Program'!$J91),"")</f>
        <v/>
      </c>
      <c r="J91" s="363" t="str" cm="1">
        <f t="array" ref="J91">INDEX('Rate Table Service Desc XWalk'!F:F,MATCH(1,(A91='Rate Table Service Desc XWalk'!B:B)*("STAR Health MDCP"='Rate Table Service Desc XWalk'!A:A),0))</f>
        <v>12-5-125</v>
      </c>
    </row>
    <row r="92" spans="1:10">
      <c r="A92" s="54" t="s">
        <v>68</v>
      </c>
      <c r="B92" s="46">
        <f t="shared" ref="B92:I92" si="24">SUM(B90:B91)</f>
        <v>0</v>
      </c>
      <c r="C92" s="47">
        <f t="shared" si="24"/>
        <v>0</v>
      </c>
      <c r="D92" s="351">
        <f t="shared" si="24"/>
        <v>0</v>
      </c>
      <c r="E92" s="46">
        <f t="shared" si="24"/>
        <v>0</v>
      </c>
      <c r="F92" s="47">
        <f t="shared" si="24"/>
        <v>0</v>
      </c>
      <c r="G92" s="351">
        <f t="shared" si="24"/>
        <v>0</v>
      </c>
      <c r="H92" s="401">
        <f t="shared" si="24"/>
        <v>0</v>
      </c>
      <c r="I92" s="446">
        <f t="shared" si="24"/>
        <v>0</v>
      </c>
      <c r="J92" s="363"/>
    </row>
    <row r="93" spans="1:10" s="362" customFormat="1">
      <c r="A93" s="53" t="s">
        <v>69</v>
      </c>
      <c r="B93" s="51"/>
      <c r="C93" s="52"/>
      <c r="D93" s="353"/>
      <c r="E93" s="51"/>
      <c r="F93" s="52"/>
      <c r="G93" s="353"/>
      <c r="H93" s="405"/>
      <c r="I93" s="448"/>
      <c r="J93" s="363"/>
    </row>
    <row r="94" spans="1:10">
      <c r="A94" s="43" t="s">
        <v>60</v>
      </c>
      <c r="B94" s="44">
        <f>SUMIFS('Fiscal Calculation'!AO:AO,'Fiscal Calculation'!J:J,'Fiscal by Program'!$J94)</f>
        <v>0</v>
      </c>
      <c r="C94" s="345">
        <f t="shared" ref="C94:C98" si="25">B94-D94</f>
        <v>0</v>
      </c>
      <c r="D94" s="350">
        <f>SUMIFS('Fiscal Calculation'!AP:AP,'Fiscal Calculation'!J:J,'Fiscal by Program'!$J94)</f>
        <v>0</v>
      </c>
      <c r="E94" s="44">
        <f>SUMIFS('Fiscal Calculation'!AQ:AQ,'Fiscal Calculation'!J:J,'Fiscal by Program'!$J94)</f>
        <v>0</v>
      </c>
      <c r="F94" s="345">
        <f t="shared" ref="F94:F98" si="26">E94-G94</f>
        <v>0</v>
      </c>
      <c r="G94" s="350">
        <f>SUMIFS('Fiscal Calculation'!AR:AR,'Fiscal Calculation'!J:J,'Fiscal by Program'!$J94)</f>
        <v>0</v>
      </c>
      <c r="H94" s="400" t="str">
        <f>IF(B94&gt;0,SUMIFS('Fiscal Calculation'!AM:AM,'Fiscal Calculation'!J:J,'Fiscal by Program'!$J94),"")</f>
        <v/>
      </c>
      <c r="I94" s="445" t="str">
        <f>IF(E94&gt;0,SUMIFS('Fiscal Calculation'!AN:AN,'Fiscal Calculation'!J:J,'Fiscal by Program'!$J94),"")</f>
        <v/>
      </c>
      <c r="J94" s="363" t="str" cm="1">
        <f t="array" ref="J94">INDEX('Rate Table Service Desc XWalk'!F:F,MATCH(1,(A94='Rate Table Service Desc XWalk'!B:B)*("STAR Kids"='Rate Table Service Desc XWalk'!A:A),0))</f>
        <v>9-1-11</v>
      </c>
    </row>
    <row r="95" spans="1:10">
      <c r="A95" s="43" t="s">
        <v>57</v>
      </c>
      <c r="B95" s="44">
        <f>SUMIFS('Fiscal Calculation'!AO:AO,'Fiscal Calculation'!J:J,'Fiscal by Program'!$J95)</f>
        <v>0</v>
      </c>
      <c r="C95" s="345">
        <f t="shared" si="25"/>
        <v>0</v>
      </c>
      <c r="D95" s="350">
        <f>SUMIFS('Fiscal Calculation'!AP:AP,'Fiscal Calculation'!J:J,'Fiscal by Program'!$J95)</f>
        <v>0</v>
      </c>
      <c r="E95" s="44">
        <f>SUMIFS('Fiscal Calculation'!AQ:AQ,'Fiscal Calculation'!J:J,'Fiscal by Program'!$J95)</f>
        <v>0</v>
      </c>
      <c r="F95" s="345">
        <f t="shared" si="26"/>
        <v>0</v>
      </c>
      <c r="G95" s="350">
        <f>SUMIFS('Fiscal Calculation'!AR:AR,'Fiscal Calculation'!J:J,'Fiscal by Program'!$J95)</f>
        <v>0</v>
      </c>
      <c r="H95" s="400" t="str">
        <f>IF(B95&gt;0,SUMIFS('Fiscal Calculation'!AM:AM,'Fiscal Calculation'!J:J,'Fiscal by Program'!$J95),"")</f>
        <v/>
      </c>
      <c r="I95" s="445" t="str">
        <f>IF(E95&gt;0,SUMIFS('Fiscal Calculation'!AN:AN,'Fiscal Calculation'!J:J,'Fiscal by Program'!$J95),"")</f>
        <v/>
      </c>
      <c r="J95" s="363" t="str" cm="1">
        <f t="array" ref="J95">INDEX('Rate Table Service Desc XWalk'!F:F,MATCH(1,(A95='Rate Table Service Desc XWalk'!B:B)*("STAR Kids"='Rate Table Service Desc XWalk'!A:A),0))</f>
        <v>9-1-17</v>
      </c>
    </row>
    <row r="96" spans="1:10">
      <c r="A96" s="43" t="s">
        <v>62</v>
      </c>
      <c r="B96" s="44">
        <f>SUMIFS('Fiscal Calculation'!AO:AO,'Fiscal Calculation'!J:J,'Fiscal by Program'!$J96)</f>
        <v>0</v>
      </c>
      <c r="C96" s="345">
        <f t="shared" si="25"/>
        <v>0</v>
      </c>
      <c r="D96" s="350">
        <f>SUMIFS('Fiscal Calculation'!AP:AP,'Fiscal Calculation'!J:J,'Fiscal by Program'!$J96)</f>
        <v>0</v>
      </c>
      <c r="E96" s="44">
        <f>SUMIFS('Fiscal Calculation'!AQ:AQ,'Fiscal Calculation'!J:J,'Fiscal by Program'!$J96)</f>
        <v>0</v>
      </c>
      <c r="F96" s="345">
        <f t="shared" si="26"/>
        <v>0</v>
      </c>
      <c r="G96" s="350">
        <f>SUMIFS('Fiscal Calculation'!AR:AR,'Fiscal Calculation'!J:J,'Fiscal by Program'!$J96)</f>
        <v>0</v>
      </c>
      <c r="H96" s="400" t="str">
        <f>IF(B96&gt;0,SUMIFS('Fiscal Calculation'!AM:AM,'Fiscal Calculation'!J:J,'Fiscal by Program'!$J96),"")</f>
        <v/>
      </c>
      <c r="I96" s="445" t="str">
        <f>IF(E96&gt;0,SUMIFS('Fiscal Calculation'!AN:AN,'Fiscal Calculation'!J:J,'Fiscal by Program'!$J96),"")</f>
        <v/>
      </c>
      <c r="J96" s="363" t="str" cm="1">
        <f t="array" ref="J96">INDEX('Rate Table Service Desc XWalk'!F:F,MATCH(1,(A96='Rate Table Service Desc XWalk'!B:B)*("STAR Kids"='Rate Table Service Desc XWalk'!A:A),0))</f>
        <v>9-1-80</v>
      </c>
    </row>
    <row r="97" spans="1:10">
      <c r="A97" s="43" t="s">
        <v>63</v>
      </c>
      <c r="B97" s="44">
        <f>SUMIFS('Fiscal Calculation'!AO:AO,'Fiscal Calculation'!J:J,'Fiscal by Program'!$J97)</f>
        <v>0</v>
      </c>
      <c r="C97" s="345">
        <f t="shared" si="25"/>
        <v>0</v>
      </c>
      <c r="D97" s="350">
        <f>SUMIFS('Fiscal Calculation'!AP:AP,'Fiscal Calculation'!J:J,'Fiscal by Program'!$J97)</f>
        <v>0</v>
      </c>
      <c r="E97" s="44">
        <f>SUMIFS('Fiscal Calculation'!AQ:AQ,'Fiscal Calculation'!J:J,'Fiscal by Program'!$J97)</f>
        <v>0</v>
      </c>
      <c r="F97" s="345">
        <f t="shared" si="26"/>
        <v>0</v>
      </c>
      <c r="G97" s="350">
        <f>SUMIFS('Fiscal Calculation'!AR:AR,'Fiscal Calculation'!J:J,'Fiscal by Program'!$J97)</f>
        <v>0</v>
      </c>
      <c r="H97" s="400" t="str">
        <f>IF(B97&gt;0,SUMIFS('Fiscal Calculation'!AM:AM,'Fiscal Calculation'!J:J,'Fiscal by Program'!$J97),"")</f>
        <v/>
      </c>
      <c r="I97" s="445" t="str">
        <f>IF(E97&gt;0,SUMIFS('Fiscal Calculation'!AN:AN,'Fiscal Calculation'!J:J,'Fiscal by Program'!$J97),"")</f>
        <v/>
      </c>
      <c r="J97" s="363" t="str" cm="1">
        <f t="array" ref="J97">INDEX('Rate Table Service Desc XWalk'!F:F,MATCH(1,(A97='Rate Table Service Desc XWalk'!B:B)*("STAR Kids"='Rate Table Service Desc XWalk'!A:A),0))</f>
        <v>9-5-118</v>
      </c>
    </row>
    <row r="98" spans="1:10">
      <c r="A98" s="43" t="s">
        <v>65</v>
      </c>
      <c r="B98" s="44">
        <f>SUMIFS('Fiscal Calculation'!AO:AO,'Fiscal Calculation'!J:J,'Fiscal by Program'!$J98)</f>
        <v>0</v>
      </c>
      <c r="C98" s="345">
        <f t="shared" si="25"/>
        <v>0</v>
      </c>
      <c r="D98" s="350">
        <f>SUMIFS('Fiscal Calculation'!AP:AP,'Fiscal Calculation'!J:J,'Fiscal by Program'!$J98)</f>
        <v>0</v>
      </c>
      <c r="E98" s="44">
        <f>SUMIFS('Fiscal Calculation'!AQ:AQ,'Fiscal Calculation'!J:J,'Fiscal by Program'!$J98)</f>
        <v>0</v>
      </c>
      <c r="F98" s="345">
        <f t="shared" si="26"/>
        <v>0</v>
      </c>
      <c r="G98" s="350">
        <f>SUMIFS('Fiscal Calculation'!AR:AR,'Fiscal Calculation'!J:J,'Fiscal by Program'!$J98)</f>
        <v>0</v>
      </c>
      <c r="H98" s="400" t="str">
        <f>IF(B98&gt;0,SUMIFS('Fiscal Calculation'!AM:AM,'Fiscal Calculation'!J:J,'Fiscal by Program'!$J98),"")</f>
        <v/>
      </c>
      <c r="I98" s="445" t="str">
        <f>IF(E98&gt;0,SUMIFS('Fiscal Calculation'!AN:AN,'Fiscal Calculation'!J:J,'Fiscal by Program'!$J98),"")</f>
        <v/>
      </c>
      <c r="J98" s="363" t="str" cm="1">
        <f t="array" ref="J98">INDEX('Rate Table Service Desc XWalk'!F:F,MATCH(1,(A98='Rate Table Service Desc XWalk'!B:B)*("STAR Kids"='Rate Table Service Desc XWalk'!A:A),0))</f>
        <v>9-5-144</v>
      </c>
    </row>
    <row r="99" spans="1:10">
      <c r="A99" s="45" t="s">
        <v>69</v>
      </c>
      <c r="B99" s="46">
        <f>SUM(B94:B98)</f>
        <v>0</v>
      </c>
      <c r="C99" s="47">
        <f t="shared" ref="C99:G99" si="27">SUM(C94:C98)</f>
        <v>0</v>
      </c>
      <c r="D99" s="351">
        <f t="shared" si="27"/>
        <v>0</v>
      </c>
      <c r="E99" s="46">
        <f t="shared" si="27"/>
        <v>0</v>
      </c>
      <c r="F99" s="47">
        <f t="shared" si="27"/>
        <v>0</v>
      </c>
      <c r="G99" s="351">
        <f t="shared" si="27"/>
        <v>0</v>
      </c>
      <c r="H99" s="401">
        <f t="shared" ref="H99:I99" si="28">SUM(H94:H98)</f>
        <v>0</v>
      </c>
      <c r="I99" s="446">
        <f t="shared" si="28"/>
        <v>0</v>
      </c>
      <c r="J99" s="363"/>
    </row>
    <row r="100" spans="1:10" s="362" customFormat="1">
      <c r="A100" s="53" t="s">
        <v>70</v>
      </c>
      <c r="B100" s="51"/>
      <c r="C100" s="52"/>
      <c r="D100" s="353"/>
      <c r="E100" s="51"/>
      <c r="F100" s="52"/>
      <c r="G100" s="353"/>
      <c r="H100" s="405"/>
      <c r="I100" s="448"/>
      <c r="J100" s="363"/>
    </row>
    <row r="101" spans="1:10">
      <c r="A101" s="43" t="s">
        <v>71</v>
      </c>
      <c r="B101" s="44">
        <f>SUMIFS('Fiscal Calculation'!AO:AO,'Fiscal Calculation'!J:J,'Fiscal by Program'!$J101)</f>
        <v>0</v>
      </c>
      <c r="C101" s="345">
        <f t="shared" ref="C101:C106" si="29">B101-D101</f>
        <v>0</v>
      </c>
      <c r="D101" s="350">
        <f>SUMIFS('Fiscal Calculation'!AP:AP,'Fiscal Calculation'!J:J,'Fiscal by Program'!$J101)</f>
        <v>0</v>
      </c>
      <c r="E101" s="44">
        <f>SUMIFS('Fiscal Calculation'!AQ:AQ,'Fiscal Calculation'!J:J,'Fiscal by Program'!$J101)</f>
        <v>0</v>
      </c>
      <c r="F101" s="345">
        <f t="shared" ref="F101:F106" si="30">E101-G101</f>
        <v>0</v>
      </c>
      <c r="G101" s="350">
        <f>SUMIFS('Fiscal Calculation'!AR:AR,'Fiscal Calculation'!J:J,'Fiscal by Program'!$J101)</f>
        <v>0</v>
      </c>
      <c r="H101" s="400" t="str">
        <f>IF(B101&gt;0,SUMIFS('Fiscal Calculation'!AM:AM,'Fiscal Calculation'!J:J,'Fiscal by Program'!$J101),"")</f>
        <v/>
      </c>
      <c r="I101" s="445" t="str">
        <f>IF(E101&gt;0,SUMIFS('Fiscal Calculation'!AN:AN,'Fiscal Calculation'!J:J,'Fiscal by Program'!$J101),"")</f>
        <v/>
      </c>
      <c r="J101" s="363" t="str" cm="1">
        <f t="array" ref="J101">INDEX('Rate Table Service Desc XWalk'!F:F,MATCH(1,(A101='Rate Table Service Desc XWalk'!B:B)*("CAS"='Rate Table Service Desc XWalk'!A:A),0))</f>
        <v>13-1-7</v>
      </c>
    </row>
    <row r="102" spans="1:10">
      <c r="A102" s="43" t="s">
        <v>72</v>
      </c>
      <c r="B102" s="44">
        <f>SUMIFS('Fiscal Calculation'!AO:AO,'Fiscal Calculation'!J:J,'Fiscal by Program'!$J102)</f>
        <v>0</v>
      </c>
      <c r="C102" s="345">
        <f t="shared" si="29"/>
        <v>0</v>
      </c>
      <c r="D102" s="350">
        <f>SUMIFS('Fiscal Calculation'!AP:AP,'Fiscal Calculation'!J:J,'Fiscal by Program'!$J102)</f>
        <v>0</v>
      </c>
      <c r="E102" s="44">
        <f>SUMIFS('Fiscal Calculation'!AQ:AQ,'Fiscal Calculation'!J:J,'Fiscal by Program'!$J102)</f>
        <v>0</v>
      </c>
      <c r="F102" s="345">
        <f t="shared" si="30"/>
        <v>0</v>
      </c>
      <c r="G102" s="350">
        <f>SUMIFS('Fiscal Calculation'!AR:AR,'Fiscal Calculation'!J:J,'Fiscal by Program'!$J102)</f>
        <v>0</v>
      </c>
      <c r="H102" s="400" t="str">
        <f>IF(B102&gt;0,SUMIFS('Fiscal Calculation'!AM:AM,'Fiscal Calculation'!J:J,'Fiscal by Program'!$J102),"")</f>
        <v/>
      </c>
      <c r="I102" s="445" t="str">
        <f>IF(E102&gt;0,SUMIFS('Fiscal Calculation'!AN:AN,'Fiscal Calculation'!J:J,'Fiscal by Program'!$J102),"")</f>
        <v/>
      </c>
      <c r="J102" s="363" t="str" cm="1">
        <f t="array" ref="J102">INDEX('Rate Table Service Desc XWalk'!F:F,MATCH(1,(A102='Rate Table Service Desc XWalk'!B:B)*("CAS"='Rate Table Service Desc XWalk'!A:A),0))</f>
        <v>13-1-8</v>
      </c>
    </row>
    <row r="103" spans="1:10">
      <c r="A103" s="43" t="s">
        <v>62</v>
      </c>
      <c r="B103" s="44">
        <f>SUMIFS('Fiscal Calculation'!AO:AO,'Fiscal Calculation'!J:J,'Fiscal by Program'!$J103)</f>
        <v>0</v>
      </c>
      <c r="C103" s="345">
        <f t="shared" si="29"/>
        <v>0</v>
      </c>
      <c r="D103" s="350">
        <f>SUMIFS('Fiscal Calculation'!AP:AP,'Fiscal Calculation'!J:J,'Fiscal by Program'!$J103)</f>
        <v>0</v>
      </c>
      <c r="E103" s="44">
        <f>SUMIFS('Fiscal Calculation'!AQ:AQ,'Fiscal Calculation'!J:J,'Fiscal by Program'!$J103)</f>
        <v>0</v>
      </c>
      <c r="F103" s="345">
        <f t="shared" si="30"/>
        <v>0</v>
      </c>
      <c r="G103" s="350">
        <f>SUMIFS('Fiscal Calculation'!AR:AR,'Fiscal Calculation'!J:J,'Fiscal by Program'!$J103)</f>
        <v>0</v>
      </c>
      <c r="H103" s="400" t="str">
        <f>IF(B103&gt;0,SUMIFS('Fiscal Calculation'!AM:AM,'Fiscal Calculation'!J:J,'Fiscal by Program'!$J103),"")</f>
        <v/>
      </c>
      <c r="I103" s="445" t="str">
        <f>IF(E103&gt;0,SUMIFS('Fiscal Calculation'!AN:AN,'Fiscal Calculation'!J:J,'Fiscal by Program'!$J103),"")</f>
        <v/>
      </c>
      <c r="J103" s="363" t="s">
        <v>73</v>
      </c>
    </row>
    <row r="104" spans="1:10">
      <c r="A104" s="43" t="s">
        <v>74</v>
      </c>
      <c r="B104" s="44">
        <f>SUMIFS('Fiscal Calculation'!AO:AO,'Fiscal Calculation'!J:J,'Fiscal by Program'!$J104)</f>
        <v>0</v>
      </c>
      <c r="C104" s="345">
        <f t="shared" si="29"/>
        <v>0</v>
      </c>
      <c r="D104" s="350">
        <f>SUMIFS('Fiscal Calculation'!AP:AP,'Fiscal Calculation'!J:J,'Fiscal by Program'!$J104)</f>
        <v>0</v>
      </c>
      <c r="E104" s="44">
        <f>SUMIFS('Fiscal Calculation'!AQ:AQ,'Fiscal Calculation'!J:J,'Fiscal by Program'!$J104)</f>
        <v>0</v>
      </c>
      <c r="F104" s="345">
        <f t="shared" si="30"/>
        <v>0</v>
      </c>
      <c r="G104" s="350">
        <f>SUMIFS('Fiscal Calculation'!AR:AR,'Fiscal Calculation'!J:J,'Fiscal by Program'!$J104)</f>
        <v>0</v>
      </c>
      <c r="H104" s="400" t="str">
        <f>IF(B104&gt;0,SUMIFS('Fiscal Calculation'!AM:AM,'Fiscal Calculation'!J:J,'Fiscal by Program'!$J104),"")</f>
        <v/>
      </c>
      <c r="I104" s="445" t="str">
        <f>IF(E104&gt;0,SUMIFS('Fiscal Calculation'!AN:AN,'Fiscal Calculation'!J:J,'Fiscal by Program'!$J104),"")</f>
        <v/>
      </c>
      <c r="J104" s="363" t="str" cm="1">
        <f t="array" ref="J104">INDEX('Rate Table Service Desc XWalk'!F:F,MATCH(1,(A104='Rate Table Service Desc XWalk'!B:B)*("CAS"='Rate Table Service Desc XWalk'!A:A),0))</f>
        <v>13-5-116</v>
      </c>
    </row>
    <row r="105" spans="1:10">
      <c r="A105" s="43" t="s">
        <v>75</v>
      </c>
      <c r="B105" s="44">
        <f>SUMIFS('Fiscal Calculation'!AO:AO,'Fiscal Calculation'!J:J,'Fiscal by Program'!$J105)</f>
        <v>0</v>
      </c>
      <c r="C105" s="345">
        <f t="shared" si="29"/>
        <v>0</v>
      </c>
      <c r="D105" s="350">
        <f>SUMIFS('Fiscal Calculation'!AP:AP,'Fiscal Calculation'!J:J,'Fiscal by Program'!$J105)</f>
        <v>0</v>
      </c>
      <c r="E105" s="44">
        <f>SUMIFS('Fiscal Calculation'!AQ:AQ,'Fiscal Calculation'!J:J,'Fiscal by Program'!$J105)</f>
        <v>0</v>
      </c>
      <c r="F105" s="345">
        <f t="shared" si="30"/>
        <v>0</v>
      </c>
      <c r="G105" s="350">
        <f>SUMIFS('Fiscal Calculation'!AR:AR,'Fiscal Calculation'!J:J,'Fiscal by Program'!$J105)</f>
        <v>0</v>
      </c>
      <c r="H105" s="400" t="str">
        <f>IF(B105&gt;0,SUMIFS('Fiscal Calculation'!AM:AM,'Fiscal Calculation'!J:J,'Fiscal by Program'!$J105),"")</f>
        <v/>
      </c>
      <c r="I105" s="445" t="str">
        <f>IF(E105&gt;0,SUMIFS('Fiscal Calculation'!AN:AN,'Fiscal Calculation'!J:J,'Fiscal by Program'!$J105),"")</f>
        <v/>
      </c>
      <c r="J105" s="363" t="s">
        <v>76</v>
      </c>
    </row>
    <row r="106" spans="1:10">
      <c r="A106" s="43" t="s">
        <v>65</v>
      </c>
      <c r="B106" s="44">
        <f>SUMIFS('Fiscal Calculation'!AO:AO,'Fiscal Calculation'!J:J,'Fiscal by Program'!$J106)</f>
        <v>0</v>
      </c>
      <c r="C106" s="345">
        <f t="shared" si="29"/>
        <v>0</v>
      </c>
      <c r="D106" s="350">
        <f>SUMIFS('Fiscal Calculation'!AP:AP,'Fiscal Calculation'!J:J,'Fiscal by Program'!$J106)</f>
        <v>0</v>
      </c>
      <c r="E106" s="44">
        <f>SUMIFS('Fiscal Calculation'!AQ:AQ,'Fiscal Calculation'!J:J,'Fiscal by Program'!$J106)</f>
        <v>0</v>
      </c>
      <c r="F106" s="345">
        <f t="shared" si="30"/>
        <v>0</v>
      </c>
      <c r="G106" s="350">
        <f>SUMIFS('Fiscal Calculation'!AR:AR,'Fiscal Calculation'!J:J,'Fiscal by Program'!$J106)</f>
        <v>0</v>
      </c>
      <c r="H106" s="400" t="str">
        <f>IF(B106&gt;0,SUMIFS('Fiscal Calculation'!AM:AM,'Fiscal Calculation'!J:J,'Fiscal by Program'!$J106),"")</f>
        <v/>
      </c>
      <c r="I106" s="445" t="str">
        <f>IF(E106&gt;0,SUMIFS('Fiscal Calculation'!AN:AN,'Fiscal Calculation'!J:J,'Fiscal by Program'!$J106),"")</f>
        <v/>
      </c>
      <c r="J106" s="363" t="str" cm="1">
        <f t="array" ref="J106">INDEX('Rate Table Service Desc XWalk'!F:F,MATCH(1,(A106='Rate Table Service Desc XWalk'!B:B)*("PCS"='Rate Table Service Desc XWalk'!A:A),0))</f>
        <v>13-5-144</v>
      </c>
    </row>
    <row r="107" spans="1:10">
      <c r="A107" s="45" t="s">
        <v>77</v>
      </c>
      <c r="B107" s="46">
        <f>SUM(B101:B106)</f>
        <v>0</v>
      </c>
      <c r="C107" s="47">
        <f>SUM(C101:C106)</f>
        <v>0</v>
      </c>
      <c r="D107" s="351">
        <f t="shared" ref="D107:I107" si="31">SUM(D101:D106)</f>
        <v>0</v>
      </c>
      <c r="E107" s="46">
        <f t="shared" si="31"/>
        <v>0</v>
      </c>
      <c r="F107" s="47">
        <f t="shared" si="31"/>
        <v>0</v>
      </c>
      <c r="G107" s="351">
        <f t="shared" si="31"/>
        <v>0</v>
      </c>
      <c r="H107" s="401">
        <f t="shared" si="31"/>
        <v>0</v>
      </c>
      <c r="I107" s="446">
        <f t="shared" si="31"/>
        <v>0</v>
      </c>
      <c r="J107" s="363"/>
    </row>
    <row r="108" spans="1:10" s="362" customFormat="1">
      <c r="A108" s="53" t="s">
        <v>78</v>
      </c>
      <c r="B108" s="51"/>
      <c r="C108" s="52"/>
      <c r="D108" s="353"/>
      <c r="E108" s="51"/>
      <c r="F108" s="52"/>
      <c r="G108" s="353"/>
      <c r="H108" s="405"/>
      <c r="I108" s="448"/>
      <c r="J108" s="363"/>
    </row>
    <row r="109" spans="1:10">
      <c r="A109" s="43" t="s">
        <v>34</v>
      </c>
      <c r="B109" s="44">
        <f>SUMIFS('Fiscal Calculation'!AO:AO,'Fiscal Calculation'!J:J,'Fiscal by Program'!$J109)</f>
        <v>0</v>
      </c>
      <c r="C109" s="345">
        <f t="shared" ref="C109:C111" si="32">B109-D109</f>
        <v>0</v>
      </c>
      <c r="D109" s="350">
        <f>SUMIFS('Fiscal Calculation'!AP:AP,'Fiscal Calculation'!J:J,'Fiscal by Program'!$J109)</f>
        <v>0</v>
      </c>
      <c r="E109" s="44">
        <f>SUMIFS('Fiscal Calculation'!AQ:AQ,'Fiscal Calculation'!J:J,'Fiscal by Program'!$J109)</f>
        <v>0</v>
      </c>
      <c r="F109" s="345">
        <f t="shared" ref="F109:F111" si="33">E109-G109</f>
        <v>0</v>
      </c>
      <c r="G109" s="350">
        <f>SUMIFS('Fiscal Calculation'!AR:AR,'Fiscal Calculation'!J:J,'Fiscal by Program'!$J109)</f>
        <v>0</v>
      </c>
      <c r="H109" s="400" t="str">
        <f>IF(B109&gt;0,SUMIFS('Fiscal Calculation'!AM:AM,'Fiscal Calculation'!J:J,'Fiscal by Program'!$J109),"")</f>
        <v/>
      </c>
      <c r="I109" s="445" t="str">
        <f>IF(E109&gt;0,SUMIFS('Fiscal Calculation'!AN:AN,'Fiscal Calculation'!J:J,'Fiscal by Program'!$J109),"")</f>
        <v/>
      </c>
      <c r="J109" s="363" t="s">
        <v>79</v>
      </c>
    </row>
    <row r="110" spans="1:10">
      <c r="A110" s="43" t="s">
        <v>80</v>
      </c>
      <c r="B110" s="44">
        <f>SUMIFS('Fiscal Calculation'!AO:AO,'Fiscal Calculation'!J:J,'Fiscal by Program'!$J110)</f>
        <v>0</v>
      </c>
      <c r="C110" s="345">
        <f t="shared" si="32"/>
        <v>0</v>
      </c>
      <c r="D110" s="350">
        <f>SUMIFS('Fiscal Calculation'!AP:AP,'Fiscal Calculation'!J:J,'Fiscal by Program'!$J110)</f>
        <v>0</v>
      </c>
      <c r="E110" s="44">
        <f>SUMIFS('Fiscal Calculation'!AQ:AQ,'Fiscal Calculation'!J:J,'Fiscal by Program'!$J110)</f>
        <v>0</v>
      </c>
      <c r="F110" s="345">
        <f t="shared" si="33"/>
        <v>0</v>
      </c>
      <c r="G110" s="350">
        <f>SUMIFS('Fiscal Calculation'!AR:AR,'Fiscal Calculation'!J:J,'Fiscal by Program'!$J110)</f>
        <v>0</v>
      </c>
      <c r="H110" s="400" t="str">
        <f>IF(B110&gt;0,SUMIFS('Fiscal Calculation'!AM:AM,'Fiscal Calculation'!J:J,'Fiscal by Program'!$J110),"")</f>
        <v/>
      </c>
      <c r="I110" s="445" t="str">
        <f>IF(E110&gt;0,SUMIFS('Fiscal Calculation'!AN:AN,'Fiscal Calculation'!J:J,'Fiscal by Program'!$J110),"")</f>
        <v/>
      </c>
      <c r="J110" s="363" t="s">
        <v>81</v>
      </c>
    </row>
    <row r="111" spans="1:10">
      <c r="A111" s="43" t="s">
        <v>82</v>
      </c>
      <c r="B111" s="44">
        <f>SUMIFS('Fiscal Calculation'!AO:AO,'Fiscal Calculation'!J:J,'Fiscal by Program'!$J111)</f>
        <v>0</v>
      </c>
      <c r="C111" s="345">
        <f t="shared" si="32"/>
        <v>0</v>
      </c>
      <c r="D111" s="350">
        <f>SUMIFS('Fiscal Calculation'!AP:AP,'Fiscal Calculation'!J:J,'Fiscal by Program'!$J111)</f>
        <v>0</v>
      </c>
      <c r="E111" s="44">
        <f>SUMIFS('Fiscal Calculation'!AQ:AQ,'Fiscal Calculation'!J:J,'Fiscal by Program'!$J111)</f>
        <v>0</v>
      </c>
      <c r="F111" s="345">
        <f t="shared" si="33"/>
        <v>0</v>
      </c>
      <c r="G111" s="350">
        <f>SUMIFS('Fiscal Calculation'!AR:AR,'Fiscal Calculation'!J:J,'Fiscal by Program'!$J111)</f>
        <v>0</v>
      </c>
      <c r="H111" s="400" t="str">
        <f>IF(B111&gt;0,SUMIFS('Fiscal Calculation'!AM:AM,'Fiscal Calculation'!J:J,'Fiscal by Program'!$J111),"")</f>
        <v/>
      </c>
      <c r="I111" s="445" t="str">
        <f>IF(E111&gt;0,SUMIFS('Fiscal Calculation'!AN:AN,'Fiscal Calculation'!J:J,'Fiscal by Program'!$J111),"")</f>
        <v/>
      </c>
      <c r="J111" s="363" t="s">
        <v>83</v>
      </c>
    </row>
    <row r="112" spans="1:10">
      <c r="A112" s="45" t="s">
        <v>84</v>
      </c>
      <c r="B112" s="46">
        <f>SUM(B109:B111)</f>
        <v>0</v>
      </c>
      <c r="C112" s="47">
        <f>SUM(C109:C111)</f>
        <v>0</v>
      </c>
      <c r="D112" s="351">
        <f t="shared" ref="D112:I112" si="34">SUM(D109:D111)</f>
        <v>0</v>
      </c>
      <c r="E112" s="46">
        <f t="shared" si="34"/>
        <v>0</v>
      </c>
      <c r="F112" s="47">
        <f>SUM(F109:F111)</f>
        <v>0</v>
      </c>
      <c r="G112" s="351">
        <f t="shared" si="34"/>
        <v>0</v>
      </c>
      <c r="H112" s="401">
        <f t="shared" si="34"/>
        <v>0</v>
      </c>
      <c r="I112" s="446">
        <f t="shared" si="34"/>
        <v>0</v>
      </c>
      <c r="J112" s="363"/>
    </row>
    <row r="113" spans="1:10">
      <c r="A113" s="41" t="s">
        <v>85</v>
      </c>
      <c r="B113" s="51"/>
      <c r="C113" s="52"/>
      <c r="D113" s="353"/>
      <c r="E113" s="51"/>
      <c r="F113" s="52"/>
      <c r="G113" s="353"/>
      <c r="H113" s="405"/>
      <c r="I113" s="448"/>
      <c r="J113" s="363"/>
    </row>
    <row r="114" spans="1:10">
      <c r="A114" s="55" t="s">
        <v>57</v>
      </c>
      <c r="B114" s="44">
        <f>SUMIFS('Fiscal Calculation'!AO:AO,'Fiscal Calculation'!J:J,'Fiscal by Program'!$J114)</f>
        <v>0</v>
      </c>
      <c r="C114" s="345">
        <f t="shared" ref="C114:C115" si="35">B114-D114</f>
        <v>0</v>
      </c>
      <c r="D114" s="350">
        <f>SUMIFS('Fiscal Calculation'!AP:AP,'Fiscal Calculation'!J:J,'Fiscal by Program'!$J114)</f>
        <v>0</v>
      </c>
      <c r="E114" s="44">
        <f>SUMIFS('Fiscal Calculation'!AQ:AQ,'Fiscal Calculation'!J:J,'Fiscal by Program'!$J114)</f>
        <v>0</v>
      </c>
      <c r="F114" s="345">
        <f t="shared" ref="F114:F115" si="36">E114-G114</f>
        <v>0</v>
      </c>
      <c r="G114" s="350">
        <f>SUMIFS('Fiscal Calculation'!AR:AR,'Fiscal Calculation'!J:J,'Fiscal by Program'!$J114)</f>
        <v>0</v>
      </c>
      <c r="H114" s="400" t="str">
        <f>IF(B114&gt;0,SUMIFS('Fiscal Calculation'!AM:AM,'Fiscal Calculation'!J:J,'Fiscal by Program'!$J114),"")</f>
        <v/>
      </c>
      <c r="I114" s="445" t="str">
        <f>IF(E114&gt;0,SUMIFS('Fiscal Calculation'!AN:AN,'Fiscal Calculation'!J:J,'Fiscal by Program'!$J114),"")</f>
        <v/>
      </c>
      <c r="J114" s="364" t="s">
        <v>86</v>
      </c>
    </row>
    <row r="115" spans="1:10">
      <c r="A115" s="55" t="s">
        <v>87</v>
      </c>
      <c r="B115" s="44">
        <f>SUMIFS('Fiscal Calculation'!AO:AO,'Fiscal Calculation'!J:J,'Fiscal by Program'!$J115)</f>
        <v>0</v>
      </c>
      <c r="C115" s="345">
        <f t="shared" si="35"/>
        <v>0</v>
      </c>
      <c r="D115" s="350">
        <f>SUMIFS('Fiscal Calculation'!AP:AP,'Fiscal Calculation'!J:J,'Fiscal by Program'!$J115)</f>
        <v>0</v>
      </c>
      <c r="E115" s="44">
        <f>SUMIFS('Fiscal Calculation'!AQ:AQ,'Fiscal Calculation'!J:J,'Fiscal by Program'!$J115)</f>
        <v>0</v>
      </c>
      <c r="F115" s="345">
        <f t="shared" si="36"/>
        <v>0</v>
      </c>
      <c r="G115" s="350">
        <f>SUMIFS('Fiscal Calculation'!AR:AR,'Fiscal Calculation'!J:J,'Fiscal by Program'!$J115)</f>
        <v>0</v>
      </c>
      <c r="H115" s="462" t="str">
        <f>IF(B115&gt;0,SUMIFS('Fiscal Calculation'!AM:AM,'Fiscal Calculation'!J:J,'Fiscal by Program'!$J115),"")</f>
        <v/>
      </c>
      <c r="I115" s="445" t="str">
        <f>IF(E115&gt;0,SUMIFS('Fiscal Calculation'!AN:AN,'Fiscal Calculation'!J:J,'Fiscal by Program'!$J115),"")</f>
        <v/>
      </c>
      <c r="J115" s="364" t="s">
        <v>88</v>
      </c>
    </row>
    <row r="116" spans="1:10" ht="13.15" thickBot="1">
      <c r="A116" s="45" t="s">
        <v>89</v>
      </c>
      <c r="B116" s="46">
        <f>SUM(B114:B115)</f>
        <v>0</v>
      </c>
      <c r="C116" s="47">
        <f t="shared" ref="C116:I116" si="37">SUM(C114:C115)</f>
        <v>0</v>
      </c>
      <c r="D116" s="351">
        <f t="shared" si="37"/>
        <v>0</v>
      </c>
      <c r="E116" s="46">
        <f t="shared" si="37"/>
        <v>0</v>
      </c>
      <c r="F116" s="47">
        <f t="shared" si="37"/>
        <v>0</v>
      </c>
      <c r="G116" s="351">
        <f t="shared" si="37"/>
        <v>0</v>
      </c>
      <c r="H116" s="401">
        <f t="shared" si="37"/>
        <v>0</v>
      </c>
      <c r="I116" s="446">
        <f t="shared" si="37"/>
        <v>0</v>
      </c>
      <c r="J116" s="363"/>
    </row>
    <row r="117" spans="1:10" ht="13.15" thickBot="1">
      <c r="A117" s="56" t="s">
        <v>90</v>
      </c>
      <c r="B117" s="57">
        <f t="shared" ref="B117:I117" si="38">SUM(B30,B39,B51,B63,B73,B80,B88,B92,B99,B107,B112,B116)</f>
        <v>0</v>
      </c>
      <c r="C117" s="346">
        <f t="shared" si="38"/>
        <v>0</v>
      </c>
      <c r="D117" s="360">
        <f t="shared" si="38"/>
        <v>0</v>
      </c>
      <c r="E117" s="57">
        <f t="shared" si="38"/>
        <v>0</v>
      </c>
      <c r="F117" s="346">
        <f t="shared" si="38"/>
        <v>0</v>
      </c>
      <c r="G117" s="360">
        <f t="shared" si="38"/>
        <v>0</v>
      </c>
      <c r="H117" s="58">
        <f t="shared" si="38"/>
        <v>0</v>
      </c>
      <c r="I117" s="449">
        <f t="shared" si="38"/>
        <v>0</v>
      </c>
      <c r="J117" s="363"/>
    </row>
    <row r="118" spans="1:10" ht="13.15" thickBot="1">
      <c r="A118" s="56"/>
      <c r="B118" s="57"/>
      <c r="C118" s="346"/>
      <c r="D118" s="374"/>
      <c r="E118" s="57"/>
      <c r="F118" s="346"/>
      <c r="G118" s="374"/>
      <c r="H118" s="460"/>
      <c r="I118" s="461"/>
      <c r="J118" s="363"/>
    </row>
    <row r="119" spans="1:10" ht="25.9" thickBot="1">
      <c r="A119" s="373" t="s">
        <v>91</v>
      </c>
      <c r="B119" s="376">
        <f>SUMIFS('Fiscal Calculation'!AO:AO,'Fiscal Calculation'!J:J,'Fiscal by Program'!$J119)</f>
        <v>0</v>
      </c>
      <c r="C119" s="377">
        <f t="shared" ref="C119" si="39">B119-D119</f>
        <v>0</v>
      </c>
      <c r="D119" s="378">
        <f>SUMIFS('Fiscal Calculation'!AP:AP,'Fiscal Calculation'!J:J,'Fiscal by Program'!$J119)</f>
        <v>0</v>
      </c>
      <c r="E119" s="376">
        <f>SUMIFS('Fiscal Calculation'!AQ:AQ,'Fiscal Calculation'!J:J,'Fiscal by Program'!$J119)</f>
        <v>0</v>
      </c>
      <c r="F119" s="377">
        <f t="shared" ref="F119" si="40">E119-G119</f>
        <v>0</v>
      </c>
      <c r="G119" s="378">
        <f>SUMIFS('Fiscal Calculation'!AR:AR,'Fiscal Calculation'!J:J,'Fiscal by Program'!$J119)</f>
        <v>0</v>
      </c>
      <c r="H119" s="459">
        <f>IF(B119&gt;0,SUMIFS('Fiscal Calculation'!AM:AM,'Fiscal Calculation'!$J:$J,'Fiscal by Program'!$J119),0)</f>
        <v>0</v>
      </c>
      <c r="I119" s="450">
        <f>IF(C119&gt;0,SUMIFS('Fiscal Calculation'!AN:AN,'Fiscal Calculation'!$J:$J,'Fiscal by Program'!$J119),0)</f>
        <v>0</v>
      </c>
      <c r="J119" s="364" t="s">
        <v>92</v>
      </c>
    </row>
    <row r="120" spans="1:10">
      <c r="A120" s="366"/>
      <c r="B120" s="361"/>
      <c r="C120" s="361"/>
      <c r="D120" s="367"/>
      <c r="E120" s="367"/>
      <c r="F120" s="367"/>
      <c r="G120" s="367"/>
      <c r="H120" s="368"/>
      <c r="I120" s="368"/>
    </row>
    <row r="121" spans="1:10">
      <c r="A121" s="375" t="s">
        <v>93</v>
      </c>
      <c r="B121" s="379">
        <f>B117+B119</f>
        <v>0</v>
      </c>
      <c r="C121" s="379">
        <f t="shared" ref="C121:I121" si="41">C117+C119</f>
        <v>0</v>
      </c>
      <c r="D121" s="379">
        <f t="shared" si="41"/>
        <v>0</v>
      </c>
      <c r="E121" s="379">
        <f t="shared" si="41"/>
        <v>0</v>
      </c>
      <c r="F121" s="379">
        <f t="shared" si="41"/>
        <v>0</v>
      </c>
      <c r="G121" s="379">
        <f t="shared" si="41"/>
        <v>0</v>
      </c>
      <c r="H121" s="463">
        <f>H19+H119</f>
        <v>0</v>
      </c>
      <c r="I121" s="463">
        <f t="shared" si="41"/>
        <v>0</v>
      </c>
    </row>
    <row r="122" spans="1:10">
      <c r="A122" s="366"/>
      <c r="B122" s="361"/>
      <c r="C122" s="361"/>
      <c r="D122" s="367"/>
      <c r="E122" s="367"/>
      <c r="F122" s="367"/>
      <c r="G122" s="367"/>
      <c r="H122" s="368"/>
      <c r="I122" s="368"/>
    </row>
    <row r="123" spans="1:10" s="453" customFormat="1" ht="11.45">
      <c r="A123" s="454" t="s">
        <v>94</v>
      </c>
      <c r="B123" s="458"/>
      <c r="D123" s="455"/>
      <c r="E123" s="455"/>
      <c r="F123" s="455"/>
      <c r="G123" s="455"/>
      <c r="H123" s="456"/>
      <c r="I123" s="456"/>
    </row>
    <row r="124" spans="1:10" s="453" customFormat="1" ht="11.45">
      <c r="A124" s="453" t="s">
        <v>95</v>
      </c>
      <c r="D124" s="455"/>
      <c r="E124" s="455"/>
      <c r="F124" s="455"/>
      <c r="G124" s="455"/>
      <c r="H124" s="456"/>
      <c r="I124" s="456"/>
    </row>
    <row r="125" spans="1:10" s="453" customFormat="1" ht="11.45">
      <c r="A125" s="453" t="s">
        <v>96</v>
      </c>
      <c r="D125" s="455"/>
      <c r="E125" s="455"/>
      <c r="F125" s="455"/>
      <c r="G125" s="455"/>
      <c r="H125" s="456"/>
      <c r="I125" s="456"/>
    </row>
    <row r="126" spans="1:10" s="453" customFormat="1" ht="11.45">
      <c r="A126" s="453" t="s">
        <v>97</v>
      </c>
      <c r="D126" s="455"/>
      <c r="E126" s="455"/>
      <c r="F126" s="455"/>
      <c r="G126" s="455"/>
      <c r="H126" s="456"/>
      <c r="I126" s="456"/>
    </row>
    <row r="127" spans="1:10" s="453" customFormat="1" ht="11.45">
      <c r="A127" s="453" t="s">
        <v>98</v>
      </c>
      <c r="D127" s="455"/>
      <c r="E127" s="455"/>
      <c r="F127" s="455"/>
      <c r="G127" s="455"/>
      <c r="H127" s="456"/>
      <c r="I127" s="456"/>
    </row>
    <row r="128" spans="1:10">
      <c r="A128" s="338"/>
    </row>
    <row r="129" spans="2:7">
      <c r="C129" s="451"/>
      <c r="D129" s="452"/>
      <c r="F129" s="452"/>
      <c r="G129" s="452"/>
    </row>
    <row r="130" spans="2:7">
      <c r="B130" s="410"/>
      <c r="C130" s="410"/>
      <c r="D130" s="410"/>
      <c r="F130" s="409"/>
      <c r="G130" s="457"/>
    </row>
    <row r="131" spans="2:7">
      <c r="B131" s="410"/>
      <c r="C131" s="410"/>
      <c r="D131" s="410"/>
    </row>
    <row r="132" spans="2:7">
      <c r="B132" s="410"/>
      <c r="C132" s="410"/>
      <c r="D132" s="410"/>
    </row>
  </sheetData>
  <sheetProtection algorithmName="SHA-512" hashValue="0eCil71ND0cUN+mU5pK/agmYrgT2JSG5nNwAp4gOAmNvCIcHituCTCELIR2vsPXc/RUB8jnMqnhqf7uMP7+0yw==" saltValue="jeUM6UyujV8daD7RgpzAsA==" spinCount="100000" sheet="1" objects="1" scenarios="1"/>
  <protectedRanges>
    <protectedRange algorithmName="SHA-512" hashValue="AAURF4gvth82OapLHUfOXWHLb+TFcqwG1OMHKLgRVVA7Xu25wFbo9/CJTxXJwAE1is0sz0YhSxqzTtTSsZ1Rug==" saltValue="kHMlaF+RlfZYeEvYPVu6ew==" spinCount="100000" sqref="B7:C9" name="Range1"/>
  </protectedRanges>
  <autoFilter ref="A18:I127" xr:uid="{2FEC1FB3-F771-4A6F-A116-A0BE291A73E3}"/>
  <mergeCells count="10">
    <mergeCell ref="A17:A18"/>
    <mergeCell ref="A11:I11"/>
    <mergeCell ref="B7:C7"/>
    <mergeCell ref="B8:C8"/>
    <mergeCell ref="B9:C9"/>
    <mergeCell ref="D7:I7"/>
    <mergeCell ref="D8:I8"/>
    <mergeCell ref="D9:I9"/>
    <mergeCell ref="A14:I14"/>
    <mergeCell ref="A15:I15"/>
  </mergeCells>
  <phoneticPr fontId="33" type="noConversion"/>
  <pageMargins left="0.7" right="0.7" top="0.75" bottom="0.75" header="0.3" footer="0.3"/>
  <pageSetup scale="54" fitToHeight="0" orientation="landscape" r:id="rId1"/>
  <headerFooter>
    <oddFooter>&amp;R&amp;P</oddFooter>
  </headerFooter>
  <rowBreaks count="2" manualBreakCount="2">
    <brk id="51" max="13" man="1"/>
    <brk id="88" max="1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53AC1-7A7D-4EE8-9B94-A2F516642B97}">
  <dimension ref="A1:BD360"/>
  <sheetViews>
    <sheetView zoomScale="70" zoomScaleNormal="70" workbookViewId="0">
      <pane xSplit="8" ySplit="2" topLeftCell="AK3" activePane="bottomRight" state="frozen"/>
      <selection pane="bottomRight" activeCell="AO1" sqref="AO1:AO1048576"/>
      <selection pane="bottomLeft" activeCell="AO1" sqref="AO1:AO1048576"/>
      <selection pane="topRight" activeCell="AO1" sqref="AO1:AO1048576"/>
    </sheetView>
  </sheetViews>
  <sheetFormatPr defaultColWidth="12.42578125" defaultRowHeight="12.6"/>
  <cols>
    <col min="1" max="1" width="18.5703125" style="67" bestFit="1" customWidth="1"/>
    <col min="2" max="2" width="18.5703125" style="67" customWidth="1"/>
    <col min="3" max="3" width="13.28515625" style="67" customWidth="1"/>
    <col min="4" max="4" width="11" style="67" customWidth="1"/>
    <col min="5" max="5" width="8.42578125" style="67" customWidth="1"/>
    <col min="6" max="6" width="21.85546875" style="67" customWidth="1"/>
    <col min="7" max="7" width="36.28515625" style="67" customWidth="1"/>
    <col min="8" max="8" width="17.5703125" style="67" customWidth="1"/>
    <col min="9" max="9" width="12.140625" style="67" customWidth="1"/>
    <col min="10" max="10" width="10.42578125" style="359" customWidth="1"/>
    <col min="11" max="11" width="29.42578125" style="67" customWidth="1"/>
    <col min="12" max="12" width="18.5703125" style="67" customWidth="1"/>
    <col min="13" max="14" width="16.5703125" style="73" customWidth="1"/>
    <col min="15" max="16" width="20" style="69" customWidth="1"/>
    <col min="17" max="19" width="16.5703125" style="72" customWidth="1"/>
    <col min="20" max="20" width="28.5703125" style="337" customWidth="1"/>
    <col min="21" max="25" width="16.5703125" style="72" customWidth="1"/>
    <col min="26" max="26" width="16.5703125" style="87" customWidth="1"/>
    <col min="27" max="27" width="16.5703125" style="89" customWidth="1"/>
    <col min="28" max="28" width="18.42578125" style="71" hidden="1" customWidth="1"/>
    <col min="29" max="29" width="11.140625" style="65" customWidth="1"/>
    <col min="30" max="30" width="20.42578125" style="67" bestFit="1" customWidth="1"/>
    <col min="31" max="31" width="16.42578125" style="66" customWidth="1"/>
    <col min="32" max="34" width="14.140625" style="66" customWidth="1"/>
    <col min="35" max="35" width="14.140625" style="70" customWidth="1"/>
    <col min="36" max="37" width="14.140625" style="65" customWidth="1"/>
    <col min="38" max="38" width="10.5703125" style="68" bestFit="1" customWidth="1"/>
    <col min="39" max="40" width="25.5703125" style="65" customWidth="1"/>
    <col min="41" max="43" width="21.5703125" style="65" customWidth="1"/>
    <col min="44" max="44" width="21.7109375" style="65" customWidth="1"/>
    <col min="45" max="47" width="3.28515625" style="65" customWidth="1"/>
    <col min="48" max="48" width="29.5703125" style="65" customWidth="1"/>
    <col min="49" max="50" width="11.140625" style="65" customWidth="1"/>
    <col min="51" max="52" width="14.5703125" style="65" bestFit="1" customWidth="1"/>
    <col min="53" max="54" width="12.5703125" style="67" bestFit="1" customWidth="1"/>
    <col min="55" max="55" width="15.85546875" style="66" bestFit="1" customWidth="1"/>
    <col min="56" max="56" width="15.140625" style="65" bestFit="1" customWidth="1"/>
    <col min="57" max="16384" width="12.42578125" style="65"/>
  </cols>
  <sheetData>
    <row r="1" spans="1:56" ht="38.450000000000003" thickBot="1">
      <c r="A1" s="67" t="s">
        <v>99</v>
      </c>
      <c r="H1" s="65"/>
      <c r="I1" s="65"/>
      <c r="J1" s="358"/>
      <c r="M1" s="85"/>
      <c r="N1" s="85"/>
      <c r="O1" s="84"/>
      <c r="P1" s="84"/>
      <c r="Q1" s="81"/>
      <c r="R1" s="81"/>
      <c r="S1" s="81"/>
      <c r="T1" s="421"/>
      <c r="U1" s="369"/>
      <c r="V1" s="369"/>
      <c r="W1" s="369"/>
      <c r="X1" s="380"/>
      <c r="Y1" s="380"/>
      <c r="Z1" s="88"/>
      <c r="AA1" s="90"/>
      <c r="AB1" s="75"/>
      <c r="AC1" s="73"/>
      <c r="AE1" s="79">
        <f xml:space="preserve"> 1 / (1-0.0875)</f>
        <v>1.095890410958904</v>
      </c>
      <c r="AF1" s="66" t="s">
        <v>100</v>
      </c>
      <c r="AM1" s="370"/>
      <c r="AN1" s="370"/>
      <c r="AO1" s="370"/>
      <c r="AP1" s="370"/>
      <c r="AQ1" s="370"/>
      <c r="AR1" s="370"/>
      <c r="AS1" s="408"/>
      <c r="AT1" s="408"/>
      <c r="AU1" s="408"/>
      <c r="AV1" s="420" t="s">
        <v>101</v>
      </c>
      <c r="AW1" s="83">
        <v>2024</v>
      </c>
      <c r="AX1" s="83">
        <v>2025</v>
      </c>
      <c r="AY1" s="419">
        <v>2026</v>
      </c>
      <c r="AZ1" s="419">
        <v>2027</v>
      </c>
      <c r="BA1" s="419">
        <v>2028</v>
      </c>
    </row>
    <row r="2" spans="1:56" s="426" customFormat="1" ht="88.9" thickBot="1">
      <c r="A2" s="426" t="s">
        <v>102</v>
      </c>
      <c r="B2" s="426" t="s">
        <v>103</v>
      </c>
      <c r="C2" s="426" t="s">
        <v>104</v>
      </c>
      <c r="D2" s="426" t="s">
        <v>105</v>
      </c>
      <c r="E2" s="426" t="s">
        <v>106</v>
      </c>
      <c r="F2" s="426" t="s">
        <v>14</v>
      </c>
      <c r="G2" s="427" t="s">
        <v>107</v>
      </c>
      <c r="H2" s="426" t="s">
        <v>108</v>
      </c>
      <c r="I2" s="426" t="s">
        <v>109</v>
      </c>
      <c r="J2" s="428" t="s">
        <v>110</v>
      </c>
      <c r="K2" s="426" t="s">
        <v>111</v>
      </c>
      <c r="L2" s="426" t="s">
        <v>112</v>
      </c>
      <c r="M2" s="429" t="s">
        <v>113</v>
      </c>
      <c r="N2" s="429" t="s">
        <v>114</v>
      </c>
      <c r="O2" s="430" t="s">
        <v>115</v>
      </c>
      <c r="P2" s="430" t="s">
        <v>116</v>
      </c>
      <c r="Q2" s="430" t="s">
        <v>117</v>
      </c>
      <c r="R2" s="430" t="s">
        <v>118</v>
      </c>
      <c r="S2" s="430" t="s">
        <v>119</v>
      </c>
      <c r="T2" s="431" t="s">
        <v>120</v>
      </c>
      <c r="U2" s="432" t="s">
        <v>121</v>
      </c>
      <c r="V2" s="432" t="s">
        <v>122</v>
      </c>
      <c r="W2" s="432" t="s">
        <v>123</v>
      </c>
      <c r="X2" s="433" t="s">
        <v>124</v>
      </c>
      <c r="Y2" s="433" t="s">
        <v>125</v>
      </c>
      <c r="Z2" s="426" t="s">
        <v>126</v>
      </c>
      <c r="AA2" s="434" t="s">
        <v>127</v>
      </c>
      <c r="AB2" s="435" t="s">
        <v>128</v>
      </c>
      <c r="AC2" s="430" t="s">
        <v>129</v>
      </c>
      <c r="AD2" s="430" t="s">
        <v>130</v>
      </c>
      <c r="AE2" s="430" t="s">
        <v>131</v>
      </c>
      <c r="AF2" s="430" t="s">
        <v>132</v>
      </c>
      <c r="AG2" s="436" t="s">
        <v>133</v>
      </c>
      <c r="AH2" s="436" t="s">
        <v>134</v>
      </c>
      <c r="AI2" s="436" t="s">
        <v>135</v>
      </c>
      <c r="AJ2" s="437" t="s">
        <v>136</v>
      </c>
      <c r="AK2" s="437" t="s">
        <v>137</v>
      </c>
      <c r="AL2" s="422" t="s">
        <v>138</v>
      </c>
      <c r="AM2" s="438" t="s">
        <v>139</v>
      </c>
      <c r="AN2" s="438" t="s">
        <v>140</v>
      </c>
      <c r="AO2" s="439" t="s">
        <v>141</v>
      </c>
      <c r="AP2" s="439" t="s">
        <v>142</v>
      </c>
      <c r="AQ2" s="439" t="s">
        <v>143</v>
      </c>
      <c r="AR2" s="439" t="s">
        <v>144</v>
      </c>
      <c r="AS2" s="423"/>
      <c r="AT2" s="423"/>
      <c r="AU2" s="423"/>
      <c r="AV2" s="424" t="s">
        <v>145</v>
      </c>
      <c r="AW2" s="425">
        <v>0.39870000000000005</v>
      </c>
      <c r="AX2" s="425">
        <v>0.39990000000000003</v>
      </c>
      <c r="AY2" s="425">
        <v>0.40580000000000005</v>
      </c>
      <c r="AZ2" s="425">
        <v>0.40629999999999999</v>
      </c>
      <c r="BA2" s="425">
        <v>0.40629999999999999</v>
      </c>
      <c r="BD2" s="430"/>
    </row>
    <row r="3" spans="1:56" s="66" customFormat="1">
      <c r="A3" s="67" t="s">
        <v>146</v>
      </c>
      <c r="B3" s="67" t="s">
        <v>146</v>
      </c>
      <c r="C3" s="78" t="s">
        <v>147</v>
      </c>
      <c r="D3" s="78" t="s">
        <v>148</v>
      </c>
      <c r="E3" s="67" t="s">
        <v>149</v>
      </c>
      <c r="F3" s="67" t="s">
        <v>150</v>
      </c>
      <c r="G3" s="67" t="str">
        <f>INDEX('[4]RT Description to Bill Matix'!$D:$D,MATCH(A3,'[4]RT Description to Bill Matix'!$M:$M,0))</f>
        <v>CAS/FC/PAS/PHC PRIORITY</v>
      </c>
      <c r="H3" s="65" t="s">
        <v>151</v>
      </c>
      <c r="I3" s="65"/>
      <c r="J3" s="65" t="str" cm="1">
        <f t="array" ref="J3">INDEX('Rate Table Service Desc XWalk'!F:F,MATCH(1,(G3='Rate Table Service Desc XWalk'!B:B)*(E3='Rate Table Service Desc XWalk'!A:A),0))</f>
        <v>13-1-8</v>
      </c>
      <c r="K3" s="66" t="str">
        <f>INDEX('[5]Combined Bill Code List'!$A:$A,MATCH(A3,'[5]Combined Bill Code List'!$F:$F,0))</f>
        <v>State Plan (Title XIX)</v>
      </c>
      <c r="L3" s="66" t="str">
        <f>INDEX('[6]Rate History'!$P:$P,MATCH(A3,'[6]Rate History'!$F:$F,0))</f>
        <v>1 hour</v>
      </c>
      <c r="M3" s="77">
        <f>INDEX('[7]PDF DB Service Pivot'!$C:$C,MATCH(B3,'[7]PDF DB Service Pivot'!$B:$B,0))</f>
        <v>670573.75</v>
      </c>
      <c r="N3" s="77">
        <f>IF(ISNUMBER(FIND("ISS",F3)),IF(I3="Yes",((M3/Q3)/6)*12,(M3/6)*12),IF(AND(I3="Yes",M3=O3),M3/Q3,M3))</f>
        <v>670573.75</v>
      </c>
      <c r="O3" s="76">
        <f>INDEX('[7]PDF DB Service Pivot'!$D:$D,MATCH(B3,'[7]PDF DB Service Pivot'!$B:$B,0))</f>
        <v>8827649.8000000007</v>
      </c>
      <c r="P3" s="91">
        <v>45170</v>
      </c>
      <c r="Q3" s="81">
        <v>14</v>
      </c>
      <c r="R3" s="81">
        <v>11.75</v>
      </c>
      <c r="S3" s="354">
        <f t="shared" ref="S3:S34" si="0">_xlfn.IFNA(R3/Q3,"")</f>
        <v>0.8392857142857143</v>
      </c>
      <c r="T3" s="339">
        <f>INDEX('[8]Billable Services'!$P:$P,MATCH(A3,'[8]Billable Services'!$S:$S,0))</f>
        <v>1</v>
      </c>
      <c r="U3" s="81">
        <f t="shared" ref="U3:U60" si="1">ROUND(V3/Z3,2)</f>
        <v>0</v>
      </c>
      <c r="V3" s="81" cm="1">
        <f t="array" ref="V3">_xlfn.IFS('Fiscal by Program'!$B$7&lt;10.61,0,'Fiscal by Program'!$B$7&gt;10.6,(ROUND('Fiscal by Program'!$B$7*(1+IF(D3="Yes",'Fiscal by Program'!$B$9,'Fiscal by Program'!$B$8))*T3,2)))</f>
        <v>0</v>
      </c>
      <c r="W3" s="81">
        <f t="shared" ref="W3:W66" si="2">IF(V3-R3&lt;0,0,V3-R3)</f>
        <v>0</v>
      </c>
      <c r="X3" s="81">
        <f>ROUND((R3/(1+IF(D3="Yes",'Fiscal by Program'!$B$9,'Fiscal by Program'!$B$8))),2)+0.01</f>
        <v>10.62</v>
      </c>
      <c r="Y3" s="81">
        <f t="shared" ref="Y3:Y66" si="3">Q3+W3</f>
        <v>14</v>
      </c>
      <c r="Z3" s="88">
        <v>4</v>
      </c>
      <c r="AA3" s="90">
        <f t="shared" ref="AA3:AA60" si="4">T3/Z3</f>
        <v>0.25</v>
      </c>
      <c r="AB3" s="75">
        <f>INDEX('[9]Service List'!$K:$K,MATCH(A3,'[9]Service List'!$F:$F,0))</f>
        <v>5</v>
      </c>
      <c r="AC3" s="73">
        <f>INDEX('[5]Combined Bill Code List'!$P:$P,MATCH(A3,'[5]Combined Bill Code List'!$F:$F,0))</f>
        <v>0</v>
      </c>
      <c r="AD3" s="80" t="s">
        <v>149</v>
      </c>
      <c r="AE3" s="79">
        <v>1</v>
      </c>
      <c r="AF3" s="66">
        <v>0</v>
      </c>
      <c r="AG3" s="70">
        <f>ROUND(INDEX('All Trends'!D:D,MATCH($AD3,'All Trends'!$C:$C,0)),4)</f>
        <v>0.94279999999999997</v>
      </c>
      <c r="AH3" s="70">
        <f>ROUND(INDEX('All Trends'!E:E,MATCH($AD3,'All Trends'!$C:$C,0)),4)</f>
        <v>1.0489999999999999</v>
      </c>
      <c r="AI3" s="70">
        <f>ROUND(INDEX('All Trends'!F:F,MATCH($AD3,'All Trends'!$C:$C,0)),4)</f>
        <v>1.0459000000000001</v>
      </c>
      <c r="AJ3" s="70">
        <f>ROUND(INDEX('All Trends'!G:G,MATCH($AD3,'All Trends'!$C:$C,0)),4)</f>
        <v>1.0566</v>
      </c>
      <c r="AK3" s="70">
        <f>ROUND(INDEX('All Trends'!H:H,MATCH($AD3,'All Trends'!$C:$C,0)),4)</f>
        <v>1.0747</v>
      </c>
      <c r="AL3" s="74" t="s">
        <v>148</v>
      </c>
      <c r="AM3" s="92">
        <f t="shared" ref="AM3:AM66" si="5">IF(C3="Yes",ROUND(T3*N3*AI3,2),0)</f>
        <v>701353.09</v>
      </c>
      <c r="AN3" s="92">
        <f t="shared" ref="AN3:AN66" si="6">IF(C3="Yes",ROUND(T3*N3*AJ3,2),0)</f>
        <v>708528.22</v>
      </c>
      <c r="AO3" s="69">
        <f t="shared" ref="AO3:AO66" si="7">IF(C3="Yes",ROUND((W3*N3*AI3),2),0)</f>
        <v>0</v>
      </c>
      <c r="AP3" s="69">
        <f t="shared" ref="AP3:AP66" si="8">IF(C3="Yes",IF($AL3="No",ROUND(($AO3*($AY$2+$AF3)),2),ROUND($AO3,2)),0)</f>
        <v>0</v>
      </c>
      <c r="AQ3" s="69">
        <f t="shared" ref="AQ3:AQ66" si="9">IF(C3="Yes",ROUND((W3*N3*AJ3),2),0)</f>
        <v>0</v>
      </c>
      <c r="AR3" s="69">
        <f t="shared" ref="AR3:AR66" si="10">IF(C3="Yes",IF($AL3="No",ROUND(($AQ3*($AZ$2+$AF3)),2),ROUND($AQ3,2)),0)</f>
        <v>0</v>
      </c>
      <c r="AS3" s="409"/>
      <c r="AT3" s="409"/>
      <c r="AU3" s="409"/>
      <c r="AV3" s="65"/>
      <c r="AW3" s="65"/>
      <c r="AX3" s="65"/>
      <c r="AY3" s="65"/>
      <c r="AZ3" s="65"/>
      <c r="BD3" s="65"/>
    </row>
    <row r="4" spans="1:56" s="66" customFormat="1">
      <c r="A4" s="67" t="s">
        <v>152</v>
      </c>
      <c r="B4" s="67" t="s">
        <v>152</v>
      </c>
      <c r="C4" s="78" t="s">
        <v>147</v>
      </c>
      <c r="D4" s="78" t="s">
        <v>148</v>
      </c>
      <c r="E4" s="67" t="s">
        <v>149</v>
      </c>
      <c r="F4" s="67" t="s">
        <v>150</v>
      </c>
      <c r="G4" s="67" t="str">
        <f>INDEX('[4]RT Description to Bill Matix'!$D:$D,MATCH(A4,'[4]RT Description to Bill Matix'!$M:$M,0))</f>
        <v>CAS/FC/PAS/PHC NON-PRIORITY</v>
      </c>
      <c r="H4" s="65" t="s">
        <v>153</v>
      </c>
      <c r="I4" s="65"/>
      <c r="J4" s="65" t="str" cm="1">
        <f t="array" ref="J4">INDEX('Rate Table Service Desc XWalk'!F:F,MATCH(1,(G4='Rate Table Service Desc XWalk'!B:B)*(E4='Rate Table Service Desc XWalk'!A:A),0))</f>
        <v>13-1-7</v>
      </c>
      <c r="K4" s="66" t="str">
        <f>INDEX('[5]Combined Bill Code List'!$A:$A,MATCH(A4,'[5]Combined Bill Code List'!$F:$F,0))</f>
        <v>State Plan (Title XIX)</v>
      </c>
      <c r="L4" s="66" t="str">
        <f>INDEX('[6]Rate History'!$P:$P,MATCH(A4,'[6]Rate History'!$F:$F,0))</f>
        <v>1 hour</v>
      </c>
      <c r="M4" s="77">
        <f>INDEX('[7]PDF DB Service Pivot'!$C:$C,MATCH(B4,'[7]PDF DB Service Pivot'!$B:$B,0))</f>
        <v>73113778.579999998</v>
      </c>
      <c r="N4" s="77">
        <f>IF(ISNUMBER(FIND("ISS",F4)),IF(I4="Yes",((M4/Q4)/6)*12,(M4/6)*12),IF(AND(I4="Yes",M4=O4),M4/Q4,M4))</f>
        <v>73113778.579999998</v>
      </c>
      <c r="O4" s="76">
        <f>INDEX('[7]PDF DB Service Pivot'!$D:$D,MATCH(B4,'[7]PDF DB Service Pivot'!$B:$B,0))</f>
        <v>949134587.19000006</v>
      </c>
      <c r="P4" s="91">
        <v>45170</v>
      </c>
      <c r="Q4" s="81">
        <v>13.84</v>
      </c>
      <c r="R4" s="81">
        <v>11.77</v>
      </c>
      <c r="S4" s="354">
        <f t="shared" si="0"/>
        <v>0.85043352601156064</v>
      </c>
      <c r="T4" s="339">
        <f>INDEX('[8]Billable Services'!$P:$P,MATCH(A4,'[8]Billable Services'!$S:$S,0))</f>
        <v>1</v>
      </c>
      <c r="U4" s="81">
        <f t="shared" si="1"/>
        <v>0</v>
      </c>
      <c r="V4" s="81" cm="1">
        <f t="array" ref="V4">_xlfn.IFS('Fiscal by Program'!$B$7&lt;10.61,0,'Fiscal by Program'!$B$7&gt;10.6,(ROUND('Fiscal by Program'!$B$7*(1+IF(D4="Yes",'Fiscal by Program'!$B$9,'Fiscal by Program'!$B$8))*T4,2)))</f>
        <v>0</v>
      </c>
      <c r="W4" s="81">
        <f t="shared" si="2"/>
        <v>0</v>
      </c>
      <c r="X4" s="81">
        <f>ROUND((R4/(1+IF(D4="Yes",'Fiscal by Program'!$B$9,'Fiscal by Program'!$B$8))),2)+0.01</f>
        <v>10.64</v>
      </c>
      <c r="Y4" s="81">
        <f t="shared" si="3"/>
        <v>13.84</v>
      </c>
      <c r="Z4" s="88">
        <v>4</v>
      </c>
      <c r="AA4" s="90">
        <f t="shared" si="4"/>
        <v>0.25</v>
      </c>
      <c r="AB4" s="75">
        <f>INDEX('[9]Service List'!$K:$K,MATCH(A4,'[9]Service List'!$F:$F,0))</f>
        <v>4</v>
      </c>
      <c r="AC4" s="73">
        <f>INDEX('[5]Combined Bill Code List'!$P:$P,MATCH(A4,'[5]Combined Bill Code List'!$F:$F,0))</f>
        <v>0</v>
      </c>
      <c r="AD4" s="80" t="s">
        <v>149</v>
      </c>
      <c r="AE4" s="79">
        <v>1</v>
      </c>
      <c r="AF4" s="66">
        <v>0</v>
      </c>
      <c r="AG4" s="70">
        <f>ROUND(INDEX('All Trends'!D:D,MATCH($AD4,'All Trends'!$C:$C,0)),4)</f>
        <v>0.94279999999999997</v>
      </c>
      <c r="AH4" s="70">
        <f>ROUND(INDEX('All Trends'!E:E,MATCH($AD4,'All Trends'!$C:$C,0)),4)</f>
        <v>1.0489999999999999</v>
      </c>
      <c r="AI4" s="70">
        <f>ROUND(INDEX('All Trends'!F:F,MATCH($AD4,'All Trends'!$C:$C,0)),4)</f>
        <v>1.0459000000000001</v>
      </c>
      <c r="AJ4" s="70">
        <f>ROUND(INDEX('All Trends'!G:G,MATCH($AD4,'All Trends'!$C:$C,0)),4)</f>
        <v>1.0566</v>
      </c>
      <c r="AK4" s="70">
        <f>ROUND(INDEX('All Trends'!H:H,MATCH($AD4,'All Trends'!$C:$C,0)),4)</f>
        <v>1.0747</v>
      </c>
      <c r="AL4" s="74" t="s">
        <v>148</v>
      </c>
      <c r="AM4" s="92">
        <f t="shared" si="5"/>
        <v>76469701.019999996</v>
      </c>
      <c r="AN4" s="92">
        <f t="shared" si="6"/>
        <v>77252018.450000003</v>
      </c>
      <c r="AO4" s="69">
        <f t="shared" si="7"/>
        <v>0</v>
      </c>
      <c r="AP4" s="69">
        <f t="shared" si="8"/>
        <v>0</v>
      </c>
      <c r="AQ4" s="69">
        <f t="shared" si="9"/>
        <v>0</v>
      </c>
      <c r="AR4" s="69">
        <f t="shared" si="10"/>
        <v>0</v>
      </c>
      <c r="AS4" s="409"/>
      <c r="AT4" s="409"/>
      <c r="AU4" s="409"/>
      <c r="AV4" s="65"/>
      <c r="AW4" s="65"/>
      <c r="AX4" s="65"/>
      <c r="AY4" s="65"/>
      <c r="AZ4" s="65"/>
      <c r="BD4" s="65"/>
    </row>
    <row r="5" spans="1:56" s="66" customFormat="1">
      <c r="A5" s="67" t="s">
        <v>154</v>
      </c>
      <c r="B5" s="67" t="s">
        <v>154</v>
      </c>
      <c r="C5" s="78" t="s">
        <v>147</v>
      </c>
      <c r="D5" s="78" t="s">
        <v>148</v>
      </c>
      <c r="E5" s="67" t="s">
        <v>149</v>
      </c>
      <c r="F5" s="67" t="s">
        <v>150</v>
      </c>
      <c r="G5" s="67" t="str">
        <f>INDEX('[4]RT Description to Bill Matix'!$D:$D,MATCH(A5,'[4]RT Description to Bill Matix'!$M:$M,0))</f>
        <v>CDS CAS/FC/PAS/PHC PRIORITY</v>
      </c>
      <c r="H5" s="65" t="s">
        <v>155</v>
      </c>
      <c r="I5" s="65" t="s">
        <v>147</v>
      </c>
      <c r="J5" s="65" t="str" cm="1">
        <f t="array" ref="J5">INDEX('Rate Table Service Desc XWalk'!F:F,MATCH(1,(G5='Rate Table Service Desc XWalk'!B:B)*(E5='Rate Table Service Desc XWalk'!A:A),0))</f>
        <v>13-5-117</v>
      </c>
      <c r="K5" s="66" t="str">
        <f>INDEX('[5]Combined Bill Code List'!$A:$A,MATCH(A5,'[5]Combined Bill Code List'!$F:$F,0))</f>
        <v>State Plan (Title XIX)</v>
      </c>
      <c r="L5" s="66" t="str">
        <f>INDEX('[6]Rate History'!$P:$P,MATCH(A5,'[6]Rate History'!$F:$F,0))</f>
        <v>1 hour</v>
      </c>
      <c r="M5" s="77">
        <f>INDEX('[7]PDF DB Service Pivot'!$C:$C,MATCH(B5,'[7]PDF DB Service Pivot'!$B:$B,0))</f>
        <v>149974.35</v>
      </c>
      <c r="N5" s="77">
        <f>IF(ISNUMBER(FIND("ISS",F5)),IF(I5="Yes",((M5/Q5)/6)*12,(M5/6)*12),IF(AND(I5="Yes",M5=O5),M5/Q5,M5))</f>
        <v>11361.693181818182</v>
      </c>
      <c r="O5" s="76">
        <f>INDEX('[7]PDF DB Service Pivot'!$D:$D,MATCH(B5,'[7]PDF DB Service Pivot'!$B:$B,0))</f>
        <v>149974.35</v>
      </c>
      <c r="P5" s="91">
        <v>45170</v>
      </c>
      <c r="Q5" s="81">
        <v>13.2</v>
      </c>
      <c r="R5" s="81">
        <v>11.75</v>
      </c>
      <c r="S5" s="354">
        <f t="shared" si="0"/>
        <v>0.89015151515151525</v>
      </c>
      <c r="T5" s="339">
        <v>1</v>
      </c>
      <c r="U5" s="81">
        <f t="shared" si="1"/>
        <v>0</v>
      </c>
      <c r="V5" s="81" cm="1">
        <f t="array" ref="V5">_xlfn.IFS('Fiscal by Program'!$B$7&lt;10.61,0,'Fiscal by Program'!$B$7&gt;10.6,(ROUND('Fiscal by Program'!$B$7*(1+IF(D5="Yes",'Fiscal by Program'!$B$9,'Fiscal by Program'!$B$8))*T5,2)))</f>
        <v>0</v>
      </c>
      <c r="W5" s="81">
        <f t="shared" si="2"/>
        <v>0</v>
      </c>
      <c r="X5" s="81">
        <f>ROUND((R5/(1+IF(D5="Yes",'Fiscal by Program'!$B$9,'Fiscal by Program'!$B$8))),2)+0.01</f>
        <v>10.62</v>
      </c>
      <c r="Y5" s="81">
        <f t="shared" si="3"/>
        <v>13.2</v>
      </c>
      <c r="Z5" s="88">
        <v>4</v>
      </c>
      <c r="AA5" s="90">
        <f t="shared" si="4"/>
        <v>0.25</v>
      </c>
      <c r="AB5" s="75">
        <f>INDEX('[9]Service List'!$K:$K,MATCH(A5,'[9]Service List'!$F:$F,0))</f>
        <v>7</v>
      </c>
      <c r="AC5" s="73">
        <f>INDEX('[5]Combined Bill Code List'!$P:$P,MATCH(A5,'[5]Combined Bill Code List'!$F:$F,0))</f>
        <v>0</v>
      </c>
      <c r="AD5" s="80" t="s">
        <v>149</v>
      </c>
      <c r="AE5" s="79">
        <v>1</v>
      </c>
      <c r="AF5" s="66">
        <v>0</v>
      </c>
      <c r="AG5" s="70">
        <f>ROUND(INDEX('All Trends'!D:D,MATCH($AD5,'All Trends'!$C:$C,0)),4)</f>
        <v>0.94279999999999997</v>
      </c>
      <c r="AH5" s="70">
        <f>ROUND(INDEX('All Trends'!E:E,MATCH($AD5,'All Trends'!$C:$C,0)),4)</f>
        <v>1.0489999999999999</v>
      </c>
      <c r="AI5" s="70">
        <f>ROUND(INDEX('All Trends'!F:F,MATCH($AD5,'All Trends'!$C:$C,0)),4)</f>
        <v>1.0459000000000001</v>
      </c>
      <c r="AJ5" s="70">
        <f>ROUND(INDEX('All Trends'!G:G,MATCH($AD5,'All Trends'!$C:$C,0)),4)</f>
        <v>1.0566</v>
      </c>
      <c r="AK5" s="70">
        <f>ROUND(INDEX('All Trends'!H:H,MATCH($AD5,'All Trends'!$C:$C,0)),4)</f>
        <v>1.0747</v>
      </c>
      <c r="AL5" s="74" t="s">
        <v>148</v>
      </c>
      <c r="AM5" s="92">
        <f t="shared" si="5"/>
        <v>11883.19</v>
      </c>
      <c r="AN5" s="92">
        <f t="shared" si="6"/>
        <v>12004.77</v>
      </c>
      <c r="AO5" s="69">
        <f t="shared" si="7"/>
        <v>0</v>
      </c>
      <c r="AP5" s="69">
        <f t="shared" si="8"/>
        <v>0</v>
      </c>
      <c r="AQ5" s="69">
        <f t="shared" si="9"/>
        <v>0</v>
      </c>
      <c r="AR5" s="69">
        <f t="shared" si="10"/>
        <v>0</v>
      </c>
      <c r="AS5" s="409"/>
      <c r="AT5" s="409"/>
      <c r="AU5" s="409"/>
      <c r="AV5" s="65"/>
      <c r="AW5" s="65"/>
      <c r="AX5" s="65"/>
      <c r="AY5" s="65"/>
      <c r="AZ5" s="65"/>
      <c r="BD5" s="65"/>
    </row>
    <row r="6" spans="1:56" s="66" customFormat="1">
      <c r="A6" s="67" t="s">
        <v>156</v>
      </c>
      <c r="B6" s="67" t="s">
        <v>156</v>
      </c>
      <c r="C6" s="78" t="s">
        <v>147</v>
      </c>
      <c r="D6" s="78" t="s">
        <v>148</v>
      </c>
      <c r="E6" s="67" t="s">
        <v>149</v>
      </c>
      <c r="F6" s="67" t="s">
        <v>150</v>
      </c>
      <c r="G6" s="67" t="str">
        <f>INDEX('[4]RT Description to Bill Matix'!$D:$D,MATCH(A6,'[4]RT Description to Bill Matix'!$M:$M,0))</f>
        <v>CDS CAS/FC/PAS/PHC NON-PRIORITY</v>
      </c>
      <c r="H6" s="65" t="s">
        <v>157</v>
      </c>
      <c r="I6" s="65" t="s">
        <v>147</v>
      </c>
      <c r="J6" s="65" t="str" cm="1">
        <f t="array" ref="J6">INDEX('Rate Table Service Desc XWalk'!F:F,MATCH(1,(G6='Rate Table Service Desc XWalk'!B:B)*(E6='Rate Table Service Desc XWalk'!A:A),0))</f>
        <v>13-5-116</v>
      </c>
      <c r="K6" s="66" t="str">
        <f>INDEX('[5]Combined Bill Code List'!$A:$A,MATCH(A6,'[5]Combined Bill Code List'!$F:$F,0))</f>
        <v>State Plan (Title XIX)</v>
      </c>
      <c r="L6" s="66" t="str">
        <f>INDEX('[6]Rate History'!$P:$P,MATCH(A6,'[6]Rate History'!$F:$F,0))</f>
        <v>1 hour</v>
      </c>
      <c r="M6" s="77">
        <f>INDEX('[7]PDF DB Service Pivot'!$C:$C,MATCH(B6,'[7]PDF DB Service Pivot'!$B:$B,0))</f>
        <v>6420811.2300000004</v>
      </c>
      <c r="N6" s="77">
        <f>IF(ISNUMBER(FIND("ISS",F6)),IF(I6="Yes",((M6/Q6)/6)*12,(M6/6)*12),IF(AND(I6="Yes",M6=O6),M6/Q6,M6))</f>
        <v>492393.49923312891</v>
      </c>
      <c r="O6" s="76">
        <f>INDEX('[7]PDF DB Service Pivot'!$D:$D,MATCH(B6,'[7]PDF DB Service Pivot'!$B:$B,0))</f>
        <v>6420811.2300000004</v>
      </c>
      <c r="P6" s="91">
        <v>45170</v>
      </c>
      <c r="Q6" s="81">
        <v>13.04</v>
      </c>
      <c r="R6" s="81">
        <v>11.769999999999998</v>
      </c>
      <c r="S6" s="354">
        <f t="shared" si="0"/>
        <v>0.90260736196319002</v>
      </c>
      <c r="T6" s="339">
        <v>1</v>
      </c>
      <c r="U6" s="81">
        <f t="shared" si="1"/>
        <v>0</v>
      </c>
      <c r="V6" s="81" cm="1">
        <f t="array" ref="V6">_xlfn.IFS('Fiscal by Program'!$B$7&lt;10.61,0,'Fiscal by Program'!$B$7&gt;10.6,(ROUND('Fiscal by Program'!$B$7*(1+IF(D6="Yes",'Fiscal by Program'!$B$9,'Fiscal by Program'!$B$8))*T6,2)))</f>
        <v>0</v>
      </c>
      <c r="W6" s="81">
        <f t="shared" si="2"/>
        <v>0</v>
      </c>
      <c r="X6" s="81">
        <f>ROUND((R6/(1+IF(D6="Yes",'Fiscal by Program'!$B$9,'Fiscal by Program'!$B$8))),2)+0.01</f>
        <v>10.64</v>
      </c>
      <c r="Y6" s="81">
        <f t="shared" si="3"/>
        <v>13.04</v>
      </c>
      <c r="Z6" s="88">
        <v>4</v>
      </c>
      <c r="AA6" s="90">
        <f t="shared" si="4"/>
        <v>0.25</v>
      </c>
      <c r="AB6" s="75">
        <f>INDEX('[9]Service List'!$K:$K,MATCH(A6,'[9]Service List'!$F:$F,0))</f>
        <v>6</v>
      </c>
      <c r="AC6" s="73">
        <f>INDEX('[5]Combined Bill Code List'!$P:$P,MATCH(A6,'[5]Combined Bill Code List'!$F:$F,0))</f>
        <v>0</v>
      </c>
      <c r="AD6" s="80" t="s">
        <v>149</v>
      </c>
      <c r="AE6" s="79">
        <v>1</v>
      </c>
      <c r="AF6" s="66">
        <v>0</v>
      </c>
      <c r="AG6" s="70">
        <f>ROUND(INDEX('All Trends'!D:D,MATCH($AD6,'All Trends'!$C:$C,0)),4)</f>
        <v>0.94279999999999997</v>
      </c>
      <c r="AH6" s="70">
        <f>ROUND(INDEX('All Trends'!E:E,MATCH($AD6,'All Trends'!$C:$C,0)),4)</f>
        <v>1.0489999999999999</v>
      </c>
      <c r="AI6" s="70">
        <f>ROUND(INDEX('All Trends'!F:F,MATCH($AD6,'All Trends'!$C:$C,0)),4)</f>
        <v>1.0459000000000001</v>
      </c>
      <c r="AJ6" s="70">
        <f>ROUND(INDEX('All Trends'!G:G,MATCH($AD6,'All Trends'!$C:$C,0)),4)</f>
        <v>1.0566</v>
      </c>
      <c r="AK6" s="70">
        <f>ROUND(INDEX('All Trends'!H:H,MATCH($AD6,'All Trends'!$C:$C,0)),4)</f>
        <v>1.0747</v>
      </c>
      <c r="AL6" s="74" t="s">
        <v>148</v>
      </c>
      <c r="AM6" s="92">
        <f t="shared" si="5"/>
        <v>514994.36</v>
      </c>
      <c r="AN6" s="92">
        <f t="shared" si="6"/>
        <v>520262.97</v>
      </c>
      <c r="AO6" s="69">
        <f t="shared" si="7"/>
        <v>0</v>
      </c>
      <c r="AP6" s="69">
        <f t="shared" si="8"/>
        <v>0</v>
      </c>
      <c r="AQ6" s="69">
        <f t="shared" si="9"/>
        <v>0</v>
      </c>
      <c r="AR6" s="69">
        <f t="shared" si="10"/>
        <v>0</v>
      </c>
      <c r="AS6" s="409"/>
      <c r="AT6" s="409"/>
      <c r="AU6" s="409"/>
      <c r="AV6" s="65"/>
      <c r="AW6" s="65"/>
      <c r="AX6" s="65"/>
      <c r="AY6" s="65"/>
      <c r="AZ6" s="65"/>
      <c r="BD6" s="65"/>
    </row>
    <row r="7" spans="1:56" s="66" customFormat="1">
      <c r="A7" s="67" t="s">
        <v>158</v>
      </c>
      <c r="B7" s="67" t="s">
        <v>158</v>
      </c>
      <c r="C7" s="78" t="s">
        <v>147</v>
      </c>
      <c r="D7" s="78" t="s">
        <v>148</v>
      </c>
      <c r="E7" s="67" t="s">
        <v>149</v>
      </c>
      <c r="F7" s="67" t="s">
        <v>150</v>
      </c>
      <c r="G7" s="67" t="str">
        <f>INDEX('[4]RT Description to Bill Matix'!$D:$D,MATCH(A7,'[4]RT Description to Bill Matix'!$M:$M,0))</f>
        <v>CDS CAS/FC/PAS/PHC NON-PRIORITY</v>
      </c>
      <c r="H7" s="65" t="s">
        <v>159</v>
      </c>
      <c r="I7" s="65" t="s">
        <v>147</v>
      </c>
      <c r="J7" s="65" t="str" cm="1">
        <f t="array" ref="J7">INDEX('Rate Table Service Desc XWalk'!F:F,MATCH(1,(G7='Rate Table Service Desc XWalk'!B:B)*(E7='Rate Table Service Desc XWalk'!A:A),0))</f>
        <v>13-5-116</v>
      </c>
      <c r="K7" s="66" t="str">
        <f>INDEX('[5]Combined Bill Code List'!$A:$A,MATCH(A7,'[5]Combined Bill Code List'!$F:$F,0))</f>
        <v>State Plan (Title XIX)</v>
      </c>
      <c r="L7" s="66" t="str">
        <f>INDEX('[6]Rate History'!$P:$P,MATCH(A7,'[6]Rate History'!$F:$F,0))</f>
        <v>1 hour</v>
      </c>
      <c r="M7" s="77">
        <f>INDEX('[7]PDF DB Service Pivot'!$C:$C,MATCH(B7,'[7]PDF DB Service Pivot'!$B:$B,0))</f>
        <v>83175.02</v>
      </c>
      <c r="N7" s="77">
        <f>IF(ISNUMBER(FIND("ISS",F7)),IF(I7="Yes",((M7/Q7)/6)*12,(M7/6)*12),IF(AND(I7="Yes",M7=O7),M7/Q7,M7))</f>
        <v>6378.4524539877311</v>
      </c>
      <c r="O7" s="76">
        <f>INDEX('[7]PDF DB Service Pivot'!$D:$D,MATCH(B7,'[7]PDF DB Service Pivot'!$B:$B,0))</f>
        <v>83175.02</v>
      </c>
      <c r="P7" s="91">
        <f>P6</f>
        <v>45170</v>
      </c>
      <c r="Q7" s="81">
        <v>13.04</v>
      </c>
      <c r="R7" s="81">
        <v>11.77</v>
      </c>
      <c r="S7" s="354">
        <f t="shared" si="0"/>
        <v>0.90260736196319025</v>
      </c>
      <c r="T7" s="339">
        <v>1</v>
      </c>
      <c r="U7" s="81">
        <f t="shared" si="1"/>
        <v>0</v>
      </c>
      <c r="V7" s="81" cm="1">
        <f t="array" ref="V7">_xlfn.IFS('Fiscal by Program'!$B$7&lt;10.61,0,'Fiscal by Program'!$B$7&gt;10.6,(ROUND('Fiscal by Program'!$B$7*(1+IF(D7="Yes",'Fiscal by Program'!$B$9,'Fiscal by Program'!$B$8))*T7,2)))</f>
        <v>0</v>
      </c>
      <c r="W7" s="81">
        <f t="shared" si="2"/>
        <v>0</v>
      </c>
      <c r="X7" s="81">
        <f>ROUND((R7/(1+IF(D7="Yes",'Fiscal by Program'!$B$9,'Fiscal by Program'!$B$8))),2)+0.01</f>
        <v>10.64</v>
      </c>
      <c r="Y7" s="81">
        <f t="shared" si="3"/>
        <v>13.04</v>
      </c>
      <c r="Z7" s="88">
        <v>4</v>
      </c>
      <c r="AA7" s="90">
        <f t="shared" si="4"/>
        <v>0.25</v>
      </c>
      <c r="AB7" s="75">
        <f>INDEX('[9]Service List'!$K:$K,MATCH(A7,'[9]Service List'!$F:$F,0))</f>
        <v>1356</v>
      </c>
      <c r="AC7" s="73">
        <f>INDEX('[5]Combined Bill Code List'!$P:$P,MATCH(A7,'[5]Combined Bill Code List'!$F:$F,0))</f>
        <v>0</v>
      </c>
      <c r="AD7" s="80" t="s">
        <v>149</v>
      </c>
      <c r="AE7" s="79">
        <v>1</v>
      </c>
      <c r="AF7" s="66">
        <v>0</v>
      </c>
      <c r="AG7" s="70">
        <f>ROUND(INDEX('All Trends'!D:D,MATCH($AD7,'All Trends'!$C:$C,0)),4)</f>
        <v>0.94279999999999997</v>
      </c>
      <c r="AH7" s="70">
        <f>ROUND(INDEX('All Trends'!E:E,MATCH($AD7,'All Trends'!$C:$C,0)),4)</f>
        <v>1.0489999999999999</v>
      </c>
      <c r="AI7" s="70">
        <f>ROUND(INDEX('All Trends'!F:F,MATCH($AD7,'All Trends'!$C:$C,0)),4)</f>
        <v>1.0459000000000001</v>
      </c>
      <c r="AJ7" s="70">
        <f>ROUND(INDEX('All Trends'!G:G,MATCH($AD7,'All Trends'!$C:$C,0)),4)</f>
        <v>1.0566</v>
      </c>
      <c r="AK7" s="70">
        <f>ROUND(INDEX('All Trends'!H:H,MATCH($AD7,'All Trends'!$C:$C,0)),4)</f>
        <v>1.0747</v>
      </c>
      <c r="AL7" s="74" t="s">
        <v>148</v>
      </c>
      <c r="AM7" s="92">
        <f t="shared" si="5"/>
        <v>6671.22</v>
      </c>
      <c r="AN7" s="92">
        <f t="shared" si="6"/>
        <v>6739.47</v>
      </c>
      <c r="AO7" s="69">
        <f t="shared" si="7"/>
        <v>0</v>
      </c>
      <c r="AP7" s="69">
        <f t="shared" si="8"/>
        <v>0</v>
      </c>
      <c r="AQ7" s="69">
        <f t="shared" si="9"/>
        <v>0</v>
      </c>
      <c r="AR7" s="69">
        <f t="shared" si="10"/>
        <v>0</v>
      </c>
      <c r="AS7" s="409"/>
      <c r="AT7" s="409"/>
      <c r="AU7" s="409"/>
      <c r="AV7" s="65"/>
      <c r="AW7" s="65"/>
      <c r="AX7" s="65"/>
      <c r="AY7" s="65"/>
      <c r="AZ7" s="65"/>
      <c r="BD7" s="65"/>
    </row>
    <row r="8" spans="1:56" s="66" customFormat="1">
      <c r="A8" s="78" t="s">
        <v>160</v>
      </c>
      <c r="B8" s="78" t="s">
        <v>160</v>
      </c>
      <c r="C8" s="78" t="s">
        <v>147</v>
      </c>
      <c r="D8" s="78" t="s">
        <v>148</v>
      </c>
      <c r="E8" s="67" t="s">
        <v>161</v>
      </c>
      <c r="F8" s="67" t="s">
        <v>162</v>
      </c>
      <c r="G8" s="67" t="str">
        <f>INDEX('[4]RT Description to Bill Matix'!$D:$D,MATCH(A8,'[4]RT Description to Bill Matix'!$M:$M,0))</f>
        <v>Habilitation</v>
      </c>
      <c r="H8" s="65" t="s">
        <v>163</v>
      </c>
      <c r="I8" s="65"/>
      <c r="J8" s="65" t="str" cm="1">
        <f t="array" ref="J8">INDEX('Rate Table Service Desc XWalk'!F:F,MATCH(1,(G8='Rate Table Service Desc XWalk'!B:B)*(E8='Rate Table Service Desc XWalk'!A:A),0))</f>
        <v>1-1-26</v>
      </c>
      <c r="K8" s="66" t="str">
        <f>INDEX('[5]Combined Bill Code List'!$A:$A,MATCH(A8,'[5]Combined Bill Code List'!$F:$F,0))</f>
        <v>1915(c) waiver</v>
      </c>
      <c r="L8" s="66" t="str">
        <f>INDEX('[6]Rate History'!$P:$P,MATCH(A8,'[6]Rate History'!$F:$F,0))</f>
        <v>1 hour (ceiling)</v>
      </c>
      <c r="M8" s="77">
        <f>INDEX('[7]PDF DB Service Pivot'!$C:$C,MATCH(B8,'[7]PDF DB Service Pivot'!$B:$B,0))</f>
        <v>4952394.62</v>
      </c>
      <c r="N8" s="77">
        <f>O8/Q8</f>
        <v>332505.48462566844</v>
      </c>
      <c r="O8" s="76">
        <f>INDEX('[7]PDF DB Service Pivot'!$D:$D,MATCH(B8,'[7]PDF DB Service Pivot'!$B:$B,0))</f>
        <v>4974282.05</v>
      </c>
      <c r="P8" s="91">
        <v>45170</v>
      </c>
      <c r="Q8" s="81">
        <v>14.96</v>
      </c>
      <c r="R8" s="81">
        <v>11.75</v>
      </c>
      <c r="S8" s="354">
        <f t="shared" si="0"/>
        <v>0.78542780748663099</v>
      </c>
      <c r="T8" s="339">
        <f>INDEX('[8]Billable Services'!$P:$P,MATCH(B8,'[8]Billable Services'!$S:$S,0))</f>
        <v>1</v>
      </c>
      <c r="U8" s="81">
        <f t="shared" si="1"/>
        <v>0</v>
      </c>
      <c r="V8" s="81" cm="1">
        <f t="array" ref="V8">_xlfn.IFS('Fiscal by Program'!$B$7&lt;10.61,0,'Fiscal by Program'!$B$7&gt;10.6,(ROUND('Fiscal by Program'!$B$7*(1+IF(D8="Yes",'Fiscal by Program'!$B$9,'Fiscal by Program'!$B$8))*T8,2)))</f>
        <v>0</v>
      </c>
      <c r="W8" s="81">
        <f t="shared" si="2"/>
        <v>0</v>
      </c>
      <c r="X8" s="81">
        <f>ROUND((R8/(1+IF(D8="Yes",'Fiscal by Program'!$B$9,'Fiscal by Program'!$B$8))),2)+0.01</f>
        <v>10.62</v>
      </c>
      <c r="Y8" s="81">
        <f t="shared" si="3"/>
        <v>14.96</v>
      </c>
      <c r="Z8" s="88">
        <v>4</v>
      </c>
      <c r="AA8" s="90">
        <f t="shared" si="4"/>
        <v>0.25</v>
      </c>
      <c r="AB8" s="75">
        <f>INDEX('[9]Service List'!$K:$K,MATCH(A8,'[9]Service List'!$F:$F,0))</f>
        <v>36</v>
      </c>
      <c r="AC8" s="73">
        <f>INDEX('[5]Combined Bill Code List'!$P:$P,MATCH(A8,'[5]Combined Bill Code List'!$F:$F,0))</f>
        <v>0</v>
      </c>
      <c r="AD8" s="67" t="s">
        <v>161</v>
      </c>
      <c r="AE8" s="79">
        <v>1</v>
      </c>
      <c r="AF8" s="66">
        <v>0</v>
      </c>
      <c r="AG8" s="70">
        <f>ROUND(INDEX('All Trends'!D:D,MATCH($AD8,'All Trends'!$C:$C,0)),4)</f>
        <v>0.9708</v>
      </c>
      <c r="AH8" s="70">
        <f>ROUND(INDEX('All Trends'!E:E,MATCH($AD8,'All Trends'!$C:$C,0)),4)</f>
        <v>1.0029999999999999</v>
      </c>
      <c r="AI8" s="70">
        <f>ROUND(INDEX('All Trends'!F:F,MATCH($AD8,'All Trends'!$C:$C,0)),4)</f>
        <v>1.0230999999999999</v>
      </c>
      <c r="AJ8" s="70">
        <f>ROUND(INDEX('All Trends'!G:G,MATCH($AD8,'All Trends'!$C:$C,0)),4)</f>
        <v>1.0230999999999999</v>
      </c>
      <c r="AK8" s="70">
        <f>ROUND(INDEX('All Trends'!H:H,MATCH($AD8,'All Trends'!$C:$C,0)),4)</f>
        <v>1.0230999999999999</v>
      </c>
      <c r="AL8" s="74" t="s">
        <v>148</v>
      </c>
      <c r="AM8" s="92">
        <f t="shared" si="5"/>
        <v>340186.36</v>
      </c>
      <c r="AN8" s="92">
        <f t="shared" si="6"/>
        <v>340186.36</v>
      </c>
      <c r="AO8" s="69">
        <f t="shared" si="7"/>
        <v>0</v>
      </c>
      <c r="AP8" s="69">
        <f t="shared" si="8"/>
        <v>0</v>
      </c>
      <c r="AQ8" s="69">
        <f t="shared" si="9"/>
        <v>0</v>
      </c>
      <c r="AR8" s="69">
        <f t="shared" si="10"/>
        <v>0</v>
      </c>
      <c r="AS8" s="409"/>
      <c r="AT8" s="409"/>
      <c r="AU8" s="409"/>
      <c r="AV8" s="65"/>
      <c r="AW8" s="65"/>
      <c r="AX8" s="65"/>
      <c r="AY8" s="65"/>
      <c r="AZ8" s="65"/>
      <c r="BD8" s="65"/>
    </row>
    <row r="9" spans="1:56" s="66" customFormat="1">
      <c r="A9" s="78" t="s">
        <v>164</v>
      </c>
      <c r="B9" s="78" t="s">
        <v>164</v>
      </c>
      <c r="C9" s="78" t="s">
        <v>147</v>
      </c>
      <c r="D9" s="78" t="s">
        <v>148</v>
      </c>
      <c r="E9" s="67" t="s">
        <v>161</v>
      </c>
      <c r="F9" s="67" t="s">
        <v>162</v>
      </c>
      <c r="G9" s="67" t="str">
        <f>INDEX('[4]RT Description to Bill Matix'!$D:$D,MATCH(A9,'[4]RT Description to Bill Matix'!$M:$M,0))</f>
        <v>PAS/HAB (CFC)</v>
      </c>
      <c r="H9" s="65" t="s">
        <v>165</v>
      </c>
      <c r="I9" s="65"/>
      <c r="J9" s="65" t="str" cm="1">
        <f t="array" ref="J9">INDEX('Rate Table Service Desc XWalk'!F:F,MATCH(1,(G9='Rate Table Service Desc XWalk'!B:B)*(E9='Rate Table Service Desc XWalk'!A:A),0))</f>
        <v>1-1-78</v>
      </c>
      <c r="K9" s="66" t="str">
        <f>INDEX('[5]Combined Bill Code List'!$A:$A,MATCH(A9,'[5]Combined Bill Code List'!$F:$F,0))</f>
        <v>State Plan (Title XIX)</v>
      </c>
      <c r="L9" s="66" t="str">
        <f>INDEX('[6]Rate History'!$P:$P,MATCH(A9,'[6]Rate History'!$F:$F,0))</f>
        <v>1 hour</v>
      </c>
      <c r="M9" s="77">
        <f>INDEX('[7]PDF DB Service Pivot'!$C:$C,MATCH(B9,'[7]PDF DB Service Pivot'!$B:$B,0))</f>
        <v>8801962.0999999996</v>
      </c>
      <c r="N9" s="77">
        <f t="shared" ref="N9:N66" si="11">IF(ISNUMBER(FIND("ISS",F9)),IF(I9="Yes",((M9/Q9)/6)*12,(M9/6)*12),IF(AND(I9="Yes",M9=O9),M9/Q9,M9))</f>
        <v>8801962.0999999996</v>
      </c>
      <c r="O9" s="76">
        <f>INDEX('[7]PDF DB Service Pivot'!$D:$D,MATCH(B9,'[7]PDF DB Service Pivot'!$B:$B,0))</f>
        <v>136465738.46000001</v>
      </c>
      <c r="P9" s="91">
        <v>45170</v>
      </c>
      <c r="Q9" s="81">
        <v>14.96</v>
      </c>
      <c r="R9" s="81">
        <v>11.75</v>
      </c>
      <c r="S9" s="354">
        <f t="shared" si="0"/>
        <v>0.78542780748663099</v>
      </c>
      <c r="T9" s="339">
        <f>INDEX('[8]Billable Services'!$P:$P,MATCH(B9,'[8]Billable Services'!$S:$S,0))</f>
        <v>1</v>
      </c>
      <c r="U9" s="81">
        <f t="shared" si="1"/>
        <v>0</v>
      </c>
      <c r="V9" s="81" cm="1">
        <f t="array" ref="V9">_xlfn.IFS('Fiscal by Program'!$B$7&lt;10.61,0,'Fiscal by Program'!$B$7&gt;10.6,(ROUND('Fiscal by Program'!$B$7*(1+IF(D9="Yes",'Fiscal by Program'!$B$9,'Fiscal by Program'!$B$8))*T9,2)))</f>
        <v>0</v>
      </c>
      <c r="W9" s="81">
        <f t="shared" si="2"/>
        <v>0</v>
      </c>
      <c r="X9" s="81">
        <f>ROUND((R9/(1+IF(D9="Yes",'Fiscal by Program'!$B$9,'Fiscal by Program'!$B$8))),2)+0.01</f>
        <v>10.62</v>
      </c>
      <c r="Y9" s="81">
        <f t="shared" si="3"/>
        <v>14.96</v>
      </c>
      <c r="Z9" s="88">
        <v>4</v>
      </c>
      <c r="AA9" s="90">
        <f t="shared" si="4"/>
        <v>0.25</v>
      </c>
      <c r="AB9" s="75">
        <f>INDEX('[9]Service List'!$K:$K,MATCH(A9,'[9]Service List'!$F:$F,0))</f>
        <v>53</v>
      </c>
      <c r="AC9" s="73" t="s">
        <v>166</v>
      </c>
      <c r="AD9" s="67" t="s">
        <v>161</v>
      </c>
      <c r="AE9" s="79">
        <v>1</v>
      </c>
      <c r="AF9" s="66">
        <v>-0.06</v>
      </c>
      <c r="AG9" s="70">
        <f>ROUND(INDEX('All Trends'!D:D,MATCH($AD9,'All Trends'!$C:$C,0)),4)</f>
        <v>0.9708</v>
      </c>
      <c r="AH9" s="70">
        <f>ROUND(INDEX('All Trends'!E:E,MATCH($AD9,'All Trends'!$C:$C,0)),4)</f>
        <v>1.0029999999999999</v>
      </c>
      <c r="AI9" s="70">
        <f>ROUND(INDEX('All Trends'!F:F,MATCH($AD9,'All Trends'!$C:$C,0)),4)</f>
        <v>1.0230999999999999</v>
      </c>
      <c r="AJ9" s="70">
        <f>ROUND(INDEX('All Trends'!G:G,MATCH($AD9,'All Trends'!$C:$C,0)),4)</f>
        <v>1.0230999999999999</v>
      </c>
      <c r="AK9" s="70">
        <f>ROUND(INDEX('All Trends'!H:H,MATCH($AD9,'All Trends'!$C:$C,0)),4)</f>
        <v>1.0230999999999999</v>
      </c>
      <c r="AL9" s="74" t="s">
        <v>148</v>
      </c>
      <c r="AM9" s="92">
        <f t="shared" si="5"/>
        <v>9005287.4199999999</v>
      </c>
      <c r="AN9" s="92">
        <f t="shared" si="6"/>
        <v>9005287.4199999999</v>
      </c>
      <c r="AO9" s="69">
        <f t="shared" si="7"/>
        <v>0</v>
      </c>
      <c r="AP9" s="69">
        <f t="shared" si="8"/>
        <v>0</v>
      </c>
      <c r="AQ9" s="69">
        <f t="shared" si="9"/>
        <v>0</v>
      </c>
      <c r="AR9" s="69">
        <f t="shared" si="10"/>
        <v>0</v>
      </c>
      <c r="AS9" s="409"/>
      <c r="AT9" s="409"/>
      <c r="AU9" s="409"/>
      <c r="AV9" s="65"/>
      <c r="AW9" s="65"/>
      <c r="AX9" s="65"/>
      <c r="AY9" s="65"/>
      <c r="AZ9" s="65"/>
      <c r="BD9" s="65"/>
    </row>
    <row r="10" spans="1:56" s="66" customFormat="1">
      <c r="A10" s="78" t="s">
        <v>167</v>
      </c>
      <c r="B10" s="78" t="s">
        <v>167</v>
      </c>
      <c r="C10" s="78" t="s">
        <v>147</v>
      </c>
      <c r="D10" s="78" t="s">
        <v>148</v>
      </c>
      <c r="E10" s="67" t="s">
        <v>161</v>
      </c>
      <c r="F10" s="67" t="s">
        <v>162</v>
      </c>
      <c r="G10" s="67" t="str">
        <f>INDEX('[4]RT Description to Bill Matix'!$D:$D,MATCH(A10,'[4]RT Description to Bill Matix'!$M:$M,0))</f>
        <v>CDS PAS/HAB (CFC)</v>
      </c>
      <c r="H10" s="65" t="s">
        <v>168</v>
      </c>
      <c r="I10" s="65" t="s">
        <v>147</v>
      </c>
      <c r="J10" s="65" t="str" cm="1">
        <f t="array" ref="J10">INDEX('Rate Table Service Desc XWalk'!F:F,MATCH(1,(G10='Rate Table Service Desc XWalk'!B:B)*(E10='Rate Table Service Desc XWalk'!A:A),0))</f>
        <v>1-5-142</v>
      </c>
      <c r="K10" s="66" t="str">
        <f>INDEX('[5]Combined Bill Code List'!$A:$A,MATCH(A10,'[5]Combined Bill Code List'!$F:$F,0))</f>
        <v>State Plan (Title XIX)</v>
      </c>
      <c r="L10" s="66" t="str">
        <f>INDEX('[6]Rate History'!$P:$P,MATCH(A10,'[6]Rate History'!$F:$F,0))</f>
        <v>1 hour</v>
      </c>
      <c r="M10" s="77">
        <f>INDEX('[7]PDF DB Service Pivot'!$C:$C,MATCH(B10,'[7]PDF DB Service Pivot'!$B:$B,0))</f>
        <v>87110156.930000007</v>
      </c>
      <c r="N10" s="77">
        <f t="shared" si="11"/>
        <v>6151847.2408192093</v>
      </c>
      <c r="O10" s="76">
        <f>INDEX('[7]PDF DB Service Pivot'!$D:$D,MATCH(B10,'[7]PDF DB Service Pivot'!$B:$B,0))</f>
        <v>87110156.930000007</v>
      </c>
      <c r="P10" s="91">
        <v>45170</v>
      </c>
      <c r="Q10" s="81">
        <v>14.16</v>
      </c>
      <c r="R10" s="81">
        <v>11.75</v>
      </c>
      <c r="S10" s="354">
        <f t="shared" si="0"/>
        <v>0.82980225988700562</v>
      </c>
      <c r="T10" s="339">
        <v>1</v>
      </c>
      <c r="U10" s="81">
        <f t="shared" si="1"/>
        <v>0</v>
      </c>
      <c r="V10" s="81" cm="1">
        <f t="array" ref="V10">_xlfn.IFS('Fiscal by Program'!$B$7&lt;10.61,0,'Fiscal by Program'!$B$7&gt;10.6,(ROUND('Fiscal by Program'!$B$7*(1+IF(D10="Yes",'Fiscal by Program'!$B$9,'Fiscal by Program'!$B$8))*T10,2)))</f>
        <v>0</v>
      </c>
      <c r="W10" s="81">
        <f t="shared" si="2"/>
        <v>0</v>
      </c>
      <c r="X10" s="81">
        <f>ROUND((R10/(1+IF(D10="Yes",'Fiscal by Program'!$B$9,'Fiscal by Program'!$B$8))),2)+0.01</f>
        <v>10.62</v>
      </c>
      <c r="Y10" s="81">
        <f t="shared" si="3"/>
        <v>14.16</v>
      </c>
      <c r="Z10" s="88">
        <v>4</v>
      </c>
      <c r="AA10" s="90">
        <f t="shared" si="4"/>
        <v>0.25</v>
      </c>
      <c r="AB10" s="75">
        <f>INDEX('[9]Service List'!$K:$K,MATCH(A10,'[9]Service List'!$F:$F,0))</f>
        <v>52</v>
      </c>
      <c r="AC10" s="73" t="s">
        <v>166</v>
      </c>
      <c r="AD10" s="67" t="s">
        <v>161</v>
      </c>
      <c r="AE10" s="79">
        <v>1</v>
      </c>
      <c r="AF10" s="66">
        <v>-0.06</v>
      </c>
      <c r="AG10" s="70">
        <f>ROUND(INDEX('All Trends'!D:D,MATCH($AD10,'All Trends'!$C:$C,0)),4)</f>
        <v>0.9708</v>
      </c>
      <c r="AH10" s="70">
        <f>ROUND(INDEX('All Trends'!E:E,MATCH($AD10,'All Trends'!$C:$C,0)),4)</f>
        <v>1.0029999999999999</v>
      </c>
      <c r="AI10" s="70">
        <f>ROUND(INDEX('All Trends'!F:F,MATCH($AD10,'All Trends'!$C:$C,0)),4)</f>
        <v>1.0230999999999999</v>
      </c>
      <c r="AJ10" s="70">
        <f>ROUND(INDEX('All Trends'!G:G,MATCH($AD10,'All Trends'!$C:$C,0)),4)</f>
        <v>1.0230999999999999</v>
      </c>
      <c r="AK10" s="70">
        <f>ROUND(INDEX('All Trends'!H:H,MATCH($AD10,'All Trends'!$C:$C,0)),4)</f>
        <v>1.0230999999999999</v>
      </c>
      <c r="AL10" s="74" t="s">
        <v>148</v>
      </c>
      <c r="AM10" s="92">
        <f t="shared" si="5"/>
        <v>6293954.9100000001</v>
      </c>
      <c r="AN10" s="92">
        <f t="shared" si="6"/>
        <v>6293954.9100000001</v>
      </c>
      <c r="AO10" s="69">
        <f t="shared" si="7"/>
        <v>0</v>
      </c>
      <c r="AP10" s="69">
        <f t="shared" si="8"/>
        <v>0</v>
      </c>
      <c r="AQ10" s="69">
        <f t="shared" si="9"/>
        <v>0</v>
      </c>
      <c r="AR10" s="69">
        <f t="shared" si="10"/>
        <v>0</v>
      </c>
      <c r="AS10" s="409"/>
      <c r="AT10" s="409"/>
      <c r="AU10" s="409"/>
      <c r="AV10" s="65"/>
      <c r="AW10" s="65"/>
      <c r="AX10" s="65"/>
      <c r="AY10" s="65"/>
      <c r="AZ10" s="65"/>
      <c r="BD10" s="65"/>
    </row>
    <row r="11" spans="1:56" s="66" customFormat="1">
      <c r="A11" s="78" t="s">
        <v>169</v>
      </c>
      <c r="B11" s="78" t="s">
        <v>169</v>
      </c>
      <c r="C11" s="78" t="s">
        <v>147</v>
      </c>
      <c r="D11" s="78" t="s">
        <v>148</v>
      </c>
      <c r="E11" s="67" t="s">
        <v>161</v>
      </c>
      <c r="F11" s="67" t="s">
        <v>26</v>
      </c>
      <c r="G11" s="67" t="str">
        <f>INDEX('[4]RT Description to Bill Matix'!$D:$D,MATCH(A11,'[4]RT Description to Bill Matix'!$M:$M,0))</f>
        <v>In Home Respite</v>
      </c>
      <c r="H11" s="65" t="s">
        <v>170</v>
      </c>
      <c r="I11" s="65"/>
      <c r="J11" s="358" t="str" cm="1">
        <f t="array" ref="J11">INDEX('Rate Table Service Desc XWalk'!F:F,MATCH(1,(G11='Rate Table Service Desc XWalk'!B:B)*(E11='Rate Table Service Desc XWalk'!A:A),0))</f>
        <v>1-1-55</v>
      </c>
      <c r="K11" s="66" t="str">
        <f>INDEX('[5]Combined Bill Code List'!$A:$A,MATCH(A11,'[5]Combined Bill Code List'!$F:$F,0))</f>
        <v>1915(c) waiver</v>
      </c>
      <c r="L11" s="66" t="str">
        <f>INDEX('[6]Rate History'!$P:$P,MATCH(A11,'[6]Rate History'!$F:$F,0))</f>
        <v>1 day</v>
      </c>
      <c r="M11" s="77">
        <f>INDEX('[7]PDF DB Service Pivot'!$C:$C,MATCH(B11,'[7]PDF DB Service Pivot'!$B:$B,0))</f>
        <v>22044.16</v>
      </c>
      <c r="N11" s="77">
        <f t="shared" si="11"/>
        <v>22044.16</v>
      </c>
      <c r="O11" s="76">
        <f>INDEX('[7]PDF DB Service Pivot'!$D:$D,MATCH(B11,'[7]PDF DB Service Pivot'!$B:$B,0))</f>
        <v>5323900.53</v>
      </c>
      <c r="P11" s="91">
        <v>45170</v>
      </c>
      <c r="Q11" s="81">
        <v>311.12</v>
      </c>
      <c r="R11" s="81">
        <v>281.77999999999997</v>
      </c>
      <c r="S11" s="354">
        <f t="shared" si="0"/>
        <v>0.90569555155566972</v>
      </c>
      <c r="T11" s="339">
        <v>24</v>
      </c>
      <c r="U11" s="81">
        <f t="shared" si="1"/>
        <v>0</v>
      </c>
      <c r="V11" s="81" cm="1">
        <f t="array" ref="V11">_xlfn.IFS('Fiscal by Program'!$B$7&lt;10.61,0,'Fiscal by Program'!$B$7&gt;10.6,(ROUND('Fiscal by Program'!$B$7*(1+IF(D11="Yes",'Fiscal by Program'!$B$9,'Fiscal by Program'!$B$8))*T11,2)))</f>
        <v>0</v>
      </c>
      <c r="W11" s="81">
        <f t="shared" si="2"/>
        <v>0</v>
      </c>
      <c r="X11" s="81">
        <f>ROUND((R11/(1+IF(D11="Yes",'Fiscal by Program'!$B$9,'Fiscal by Program'!$B$8))),2)+0.01</f>
        <v>254.44</v>
      </c>
      <c r="Y11" s="81">
        <f t="shared" si="3"/>
        <v>311.12</v>
      </c>
      <c r="Z11" s="88">
        <v>96</v>
      </c>
      <c r="AA11" s="90">
        <f t="shared" si="4"/>
        <v>0.25</v>
      </c>
      <c r="AB11" s="75">
        <f>INDEX('[9]Service List'!$K:$K,MATCH(A11,'[9]Service List'!$F:$F,0))</f>
        <v>39</v>
      </c>
      <c r="AC11" s="73">
        <f>INDEX('[5]Combined Bill Code List'!$P:$P,MATCH(A11,'[5]Combined Bill Code List'!$F:$F,0))</f>
        <v>0</v>
      </c>
      <c r="AD11" s="67" t="s">
        <v>161</v>
      </c>
      <c r="AE11" s="79">
        <v>1</v>
      </c>
      <c r="AF11" s="66">
        <v>0</v>
      </c>
      <c r="AG11" s="70">
        <f>ROUND(INDEX('All Trends'!D:D,MATCH($AD11,'All Trends'!$C:$C,0)),4)</f>
        <v>0.9708</v>
      </c>
      <c r="AH11" s="70">
        <f>ROUND(INDEX('All Trends'!E:E,MATCH($AD11,'All Trends'!$C:$C,0)),4)</f>
        <v>1.0029999999999999</v>
      </c>
      <c r="AI11" s="70">
        <f>ROUND(INDEX('All Trends'!F:F,MATCH($AD11,'All Trends'!$C:$C,0)),4)</f>
        <v>1.0230999999999999</v>
      </c>
      <c r="AJ11" s="70">
        <f>ROUND(INDEX('All Trends'!G:G,MATCH($AD11,'All Trends'!$C:$C,0)),4)</f>
        <v>1.0230999999999999</v>
      </c>
      <c r="AK11" s="70">
        <f>ROUND(INDEX('All Trends'!H:H,MATCH($AD11,'All Trends'!$C:$C,0)),4)</f>
        <v>1.0230999999999999</v>
      </c>
      <c r="AL11" s="74" t="s">
        <v>148</v>
      </c>
      <c r="AM11" s="92">
        <f t="shared" si="5"/>
        <v>541281.12</v>
      </c>
      <c r="AN11" s="92">
        <f t="shared" si="6"/>
        <v>541281.12</v>
      </c>
      <c r="AO11" s="69">
        <f t="shared" si="7"/>
        <v>0</v>
      </c>
      <c r="AP11" s="69">
        <f t="shared" si="8"/>
        <v>0</v>
      </c>
      <c r="AQ11" s="69">
        <f t="shared" si="9"/>
        <v>0</v>
      </c>
      <c r="AR11" s="69">
        <f t="shared" si="10"/>
        <v>0</v>
      </c>
      <c r="AS11" s="409"/>
      <c r="AT11" s="409"/>
      <c r="AU11" s="409"/>
      <c r="AV11" s="65"/>
      <c r="AW11" s="65"/>
      <c r="AX11" s="65"/>
      <c r="AY11" s="65"/>
      <c r="AZ11" s="65"/>
      <c r="BD11" s="65"/>
    </row>
    <row r="12" spans="1:56" s="66" customFormat="1">
      <c r="A12" s="78" t="s">
        <v>171</v>
      </c>
      <c r="B12" s="78" t="s">
        <v>171</v>
      </c>
      <c r="C12" s="78" t="s">
        <v>147</v>
      </c>
      <c r="D12" s="78" t="s">
        <v>148</v>
      </c>
      <c r="E12" s="67" t="s">
        <v>161</v>
      </c>
      <c r="F12" s="67" t="s">
        <v>26</v>
      </c>
      <c r="G12" s="67" t="str">
        <f>INDEX('[4]RT Description to Bill Matix'!$D:$D,MATCH(A12,'[4]RT Description to Bill Matix'!$M:$M,0))</f>
        <v>CDS In Home Respite</v>
      </c>
      <c r="H12" s="65" t="s">
        <v>172</v>
      </c>
      <c r="I12" s="65" t="s">
        <v>147</v>
      </c>
      <c r="J12" s="358" t="str" cm="1">
        <f t="array" ref="J12">INDEX('Rate Table Service Desc XWalk'!F:F,MATCH(1,(G12='Rate Table Service Desc XWalk'!B:B)*(E12='Rate Table Service Desc XWalk'!A:A),0))</f>
        <v>1-5-136</v>
      </c>
      <c r="K12" s="66" t="str">
        <f>INDEX('[5]Combined Bill Code List'!$A:$A,MATCH(A12,'[5]Combined Bill Code List'!$F:$F,0))</f>
        <v>1915(c) waiver</v>
      </c>
      <c r="L12" s="66" t="str">
        <f>INDEX('[6]Rate History'!$P:$P,MATCH(A12,'[6]Rate History'!$F:$F,0))</f>
        <v>1 day</v>
      </c>
      <c r="M12" s="77">
        <f>INDEX('[7]PDF DB Service Pivot'!$C:$C,MATCH(B12,'[7]PDF DB Service Pivot'!$B:$B,0))</f>
        <v>5354163.8600000003</v>
      </c>
      <c r="N12" s="77">
        <f t="shared" si="11"/>
        <v>18647.826205071051</v>
      </c>
      <c r="O12" s="76">
        <f>INDEX('[7]PDF DB Service Pivot'!$D:$D,MATCH(B12,'[7]PDF DB Service Pivot'!$B:$B,0))</f>
        <v>5354163.8600000003</v>
      </c>
      <c r="P12" s="91">
        <v>45170</v>
      </c>
      <c r="Q12" s="81">
        <v>287.12</v>
      </c>
      <c r="R12" s="81">
        <v>281.77999999999997</v>
      </c>
      <c r="S12" s="354">
        <f t="shared" si="0"/>
        <v>0.98140150459738074</v>
      </c>
      <c r="T12" s="339">
        <v>24</v>
      </c>
      <c r="U12" s="81">
        <f t="shared" si="1"/>
        <v>0</v>
      </c>
      <c r="V12" s="81" cm="1">
        <f t="array" ref="V12">_xlfn.IFS('Fiscal by Program'!$B$7&lt;10.61,0,'Fiscal by Program'!$B$7&gt;10.6,(ROUND('Fiscal by Program'!$B$7*(1+IF(D12="Yes",'Fiscal by Program'!$B$9,'Fiscal by Program'!$B$8))*T12,2)))</f>
        <v>0</v>
      </c>
      <c r="W12" s="81">
        <f t="shared" si="2"/>
        <v>0</v>
      </c>
      <c r="X12" s="81">
        <f>ROUND((R12/(1+IF(D12="Yes",'Fiscal by Program'!$B$9,'Fiscal by Program'!$B$8))),2)+0.01</f>
        <v>254.44</v>
      </c>
      <c r="Y12" s="81">
        <f t="shared" si="3"/>
        <v>287.12</v>
      </c>
      <c r="Z12" s="88">
        <v>96</v>
      </c>
      <c r="AA12" s="90">
        <f t="shared" si="4"/>
        <v>0.25</v>
      </c>
      <c r="AB12" s="75">
        <f>INDEX('[9]Service List'!$K:$K,MATCH(A12,'[9]Service List'!$F:$F,0))</f>
        <v>38</v>
      </c>
      <c r="AC12" s="73">
        <f>INDEX('[5]Combined Bill Code List'!$P:$P,MATCH(A12,'[5]Combined Bill Code List'!$F:$F,0))</f>
        <v>0</v>
      </c>
      <c r="AD12" s="67" t="s">
        <v>161</v>
      </c>
      <c r="AE12" s="79">
        <v>1</v>
      </c>
      <c r="AF12" s="66">
        <v>0</v>
      </c>
      <c r="AG12" s="70">
        <f>ROUND(INDEX('All Trends'!D:D,MATCH($AD12,'All Trends'!$C:$C,0)),4)</f>
        <v>0.9708</v>
      </c>
      <c r="AH12" s="70">
        <f>ROUND(INDEX('All Trends'!E:E,MATCH($AD12,'All Trends'!$C:$C,0)),4)</f>
        <v>1.0029999999999999</v>
      </c>
      <c r="AI12" s="70">
        <f>ROUND(INDEX('All Trends'!F:F,MATCH($AD12,'All Trends'!$C:$C,0)),4)</f>
        <v>1.0230999999999999</v>
      </c>
      <c r="AJ12" s="70">
        <f>ROUND(INDEX('All Trends'!G:G,MATCH($AD12,'All Trends'!$C:$C,0)),4)</f>
        <v>1.0230999999999999</v>
      </c>
      <c r="AK12" s="70">
        <f>ROUND(INDEX('All Trends'!H:H,MATCH($AD12,'All Trends'!$C:$C,0)),4)</f>
        <v>1.0230999999999999</v>
      </c>
      <c r="AL12" s="74" t="s">
        <v>148</v>
      </c>
      <c r="AM12" s="92">
        <f t="shared" si="5"/>
        <v>457886.18</v>
      </c>
      <c r="AN12" s="92">
        <f t="shared" si="6"/>
        <v>457886.18</v>
      </c>
      <c r="AO12" s="69">
        <f t="shared" si="7"/>
        <v>0</v>
      </c>
      <c r="AP12" s="69">
        <f t="shared" si="8"/>
        <v>0</v>
      </c>
      <c r="AQ12" s="69">
        <f t="shared" si="9"/>
        <v>0</v>
      </c>
      <c r="AR12" s="69">
        <f t="shared" si="10"/>
        <v>0</v>
      </c>
      <c r="AS12" s="409"/>
      <c r="AT12" s="409"/>
      <c r="AU12" s="409"/>
      <c r="AV12" s="65"/>
      <c r="AW12" s="65"/>
      <c r="AX12" s="65"/>
      <c r="AY12" s="65"/>
      <c r="AZ12" s="65"/>
      <c r="BD12" s="65"/>
    </row>
    <row r="13" spans="1:56" s="66" customFormat="1">
      <c r="A13" s="67" t="s">
        <v>173</v>
      </c>
      <c r="B13" s="67" t="s">
        <v>173</v>
      </c>
      <c r="C13" s="78" t="s">
        <v>147</v>
      </c>
      <c r="D13" s="78" t="s">
        <v>148</v>
      </c>
      <c r="E13" s="67" t="s">
        <v>161</v>
      </c>
      <c r="F13" s="67" t="s">
        <v>174</v>
      </c>
      <c r="G13" s="67" t="str">
        <f>INDEX('[4]RT Description to Bill Matix'!$D:$D,MATCH(A13,'[4]RT Description to Bill Matix'!$M:$M,0))</f>
        <v>Employment Assistance and Supported Employment</v>
      </c>
      <c r="H13" s="65" t="s">
        <v>175</v>
      </c>
      <c r="I13" s="65"/>
      <c r="J13" s="65" t="str" cm="1">
        <f t="array" ref="J13">INDEX('Rate Table Service Desc XWalk'!F:F,MATCH(1,(G13='Rate Table Service Desc XWalk'!B:B)*(E13='Rate Table Service Desc XWalk'!A:A),0))</f>
        <v>1-1-23</v>
      </c>
      <c r="K13" s="66" t="str">
        <f>INDEX('[5]Combined Bill Code List'!$A:$A,MATCH(A13,'[5]Combined Bill Code List'!$F:$F,0))</f>
        <v>1915(c) waiver</v>
      </c>
      <c r="L13" s="66" t="str">
        <f>INDEX('[6]Rate History'!$P:$P,MATCH(A13,'[6]Rate History'!$F:$F,0))</f>
        <v>1 hour</v>
      </c>
      <c r="M13" s="77">
        <f>INDEX('[7]PDF DB Service Pivot'!$C:$C,MATCH(B13,'[7]PDF DB Service Pivot'!$B:$B,0))</f>
        <v>696</v>
      </c>
      <c r="N13" s="77">
        <f t="shared" si="11"/>
        <v>696</v>
      </c>
      <c r="O13" s="76">
        <f>INDEX('[7]PDF DB Service Pivot'!$D:$D,MATCH(B13,'[7]PDF DB Service Pivot'!$B:$B,0))</f>
        <v>19362.72</v>
      </c>
      <c r="P13" s="91">
        <v>41518</v>
      </c>
      <c r="Q13" s="81">
        <v>26.07</v>
      </c>
      <c r="R13" s="81">
        <v>19.07</v>
      </c>
      <c r="S13" s="354">
        <f t="shared" si="0"/>
        <v>0.73149213655542766</v>
      </c>
      <c r="T13" s="339">
        <f>INDEX('[8]Billable Services'!$P:$P,MATCH(B13,'[8]Billable Services'!$S:$S,0))</f>
        <v>1</v>
      </c>
      <c r="U13" s="81">
        <f t="shared" si="1"/>
        <v>0</v>
      </c>
      <c r="V13" s="81" cm="1">
        <f t="array" ref="V13">_xlfn.IFS('Fiscal by Program'!$B$7&lt;10.61,0,'Fiscal by Program'!$B$7&gt;10.6,(ROUND('Fiscal by Program'!$B$7*(1+IF(D13="Yes",'Fiscal by Program'!$B$9,'Fiscal by Program'!$B$8))*T13,2)))</f>
        <v>0</v>
      </c>
      <c r="W13" s="81">
        <f t="shared" si="2"/>
        <v>0</v>
      </c>
      <c r="X13" s="81">
        <f>ROUND((R13/(1+IF(D13="Yes",'Fiscal by Program'!$B$9,'Fiscal by Program'!$B$8))),2)+0.01</f>
        <v>17.23</v>
      </c>
      <c r="Y13" s="81">
        <f t="shared" si="3"/>
        <v>26.07</v>
      </c>
      <c r="Z13" s="88">
        <v>4</v>
      </c>
      <c r="AA13" s="90">
        <f t="shared" si="4"/>
        <v>0.25</v>
      </c>
      <c r="AB13" s="75">
        <f>INDEX('[9]Service List'!$K:$K,MATCH(A13,'[9]Service List'!$F:$F,0))</f>
        <v>24</v>
      </c>
      <c r="AC13" s="73">
        <f>INDEX('[5]Combined Bill Code List'!$P:$P,MATCH(A13,'[5]Combined Bill Code List'!$F:$F,0))</f>
        <v>0</v>
      </c>
      <c r="AD13" s="67" t="s">
        <v>161</v>
      </c>
      <c r="AE13" s="79">
        <v>1</v>
      </c>
      <c r="AF13" s="66">
        <v>0</v>
      </c>
      <c r="AG13" s="70">
        <f>ROUND(INDEX('All Trends'!D:D,MATCH($AD13,'All Trends'!$C:$C,0)),4)</f>
        <v>0.9708</v>
      </c>
      <c r="AH13" s="70">
        <f>ROUND(INDEX('All Trends'!E:E,MATCH($AD13,'All Trends'!$C:$C,0)),4)</f>
        <v>1.0029999999999999</v>
      </c>
      <c r="AI13" s="70">
        <f>ROUND(INDEX('All Trends'!F:F,MATCH($AD13,'All Trends'!$C:$C,0)),4)</f>
        <v>1.0230999999999999</v>
      </c>
      <c r="AJ13" s="70">
        <f>ROUND(INDEX('All Trends'!G:G,MATCH($AD13,'All Trends'!$C:$C,0)),4)</f>
        <v>1.0230999999999999</v>
      </c>
      <c r="AK13" s="70">
        <f>ROUND(INDEX('All Trends'!H:H,MATCH($AD13,'All Trends'!$C:$C,0)),4)</f>
        <v>1.0230999999999999</v>
      </c>
      <c r="AL13" s="74" t="s">
        <v>148</v>
      </c>
      <c r="AM13" s="92">
        <f t="shared" si="5"/>
        <v>712.08</v>
      </c>
      <c r="AN13" s="92">
        <f t="shared" si="6"/>
        <v>712.08</v>
      </c>
      <c r="AO13" s="69">
        <f t="shared" si="7"/>
        <v>0</v>
      </c>
      <c r="AP13" s="69">
        <f t="shared" si="8"/>
        <v>0</v>
      </c>
      <c r="AQ13" s="69">
        <f t="shared" si="9"/>
        <v>0</v>
      </c>
      <c r="AR13" s="69">
        <f t="shared" si="10"/>
        <v>0</v>
      </c>
      <c r="AS13" s="409"/>
      <c r="AT13" s="409"/>
      <c r="AU13" s="409"/>
      <c r="AV13" s="65"/>
      <c r="AW13" s="65"/>
      <c r="AX13" s="65"/>
      <c r="AY13" s="65"/>
      <c r="AZ13" s="65"/>
      <c r="BD13" s="65"/>
    </row>
    <row r="14" spans="1:56" s="66" customFormat="1">
      <c r="A14" s="78" t="s">
        <v>176</v>
      </c>
      <c r="B14" s="78" t="s">
        <v>176</v>
      </c>
      <c r="C14" s="78" t="s">
        <v>147</v>
      </c>
      <c r="D14" s="78" t="s">
        <v>148</v>
      </c>
      <c r="E14" s="67" t="s">
        <v>161</v>
      </c>
      <c r="F14" s="67" t="s">
        <v>174</v>
      </c>
      <c r="G14" s="67" t="str">
        <f>INDEX('[4]RT Description to Bill Matix'!$D:$D,MATCH(A14,'[4]RT Description to Bill Matix'!$M:$M,0))</f>
        <v>CDS Employment Assistance and Supported Employment</v>
      </c>
      <c r="H14" s="65" t="s">
        <v>177</v>
      </c>
      <c r="I14" s="65" t="s">
        <v>147</v>
      </c>
      <c r="J14" s="65" t="str" cm="1">
        <f t="array" ref="J14">INDEX('Rate Table Service Desc XWalk'!F:F,MATCH(1,(G14='Rate Table Service Desc XWalk'!B:B)*(E14='Rate Table Service Desc XWalk'!A:A),0))</f>
        <v>1-5-121</v>
      </c>
      <c r="K14" s="66" t="str">
        <f>INDEX('[5]Combined Bill Code List'!$A:$A,MATCH(A14,'[5]Combined Bill Code List'!$F:$F,0))</f>
        <v>1915(c) waiver</v>
      </c>
      <c r="L14" s="66" t="str">
        <f>INDEX('[6]Rate History'!$P:$P,MATCH(A14,'[6]Rate History'!$F:$F,0))</f>
        <v>1 hour</v>
      </c>
      <c r="M14" s="77">
        <f>INDEX('[7]PDF DB Service Pivot'!$C:$C,MATCH(B14,'[7]PDF DB Service Pivot'!$B:$B,0))</f>
        <v>260896.24</v>
      </c>
      <c r="N14" s="77">
        <f t="shared" si="11"/>
        <v>10324.346656113968</v>
      </c>
      <c r="O14" s="76">
        <f>INDEX('[7]PDF DB Service Pivot'!$D:$D,MATCH(B14,'[7]PDF DB Service Pivot'!$B:$B,0))</f>
        <v>260896.24</v>
      </c>
      <c r="P14" s="91">
        <v>41518</v>
      </c>
      <c r="Q14" s="81">
        <v>25.27</v>
      </c>
      <c r="R14" s="81">
        <v>18.484806290755657</v>
      </c>
      <c r="S14" s="354">
        <f t="shared" si="0"/>
        <v>0.73149213655542766</v>
      </c>
      <c r="T14" s="339">
        <v>1</v>
      </c>
      <c r="U14" s="81">
        <f t="shared" si="1"/>
        <v>0</v>
      </c>
      <c r="V14" s="81" cm="1">
        <f t="array" ref="V14">_xlfn.IFS('Fiscal by Program'!$B$7&lt;10.61,0,'Fiscal by Program'!$B$7&gt;10.6,(ROUND('Fiscal by Program'!$B$7*(1+IF(D14="Yes",'Fiscal by Program'!$B$9,'Fiscal by Program'!$B$8))*T14,2)))</f>
        <v>0</v>
      </c>
      <c r="W14" s="81">
        <f t="shared" si="2"/>
        <v>0</v>
      </c>
      <c r="X14" s="81">
        <f>ROUND((R14/(1+IF(D14="Yes",'Fiscal by Program'!$B$9,'Fiscal by Program'!$B$8))),2)+0.01</f>
        <v>16.700000000000003</v>
      </c>
      <c r="Y14" s="81">
        <f t="shared" si="3"/>
        <v>25.27</v>
      </c>
      <c r="Z14" s="88">
        <v>4</v>
      </c>
      <c r="AA14" s="90">
        <f t="shared" si="4"/>
        <v>0.25</v>
      </c>
      <c r="AB14" s="75">
        <f>INDEX('[9]Service List'!$K:$K,MATCH(A14,'[9]Service List'!$F:$F,0))</f>
        <v>23</v>
      </c>
      <c r="AC14" s="73">
        <f>INDEX('[5]Combined Bill Code List'!$P:$P,MATCH(A14,'[5]Combined Bill Code List'!$F:$F,0))</f>
        <v>0</v>
      </c>
      <c r="AD14" s="67" t="s">
        <v>161</v>
      </c>
      <c r="AE14" s="79">
        <v>1</v>
      </c>
      <c r="AF14" s="66">
        <v>0</v>
      </c>
      <c r="AG14" s="70">
        <f>ROUND(INDEX('All Trends'!D:D,MATCH($AD14,'All Trends'!$C:$C,0)),4)</f>
        <v>0.9708</v>
      </c>
      <c r="AH14" s="70">
        <f>ROUND(INDEX('All Trends'!E:E,MATCH($AD14,'All Trends'!$C:$C,0)),4)</f>
        <v>1.0029999999999999</v>
      </c>
      <c r="AI14" s="70">
        <f>ROUND(INDEX('All Trends'!F:F,MATCH($AD14,'All Trends'!$C:$C,0)),4)</f>
        <v>1.0230999999999999</v>
      </c>
      <c r="AJ14" s="70">
        <f>ROUND(INDEX('All Trends'!G:G,MATCH($AD14,'All Trends'!$C:$C,0)),4)</f>
        <v>1.0230999999999999</v>
      </c>
      <c r="AK14" s="70">
        <f>ROUND(INDEX('All Trends'!H:H,MATCH($AD14,'All Trends'!$C:$C,0)),4)</f>
        <v>1.0230999999999999</v>
      </c>
      <c r="AL14" s="74" t="s">
        <v>148</v>
      </c>
      <c r="AM14" s="92">
        <f t="shared" si="5"/>
        <v>10562.84</v>
      </c>
      <c r="AN14" s="92">
        <f t="shared" si="6"/>
        <v>10562.84</v>
      </c>
      <c r="AO14" s="69">
        <f t="shared" si="7"/>
        <v>0</v>
      </c>
      <c r="AP14" s="69">
        <f t="shared" si="8"/>
        <v>0</v>
      </c>
      <c r="AQ14" s="69">
        <f t="shared" si="9"/>
        <v>0</v>
      </c>
      <c r="AR14" s="69">
        <f t="shared" si="10"/>
        <v>0</v>
      </c>
      <c r="AS14" s="409"/>
      <c r="AT14" s="409"/>
      <c r="AU14" s="409"/>
      <c r="AV14" s="65"/>
      <c r="AW14" s="65"/>
      <c r="AX14" s="65"/>
      <c r="AY14" s="65"/>
      <c r="AZ14" s="65"/>
      <c r="BD14" s="65"/>
    </row>
    <row r="15" spans="1:56" s="66" customFormat="1">
      <c r="A15" s="67" t="s">
        <v>178</v>
      </c>
      <c r="B15" s="67" t="s">
        <v>178</v>
      </c>
      <c r="C15" s="78" t="s">
        <v>147</v>
      </c>
      <c r="D15" s="78" t="s">
        <v>148</v>
      </c>
      <c r="E15" s="67" t="s">
        <v>161</v>
      </c>
      <c r="F15" s="67" t="s">
        <v>162</v>
      </c>
      <c r="G15" s="67" t="str">
        <f>INDEX('[4]RT Description to Bill Matix'!$D:$D,MATCH(A15,'[4]RT Description to Bill Matix'!$M:$M,0))</f>
        <v>Habilitation</v>
      </c>
      <c r="H15" s="65" t="s">
        <v>179</v>
      </c>
      <c r="I15" s="65"/>
      <c r="J15" s="65" t="str" cm="1">
        <f t="array" ref="J15">INDEX('Rate Table Service Desc XWalk'!F:F,MATCH(1,(G15='Rate Table Service Desc XWalk'!B:B)*(E15='Rate Table Service Desc XWalk'!A:A),0))</f>
        <v>1-1-26</v>
      </c>
      <c r="K15" s="66" t="str">
        <f>INDEX('[5]Combined Bill Code List'!$A:$A,MATCH(A15,'[5]Combined Bill Code List'!$F:$F,0))</f>
        <v>1915(c) waiver</v>
      </c>
      <c r="L15" s="66" t="str">
        <f>INDEX('[6]Rate History'!$P:$P,MATCH(A15,'[6]Rate History'!$F:$F,0))</f>
        <v>1 hour</v>
      </c>
      <c r="M15" s="77">
        <f>INDEX('[7]PDF DB Service Pivot'!$C:$C,MATCH(B15,'[7]PDF DB Service Pivot'!$B:$B,0))</f>
        <v>3931.65</v>
      </c>
      <c r="N15" s="77">
        <f t="shared" si="11"/>
        <v>3931.65</v>
      </c>
      <c r="O15" s="76">
        <f>INDEX('[7]PDF DB Service Pivot'!$D:$D,MATCH(B15,'[7]PDF DB Service Pivot'!$B:$B,0))</f>
        <v>60328.66</v>
      </c>
      <c r="P15" s="91">
        <v>45170</v>
      </c>
      <c r="Q15" s="81">
        <v>14.96</v>
      </c>
      <c r="R15" s="81">
        <v>11.75</v>
      </c>
      <c r="S15" s="354">
        <f t="shared" si="0"/>
        <v>0.78542780748663099</v>
      </c>
      <c r="T15" s="339">
        <f>INDEX('[8]Billable Services'!$P:$P,MATCH(B15,'[8]Billable Services'!$S:$S,0))</f>
        <v>1</v>
      </c>
      <c r="U15" s="81">
        <f t="shared" si="1"/>
        <v>0</v>
      </c>
      <c r="V15" s="81" cm="1">
        <f t="array" ref="V15">_xlfn.IFS('Fiscal by Program'!$B$7&lt;10.61,0,'Fiscal by Program'!$B$7&gt;10.6,(ROUND('Fiscal by Program'!$B$7*(1+IF(D15="Yes",'Fiscal by Program'!$B$9,'Fiscal by Program'!$B$8))*T15,2)))</f>
        <v>0</v>
      </c>
      <c r="W15" s="81">
        <f t="shared" si="2"/>
        <v>0</v>
      </c>
      <c r="X15" s="81">
        <f>ROUND((R15/(1+IF(D15="Yes",'Fiscal by Program'!$B$9,'Fiscal by Program'!$B$8))),2)+0.01</f>
        <v>10.62</v>
      </c>
      <c r="Y15" s="81">
        <f t="shared" si="3"/>
        <v>14.96</v>
      </c>
      <c r="Z15" s="88">
        <v>4</v>
      </c>
      <c r="AA15" s="90">
        <f t="shared" si="4"/>
        <v>0.25</v>
      </c>
      <c r="AB15" s="75">
        <f>INDEX('[9]Service List'!$K:$K,MATCH(A15,'[9]Service List'!$F:$F,0))</f>
        <v>35</v>
      </c>
      <c r="AC15" s="73">
        <f>INDEX('[5]Combined Bill Code List'!$P:$P,MATCH(A15,'[5]Combined Bill Code List'!$F:$F,0))</f>
        <v>0</v>
      </c>
      <c r="AD15" s="67" t="s">
        <v>161</v>
      </c>
      <c r="AE15" s="79">
        <v>1</v>
      </c>
      <c r="AF15" s="66">
        <v>0</v>
      </c>
      <c r="AG15" s="70">
        <f>ROUND(INDEX('All Trends'!D:D,MATCH($AD15,'All Trends'!$C:$C,0)),4)</f>
        <v>0.9708</v>
      </c>
      <c r="AH15" s="70">
        <f>ROUND(INDEX('All Trends'!E:E,MATCH($AD15,'All Trends'!$C:$C,0)),4)</f>
        <v>1.0029999999999999</v>
      </c>
      <c r="AI15" s="70">
        <f>ROUND(INDEX('All Trends'!F:F,MATCH($AD15,'All Trends'!$C:$C,0)),4)</f>
        <v>1.0230999999999999</v>
      </c>
      <c r="AJ15" s="70">
        <f>ROUND(INDEX('All Trends'!G:G,MATCH($AD15,'All Trends'!$C:$C,0)),4)</f>
        <v>1.0230999999999999</v>
      </c>
      <c r="AK15" s="70">
        <f>ROUND(INDEX('All Trends'!H:H,MATCH($AD15,'All Trends'!$C:$C,0)),4)</f>
        <v>1.0230999999999999</v>
      </c>
      <c r="AL15" s="74" t="s">
        <v>148</v>
      </c>
      <c r="AM15" s="92">
        <f t="shared" si="5"/>
        <v>4022.47</v>
      </c>
      <c r="AN15" s="92">
        <f t="shared" si="6"/>
        <v>4022.47</v>
      </c>
      <c r="AO15" s="69">
        <f t="shared" si="7"/>
        <v>0</v>
      </c>
      <c r="AP15" s="69">
        <f t="shared" si="8"/>
        <v>0</v>
      </c>
      <c r="AQ15" s="69">
        <f t="shared" si="9"/>
        <v>0</v>
      </c>
      <c r="AR15" s="69">
        <f t="shared" si="10"/>
        <v>0</v>
      </c>
      <c r="AS15" s="409"/>
      <c r="AT15" s="409"/>
      <c r="AU15" s="409"/>
      <c r="AV15" s="65"/>
      <c r="AW15" s="65"/>
      <c r="AX15" s="65"/>
      <c r="AY15" s="65"/>
      <c r="AZ15" s="65"/>
      <c r="BD15" s="65"/>
    </row>
    <row r="16" spans="1:56" s="66" customFormat="1">
      <c r="A16" s="67" t="s">
        <v>180</v>
      </c>
      <c r="B16" s="67" t="s">
        <v>180</v>
      </c>
      <c r="C16" s="78" t="s">
        <v>147</v>
      </c>
      <c r="D16" s="78" t="s">
        <v>148</v>
      </c>
      <c r="E16" s="67" t="s">
        <v>161</v>
      </c>
      <c r="F16" s="67" t="s">
        <v>162</v>
      </c>
      <c r="G16" s="67" t="str">
        <f>INDEX('[4]RT Description to Bill Matix'!$D:$D,MATCH(A16,'[4]RT Description to Bill Matix'!$M:$M,0))</f>
        <v>CDS Habilitation</v>
      </c>
      <c r="H16" s="65" t="s">
        <v>181</v>
      </c>
      <c r="I16" s="65" t="s">
        <v>147</v>
      </c>
      <c r="J16" s="65" t="str" cm="1">
        <f t="array" ref="J16">INDEX('Rate Table Service Desc XWalk'!F:F,MATCH(1,(G16='Rate Table Service Desc XWalk'!B:B)*(E16='Rate Table Service Desc XWalk'!A:A),0))</f>
        <v>1-5-122</v>
      </c>
      <c r="K16" s="66" t="str">
        <f>INDEX('[5]Combined Bill Code List'!$A:$A,MATCH(A16,'[5]Combined Bill Code List'!$F:$F,0))</f>
        <v>1915(c) waiver</v>
      </c>
      <c r="L16" s="66" t="str">
        <f>INDEX('[6]Rate History'!$P:$P,MATCH(A16,'[6]Rate History'!$F:$F,0))</f>
        <v>1 hour</v>
      </c>
      <c r="M16" s="77">
        <f>INDEX('[7]PDF DB Service Pivot'!$C:$C,MATCH(B16,'[7]PDF DB Service Pivot'!$B:$B,0))</f>
        <v>171886.79</v>
      </c>
      <c r="N16" s="77">
        <f t="shared" si="11"/>
        <v>12138.897598870057</v>
      </c>
      <c r="O16" s="76">
        <f>INDEX('[7]PDF DB Service Pivot'!$D:$D,MATCH(B16,'[7]PDF DB Service Pivot'!$B:$B,0))</f>
        <v>171886.79</v>
      </c>
      <c r="P16" s="91">
        <v>45170</v>
      </c>
      <c r="Q16" s="81">
        <v>14.16</v>
      </c>
      <c r="R16" s="81">
        <v>11.75</v>
      </c>
      <c r="S16" s="354">
        <f t="shared" si="0"/>
        <v>0.82980225988700562</v>
      </c>
      <c r="T16" s="339">
        <v>1</v>
      </c>
      <c r="U16" s="81">
        <f t="shared" si="1"/>
        <v>0</v>
      </c>
      <c r="V16" s="81" cm="1">
        <f t="array" ref="V16">_xlfn.IFS('Fiscal by Program'!$B$7&lt;10.61,0,'Fiscal by Program'!$B$7&gt;10.6,(ROUND('Fiscal by Program'!$B$7*(1+IF(D16="Yes",'Fiscal by Program'!$B$9,'Fiscal by Program'!$B$8))*T16,2)))</f>
        <v>0</v>
      </c>
      <c r="W16" s="81">
        <f t="shared" si="2"/>
        <v>0</v>
      </c>
      <c r="X16" s="81">
        <f>ROUND((R16/(1+IF(D16="Yes",'Fiscal by Program'!$B$9,'Fiscal by Program'!$B$8))),2)+0.01</f>
        <v>10.62</v>
      </c>
      <c r="Y16" s="81">
        <f t="shared" si="3"/>
        <v>14.16</v>
      </c>
      <c r="Z16" s="88">
        <v>4</v>
      </c>
      <c r="AA16" s="90">
        <f t="shared" si="4"/>
        <v>0.25</v>
      </c>
      <c r="AB16" s="75">
        <f>INDEX('[9]Service List'!$K:$K,MATCH(A16,'[9]Service List'!$F:$F,0))</f>
        <v>33</v>
      </c>
      <c r="AC16" s="73">
        <f>INDEX('[5]Combined Bill Code List'!$P:$P,MATCH(A16,'[5]Combined Bill Code List'!$F:$F,0))</f>
        <v>0</v>
      </c>
      <c r="AD16" s="67" t="s">
        <v>161</v>
      </c>
      <c r="AE16" s="79">
        <v>1</v>
      </c>
      <c r="AF16" s="66">
        <v>0</v>
      </c>
      <c r="AG16" s="70">
        <f>ROUND(INDEX('All Trends'!D:D,MATCH($AD16,'All Trends'!$C:$C,0)),4)</f>
        <v>0.9708</v>
      </c>
      <c r="AH16" s="70">
        <f>ROUND(INDEX('All Trends'!E:E,MATCH($AD16,'All Trends'!$C:$C,0)),4)</f>
        <v>1.0029999999999999</v>
      </c>
      <c r="AI16" s="70">
        <f>ROUND(INDEX('All Trends'!F:F,MATCH($AD16,'All Trends'!$C:$C,0)),4)</f>
        <v>1.0230999999999999</v>
      </c>
      <c r="AJ16" s="70">
        <f>ROUND(INDEX('All Trends'!G:G,MATCH($AD16,'All Trends'!$C:$C,0)),4)</f>
        <v>1.0230999999999999</v>
      </c>
      <c r="AK16" s="70">
        <f>ROUND(INDEX('All Trends'!H:H,MATCH($AD16,'All Trends'!$C:$C,0)),4)</f>
        <v>1.0230999999999999</v>
      </c>
      <c r="AL16" s="74" t="s">
        <v>148</v>
      </c>
      <c r="AM16" s="92">
        <f t="shared" si="5"/>
        <v>12419.31</v>
      </c>
      <c r="AN16" s="92">
        <f t="shared" si="6"/>
        <v>12419.31</v>
      </c>
      <c r="AO16" s="69">
        <f t="shared" si="7"/>
        <v>0</v>
      </c>
      <c r="AP16" s="69">
        <f t="shared" si="8"/>
        <v>0</v>
      </c>
      <c r="AQ16" s="69">
        <f t="shared" si="9"/>
        <v>0</v>
      </c>
      <c r="AR16" s="69">
        <f t="shared" si="10"/>
        <v>0</v>
      </c>
      <c r="AS16" s="409"/>
      <c r="AT16" s="409"/>
      <c r="AU16" s="409"/>
      <c r="AV16" s="65"/>
      <c r="AW16" s="65"/>
      <c r="AX16" s="65"/>
      <c r="AY16" s="65"/>
      <c r="AZ16" s="65"/>
      <c r="BD16" s="65"/>
    </row>
    <row r="17" spans="1:56" s="66" customFormat="1">
      <c r="A17" s="78" t="s">
        <v>182</v>
      </c>
      <c r="B17" s="78" t="s">
        <v>182</v>
      </c>
      <c r="C17" s="78" t="s">
        <v>147</v>
      </c>
      <c r="D17" s="78" t="s">
        <v>147</v>
      </c>
      <c r="E17" s="67" t="s">
        <v>183</v>
      </c>
      <c r="F17" s="67" t="s">
        <v>183</v>
      </c>
      <c r="G17" s="67" t="str">
        <f>INDEX('[4]RT Description to Bill Matix'!$D:$D,MATCH(A17,'[4]RT Description to Bill Matix'!$M:$M,0))</f>
        <v>Day Activity and Health Services (DAHS) Title XIX and Title XX</v>
      </c>
      <c r="H17" s="65" t="s">
        <v>184</v>
      </c>
      <c r="I17" s="65"/>
      <c r="J17" s="65" t="str" cm="1">
        <f t="array" ref="J17">INDEX('Rate Table Service Desc XWalk'!F:F,MATCH(1,(G17='Rate Table Service Desc XWalk'!B:B)*(E17='Rate Table Service Desc XWalk'!A:A),0))</f>
        <v>10-1-18</v>
      </c>
      <c r="K17" s="66" t="str">
        <f>INDEX('[5]Combined Bill Code List'!$A:$A,MATCH(A17,'[5]Combined Bill Code List'!$F:$F,0))</f>
        <v>Title XX</v>
      </c>
      <c r="L17" s="66" t="str">
        <f>INDEX('[6]Rate History'!$P:$P,MATCH(A17,'[6]Rate History'!$F:$F,0))</f>
        <v>3-5 hours = 1 unit; 6+ hours = 2 units</v>
      </c>
      <c r="M17" s="77">
        <f>INDEX('[7]PDF DB Service Pivot'!$C:$C,MATCH(B17,'[7]PDF DB Service Pivot'!$B:$B,0))</f>
        <v>776159.03</v>
      </c>
      <c r="N17" s="77">
        <f t="shared" si="11"/>
        <v>776159.03</v>
      </c>
      <c r="O17" s="76">
        <f>INDEX('[7]PDF DB Service Pivot'!$D:$D,MATCH(B17,'[7]PDF DB Service Pivot'!$B:$B,0))</f>
        <v>12282455.08</v>
      </c>
      <c r="P17" s="91">
        <v>45170</v>
      </c>
      <c r="Q17" s="81">
        <v>16.72</v>
      </c>
      <c r="R17" s="81">
        <v>5.87</v>
      </c>
      <c r="S17" s="354">
        <f t="shared" si="0"/>
        <v>0.35107655502392349</v>
      </c>
      <c r="T17" s="339">
        <v>0.5</v>
      </c>
      <c r="U17" s="81">
        <f t="shared" si="1"/>
        <v>0</v>
      </c>
      <c r="V17" s="81" cm="1">
        <f t="array" ref="V17">_xlfn.IFS('Fiscal by Program'!$B$7&lt;10.61,0,'Fiscal by Program'!$B$7&gt;10.6,(ROUND('Fiscal by Program'!$B$7*(1+IF(D17="Yes",'Fiscal by Program'!$B$9,'Fiscal by Program'!$B$8))*T17,2)))</f>
        <v>0</v>
      </c>
      <c r="W17" s="81">
        <f t="shared" si="2"/>
        <v>0</v>
      </c>
      <c r="X17" s="81">
        <f>ROUND((R17/(1+IF(D17="Yes",'Fiscal by Program'!$B$9,'Fiscal by Program'!$B$8))),2)+0.01</f>
        <v>5.31</v>
      </c>
      <c r="Y17" s="81">
        <f t="shared" si="3"/>
        <v>16.72</v>
      </c>
      <c r="Z17" s="88">
        <v>16</v>
      </c>
      <c r="AA17" s="90">
        <f t="shared" si="4"/>
        <v>3.125E-2</v>
      </c>
      <c r="AB17" s="75">
        <f>INDEX('[9]Service List'!$K:$K,MATCH(A17,'[9]Service List'!$F:$F,0))</f>
        <v>82</v>
      </c>
      <c r="AC17" s="73">
        <f>INDEX('[5]Combined Bill Code List'!$P:$P,MATCH(A17,'[5]Combined Bill Code List'!$F:$F,0))</f>
        <v>0</v>
      </c>
      <c r="AD17" s="80" t="s">
        <v>185</v>
      </c>
      <c r="AE17" s="79">
        <v>1</v>
      </c>
      <c r="AF17" s="66">
        <v>0</v>
      </c>
      <c r="AG17" s="70">
        <f>ROUND(INDEX('All Trends'!D:D,MATCH($AD17,'All Trends'!$C:$C,0)),4)</f>
        <v>1</v>
      </c>
      <c r="AH17" s="70">
        <f>ROUND(INDEX('All Trends'!E:E,MATCH($AD17,'All Trends'!$C:$C,0)),4)</f>
        <v>1</v>
      </c>
      <c r="AI17" s="70">
        <f>ROUND(INDEX('All Trends'!F:F,MATCH($AD17,'All Trends'!$C:$C,0)),4)</f>
        <v>1</v>
      </c>
      <c r="AJ17" s="70">
        <f>ROUND(INDEX('All Trends'!G:G,MATCH($AD17,'All Trends'!$C:$C,0)),4)</f>
        <v>1</v>
      </c>
      <c r="AK17" s="70">
        <f>ROUND(INDEX('All Trends'!H:H,MATCH($AD17,'All Trends'!$C:$C,0)),4)</f>
        <v>1</v>
      </c>
      <c r="AL17" s="66" t="s">
        <v>147</v>
      </c>
      <c r="AM17" s="92">
        <f t="shared" si="5"/>
        <v>388079.52</v>
      </c>
      <c r="AN17" s="92">
        <f t="shared" si="6"/>
        <v>388079.52</v>
      </c>
      <c r="AO17" s="69">
        <f t="shared" si="7"/>
        <v>0</v>
      </c>
      <c r="AP17" s="69">
        <f t="shared" si="8"/>
        <v>0</v>
      </c>
      <c r="AQ17" s="69">
        <f t="shared" si="9"/>
        <v>0</v>
      </c>
      <c r="AR17" s="69">
        <f t="shared" si="10"/>
        <v>0</v>
      </c>
      <c r="AS17" s="409"/>
      <c r="AT17" s="409"/>
      <c r="AU17" s="409"/>
      <c r="AV17" s="65"/>
      <c r="AW17" s="65"/>
      <c r="AX17" s="65"/>
      <c r="AY17" s="65"/>
      <c r="AZ17" s="65"/>
      <c r="BD17" s="65"/>
    </row>
    <row r="18" spans="1:56" s="66" customFormat="1">
      <c r="A18" s="78" t="s">
        <v>186</v>
      </c>
      <c r="B18" s="78" t="s">
        <v>186</v>
      </c>
      <c r="C18" s="78" t="s">
        <v>147</v>
      </c>
      <c r="D18" s="78" t="s">
        <v>147</v>
      </c>
      <c r="E18" s="67" t="s">
        <v>183</v>
      </c>
      <c r="F18" s="67" t="s">
        <v>183</v>
      </c>
      <c r="G18" s="67" t="str">
        <f>INDEX('[4]RT Description to Bill Matix'!$D:$D,MATCH(A18,'[4]RT Description to Bill Matix'!$M:$M,0))</f>
        <v>Day Activity and Health Services (DAHS) Title XIX and Title XX</v>
      </c>
      <c r="H18" s="65" t="s">
        <v>187</v>
      </c>
      <c r="I18" s="65"/>
      <c r="J18" s="65" t="str" cm="1">
        <f t="array" ref="J18">INDEX('Rate Table Service Desc XWalk'!F:F,MATCH(1,(G18='Rate Table Service Desc XWalk'!B:B)*(E18='Rate Table Service Desc XWalk'!A:A),0))</f>
        <v>10-1-18</v>
      </c>
      <c r="K18" s="66" t="str">
        <f>INDEX('[5]Combined Bill Code List'!$A:$A,MATCH(A18,'[5]Combined Bill Code List'!$F:$F,0))</f>
        <v>State Plan (Title XIX)</v>
      </c>
      <c r="L18" s="66" t="str">
        <f>INDEX('[6]Rate History'!$P:$P,MATCH(A18,'[6]Rate History'!$F:$F,0))</f>
        <v>3-5 hours = 1 unit; 6+ hours = 2 units</v>
      </c>
      <c r="M18" s="77">
        <f>INDEX('[7]PDF DB Service Pivot'!$C:$C,MATCH(B18,'[7]PDF DB Service Pivot'!$B:$B,0))</f>
        <v>409682.57</v>
      </c>
      <c r="N18" s="77">
        <f t="shared" si="11"/>
        <v>409682.57</v>
      </c>
      <c r="O18" s="76">
        <f>INDEX('[7]PDF DB Service Pivot'!$D:$D,MATCH(B18,'[7]PDF DB Service Pivot'!$B:$B,0))</f>
        <v>6478119.4699999997</v>
      </c>
      <c r="P18" s="91">
        <v>45170</v>
      </c>
      <c r="Q18" s="81">
        <v>16.72</v>
      </c>
      <c r="R18" s="81">
        <v>5.87</v>
      </c>
      <c r="S18" s="354">
        <f t="shared" si="0"/>
        <v>0.35107655502392349</v>
      </c>
      <c r="T18" s="339">
        <v>0.5</v>
      </c>
      <c r="U18" s="81">
        <f t="shared" si="1"/>
        <v>0</v>
      </c>
      <c r="V18" s="81" cm="1">
        <f t="array" ref="V18">_xlfn.IFS('Fiscal by Program'!$B$7&lt;10.61,0,'Fiscal by Program'!$B$7&gt;10.6,(ROUND('Fiscal by Program'!$B$7*(1+IF(D18="Yes",'Fiscal by Program'!$B$9,'Fiscal by Program'!$B$8))*T18,2)))</f>
        <v>0</v>
      </c>
      <c r="W18" s="81">
        <f t="shared" si="2"/>
        <v>0</v>
      </c>
      <c r="X18" s="81">
        <f>ROUND((R18/(1+IF(D18="Yes",'Fiscal by Program'!$B$9,'Fiscal by Program'!$B$8))),2)+0.01</f>
        <v>5.31</v>
      </c>
      <c r="Y18" s="81">
        <f t="shared" si="3"/>
        <v>16.72</v>
      </c>
      <c r="Z18" s="88">
        <v>16</v>
      </c>
      <c r="AA18" s="90">
        <f t="shared" si="4"/>
        <v>3.125E-2</v>
      </c>
      <c r="AB18" s="75">
        <f>INDEX('[9]Service List'!$K:$K,MATCH(A18,'[9]Service List'!$F:$F,0))</f>
        <v>81</v>
      </c>
      <c r="AC18" s="73">
        <f>INDEX('[5]Combined Bill Code List'!$P:$P,MATCH(A18,'[5]Combined Bill Code List'!$F:$F,0))</f>
        <v>0</v>
      </c>
      <c r="AD18" s="80" t="s">
        <v>183</v>
      </c>
      <c r="AE18" s="79">
        <v>1</v>
      </c>
      <c r="AF18" s="66">
        <v>0</v>
      </c>
      <c r="AG18" s="70">
        <f>ROUND(INDEX('All Trends'!D:D,MATCH($AD18,'All Trends'!$C:$C,0)),4)</f>
        <v>1.0082</v>
      </c>
      <c r="AH18" s="70">
        <f>ROUND(INDEX('All Trends'!E:E,MATCH($AD18,'All Trends'!$C:$C,0)),4)</f>
        <v>1.1385000000000001</v>
      </c>
      <c r="AI18" s="70">
        <f>ROUND(INDEX('All Trends'!F:F,MATCH($AD18,'All Trends'!$C:$C,0)),4)</f>
        <v>1.2662</v>
      </c>
      <c r="AJ18" s="70">
        <f>ROUND(INDEX('All Trends'!G:G,MATCH($AD18,'All Trends'!$C:$C,0)),4)</f>
        <v>1.2662</v>
      </c>
      <c r="AK18" s="70">
        <f>ROUND(INDEX('All Trends'!H:H,MATCH($AD18,'All Trends'!$C:$C,0)),4)</f>
        <v>1.2662</v>
      </c>
      <c r="AL18" s="66" t="s">
        <v>148</v>
      </c>
      <c r="AM18" s="92">
        <f t="shared" si="5"/>
        <v>259370.04</v>
      </c>
      <c r="AN18" s="92">
        <f t="shared" si="6"/>
        <v>259370.04</v>
      </c>
      <c r="AO18" s="69">
        <f t="shared" si="7"/>
        <v>0</v>
      </c>
      <c r="AP18" s="69">
        <f t="shared" si="8"/>
        <v>0</v>
      </c>
      <c r="AQ18" s="69">
        <f t="shared" si="9"/>
        <v>0</v>
      </c>
      <c r="AR18" s="69">
        <f t="shared" si="10"/>
        <v>0</v>
      </c>
      <c r="AS18" s="409"/>
      <c r="AT18" s="409"/>
      <c r="AU18" s="409"/>
      <c r="AV18" s="65"/>
      <c r="AW18" s="65"/>
      <c r="AX18" s="65"/>
      <c r="AY18" s="65"/>
      <c r="AZ18" s="65"/>
      <c r="BD18" s="65"/>
    </row>
    <row r="19" spans="1:56" s="66" customFormat="1">
      <c r="A19" s="78" t="s">
        <v>188</v>
      </c>
      <c r="B19" s="78" t="s">
        <v>188</v>
      </c>
      <c r="C19" s="78" t="s">
        <v>147</v>
      </c>
      <c r="D19" s="78" t="s">
        <v>148</v>
      </c>
      <c r="E19" s="67" t="s">
        <v>189</v>
      </c>
      <c r="F19" s="67" t="s">
        <v>162</v>
      </c>
      <c r="G19" s="67" t="str">
        <f>INDEX('[4]RT Description to Bill Matix'!$D:$D,MATCH(A19,'[4]RT Description to Bill Matix'!$M:$M,0))</f>
        <v>PAS/HAB (CFC) and Transportation</v>
      </c>
      <c r="H19" s="65" t="s">
        <v>165</v>
      </c>
      <c r="I19" s="65"/>
      <c r="J19" s="65" t="str" cm="1">
        <f t="array" ref="J19">INDEX('Rate Table Service Desc XWalk'!F:F,MATCH(1,(G19='Rate Table Service Desc XWalk'!B:B)*(E19='Rate Table Service Desc XWalk'!A:A),0))</f>
        <v>2-1-79</v>
      </c>
      <c r="K19" s="66" t="str">
        <f>INDEX('[5]Combined Bill Code List'!$A:$A,MATCH(A19,'[5]Combined Bill Code List'!$F:$F,0))</f>
        <v>State Plan (Title XIX)</v>
      </c>
      <c r="L19" s="66" t="str">
        <f>INDEX('[6]Rate History'!$P:$P,MATCH(A19,'[6]Rate History'!$F:$F,0))</f>
        <v>1 hour</v>
      </c>
      <c r="M19" s="77">
        <f>INDEX('[7]PDF DB Service Pivot'!$C:$C,MATCH(B19,'[7]PDF DB Service Pivot'!$B:$B,0))</f>
        <v>234124.25</v>
      </c>
      <c r="N19" s="77">
        <f t="shared" si="11"/>
        <v>234124.25</v>
      </c>
      <c r="O19" s="76">
        <f>INDEX('[7]PDF DB Service Pivot'!$D:$D,MATCH(B19,'[7]PDF DB Service Pivot'!$B:$B,0))</f>
        <v>3880163.84</v>
      </c>
      <c r="P19" s="91">
        <v>45170</v>
      </c>
      <c r="Q19" s="81">
        <v>16.48</v>
      </c>
      <c r="R19" s="81">
        <v>13.27</v>
      </c>
      <c r="S19" s="354">
        <f t="shared" si="0"/>
        <v>0.80521844660194175</v>
      </c>
      <c r="T19" s="339">
        <v>1</v>
      </c>
      <c r="U19" s="81">
        <f t="shared" si="1"/>
        <v>0</v>
      </c>
      <c r="V19" s="81" cm="1">
        <f t="array" ref="V19">_xlfn.IFS('Fiscal by Program'!$B$7&lt;10.61,0,'Fiscal by Program'!$B$7&gt;10.6,(ROUND('Fiscal by Program'!$B$7*(1+IF(D19="Yes",'Fiscal by Program'!$B$9,'Fiscal by Program'!$B$8))*T19,2)))</f>
        <v>0</v>
      </c>
      <c r="W19" s="81">
        <f t="shared" si="2"/>
        <v>0</v>
      </c>
      <c r="X19" s="81">
        <f>ROUND((R19/(1+IF(D19="Yes",'Fiscal by Program'!$B$9,'Fiscal by Program'!$B$8))),2)+0.01</f>
        <v>11.99</v>
      </c>
      <c r="Y19" s="81">
        <f t="shared" si="3"/>
        <v>16.48</v>
      </c>
      <c r="Z19" s="88">
        <v>4</v>
      </c>
      <c r="AA19" s="90">
        <f t="shared" si="4"/>
        <v>0.25</v>
      </c>
      <c r="AB19" s="75">
        <f>INDEX('[9]Service List'!$K:$K,MATCH(A19,'[9]Service List'!$F:$F,0))</f>
        <v>127</v>
      </c>
      <c r="AC19" s="73" t="s">
        <v>166</v>
      </c>
      <c r="AD19" s="80" t="s">
        <v>189</v>
      </c>
      <c r="AE19" s="79">
        <v>1</v>
      </c>
      <c r="AF19" s="66">
        <v>-0.06</v>
      </c>
      <c r="AG19" s="70">
        <f>ROUND(INDEX('All Trends'!D:D,MATCH($AD19,'All Trends'!$C:$C,0)),4)</f>
        <v>0.90759999999999996</v>
      </c>
      <c r="AH19" s="70">
        <f>ROUND(INDEX('All Trends'!E:E,MATCH($AD19,'All Trends'!$C:$C,0)),4)</f>
        <v>0.89149999999999996</v>
      </c>
      <c r="AI19" s="70">
        <f>ROUND(INDEX('All Trends'!F:F,MATCH($AD19,'All Trends'!$C:$C,0)),4)</f>
        <v>0.99270000000000003</v>
      </c>
      <c r="AJ19" s="70">
        <f>ROUND(INDEX('All Trends'!G:G,MATCH($AD19,'All Trends'!$C:$C,0)),4)</f>
        <v>0.99270000000000003</v>
      </c>
      <c r="AK19" s="70">
        <f>ROUND(INDEX('All Trends'!H:H,MATCH($AD19,'All Trends'!$C:$C,0)),4)</f>
        <v>0.99270000000000003</v>
      </c>
      <c r="AL19" s="74" t="s">
        <v>148</v>
      </c>
      <c r="AM19" s="92">
        <f t="shared" si="5"/>
        <v>232415.14</v>
      </c>
      <c r="AN19" s="92">
        <f t="shared" si="6"/>
        <v>232415.14</v>
      </c>
      <c r="AO19" s="69">
        <f t="shared" si="7"/>
        <v>0</v>
      </c>
      <c r="AP19" s="69">
        <f t="shared" si="8"/>
        <v>0</v>
      </c>
      <c r="AQ19" s="69">
        <f t="shared" si="9"/>
        <v>0</v>
      </c>
      <c r="AR19" s="69">
        <f t="shared" si="10"/>
        <v>0</v>
      </c>
      <c r="AS19" s="409"/>
      <c r="AT19" s="409"/>
      <c r="AU19" s="409"/>
      <c r="AV19" s="65"/>
      <c r="AW19" s="65"/>
      <c r="AX19" s="65"/>
      <c r="AY19" s="65"/>
      <c r="AZ19" s="65"/>
      <c r="BD19" s="65"/>
    </row>
    <row r="20" spans="1:56" s="66" customFormat="1">
      <c r="A20" s="78" t="s">
        <v>190</v>
      </c>
      <c r="B20" s="78" t="s">
        <v>190</v>
      </c>
      <c r="C20" s="78" t="s">
        <v>147</v>
      </c>
      <c r="D20" s="78" t="s">
        <v>148</v>
      </c>
      <c r="E20" s="67" t="s">
        <v>189</v>
      </c>
      <c r="F20" s="67" t="s">
        <v>162</v>
      </c>
      <c r="G20" s="67" t="str">
        <f>INDEX('[4]RT Description to Bill Matix'!$D:$D,MATCH(A20,'[4]RT Description to Bill Matix'!$M:$M,0))</f>
        <v>CDS PAS/HAB (CFC) and Transportation</v>
      </c>
      <c r="H20" s="65" t="s">
        <v>168</v>
      </c>
      <c r="I20" s="65" t="s">
        <v>147</v>
      </c>
      <c r="J20" s="65" t="str" cm="1">
        <f t="array" ref="J20">INDEX('Rate Table Service Desc XWalk'!F:F,MATCH(1,(G20='Rate Table Service Desc XWalk'!B:B)*(E20='Rate Table Service Desc XWalk'!A:A),0))</f>
        <v>2-5-143</v>
      </c>
      <c r="K20" s="66" t="str">
        <f>INDEX('[5]Combined Bill Code List'!$A:$A,MATCH(A20,'[5]Combined Bill Code List'!$F:$F,0))</f>
        <v>State Plan (Title XIX)</v>
      </c>
      <c r="L20" s="66" t="str">
        <f>INDEX('[6]Rate History'!$P:$P,MATCH(A20,'[6]Rate History'!$F:$F,0))</f>
        <v>1 hour</v>
      </c>
      <c r="M20" s="77">
        <f>INDEX('[7]PDF DB Service Pivot'!$C:$C,MATCH(B20,'[7]PDF DB Service Pivot'!$B:$B,0))</f>
        <v>2532627.4300000002</v>
      </c>
      <c r="N20" s="77">
        <f t="shared" si="11"/>
        <v>153678.84890776701</v>
      </c>
      <c r="O20" s="76">
        <f>INDEX('[7]PDF DB Service Pivot'!$D:$D,MATCH(B20,'[7]PDF DB Service Pivot'!$B:$B,0))</f>
        <v>2532627.4300000002</v>
      </c>
      <c r="P20" s="91">
        <v>45170</v>
      </c>
      <c r="Q20" s="81">
        <v>16.48</v>
      </c>
      <c r="R20" s="81">
        <v>13.27</v>
      </c>
      <c r="S20" s="354">
        <f t="shared" si="0"/>
        <v>0.80521844660194175</v>
      </c>
      <c r="T20" s="339">
        <v>1</v>
      </c>
      <c r="U20" s="81">
        <f t="shared" si="1"/>
        <v>0</v>
      </c>
      <c r="V20" s="81" cm="1">
        <f t="array" ref="V20">_xlfn.IFS('Fiscal by Program'!$B$7&lt;10.61,0,'Fiscal by Program'!$B$7&gt;10.6,(ROUND('Fiscal by Program'!$B$7*(1+IF(D20="Yes",'Fiscal by Program'!$B$9,'Fiscal by Program'!$B$8))*T20,2)))</f>
        <v>0</v>
      </c>
      <c r="W20" s="81">
        <f t="shared" si="2"/>
        <v>0</v>
      </c>
      <c r="X20" s="81">
        <f>ROUND((R20/(1+IF(D20="Yes",'Fiscal by Program'!$B$9,'Fiscal by Program'!$B$8))),2)+0.01</f>
        <v>11.99</v>
      </c>
      <c r="Y20" s="81">
        <f t="shared" si="3"/>
        <v>16.48</v>
      </c>
      <c r="Z20" s="88">
        <v>4</v>
      </c>
      <c r="AA20" s="90">
        <f t="shared" si="4"/>
        <v>0.25</v>
      </c>
      <c r="AB20" s="75">
        <f>INDEX('[9]Service List'!$K:$K,MATCH(A20,'[9]Service List'!$F:$F,0))</f>
        <v>125</v>
      </c>
      <c r="AC20" s="73" t="s">
        <v>166</v>
      </c>
      <c r="AD20" s="80" t="s">
        <v>189</v>
      </c>
      <c r="AE20" s="79">
        <v>1</v>
      </c>
      <c r="AF20" s="66">
        <v>-0.06</v>
      </c>
      <c r="AG20" s="70">
        <f>ROUND(INDEX('All Trends'!D:D,MATCH($AD20,'All Trends'!$C:$C,0)),4)</f>
        <v>0.90759999999999996</v>
      </c>
      <c r="AH20" s="70">
        <f>ROUND(INDEX('All Trends'!E:E,MATCH($AD20,'All Trends'!$C:$C,0)),4)</f>
        <v>0.89149999999999996</v>
      </c>
      <c r="AI20" s="70">
        <f>ROUND(INDEX('All Trends'!F:F,MATCH($AD20,'All Trends'!$C:$C,0)),4)</f>
        <v>0.99270000000000003</v>
      </c>
      <c r="AJ20" s="70">
        <f>ROUND(INDEX('All Trends'!G:G,MATCH($AD20,'All Trends'!$C:$C,0)),4)</f>
        <v>0.99270000000000003</v>
      </c>
      <c r="AK20" s="70">
        <f>ROUND(INDEX('All Trends'!H:H,MATCH($AD20,'All Trends'!$C:$C,0)),4)</f>
        <v>0.99270000000000003</v>
      </c>
      <c r="AL20" s="74" t="s">
        <v>148</v>
      </c>
      <c r="AM20" s="92">
        <f t="shared" si="5"/>
        <v>152556.99</v>
      </c>
      <c r="AN20" s="92">
        <f t="shared" si="6"/>
        <v>152556.99</v>
      </c>
      <c r="AO20" s="69">
        <f t="shared" si="7"/>
        <v>0</v>
      </c>
      <c r="AP20" s="69">
        <f t="shared" si="8"/>
        <v>0</v>
      </c>
      <c r="AQ20" s="69">
        <f t="shared" si="9"/>
        <v>0</v>
      </c>
      <c r="AR20" s="69">
        <f t="shared" si="10"/>
        <v>0</v>
      </c>
      <c r="AS20" s="409"/>
      <c r="AT20" s="409"/>
      <c r="AU20" s="409"/>
      <c r="AV20" s="65"/>
      <c r="AW20" s="65"/>
      <c r="AX20" s="65"/>
      <c r="AY20" s="65"/>
      <c r="AZ20" s="65"/>
      <c r="BD20" s="65"/>
    </row>
    <row r="21" spans="1:56" s="66" customFormat="1">
      <c r="A21" s="78" t="s">
        <v>191</v>
      </c>
      <c r="B21" s="78" t="s">
        <v>191</v>
      </c>
      <c r="C21" s="78" t="s">
        <v>147</v>
      </c>
      <c r="D21" s="78" t="s">
        <v>148</v>
      </c>
      <c r="E21" s="67" t="s">
        <v>189</v>
      </c>
      <c r="F21" s="67" t="s">
        <v>26</v>
      </c>
      <c r="G21" s="67" t="str">
        <f>INDEX('[4]RT Description to Bill Matix'!$D:$D,MATCH(A21,'[4]RT Description to Bill Matix'!$M:$M,0))</f>
        <v>In Home Respite</v>
      </c>
      <c r="H21" s="65" t="s">
        <v>192</v>
      </c>
      <c r="I21" s="65"/>
      <c r="J21" s="358" t="str" cm="1">
        <f t="array" ref="J21">INDEX('Rate Table Service Desc XWalk'!F:F,MATCH(1,(G21='Rate Table Service Desc XWalk'!B:B)*(E21='Rate Table Service Desc XWalk'!A:A),0))</f>
        <v>2-1-55</v>
      </c>
      <c r="K21" s="66" t="str">
        <f>INDEX('[5]Combined Bill Code List'!$A:$A,MATCH(A21,'[5]Combined Bill Code List'!$F:$F,0))</f>
        <v>1915(c) waiver</v>
      </c>
      <c r="L21" s="66" t="str">
        <f>INDEX('[6]Rate History'!$P:$P,MATCH(A21,'[6]Rate History'!$F:$F,0))</f>
        <v>1 day</v>
      </c>
      <c r="M21" s="77">
        <f>INDEX('[7]PDF DB Service Pivot'!$C:$C,MATCH(B21,'[7]PDF DB Service Pivot'!$B:$B,0))</f>
        <v>508.67</v>
      </c>
      <c r="N21" s="77">
        <f t="shared" si="11"/>
        <v>508.67</v>
      </c>
      <c r="O21" s="76">
        <f>INDEX('[7]PDF DB Service Pivot'!$D:$D,MATCH(B21,'[7]PDF DB Service Pivot'!$B:$B,0))</f>
        <v>132840.79</v>
      </c>
      <c r="P21" s="91">
        <v>45170</v>
      </c>
      <c r="Q21" s="81">
        <v>313.76</v>
      </c>
      <c r="R21" s="81">
        <v>281.77</v>
      </c>
      <c r="S21" s="354">
        <f t="shared" si="0"/>
        <v>0.89804309026007134</v>
      </c>
      <c r="T21" s="339">
        <v>24</v>
      </c>
      <c r="U21" s="81">
        <f t="shared" si="1"/>
        <v>0</v>
      </c>
      <c r="V21" s="81" cm="1">
        <f t="array" ref="V21">_xlfn.IFS('Fiscal by Program'!$B$7&lt;10.61,0,'Fiscal by Program'!$B$7&gt;10.6,(ROUND('Fiscal by Program'!$B$7*(1+IF(D21="Yes",'Fiscal by Program'!$B$9,'Fiscal by Program'!$B$8))*T21,2)))</f>
        <v>0</v>
      </c>
      <c r="W21" s="81">
        <f t="shared" si="2"/>
        <v>0</v>
      </c>
      <c r="X21" s="81">
        <f>ROUND((R21/(1+IF(D21="Yes",'Fiscal by Program'!$B$9,'Fiscal by Program'!$B$8))),2)+0.01</f>
        <v>254.42999999999998</v>
      </c>
      <c r="Y21" s="81">
        <f t="shared" si="3"/>
        <v>313.76</v>
      </c>
      <c r="Z21" s="88">
        <v>96</v>
      </c>
      <c r="AA21" s="90">
        <f t="shared" si="4"/>
        <v>0.25</v>
      </c>
      <c r="AB21" s="75">
        <f>INDEX('[9]Service List'!$K:$K,MATCH(A21,'[9]Service List'!$F:$F,0))</f>
        <v>105</v>
      </c>
      <c r="AC21" s="73">
        <f>INDEX('[5]Combined Bill Code List'!$P:$P,MATCH(A21,'[5]Combined Bill Code List'!$F:$F,0))</f>
        <v>0</v>
      </c>
      <c r="AD21" s="80" t="s">
        <v>189</v>
      </c>
      <c r="AE21" s="79">
        <v>1</v>
      </c>
      <c r="AF21" s="66">
        <v>0</v>
      </c>
      <c r="AG21" s="70">
        <f>ROUND(INDEX('All Trends'!D:D,MATCH($AD21,'All Trends'!$C:$C,0)),4)</f>
        <v>0.90759999999999996</v>
      </c>
      <c r="AH21" s="70">
        <f>ROUND(INDEX('All Trends'!E:E,MATCH($AD21,'All Trends'!$C:$C,0)),4)</f>
        <v>0.89149999999999996</v>
      </c>
      <c r="AI21" s="70">
        <f>ROUND(INDEX('All Trends'!F:F,MATCH($AD21,'All Trends'!$C:$C,0)),4)</f>
        <v>0.99270000000000003</v>
      </c>
      <c r="AJ21" s="70">
        <f>ROUND(INDEX('All Trends'!G:G,MATCH($AD21,'All Trends'!$C:$C,0)),4)</f>
        <v>0.99270000000000003</v>
      </c>
      <c r="AK21" s="70">
        <f>ROUND(INDEX('All Trends'!H:H,MATCH($AD21,'All Trends'!$C:$C,0)),4)</f>
        <v>0.99270000000000003</v>
      </c>
      <c r="AL21" s="74" t="s">
        <v>148</v>
      </c>
      <c r="AM21" s="92">
        <f t="shared" si="5"/>
        <v>12118.96</v>
      </c>
      <c r="AN21" s="92">
        <f t="shared" si="6"/>
        <v>12118.96</v>
      </c>
      <c r="AO21" s="69">
        <f t="shared" si="7"/>
        <v>0</v>
      </c>
      <c r="AP21" s="69">
        <f t="shared" si="8"/>
        <v>0</v>
      </c>
      <c r="AQ21" s="69">
        <f t="shared" si="9"/>
        <v>0</v>
      </c>
      <c r="AR21" s="69">
        <f t="shared" si="10"/>
        <v>0</v>
      </c>
      <c r="AS21" s="409"/>
      <c r="AT21" s="409"/>
      <c r="AU21" s="409"/>
      <c r="AV21" s="65"/>
      <c r="AW21" s="65"/>
      <c r="AX21" s="65"/>
      <c r="AY21" s="65"/>
      <c r="AZ21" s="65"/>
      <c r="BD21" s="65"/>
    </row>
    <row r="22" spans="1:56" s="66" customFormat="1">
      <c r="A22" s="78" t="s">
        <v>193</v>
      </c>
      <c r="B22" s="78" t="s">
        <v>193</v>
      </c>
      <c r="C22" s="78" t="s">
        <v>147</v>
      </c>
      <c r="D22" s="78" t="s">
        <v>148</v>
      </c>
      <c r="E22" s="67" t="s">
        <v>189</v>
      </c>
      <c r="F22" s="67" t="s">
        <v>26</v>
      </c>
      <c r="G22" s="67" t="str">
        <f>INDEX('[4]RT Description to Bill Matix'!$D:$D,MATCH(A22,'[4]RT Description to Bill Matix'!$M:$M,0))</f>
        <v>CDS In Home Respite</v>
      </c>
      <c r="H22" s="65" t="s">
        <v>172</v>
      </c>
      <c r="I22" s="65" t="s">
        <v>147</v>
      </c>
      <c r="J22" s="358" t="str" cm="1">
        <f t="array" ref="J22">INDEX('Rate Table Service Desc XWalk'!F:F,MATCH(1,(G22='Rate Table Service Desc XWalk'!B:B)*(E22='Rate Table Service Desc XWalk'!A:A),0))</f>
        <v>2-5-136</v>
      </c>
      <c r="K22" s="66" t="str">
        <f>INDEX('[5]Combined Bill Code List'!$A:$A,MATCH(A22,'[5]Combined Bill Code List'!$F:$F,0))</f>
        <v>1915(c) waiver</v>
      </c>
      <c r="L22" s="66" t="str">
        <f>INDEX('[6]Rate History'!$P:$P,MATCH(A22,'[6]Rate History'!$F:$F,0))</f>
        <v>1 day</v>
      </c>
      <c r="M22" s="77">
        <f>INDEX('[7]PDF DB Service Pivot'!$C:$C,MATCH(B22,'[7]PDF DB Service Pivot'!$B:$B,0))</f>
        <v>224265.8</v>
      </c>
      <c r="N22" s="77">
        <f t="shared" si="11"/>
        <v>773.97087244616228</v>
      </c>
      <c r="O22" s="76">
        <f>INDEX('[7]PDF DB Service Pivot'!$D:$D,MATCH(B22,'[7]PDF DB Service Pivot'!$B:$B,0))</f>
        <v>224265.8</v>
      </c>
      <c r="P22" s="91">
        <v>45170</v>
      </c>
      <c r="Q22" s="81">
        <v>289.76</v>
      </c>
      <c r="R22" s="81">
        <v>281.77</v>
      </c>
      <c r="S22" s="354">
        <f t="shared" si="0"/>
        <v>0.97242545554942017</v>
      </c>
      <c r="T22" s="339">
        <v>24</v>
      </c>
      <c r="U22" s="81">
        <f t="shared" si="1"/>
        <v>0</v>
      </c>
      <c r="V22" s="81" cm="1">
        <f t="array" ref="V22">_xlfn.IFS('Fiscal by Program'!$B$7&lt;10.61,0,'Fiscal by Program'!$B$7&gt;10.6,(ROUND('Fiscal by Program'!$B$7*(1+IF(D22="Yes",'Fiscal by Program'!$B$9,'Fiscal by Program'!$B$8))*T22,2)))</f>
        <v>0</v>
      </c>
      <c r="W22" s="81">
        <f t="shared" si="2"/>
        <v>0</v>
      </c>
      <c r="X22" s="81">
        <f>ROUND((R22/(1+IF(D22="Yes",'Fiscal by Program'!$B$9,'Fiscal by Program'!$B$8))),2)+0.01</f>
        <v>254.42999999999998</v>
      </c>
      <c r="Y22" s="81">
        <f t="shared" si="3"/>
        <v>289.76</v>
      </c>
      <c r="Z22" s="88">
        <v>96</v>
      </c>
      <c r="AA22" s="90">
        <f t="shared" si="4"/>
        <v>0.25</v>
      </c>
      <c r="AB22" s="75">
        <f>INDEX('[9]Service List'!$K:$K,MATCH(A22,'[9]Service List'!$F:$F,0))</f>
        <v>104</v>
      </c>
      <c r="AC22" s="73">
        <f>INDEX('[5]Combined Bill Code List'!$P:$P,MATCH(A22,'[5]Combined Bill Code List'!$F:$F,0))</f>
        <v>0</v>
      </c>
      <c r="AD22" s="80" t="s">
        <v>189</v>
      </c>
      <c r="AE22" s="79">
        <v>1</v>
      </c>
      <c r="AF22" s="66">
        <v>0</v>
      </c>
      <c r="AG22" s="70">
        <f>ROUND(INDEX('All Trends'!D:D,MATCH($AD22,'All Trends'!$C:$C,0)),4)</f>
        <v>0.90759999999999996</v>
      </c>
      <c r="AH22" s="70">
        <f>ROUND(INDEX('All Trends'!E:E,MATCH($AD22,'All Trends'!$C:$C,0)),4)</f>
        <v>0.89149999999999996</v>
      </c>
      <c r="AI22" s="70">
        <f>ROUND(INDEX('All Trends'!F:F,MATCH($AD22,'All Trends'!$C:$C,0)),4)</f>
        <v>0.99270000000000003</v>
      </c>
      <c r="AJ22" s="70">
        <f>ROUND(INDEX('All Trends'!G:G,MATCH($AD22,'All Trends'!$C:$C,0)),4)</f>
        <v>0.99270000000000003</v>
      </c>
      <c r="AK22" s="70">
        <f>ROUND(INDEX('All Trends'!H:H,MATCH($AD22,'All Trends'!$C:$C,0)),4)</f>
        <v>0.99270000000000003</v>
      </c>
      <c r="AL22" s="74" t="s">
        <v>148</v>
      </c>
      <c r="AM22" s="92">
        <f t="shared" si="5"/>
        <v>18439.7</v>
      </c>
      <c r="AN22" s="92">
        <f t="shared" si="6"/>
        <v>18439.7</v>
      </c>
      <c r="AO22" s="69">
        <f t="shared" si="7"/>
        <v>0</v>
      </c>
      <c r="AP22" s="69">
        <f t="shared" si="8"/>
        <v>0</v>
      </c>
      <c r="AQ22" s="69">
        <f t="shared" si="9"/>
        <v>0</v>
      </c>
      <c r="AR22" s="69">
        <f t="shared" si="10"/>
        <v>0</v>
      </c>
      <c r="AS22" s="409"/>
      <c r="AT22" s="409"/>
      <c r="AU22" s="409"/>
      <c r="AV22" s="65"/>
      <c r="AW22" s="65"/>
      <c r="AX22" s="65"/>
      <c r="AY22" s="65"/>
      <c r="AZ22" s="65"/>
      <c r="BD22" s="65"/>
    </row>
    <row r="23" spans="1:56" s="66" customFormat="1">
      <c r="A23" s="78" t="s">
        <v>194</v>
      </c>
      <c r="B23" s="78" t="s">
        <v>194</v>
      </c>
      <c r="C23" s="78" t="s">
        <v>147</v>
      </c>
      <c r="D23" s="78" t="s">
        <v>148</v>
      </c>
      <c r="E23" s="67" t="s">
        <v>189</v>
      </c>
      <c r="F23" s="67" t="s">
        <v>35</v>
      </c>
      <c r="G23" s="67" t="str">
        <f>INDEX('[4]RT Description to Bill Matix'!$D:$D,MATCH(A23,'[4]RT Description to Bill Matix'!$M:$M,0))</f>
        <v>Chore Services</v>
      </c>
      <c r="H23" s="65" t="s">
        <v>195</v>
      </c>
      <c r="I23" s="65"/>
      <c r="J23" s="65" t="str" cm="1">
        <f t="array" ref="J23">INDEX('Rate Table Service Desc XWalk'!F:F,MATCH(1,(G23='Rate Table Service Desc XWalk'!B:B)*(E23='Rate Table Service Desc XWalk'!A:A),0))</f>
        <v>2-1-12</v>
      </c>
      <c r="K23" s="66" t="str">
        <f>INDEX('[5]Combined Bill Code List'!$A:$A,MATCH(A23,'[5]Combined Bill Code List'!$F:$F,0))</f>
        <v>1915(c) waiver</v>
      </c>
      <c r="L23" s="66" t="str">
        <f>INDEX('[6]Rate History'!$P:$P,MATCH(A23,'[6]Rate History'!$F:$F,0))</f>
        <v>1 hour</v>
      </c>
      <c r="M23" s="77">
        <f>INDEX('[7]PDF DB Service Pivot'!$C:$C,MATCH(B23,'[7]PDF DB Service Pivot'!$B:$B,0))</f>
        <v>1013</v>
      </c>
      <c r="N23" s="77">
        <f t="shared" si="11"/>
        <v>1013</v>
      </c>
      <c r="O23" s="76">
        <f>INDEX('[7]PDF DB Service Pivot'!$D:$D,MATCH(B23,'[7]PDF DB Service Pivot'!$B:$B,0))</f>
        <v>15196.62</v>
      </c>
      <c r="P23" s="91">
        <v>45170</v>
      </c>
      <c r="Q23" s="81">
        <v>14.08</v>
      </c>
      <c r="R23" s="81">
        <v>11.74</v>
      </c>
      <c r="S23" s="354">
        <f t="shared" si="0"/>
        <v>0.83380681818181823</v>
      </c>
      <c r="T23" s="339">
        <v>1</v>
      </c>
      <c r="U23" s="81">
        <f t="shared" si="1"/>
        <v>0</v>
      </c>
      <c r="V23" s="81" cm="1">
        <f t="array" ref="V23">_xlfn.IFS('Fiscal by Program'!$B$7&lt;10.61,0,'Fiscal by Program'!$B$7&gt;10.6,(ROUND('Fiscal by Program'!$B$7*(1+IF(D23="Yes",'Fiscal by Program'!$B$9,'Fiscal by Program'!$B$8))*T23,2)))</f>
        <v>0</v>
      </c>
      <c r="W23" s="81">
        <f t="shared" si="2"/>
        <v>0</v>
      </c>
      <c r="X23" s="81">
        <f>ROUND((R23/(1+IF(D23="Yes",'Fiscal by Program'!$B$9,'Fiscal by Program'!$B$8))),2)+0.01</f>
        <v>10.61</v>
      </c>
      <c r="Y23" s="81">
        <f t="shared" si="3"/>
        <v>14.08</v>
      </c>
      <c r="Z23" s="88">
        <v>4</v>
      </c>
      <c r="AA23" s="90">
        <f t="shared" si="4"/>
        <v>0.25</v>
      </c>
      <c r="AB23" s="75">
        <f>INDEX('[9]Service List'!$K:$K,MATCH(A23,'[9]Service List'!$F:$F,0))</f>
        <v>91</v>
      </c>
      <c r="AC23" s="73">
        <f>INDEX('[5]Combined Bill Code List'!$P:$P,MATCH(A23,'[5]Combined Bill Code List'!$F:$F,0))</f>
        <v>0</v>
      </c>
      <c r="AD23" s="80" t="s">
        <v>189</v>
      </c>
      <c r="AE23" s="79">
        <v>1</v>
      </c>
      <c r="AF23" s="66">
        <v>0</v>
      </c>
      <c r="AG23" s="70">
        <f>ROUND(INDEX('All Trends'!D:D,MATCH($AD23,'All Trends'!$C:$C,0)),4)</f>
        <v>0.90759999999999996</v>
      </c>
      <c r="AH23" s="70">
        <f>ROUND(INDEX('All Trends'!E:E,MATCH($AD23,'All Trends'!$C:$C,0)),4)</f>
        <v>0.89149999999999996</v>
      </c>
      <c r="AI23" s="70">
        <f>ROUND(INDEX('All Trends'!F:F,MATCH($AD23,'All Trends'!$C:$C,0)),4)</f>
        <v>0.99270000000000003</v>
      </c>
      <c r="AJ23" s="70">
        <f>ROUND(INDEX('All Trends'!G:G,MATCH($AD23,'All Trends'!$C:$C,0)),4)</f>
        <v>0.99270000000000003</v>
      </c>
      <c r="AK23" s="70">
        <f>ROUND(INDEX('All Trends'!H:H,MATCH($AD23,'All Trends'!$C:$C,0)),4)</f>
        <v>0.99270000000000003</v>
      </c>
      <c r="AL23" s="74" t="s">
        <v>148</v>
      </c>
      <c r="AM23" s="92">
        <f t="shared" si="5"/>
        <v>1005.61</v>
      </c>
      <c r="AN23" s="92">
        <f t="shared" si="6"/>
        <v>1005.61</v>
      </c>
      <c r="AO23" s="69">
        <f t="shared" si="7"/>
        <v>0</v>
      </c>
      <c r="AP23" s="69">
        <f t="shared" si="8"/>
        <v>0</v>
      </c>
      <c r="AQ23" s="69">
        <f t="shared" si="9"/>
        <v>0</v>
      </c>
      <c r="AR23" s="69">
        <f t="shared" si="10"/>
        <v>0</v>
      </c>
      <c r="AS23" s="409"/>
      <c r="AT23" s="409"/>
      <c r="AU23" s="409"/>
      <c r="AV23" s="65"/>
      <c r="AW23" s="65"/>
      <c r="AX23" s="65"/>
      <c r="AY23" s="65"/>
      <c r="AZ23" s="65"/>
      <c r="BD23" s="65"/>
    </row>
    <row r="24" spans="1:56" s="66" customFormat="1">
      <c r="A24" s="78" t="s">
        <v>196</v>
      </c>
      <c r="B24" s="78" t="s">
        <v>196</v>
      </c>
      <c r="C24" s="78" t="s">
        <v>147</v>
      </c>
      <c r="D24" s="78" t="s">
        <v>148</v>
      </c>
      <c r="E24" s="67" t="s">
        <v>189</v>
      </c>
      <c r="F24" s="67" t="s">
        <v>197</v>
      </c>
      <c r="G24" s="67" t="str">
        <f>INDEX('[4]RT Description to Bill Matix'!$D:$D,MATCH(A24,'[4]RT Description to Bill Matix'!$M:$M,0))</f>
        <v>Assisted Living</v>
      </c>
      <c r="H24" s="65" t="s">
        <v>198</v>
      </c>
      <c r="I24" s="65"/>
      <c r="J24" s="65" t="str" cm="1">
        <f t="array" ref="J24">INDEX('Rate Table Service Desc XWalk'!F:F,MATCH(1,(G24='Rate Table Service Desc XWalk'!B:B)*(E24='Rate Table Service Desc XWalk'!A:A),0))</f>
        <v>2-1-3</v>
      </c>
      <c r="K24" s="66" t="str">
        <f>INDEX('[5]Combined Bill Code List'!$A:$A,MATCH(A24,'[5]Combined Bill Code List'!$F:$F,0))</f>
        <v>1915(c) waiver</v>
      </c>
      <c r="L24" s="66" t="str">
        <f>INDEX('[6]Rate History'!$P:$P,MATCH(A24,'[6]Rate History'!$F:$F,0))</f>
        <v>1 day</v>
      </c>
      <c r="M24" s="77">
        <f>INDEX('[7]PDF DB Service Pivot'!$C:$C,MATCH(B24,'[7]PDF DB Service Pivot'!$B:$B,0))</f>
        <v>926</v>
      </c>
      <c r="N24" s="77">
        <f t="shared" si="11"/>
        <v>926</v>
      </c>
      <c r="O24" s="76">
        <f>INDEX('[7]PDF DB Service Pivot'!$D:$D,MATCH(B24,'[7]PDF DB Service Pivot'!$B:$B,0))</f>
        <v>133019.9</v>
      </c>
      <c r="P24" s="91">
        <v>45170</v>
      </c>
      <c r="Q24" s="81">
        <v>145.6</v>
      </c>
      <c r="R24" s="81">
        <v>83.829999999999984</v>
      </c>
      <c r="S24" s="354">
        <f t="shared" si="0"/>
        <v>0.57575549450549446</v>
      </c>
      <c r="T24" s="339">
        <f>T175</f>
        <v>0.25</v>
      </c>
      <c r="U24" s="81">
        <f t="shared" si="1"/>
        <v>0</v>
      </c>
      <c r="V24" s="81" cm="1">
        <f t="array" ref="V24">_xlfn.IFS('Fiscal by Program'!$B$7&lt;10.61,0,'Fiscal by Program'!$B$7&gt;10.6,(ROUND('Fiscal by Program'!$B$7*(1+IF(D24="Yes",'Fiscal by Program'!$B$9,'Fiscal by Program'!$B$8))*T24,2)))</f>
        <v>0</v>
      </c>
      <c r="W24" s="81">
        <f t="shared" si="2"/>
        <v>0</v>
      </c>
      <c r="X24" s="81">
        <f>ROUND((R24/(1+IF(D24="Yes",'Fiscal by Program'!$B$9,'Fiscal by Program'!$B$8))),2)+0.01</f>
        <v>75.7</v>
      </c>
      <c r="Y24" s="81">
        <f t="shared" si="3"/>
        <v>145.6</v>
      </c>
      <c r="Z24" s="88">
        <f>24*4</f>
        <v>96</v>
      </c>
      <c r="AA24" s="90">
        <f t="shared" si="4"/>
        <v>2.6041666666666665E-3</v>
      </c>
      <c r="AB24" s="75">
        <f>INDEX('[9]Service List'!$K:$K,MATCH(A24,'[9]Service List'!$F:$F,0))</f>
        <v>95</v>
      </c>
      <c r="AC24" s="73">
        <f>INDEX('[5]Combined Bill Code List'!$P:$P,MATCH(A24,'[5]Combined Bill Code List'!$F:$F,0))</f>
        <v>0</v>
      </c>
      <c r="AD24" s="80" t="s">
        <v>189</v>
      </c>
      <c r="AE24" s="79">
        <v>1</v>
      </c>
      <c r="AF24" s="66">
        <v>0</v>
      </c>
      <c r="AG24" s="70">
        <f>ROUND(INDEX('All Trends'!D:D,MATCH($AD24,'All Trends'!$C:$C,0)),4)</f>
        <v>0.90759999999999996</v>
      </c>
      <c r="AH24" s="70">
        <f>ROUND(INDEX('All Trends'!E:E,MATCH($AD24,'All Trends'!$C:$C,0)),4)</f>
        <v>0.89149999999999996</v>
      </c>
      <c r="AI24" s="70">
        <f>ROUND(INDEX('All Trends'!F:F,MATCH($AD24,'All Trends'!$C:$C,0)),4)</f>
        <v>0.99270000000000003</v>
      </c>
      <c r="AJ24" s="70">
        <f>ROUND(INDEX('All Trends'!G:G,MATCH($AD24,'All Trends'!$C:$C,0)),4)</f>
        <v>0.99270000000000003</v>
      </c>
      <c r="AK24" s="70">
        <f>ROUND(INDEX('All Trends'!H:H,MATCH($AD24,'All Trends'!$C:$C,0)),4)</f>
        <v>0.99270000000000003</v>
      </c>
      <c r="AL24" s="74" t="s">
        <v>148</v>
      </c>
      <c r="AM24" s="92">
        <f t="shared" si="5"/>
        <v>229.81</v>
      </c>
      <c r="AN24" s="92">
        <f t="shared" si="6"/>
        <v>229.81</v>
      </c>
      <c r="AO24" s="69">
        <f t="shared" si="7"/>
        <v>0</v>
      </c>
      <c r="AP24" s="69">
        <f t="shared" si="8"/>
        <v>0</v>
      </c>
      <c r="AQ24" s="69">
        <f t="shared" si="9"/>
        <v>0</v>
      </c>
      <c r="AR24" s="69">
        <f t="shared" si="10"/>
        <v>0</v>
      </c>
      <c r="AS24" s="409"/>
      <c r="AT24" s="409"/>
      <c r="AU24" s="409"/>
      <c r="AV24" s="65"/>
      <c r="AW24" s="65"/>
      <c r="AX24" s="65"/>
      <c r="AY24" s="65"/>
      <c r="AZ24" s="65"/>
      <c r="BD24" s="65"/>
    </row>
    <row r="25" spans="1:56" s="66" customFormat="1">
      <c r="A25" s="78" t="s">
        <v>199</v>
      </c>
      <c r="B25" s="78" t="s">
        <v>199</v>
      </c>
      <c r="C25" s="78" t="s">
        <v>147</v>
      </c>
      <c r="D25" s="78" t="s">
        <v>148</v>
      </c>
      <c r="E25" s="67" t="s">
        <v>189</v>
      </c>
      <c r="F25" s="67" t="s">
        <v>197</v>
      </c>
      <c r="G25" s="67" t="str">
        <f>INDEX('[4]RT Description to Bill Matix'!$D:$D,MATCH(A25,'[4]RT Description to Bill Matix'!$M:$M,0))</f>
        <v>Assisted Living</v>
      </c>
      <c r="H25" s="65" t="s">
        <v>200</v>
      </c>
      <c r="I25" s="65"/>
      <c r="J25" s="65" t="str" cm="1">
        <f t="array" ref="J25">INDEX('Rate Table Service Desc XWalk'!F:F,MATCH(1,(G25='Rate Table Service Desc XWalk'!B:B)*(E25='Rate Table Service Desc XWalk'!A:A),0))</f>
        <v>2-1-3</v>
      </c>
      <c r="K25" s="66" t="str">
        <f>INDEX('[5]Combined Bill Code List'!$A:$A,MATCH(A25,'[5]Combined Bill Code List'!$F:$F,0))</f>
        <v>1915(c) waiver</v>
      </c>
      <c r="L25" s="66" t="str">
        <f>INDEX('[6]Rate History'!$P:$P,MATCH(A25,'[6]Rate History'!$F:$F,0))</f>
        <v>1 day</v>
      </c>
      <c r="M25" s="77">
        <f>INDEX('[7]PDF DB Service Pivot'!$C:$C,MATCH(B25,'[7]PDF DB Service Pivot'!$B:$B,0))</f>
        <v>5612</v>
      </c>
      <c r="N25" s="77">
        <f t="shared" si="11"/>
        <v>5612</v>
      </c>
      <c r="O25" s="76">
        <f>INDEX('[7]PDF DB Service Pivot'!$D:$D,MATCH(B25,'[7]PDF DB Service Pivot'!$B:$B,0))</f>
        <v>695270.68</v>
      </c>
      <c r="P25" s="91">
        <v>45170</v>
      </c>
      <c r="Q25" s="81">
        <v>125.84</v>
      </c>
      <c r="R25" s="81">
        <v>72.569999999999993</v>
      </c>
      <c r="S25" s="354">
        <f t="shared" si="0"/>
        <v>0.57668467895740616</v>
      </c>
      <c r="T25" s="339">
        <f>T174</f>
        <v>0.25</v>
      </c>
      <c r="U25" s="81">
        <f t="shared" si="1"/>
        <v>0</v>
      </c>
      <c r="V25" s="81" cm="1">
        <f t="array" ref="V25">_xlfn.IFS('Fiscal by Program'!$B$7&lt;10.61,0,'Fiscal by Program'!$B$7&gt;10.6,(ROUND('Fiscal by Program'!$B$7*(1+IF(D25="Yes",'Fiscal by Program'!$B$9,'Fiscal by Program'!$B$8))*T25,2)))</f>
        <v>0</v>
      </c>
      <c r="W25" s="81">
        <f t="shared" si="2"/>
        <v>0</v>
      </c>
      <c r="X25" s="81">
        <f>ROUND((R25/(1+IF(D25="Yes",'Fiscal by Program'!$B$9,'Fiscal by Program'!$B$8))),2)+0.01</f>
        <v>65.540000000000006</v>
      </c>
      <c r="Y25" s="81">
        <f t="shared" si="3"/>
        <v>125.84</v>
      </c>
      <c r="Z25" s="88">
        <f>18*4</f>
        <v>72</v>
      </c>
      <c r="AA25" s="90">
        <f t="shared" si="4"/>
        <v>3.472222222222222E-3</v>
      </c>
      <c r="AB25" s="75">
        <f>INDEX('[9]Service List'!$K:$K,MATCH(A25,'[9]Service List'!$F:$F,0))</f>
        <v>93</v>
      </c>
      <c r="AC25" s="73">
        <f>INDEX('[5]Combined Bill Code List'!$P:$P,MATCH(A25,'[5]Combined Bill Code List'!$F:$F,0))</f>
        <v>0</v>
      </c>
      <c r="AD25" s="80" t="s">
        <v>189</v>
      </c>
      <c r="AE25" s="79">
        <v>1</v>
      </c>
      <c r="AF25" s="66">
        <v>0</v>
      </c>
      <c r="AG25" s="70">
        <f>ROUND(INDEX('All Trends'!D:D,MATCH($AD25,'All Trends'!$C:$C,0)),4)</f>
        <v>0.90759999999999996</v>
      </c>
      <c r="AH25" s="70">
        <f>ROUND(INDEX('All Trends'!E:E,MATCH($AD25,'All Trends'!$C:$C,0)),4)</f>
        <v>0.89149999999999996</v>
      </c>
      <c r="AI25" s="70">
        <f>ROUND(INDEX('All Trends'!F:F,MATCH($AD25,'All Trends'!$C:$C,0)),4)</f>
        <v>0.99270000000000003</v>
      </c>
      <c r="AJ25" s="70">
        <f>ROUND(INDEX('All Trends'!G:G,MATCH($AD25,'All Trends'!$C:$C,0)),4)</f>
        <v>0.99270000000000003</v>
      </c>
      <c r="AK25" s="70">
        <f>ROUND(INDEX('All Trends'!H:H,MATCH($AD25,'All Trends'!$C:$C,0)),4)</f>
        <v>0.99270000000000003</v>
      </c>
      <c r="AL25" s="74" t="s">
        <v>148</v>
      </c>
      <c r="AM25" s="92">
        <f t="shared" si="5"/>
        <v>1392.76</v>
      </c>
      <c r="AN25" s="92">
        <f t="shared" si="6"/>
        <v>1392.76</v>
      </c>
      <c r="AO25" s="69">
        <f t="shared" si="7"/>
        <v>0</v>
      </c>
      <c r="AP25" s="69">
        <f t="shared" si="8"/>
        <v>0</v>
      </c>
      <c r="AQ25" s="69">
        <f t="shared" si="9"/>
        <v>0</v>
      </c>
      <c r="AR25" s="69">
        <f t="shared" si="10"/>
        <v>0</v>
      </c>
      <c r="AS25" s="409"/>
      <c r="AT25" s="409"/>
      <c r="AU25" s="409"/>
      <c r="AV25" s="65"/>
      <c r="AW25" s="65"/>
      <c r="AX25" s="65"/>
      <c r="AY25" s="65"/>
      <c r="AZ25" s="65"/>
      <c r="BD25" s="65"/>
    </row>
    <row r="26" spans="1:56" s="66" customFormat="1">
      <c r="A26" s="78" t="s">
        <v>201</v>
      </c>
      <c r="B26" s="78" t="s">
        <v>201</v>
      </c>
      <c r="C26" s="78" t="s">
        <v>147</v>
      </c>
      <c r="D26" s="78" t="s">
        <v>148</v>
      </c>
      <c r="E26" s="67" t="s">
        <v>189</v>
      </c>
      <c r="F26" s="67" t="s">
        <v>197</v>
      </c>
      <c r="G26" s="67" t="str">
        <f>INDEX('[4]RT Description to Bill Matix'!$D:$D,MATCH(A26,'[4]RT Description to Bill Matix'!$M:$M,0))</f>
        <v>Assisted Living</v>
      </c>
      <c r="H26" s="65" t="s">
        <v>202</v>
      </c>
      <c r="I26" s="65"/>
      <c r="J26" s="65" t="str" cm="1">
        <f t="array" ref="J26">INDEX('Rate Table Service Desc XWalk'!F:F,MATCH(1,(G26='Rate Table Service Desc XWalk'!B:B)*(E26='Rate Table Service Desc XWalk'!A:A),0))</f>
        <v>2-1-3</v>
      </c>
      <c r="K26" s="66" t="str">
        <f>INDEX('[5]Combined Bill Code List'!$A:$A,MATCH(A26,'[5]Combined Bill Code List'!$F:$F,0))</f>
        <v>1915(c) waiver</v>
      </c>
      <c r="L26" s="66" t="str">
        <f>INDEX('[6]Rate History'!$P:$P,MATCH(A26,'[6]Rate History'!$F:$F,0))</f>
        <v>1 day</v>
      </c>
      <c r="M26" s="77">
        <f>INDEX('[7]PDF DB Service Pivot'!$C:$C,MATCH(B26,'[7]PDF DB Service Pivot'!$B:$B,0))</f>
        <v>7509</v>
      </c>
      <c r="N26" s="77">
        <f t="shared" si="11"/>
        <v>7509</v>
      </c>
      <c r="O26" s="76">
        <f>INDEX('[7]PDF DB Service Pivot'!$D:$D,MATCH(B26,'[7]PDF DB Service Pivot'!$B:$B,0))</f>
        <v>1078667.8500000001</v>
      </c>
      <c r="P26" s="91">
        <v>45170</v>
      </c>
      <c r="Q26" s="81">
        <v>145.6</v>
      </c>
      <c r="R26" s="81">
        <v>83.829999999999984</v>
      </c>
      <c r="S26" s="354">
        <f t="shared" si="0"/>
        <v>0.57575549450549446</v>
      </c>
      <c r="T26" s="339">
        <f>T174</f>
        <v>0.25</v>
      </c>
      <c r="U26" s="81">
        <f t="shared" si="1"/>
        <v>0</v>
      </c>
      <c r="V26" s="81" cm="1">
        <f t="array" ref="V26">_xlfn.IFS('Fiscal by Program'!$B$7&lt;10.61,0,'Fiscal by Program'!$B$7&gt;10.6,(ROUND('Fiscal by Program'!$B$7*(1+IF(D26="Yes",'Fiscal by Program'!$B$9,'Fiscal by Program'!$B$8))*T26,2)))</f>
        <v>0</v>
      </c>
      <c r="W26" s="81">
        <f t="shared" si="2"/>
        <v>0</v>
      </c>
      <c r="X26" s="81">
        <f>ROUND((R26/(1+IF(D26="Yes",'Fiscal by Program'!$B$9,'Fiscal by Program'!$B$8))),2)+0.01</f>
        <v>75.7</v>
      </c>
      <c r="Y26" s="81">
        <f t="shared" si="3"/>
        <v>145.6</v>
      </c>
      <c r="Z26" s="88">
        <v>96</v>
      </c>
      <c r="AA26" s="90">
        <f t="shared" si="4"/>
        <v>2.6041666666666665E-3</v>
      </c>
      <c r="AB26" s="75">
        <f>INDEX('[9]Service List'!$K:$K,MATCH(A26,'[9]Service List'!$F:$F,0))</f>
        <v>94</v>
      </c>
      <c r="AC26" s="73">
        <f>INDEX('[5]Combined Bill Code List'!$P:$P,MATCH(A26,'[5]Combined Bill Code List'!$F:$F,0))</f>
        <v>0</v>
      </c>
      <c r="AD26" s="80" t="s">
        <v>189</v>
      </c>
      <c r="AE26" s="79">
        <v>1</v>
      </c>
      <c r="AF26" s="66">
        <v>0</v>
      </c>
      <c r="AG26" s="70">
        <f>ROUND(INDEX('All Trends'!D:D,MATCH($AD26,'All Trends'!$C:$C,0)),4)</f>
        <v>0.90759999999999996</v>
      </c>
      <c r="AH26" s="70">
        <f>ROUND(INDEX('All Trends'!E:E,MATCH($AD26,'All Trends'!$C:$C,0)),4)</f>
        <v>0.89149999999999996</v>
      </c>
      <c r="AI26" s="70">
        <f>ROUND(INDEX('All Trends'!F:F,MATCH($AD26,'All Trends'!$C:$C,0)),4)</f>
        <v>0.99270000000000003</v>
      </c>
      <c r="AJ26" s="70">
        <f>ROUND(INDEX('All Trends'!G:G,MATCH($AD26,'All Trends'!$C:$C,0)),4)</f>
        <v>0.99270000000000003</v>
      </c>
      <c r="AK26" s="70">
        <f>ROUND(INDEX('All Trends'!H:H,MATCH($AD26,'All Trends'!$C:$C,0)),4)</f>
        <v>0.99270000000000003</v>
      </c>
      <c r="AL26" s="74" t="s">
        <v>148</v>
      </c>
      <c r="AM26" s="92">
        <f t="shared" si="5"/>
        <v>1863.55</v>
      </c>
      <c r="AN26" s="92">
        <f t="shared" si="6"/>
        <v>1863.55</v>
      </c>
      <c r="AO26" s="69">
        <f t="shared" si="7"/>
        <v>0</v>
      </c>
      <c r="AP26" s="69">
        <f t="shared" si="8"/>
        <v>0</v>
      </c>
      <c r="AQ26" s="69">
        <f t="shared" si="9"/>
        <v>0</v>
      </c>
      <c r="AR26" s="69">
        <f t="shared" si="10"/>
        <v>0</v>
      </c>
      <c r="AS26" s="409"/>
      <c r="AT26" s="409"/>
      <c r="AU26" s="409"/>
      <c r="AV26" s="65"/>
      <c r="AW26" s="65"/>
      <c r="AX26" s="65"/>
      <c r="AY26" s="65"/>
      <c r="AZ26" s="65"/>
      <c r="BD26" s="65"/>
    </row>
    <row r="27" spans="1:56" s="66" customFormat="1">
      <c r="A27" s="78" t="s">
        <v>203</v>
      </c>
      <c r="B27" s="78" t="s">
        <v>203</v>
      </c>
      <c r="C27" s="78" t="s">
        <v>147</v>
      </c>
      <c r="D27" s="78" t="s">
        <v>148</v>
      </c>
      <c r="E27" s="67" t="s">
        <v>189</v>
      </c>
      <c r="F27" s="67" t="s">
        <v>204</v>
      </c>
      <c r="G27" s="67" t="str">
        <f>INDEX('[4]RT Description to Bill Matix'!$D:$D,MATCH(A27,'[4]RT Description to Bill Matix'!$M:$M,0))</f>
        <v>Individualized Skills and Socialization - On-Site and Off-Site</v>
      </c>
      <c r="H27" s="65" t="s">
        <v>205</v>
      </c>
      <c r="I27" s="65"/>
      <c r="J27" s="65" t="str" cm="1">
        <f t="array" ref="J27">INDEX('Rate Table Service Desc XWalk'!F:F,MATCH(1,(G27='Rate Table Service Desc XWalk'!B:B)*(E27='Rate Table Service Desc XWalk'!A:A),0))</f>
        <v>2-1-44</v>
      </c>
      <c r="K27" s="66" t="str">
        <f>INDEX('[5]Combined Bill Code List'!$A:$A,MATCH(A27,'[5]Combined Bill Code List'!$F:$F,0))</f>
        <v>1915(c) waiver</v>
      </c>
      <c r="L27" s="66" t="str">
        <f>INDEX('[6]Rate History'!$P:$P,MATCH(A27,'[6]Rate History'!$F:$F,0))</f>
        <v>1 hour</v>
      </c>
      <c r="M27" s="77">
        <f>INDEX('[7]PDF DB Service Pivot'!$C:$C,MATCH(B27,'[7]PDF DB Service Pivot'!$B:$B,0))</f>
        <v>20352.5</v>
      </c>
      <c r="N27" s="77">
        <f t="shared" si="11"/>
        <v>40705</v>
      </c>
      <c r="O27" s="76">
        <f>INDEX('[7]PDF DB Service Pivot'!$D:$D,MATCH(B27,'[7]PDF DB Service Pivot'!$B:$B,0))</f>
        <v>507184.3</v>
      </c>
      <c r="P27" s="91">
        <v>44927</v>
      </c>
      <c r="Q27" s="81">
        <v>24.92</v>
      </c>
      <c r="R27" s="81">
        <v>17.93</v>
      </c>
      <c r="S27" s="354">
        <f t="shared" si="0"/>
        <v>0.71950240770465479</v>
      </c>
      <c r="T27" s="339">
        <v>1</v>
      </c>
      <c r="U27" s="81">
        <f t="shared" si="1"/>
        <v>0</v>
      </c>
      <c r="V27" s="81" cm="1">
        <f t="array" ref="V27">_xlfn.IFS('Fiscal by Program'!$B$7&lt;10.61,0,'Fiscal by Program'!$B$7&gt;10.6,(ROUND('Fiscal by Program'!$B$7*(1+IF(D27="Yes",'Fiscal by Program'!$B$9,'Fiscal by Program'!$B$8))*T27,2)))</f>
        <v>0</v>
      </c>
      <c r="W27" s="81">
        <f t="shared" si="2"/>
        <v>0</v>
      </c>
      <c r="X27" s="81">
        <f>ROUND((R27/(1+IF(D27="Yes",'Fiscal by Program'!$B$9,'Fiscal by Program'!$B$8))),2)+0.01</f>
        <v>16.200000000000003</v>
      </c>
      <c r="Y27" s="81">
        <f t="shared" si="3"/>
        <v>24.92</v>
      </c>
      <c r="Z27" s="88">
        <v>4</v>
      </c>
      <c r="AA27" s="90">
        <f t="shared" si="4"/>
        <v>0.25</v>
      </c>
      <c r="AB27" s="75">
        <f>INDEX('[9]Service List'!$K:$K,MATCH(A27,'[9]Service List'!$F:$F,0))</f>
        <v>114</v>
      </c>
      <c r="AC27" s="73">
        <f>INDEX('[5]Combined Bill Code List'!$P:$P,MATCH(A27,'[5]Combined Bill Code List'!$F:$F,0))</f>
        <v>0</v>
      </c>
      <c r="AD27" s="80" t="s">
        <v>189</v>
      </c>
      <c r="AE27" s="79">
        <v>1</v>
      </c>
      <c r="AF27" s="66">
        <v>0</v>
      </c>
      <c r="AG27" s="70">
        <f>ROUND(INDEX('All Trends'!D:D,MATCH($AD27,'All Trends'!$C:$C,0)),4)</f>
        <v>0.90759999999999996</v>
      </c>
      <c r="AH27" s="70">
        <f>ROUND(INDEX('All Trends'!E:E,MATCH($AD27,'All Trends'!$C:$C,0)),4)</f>
        <v>0.89149999999999996</v>
      </c>
      <c r="AI27" s="70">
        <f>ROUND(INDEX('All Trends'!F:F,MATCH($AD27,'All Trends'!$C:$C,0)),4)</f>
        <v>0.99270000000000003</v>
      </c>
      <c r="AJ27" s="70">
        <f>ROUND(INDEX('All Trends'!G:G,MATCH($AD27,'All Trends'!$C:$C,0)),4)</f>
        <v>0.99270000000000003</v>
      </c>
      <c r="AK27" s="70">
        <f>ROUND(INDEX('All Trends'!H:H,MATCH($AD27,'All Trends'!$C:$C,0)),4)</f>
        <v>0.99270000000000003</v>
      </c>
      <c r="AL27" s="74" t="s">
        <v>148</v>
      </c>
      <c r="AM27" s="92">
        <f t="shared" si="5"/>
        <v>40407.85</v>
      </c>
      <c r="AN27" s="92">
        <f t="shared" si="6"/>
        <v>40407.85</v>
      </c>
      <c r="AO27" s="69">
        <f t="shared" si="7"/>
        <v>0</v>
      </c>
      <c r="AP27" s="69">
        <f t="shared" si="8"/>
        <v>0</v>
      </c>
      <c r="AQ27" s="69">
        <f t="shared" si="9"/>
        <v>0</v>
      </c>
      <c r="AR27" s="69">
        <f t="shared" si="10"/>
        <v>0</v>
      </c>
      <c r="AS27" s="409"/>
      <c r="AT27" s="409"/>
      <c r="AU27" s="409"/>
      <c r="AV27" s="65"/>
      <c r="AW27" s="65"/>
      <c r="AX27" s="65"/>
      <c r="AY27" s="65"/>
      <c r="AZ27" s="65"/>
      <c r="BD27" s="65"/>
    </row>
    <row r="28" spans="1:56" s="66" customFormat="1">
      <c r="A28" s="78" t="s">
        <v>206</v>
      </c>
      <c r="B28" s="78" t="s">
        <v>206</v>
      </c>
      <c r="C28" s="78" t="s">
        <v>147</v>
      </c>
      <c r="D28" s="78" t="s">
        <v>148</v>
      </c>
      <c r="E28" s="67" t="s">
        <v>189</v>
      </c>
      <c r="F28" s="67" t="s">
        <v>204</v>
      </c>
      <c r="G28" s="67" t="str">
        <f>INDEX('[4]RT Description to Bill Matix'!$D:$D,MATCH(A28,'[4]RT Description to Bill Matix'!$M:$M,0))</f>
        <v>Individualized Skills and Socialization - On-Site and Off-Site</v>
      </c>
      <c r="H28" s="65" t="s">
        <v>207</v>
      </c>
      <c r="I28" s="65"/>
      <c r="J28" s="65" t="str" cm="1">
        <f t="array" ref="J28">INDEX('Rate Table Service Desc XWalk'!F:F,MATCH(1,(G28='Rate Table Service Desc XWalk'!B:B)*(E28='Rate Table Service Desc XWalk'!A:A),0))</f>
        <v>2-1-44</v>
      </c>
      <c r="K28" s="66" t="str">
        <f>INDEX('[5]Combined Bill Code List'!$A:$A,MATCH(A28,'[5]Combined Bill Code List'!$F:$F,0))</f>
        <v>1915(c) waiver</v>
      </c>
      <c r="L28" s="66" t="str">
        <f>INDEX('[6]Rate History'!$P:$P,MATCH(A28,'[6]Rate History'!$F:$F,0))</f>
        <v>1 hour</v>
      </c>
      <c r="M28" s="77">
        <f>INDEX('[7]PDF DB Service Pivot'!$C:$C,MATCH(B28,'[7]PDF DB Service Pivot'!$B:$B,0))</f>
        <v>1035.25</v>
      </c>
      <c r="N28" s="77">
        <f t="shared" si="11"/>
        <v>2070.5</v>
      </c>
      <c r="O28" s="76">
        <f>INDEX('[7]PDF DB Service Pivot'!$D:$D,MATCH(B28,'[7]PDF DB Service Pivot'!$B:$B,0))</f>
        <v>25798.43</v>
      </c>
      <c r="P28" s="91">
        <v>44927</v>
      </c>
      <c r="Q28" s="81">
        <v>24.92</v>
      </c>
      <c r="R28" s="81">
        <v>17.93</v>
      </c>
      <c r="S28" s="354">
        <f t="shared" si="0"/>
        <v>0.71950240770465479</v>
      </c>
      <c r="T28" s="339">
        <v>1</v>
      </c>
      <c r="U28" s="81">
        <f t="shared" si="1"/>
        <v>0</v>
      </c>
      <c r="V28" s="81" cm="1">
        <f t="array" ref="V28">_xlfn.IFS('Fiscal by Program'!$B$7&lt;10.61,0,'Fiscal by Program'!$B$7&gt;10.6,(ROUND('Fiscal by Program'!$B$7*(1+IF(D28="Yes",'Fiscal by Program'!$B$9,'Fiscal by Program'!$B$8))*T28,2)))</f>
        <v>0</v>
      </c>
      <c r="W28" s="81">
        <f t="shared" si="2"/>
        <v>0</v>
      </c>
      <c r="X28" s="81">
        <f>ROUND((R28/(1+IF(D28="Yes",'Fiscal by Program'!$B$9,'Fiscal by Program'!$B$8))),2)+0.01</f>
        <v>16.200000000000003</v>
      </c>
      <c r="Y28" s="81">
        <f t="shared" si="3"/>
        <v>24.92</v>
      </c>
      <c r="Z28" s="88">
        <v>4</v>
      </c>
      <c r="AA28" s="90">
        <f t="shared" si="4"/>
        <v>0.25</v>
      </c>
      <c r="AB28" s="75">
        <f>INDEX('[9]Service List'!$K:$K,MATCH(A28,'[9]Service List'!$F:$F,0))</f>
        <v>115</v>
      </c>
      <c r="AC28" s="73">
        <f>INDEX('[5]Combined Bill Code List'!$P:$P,MATCH(A28,'[5]Combined Bill Code List'!$F:$F,0))</f>
        <v>0</v>
      </c>
      <c r="AD28" s="80" t="s">
        <v>189</v>
      </c>
      <c r="AE28" s="79">
        <v>1</v>
      </c>
      <c r="AF28" s="66">
        <v>0</v>
      </c>
      <c r="AG28" s="70">
        <f>ROUND(INDEX('All Trends'!D:D,MATCH($AD28,'All Trends'!$C:$C,0)),4)</f>
        <v>0.90759999999999996</v>
      </c>
      <c r="AH28" s="70">
        <f>ROUND(INDEX('All Trends'!E:E,MATCH($AD28,'All Trends'!$C:$C,0)),4)</f>
        <v>0.89149999999999996</v>
      </c>
      <c r="AI28" s="70">
        <f>ROUND(INDEX('All Trends'!F:F,MATCH($AD28,'All Trends'!$C:$C,0)),4)</f>
        <v>0.99270000000000003</v>
      </c>
      <c r="AJ28" s="70">
        <f>ROUND(INDEX('All Trends'!G:G,MATCH($AD28,'All Trends'!$C:$C,0)),4)</f>
        <v>0.99270000000000003</v>
      </c>
      <c r="AK28" s="70">
        <f>ROUND(INDEX('All Trends'!H:H,MATCH($AD28,'All Trends'!$C:$C,0)),4)</f>
        <v>0.99270000000000003</v>
      </c>
      <c r="AL28" s="74" t="s">
        <v>148</v>
      </c>
      <c r="AM28" s="92">
        <f t="shared" si="5"/>
        <v>2055.39</v>
      </c>
      <c r="AN28" s="92">
        <f t="shared" si="6"/>
        <v>2055.39</v>
      </c>
      <c r="AO28" s="69">
        <f t="shared" si="7"/>
        <v>0</v>
      </c>
      <c r="AP28" s="69">
        <f t="shared" si="8"/>
        <v>0</v>
      </c>
      <c r="AQ28" s="69">
        <f t="shared" si="9"/>
        <v>0</v>
      </c>
      <c r="AR28" s="69">
        <f t="shared" si="10"/>
        <v>0</v>
      </c>
      <c r="AS28" s="409"/>
      <c r="AT28" s="409"/>
      <c r="AU28" s="409"/>
      <c r="AV28" s="65"/>
      <c r="AW28" s="65"/>
      <c r="AX28" s="65"/>
      <c r="AY28" s="65"/>
      <c r="AZ28" s="65"/>
      <c r="BD28" s="65"/>
    </row>
    <row r="29" spans="1:56" s="66" customFormat="1">
      <c r="A29" s="78" t="s">
        <v>208</v>
      </c>
      <c r="B29" s="78" t="s">
        <v>208</v>
      </c>
      <c r="C29" s="78" t="s">
        <v>147</v>
      </c>
      <c r="D29" s="78" t="s">
        <v>148</v>
      </c>
      <c r="E29" s="67" t="s">
        <v>189</v>
      </c>
      <c r="F29" s="67" t="s">
        <v>209</v>
      </c>
      <c r="G29" s="67" t="str">
        <f>INDEX('[4]RT Description to Bill Matix'!$D:$D,MATCH(A29,'[4]RT Description to Bill Matix'!$M:$M,0))</f>
        <v>PAS/HAB (CFC) and Transportation</v>
      </c>
      <c r="H29" s="65" t="s">
        <v>179</v>
      </c>
      <c r="I29" s="65"/>
      <c r="J29" s="65" t="str" cm="1">
        <f t="array" ref="J29">INDEX('Rate Table Service Desc XWalk'!F:F,MATCH(1,(G29='Rate Table Service Desc XWalk'!B:B)*(E29='Rate Table Service Desc XWalk'!A:A),0))</f>
        <v>2-1-79</v>
      </c>
      <c r="K29" s="66" t="str">
        <f>INDEX('[5]Combined Bill Code List'!$A:$A,MATCH(A29,'[5]Combined Bill Code List'!$F:$F,0))</f>
        <v>1915(c) waiver</v>
      </c>
      <c r="L29" s="66" t="str">
        <f>INDEX('[6]Rate History'!$P:$P,MATCH(A29,'[6]Rate History'!$F:$F,0))</f>
        <v>1 hour</v>
      </c>
      <c r="M29" s="77">
        <f>INDEX('[7]PDF DB Service Pivot'!$C:$C,MATCH(B29,'[7]PDF DB Service Pivot'!$B:$B,0))</f>
        <v>4.5</v>
      </c>
      <c r="N29" s="77">
        <f t="shared" si="11"/>
        <v>4.5</v>
      </c>
      <c r="O29" s="76">
        <f>INDEX('[7]PDF DB Service Pivot'!$D:$D,MATCH(B29,'[7]PDF DB Service Pivot'!$B:$B,0))</f>
        <v>74.03</v>
      </c>
      <c r="P29" s="91">
        <v>45170</v>
      </c>
      <c r="Q29" s="81">
        <v>16.48</v>
      </c>
      <c r="R29" s="81">
        <v>13.27</v>
      </c>
      <c r="S29" s="354">
        <f t="shared" si="0"/>
        <v>0.80521844660194175</v>
      </c>
      <c r="T29" s="339">
        <v>1</v>
      </c>
      <c r="U29" s="81">
        <f t="shared" si="1"/>
        <v>0</v>
      </c>
      <c r="V29" s="81" cm="1">
        <f t="array" ref="V29">_xlfn.IFS('Fiscal by Program'!$B$7&lt;10.61,0,'Fiscal by Program'!$B$7&gt;10.6,(ROUND('Fiscal by Program'!$B$7*(1+IF(D29="Yes",'Fiscal by Program'!$B$9,'Fiscal by Program'!$B$8))*T29,2)))</f>
        <v>0</v>
      </c>
      <c r="W29" s="81">
        <f t="shared" si="2"/>
        <v>0</v>
      </c>
      <c r="X29" s="81">
        <f>ROUND((R29/(1+IF(D29="Yes",'Fiscal by Program'!$B$9,'Fiscal by Program'!$B$8))),2)+0.01</f>
        <v>11.99</v>
      </c>
      <c r="Y29" s="81">
        <f t="shared" si="3"/>
        <v>16.48</v>
      </c>
      <c r="Z29" s="88">
        <v>4</v>
      </c>
      <c r="AA29" s="90">
        <f t="shared" si="4"/>
        <v>0.25</v>
      </c>
      <c r="AB29" s="75">
        <f>INDEX('[9]Service List'!$K:$K,MATCH(A29,'[9]Service List'!$F:$F,0))</f>
        <v>103</v>
      </c>
      <c r="AC29" s="73">
        <f>INDEX('[5]Combined Bill Code List'!$P:$P,MATCH(A29,'[5]Combined Bill Code List'!$F:$F,0))</f>
        <v>0</v>
      </c>
      <c r="AD29" s="80" t="s">
        <v>189</v>
      </c>
      <c r="AE29" s="79">
        <v>1</v>
      </c>
      <c r="AF29" s="66">
        <v>0</v>
      </c>
      <c r="AG29" s="70">
        <f>ROUND(INDEX('All Trends'!D:D,MATCH($AD29,'All Trends'!$C:$C,0)),4)</f>
        <v>0.90759999999999996</v>
      </c>
      <c r="AH29" s="70">
        <f>ROUND(INDEX('All Trends'!E:E,MATCH($AD29,'All Trends'!$C:$C,0)),4)</f>
        <v>0.89149999999999996</v>
      </c>
      <c r="AI29" s="70">
        <f>ROUND(INDEX('All Trends'!F:F,MATCH($AD29,'All Trends'!$C:$C,0)),4)</f>
        <v>0.99270000000000003</v>
      </c>
      <c r="AJ29" s="70">
        <f>ROUND(INDEX('All Trends'!G:G,MATCH($AD29,'All Trends'!$C:$C,0)),4)</f>
        <v>0.99270000000000003</v>
      </c>
      <c r="AK29" s="70">
        <f>ROUND(INDEX('All Trends'!H:H,MATCH($AD29,'All Trends'!$C:$C,0)),4)</f>
        <v>0.99270000000000003</v>
      </c>
      <c r="AL29" s="74" t="s">
        <v>148</v>
      </c>
      <c r="AM29" s="92">
        <f t="shared" si="5"/>
        <v>4.47</v>
      </c>
      <c r="AN29" s="92">
        <f t="shared" si="6"/>
        <v>4.47</v>
      </c>
      <c r="AO29" s="69">
        <f t="shared" si="7"/>
        <v>0</v>
      </c>
      <c r="AP29" s="69">
        <f t="shared" si="8"/>
        <v>0</v>
      </c>
      <c r="AQ29" s="69">
        <f t="shared" si="9"/>
        <v>0</v>
      </c>
      <c r="AR29" s="69">
        <f t="shared" si="10"/>
        <v>0</v>
      </c>
      <c r="AS29" s="409"/>
      <c r="AT29" s="409"/>
      <c r="AU29" s="409"/>
      <c r="AV29" s="65"/>
      <c r="AW29" s="65"/>
      <c r="AX29" s="65"/>
      <c r="AY29" s="65"/>
      <c r="AZ29" s="65"/>
      <c r="BD29" s="65"/>
    </row>
    <row r="30" spans="1:56" s="66" customFormat="1">
      <c r="A30" s="78" t="s">
        <v>210</v>
      </c>
      <c r="B30" s="78" t="s">
        <v>210</v>
      </c>
      <c r="C30" s="78" t="s">
        <v>147</v>
      </c>
      <c r="D30" s="78" t="s">
        <v>148</v>
      </c>
      <c r="E30" s="67" t="s">
        <v>189</v>
      </c>
      <c r="F30" s="67" t="s">
        <v>209</v>
      </c>
      <c r="G30" s="67" t="str">
        <f>INDEX('[4]RT Description to Bill Matix'!$D:$D,MATCH(A30,'[4]RT Description to Bill Matix'!$M:$M,0))</f>
        <v>CDS PAS/HAB (CFC) and Transportation</v>
      </c>
      <c r="H30" s="65" t="s">
        <v>181</v>
      </c>
      <c r="I30" s="65" t="s">
        <v>147</v>
      </c>
      <c r="J30" s="65" t="str" cm="1">
        <f t="array" ref="J30">INDEX('Rate Table Service Desc XWalk'!F:F,MATCH(1,(G30='Rate Table Service Desc XWalk'!B:B)*(E30='Rate Table Service Desc XWalk'!A:A),0))</f>
        <v>2-5-143</v>
      </c>
      <c r="K30" s="66" t="str">
        <f>INDEX('[5]Combined Bill Code List'!$A:$A,MATCH(A30,'[5]Combined Bill Code List'!$F:$F,0))</f>
        <v>1915(c) waiver</v>
      </c>
      <c r="L30" s="66" t="str">
        <f>INDEX('[6]Rate History'!$P:$P,MATCH(A30,'[6]Rate History'!$F:$F,0))</f>
        <v>1 hour</v>
      </c>
      <c r="M30" s="77">
        <f>INDEX('[7]PDF DB Service Pivot'!$C:$C,MATCH(B30,'[7]PDF DB Service Pivot'!$B:$B,0))</f>
        <v>673</v>
      </c>
      <c r="N30" s="77">
        <f t="shared" si="11"/>
        <v>40.837378640776699</v>
      </c>
      <c r="O30" s="76">
        <f>INDEX('[7]PDF DB Service Pivot'!$D:$D,MATCH(B30,'[7]PDF DB Service Pivot'!$B:$B,0))</f>
        <v>673</v>
      </c>
      <c r="P30" s="91">
        <v>45170</v>
      </c>
      <c r="Q30" s="81">
        <v>16.48</v>
      </c>
      <c r="R30" s="81">
        <v>13.27</v>
      </c>
      <c r="S30" s="354">
        <f t="shared" si="0"/>
        <v>0.80521844660194175</v>
      </c>
      <c r="T30" s="339">
        <v>1</v>
      </c>
      <c r="U30" s="81">
        <f t="shared" si="1"/>
        <v>0</v>
      </c>
      <c r="V30" s="81" cm="1">
        <f t="array" ref="V30">_xlfn.IFS('Fiscal by Program'!$B$7&lt;10.61,0,'Fiscal by Program'!$B$7&gt;10.6,(ROUND('Fiscal by Program'!$B$7*(1+IF(D30="Yes",'Fiscal by Program'!$B$9,'Fiscal by Program'!$B$8))*T30,2)))</f>
        <v>0</v>
      </c>
      <c r="W30" s="81">
        <f t="shared" si="2"/>
        <v>0</v>
      </c>
      <c r="X30" s="81">
        <f>ROUND((R30/(1+IF(D30="Yes",'Fiscal by Program'!$B$9,'Fiscal by Program'!$B$8))),2)+0.01</f>
        <v>11.99</v>
      </c>
      <c r="Y30" s="81">
        <f t="shared" si="3"/>
        <v>16.48</v>
      </c>
      <c r="Z30" s="88">
        <v>4</v>
      </c>
      <c r="AA30" s="90">
        <f t="shared" si="4"/>
        <v>0.25</v>
      </c>
      <c r="AB30" s="75">
        <f>INDEX('[9]Service List'!$K:$K,MATCH(A30,'[9]Service List'!$F:$F,0))</f>
        <v>102</v>
      </c>
      <c r="AC30" s="73">
        <f>INDEX('[5]Combined Bill Code List'!$P:$P,MATCH(A30,'[5]Combined Bill Code List'!$F:$F,0))</f>
        <v>0</v>
      </c>
      <c r="AD30" s="80" t="s">
        <v>189</v>
      </c>
      <c r="AE30" s="79">
        <v>1</v>
      </c>
      <c r="AF30" s="66">
        <v>0</v>
      </c>
      <c r="AG30" s="70">
        <f>ROUND(INDEX('All Trends'!D:D,MATCH($AD30,'All Trends'!$C:$C,0)),4)</f>
        <v>0.90759999999999996</v>
      </c>
      <c r="AH30" s="70">
        <f>ROUND(INDEX('All Trends'!E:E,MATCH($AD30,'All Trends'!$C:$C,0)),4)</f>
        <v>0.89149999999999996</v>
      </c>
      <c r="AI30" s="70">
        <f>ROUND(INDEX('All Trends'!F:F,MATCH($AD30,'All Trends'!$C:$C,0)),4)</f>
        <v>0.99270000000000003</v>
      </c>
      <c r="AJ30" s="70">
        <f>ROUND(INDEX('All Trends'!G:G,MATCH($AD30,'All Trends'!$C:$C,0)),4)</f>
        <v>0.99270000000000003</v>
      </c>
      <c r="AK30" s="70">
        <f>ROUND(INDEX('All Trends'!H:H,MATCH($AD30,'All Trends'!$C:$C,0)),4)</f>
        <v>0.99270000000000003</v>
      </c>
      <c r="AL30" s="74" t="s">
        <v>148</v>
      </c>
      <c r="AM30" s="92">
        <f t="shared" si="5"/>
        <v>40.54</v>
      </c>
      <c r="AN30" s="92">
        <f t="shared" si="6"/>
        <v>40.54</v>
      </c>
      <c r="AO30" s="69">
        <f t="shared" si="7"/>
        <v>0</v>
      </c>
      <c r="AP30" s="69">
        <f t="shared" si="8"/>
        <v>0</v>
      </c>
      <c r="AQ30" s="69">
        <f t="shared" si="9"/>
        <v>0</v>
      </c>
      <c r="AR30" s="69">
        <f t="shared" si="10"/>
        <v>0</v>
      </c>
      <c r="AS30" s="409"/>
      <c r="AT30" s="409"/>
      <c r="AU30" s="409"/>
      <c r="AV30" s="65"/>
      <c r="AW30" s="65"/>
      <c r="AX30" s="65"/>
      <c r="AY30" s="65"/>
      <c r="AZ30" s="65"/>
      <c r="BD30" s="65"/>
    </row>
    <row r="31" spans="1:56" s="66" customFormat="1">
      <c r="A31" s="67" t="s">
        <v>211</v>
      </c>
      <c r="B31" s="67" t="s">
        <v>211</v>
      </c>
      <c r="C31" s="78" t="s">
        <v>147</v>
      </c>
      <c r="D31" s="78" t="s">
        <v>148</v>
      </c>
      <c r="E31" s="67" t="s">
        <v>212</v>
      </c>
      <c r="F31" s="67" t="s">
        <v>150</v>
      </c>
      <c r="G31" s="67" t="str">
        <f>INDEX('[4]RT Description to Bill Matix'!$D:$D,MATCH(A31,'[4]RT Description to Bill Matix'!$M:$M,0))</f>
        <v>CAS/FC/PAS/PHC PRIORITY</v>
      </c>
      <c r="H31" s="65" t="s">
        <v>213</v>
      </c>
      <c r="I31" s="65"/>
      <c r="J31" s="65" t="str" cm="1">
        <f t="array" ref="J31">INDEX('Rate Table Service Desc XWalk'!F:F,MATCH(1,(G31='Rate Table Service Desc XWalk'!B:B)*(E31='Rate Table Service Desc XWalk'!A:A),0))</f>
        <v>13-1-8</v>
      </c>
      <c r="K31" s="66" t="str">
        <f>INDEX('[5]Combined Bill Code List'!$A:$A,MATCH(A31,'[5]Combined Bill Code List'!$F:$F,0))</f>
        <v>Title XX</v>
      </c>
      <c r="L31" s="66" t="str">
        <f>INDEX('[6]Rate History'!$P:$P,MATCH(A31,'[6]Rate History'!$F:$F,0))</f>
        <v>1 hour</v>
      </c>
      <c r="M31" s="77">
        <f>INDEX('[7]PDF DB Service Pivot'!$C:$C,MATCH(B31,'[7]PDF DB Service Pivot'!$B:$B,0))</f>
        <v>41066.25</v>
      </c>
      <c r="N31" s="77">
        <f t="shared" si="11"/>
        <v>41066.25</v>
      </c>
      <c r="O31" s="76">
        <f>INDEX('[7]PDF DB Service Pivot'!$D:$D,MATCH(B31,'[7]PDF DB Service Pivot'!$B:$B,0))</f>
        <v>543104.29</v>
      </c>
      <c r="P31" s="91">
        <v>45170</v>
      </c>
      <c r="Q31" s="81">
        <v>14</v>
      </c>
      <c r="R31" s="81">
        <v>11.75</v>
      </c>
      <c r="S31" s="354">
        <f t="shared" si="0"/>
        <v>0.8392857142857143</v>
      </c>
      <c r="T31" s="339">
        <f>INDEX('[8]Billable Services'!$P:$P,MATCH(B31,'[8]Billable Services'!$S:$S,0))</f>
        <v>1</v>
      </c>
      <c r="U31" s="81">
        <f t="shared" si="1"/>
        <v>0</v>
      </c>
      <c r="V31" s="81" cm="1">
        <f t="array" ref="V31">_xlfn.IFS('Fiscal by Program'!$B$7&lt;10.61,0,'Fiscal by Program'!$B$7&gt;10.6,(ROUND('Fiscal by Program'!$B$7*(1+IF(D31="Yes",'Fiscal by Program'!$B$9,'Fiscal by Program'!$B$8))*T31,2)))</f>
        <v>0</v>
      </c>
      <c r="W31" s="81">
        <f t="shared" si="2"/>
        <v>0</v>
      </c>
      <c r="X31" s="81">
        <f>ROUND((R31/(1+IF(D31="Yes",'Fiscal by Program'!$B$9,'Fiscal by Program'!$B$8))),2)+0.01</f>
        <v>10.62</v>
      </c>
      <c r="Y31" s="81">
        <f t="shared" si="3"/>
        <v>14</v>
      </c>
      <c r="Z31" s="88">
        <v>4</v>
      </c>
      <c r="AA31" s="90">
        <f t="shared" si="4"/>
        <v>0.25</v>
      </c>
      <c r="AB31" s="75">
        <f>INDEX('[9]Service List'!$K:$K,MATCH(A31,'[9]Service List'!$F:$F,0))</f>
        <v>168</v>
      </c>
      <c r="AC31" s="73">
        <f>INDEX('[5]Combined Bill Code List'!$P:$P,MATCH(A31,'[5]Combined Bill Code List'!$F:$F,0))</f>
        <v>0</v>
      </c>
      <c r="AD31" s="80" t="s">
        <v>185</v>
      </c>
      <c r="AE31" s="79">
        <v>1</v>
      </c>
      <c r="AF31" s="66">
        <v>0</v>
      </c>
      <c r="AG31" s="70">
        <f>ROUND(INDEX('All Trends'!D:D,MATCH($AD31,'All Trends'!$C:$C,0)),4)</f>
        <v>1</v>
      </c>
      <c r="AH31" s="70">
        <f>ROUND(INDEX('All Trends'!E:E,MATCH($AD31,'All Trends'!$C:$C,0)),4)</f>
        <v>1</v>
      </c>
      <c r="AI31" s="70">
        <f>ROUND(INDEX('All Trends'!F:F,MATCH($AD31,'All Trends'!$C:$C,0)),4)</f>
        <v>1</v>
      </c>
      <c r="AJ31" s="70">
        <f>ROUND(INDEX('All Trends'!G:G,MATCH($AD31,'All Trends'!$C:$C,0)),4)</f>
        <v>1</v>
      </c>
      <c r="AK31" s="70">
        <f>ROUND(INDEX('All Trends'!H:H,MATCH($AD31,'All Trends'!$C:$C,0)),4)</f>
        <v>1</v>
      </c>
      <c r="AL31" s="66" t="s">
        <v>147</v>
      </c>
      <c r="AM31" s="92">
        <f t="shared" si="5"/>
        <v>41066.25</v>
      </c>
      <c r="AN31" s="92">
        <f t="shared" si="6"/>
        <v>41066.25</v>
      </c>
      <c r="AO31" s="69">
        <f t="shared" si="7"/>
        <v>0</v>
      </c>
      <c r="AP31" s="69">
        <f t="shared" si="8"/>
        <v>0</v>
      </c>
      <c r="AQ31" s="69">
        <f t="shared" si="9"/>
        <v>0</v>
      </c>
      <c r="AR31" s="69">
        <f t="shared" si="10"/>
        <v>0</v>
      </c>
      <c r="AS31" s="409"/>
      <c r="AT31" s="409"/>
      <c r="AU31" s="409"/>
      <c r="AV31" s="65"/>
      <c r="AW31" s="65"/>
      <c r="AX31" s="65"/>
      <c r="AY31" s="65"/>
      <c r="AZ31" s="65"/>
      <c r="BD31" s="65"/>
    </row>
    <row r="32" spans="1:56" s="66" customFormat="1">
      <c r="A32" s="67" t="s">
        <v>214</v>
      </c>
      <c r="B32" s="67" t="s">
        <v>214</v>
      </c>
      <c r="C32" s="78" t="s">
        <v>147</v>
      </c>
      <c r="D32" s="78" t="s">
        <v>148</v>
      </c>
      <c r="E32" s="67" t="s">
        <v>212</v>
      </c>
      <c r="F32" s="67" t="s">
        <v>150</v>
      </c>
      <c r="G32" s="67" t="str">
        <f>INDEX('[4]RT Description to Bill Matix'!$D:$D,MATCH(A32,'[4]RT Description to Bill Matix'!$M:$M,0))</f>
        <v>CAS/FC/PAS/PHC NON-PRIORITY</v>
      </c>
      <c r="H32" s="65" t="s">
        <v>215</v>
      </c>
      <c r="I32" s="65"/>
      <c r="J32" s="65" t="str" cm="1">
        <f t="array" ref="J32">INDEX('Rate Table Service Desc XWalk'!F:F,MATCH(1,(G32='Rate Table Service Desc XWalk'!B:B)*(E32='Rate Table Service Desc XWalk'!A:A),0))</f>
        <v>13-1-7</v>
      </c>
      <c r="K32" s="66" t="str">
        <f>INDEX('[5]Combined Bill Code List'!$A:$A,MATCH(A32,'[5]Combined Bill Code List'!$F:$F,0))</f>
        <v>Title XX</v>
      </c>
      <c r="L32" s="66" t="str">
        <f>INDEX('[6]Rate History'!$P:$P,MATCH(A32,'[6]Rate History'!$F:$F,0))</f>
        <v>1 hour</v>
      </c>
      <c r="M32" s="77">
        <f>INDEX('[7]PDF DB Service Pivot'!$C:$C,MATCH(B32,'[7]PDF DB Service Pivot'!$B:$B,0))</f>
        <v>3035010.42</v>
      </c>
      <c r="N32" s="77">
        <f t="shared" si="11"/>
        <v>3035010.42</v>
      </c>
      <c r="O32" s="76">
        <f>INDEX('[7]PDF DB Service Pivot'!$D:$D,MATCH(B32,'[7]PDF DB Service Pivot'!$B:$B,0))</f>
        <v>39362251.759999998</v>
      </c>
      <c r="P32" s="91">
        <v>45170</v>
      </c>
      <c r="Q32" s="81">
        <v>13.84</v>
      </c>
      <c r="R32" s="81">
        <v>11.77</v>
      </c>
      <c r="S32" s="354">
        <f t="shared" si="0"/>
        <v>0.85043352601156064</v>
      </c>
      <c r="T32" s="339">
        <f>INDEX('[8]Billable Services'!$P:$P,MATCH(B32,'[8]Billable Services'!$S:$S,0))</f>
        <v>1</v>
      </c>
      <c r="U32" s="81">
        <f t="shared" si="1"/>
        <v>0</v>
      </c>
      <c r="V32" s="81" cm="1">
        <f t="array" ref="V32">_xlfn.IFS('Fiscal by Program'!$B$7&lt;10.61,0,'Fiscal by Program'!$B$7&gt;10.6,(ROUND('Fiscal by Program'!$B$7*(1+IF(D32="Yes",'Fiscal by Program'!$B$9,'Fiscal by Program'!$B$8))*T32,2)))</f>
        <v>0</v>
      </c>
      <c r="W32" s="81">
        <f t="shared" si="2"/>
        <v>0</v>
      </c>
      <c r="X32" s="81">
        <f>ROUND((R32/(1+IF(D32="Yes",'Fiscal by Program'!$B$9,'Fiscal by Program'!$B$8))),2)+0.01</f>
        <v>10.64</v>
      </c>
      <c r="Y32" s="81">
        <f t="shared" si="3"/>
        <v>13.84</v>
      </c>
      <c r="Z32" s="88">
        <v>4</v>
      </c>
      <c r="AA32" s="90">
        <f t="shared" si="4"/>
        <v>0.25</v>
      </c>
      <c r="AB32" s="75">
        <f>INDEX('[9]Service List'!$K:$K,MATCH(A32,'[9]Service List'!$F:$F,0))</f>
        <v>167</v>
      </c>
      <c r="AC32" s="73">
        <f>INDEX('[5]Combined Bill Code List'!$P:$P,MATCH(A32,'[5]Combined Bill Code List'!$F:$F,0))</f>
        <v>0</v>
      </c>
      <c r="AD32" s="80" t="s">
        <v>185</v>
      </c>
      <c r="AE32" s="79">
        <v>1</v>
      </c>
      <c r="AF32" s="66">
        <v>0</v>
      </c>
      <c r="AG32" s="70">
        <f>ROUND(INDEX('All Trends'!D:D,MATCH($AD32,'All Trends'!$C:$C,0)),4)</f>
        <v>1</v>
      </c>
      <c r="AH32" s="70">
        <f>ROUND(INDEX('All Trends'!E:E,MATCH($AD32,'All Trends'!$C:$C,0)),4)</f>
        <v>1</v>
      </c>
      <c r="AI32" s="70">
        <f>ROUND(INDEX('All Trends'!F:F,MATCH($AD32,'All Trends'!$C:$C,0)),4)</f>
        <v>1</v>
      </c>
      <c r="AJ32" s="70">
        <f>ROUND(INDEX('All Trends'!G:G,MATCH($AD32,'All Trends'!$C:$C,0)),4)</f>
        <v>1</v>
      </c>
      <c r="AK32" s="70">
        <f>ROUND(INDEX('All Trends'!H:H,MATCH($AD32,'All Trends'!$C:$C,0)),4)</f>
        <v>1</v>
      </c>
      <c r="AL32" s="66" t="s">
        <v>147</v>
      </c>
      <c r="AM32" s="92">
        <f t="shared" si="5"/>
        <v>3035010.42</v>
      </c>
      <c r="AN32" s="92">
        <f t="shared" si="6"/>
        <v>3035010.42</v>
      </c>
      <c r="AO32" s="69">
        <f t="shared" si="7"/>
        <v>0</v>
      </c>
      <c r="AP32" s="69">
        <f t="shared" si="8"/>
        <v>0</v>
      </c>
      <c r="AQ32" s="69">
        <f t="shared" si="9"/>
        <v>0</v>
      </c>
      <c r="AR32" s="69">
        <f t="shared" si="10"/>
        <v>0</v>
      </c>
      <c r="AS32" s="409"/>
      <c r="AT32" s="409"/>
      <c r="AU32" s="409"/>
      <c r="AV32" s="65"/>
      <c r="AW32" s="65"/>
      <c r="AX32" s="65"/>
      <c r="AY32" s="65"/>
      <c r="AZ32" s="65"/>
      <c r="BD32" s="65"/>
    </row>
    <row r="33" spans="1:56" s="66" customFormat="1">
      <c r="A33" s="67" t="s">
        <v>216</v>
      </c>
      <c r="B33" s="67" t="s">
        <v>216</v>
      </c>
      <c r="C33" s="78" t="s">
        <v>147</v>
      </c>
      <c r="D33" s="78" t="s">
        <v>148</v>
      </c>
      <c r="E33" s="67" t="s">
        <v>212</v>
      </c>
      <c r="F33" s="67" t="s">
        <v>150</v>
      </c>
      <c r="G33" s="67" t="str">
        <f>INDEX('[4]RT Description to Bill Matix'!$D:$D,MATCH(A33,'[4]RT Description to Bill Matix'!$M:$M,0))</f>
        <v>CDS CAS/FC/PAS/PHC PRIORITY</v>
      </c>
      <c r="H33" s="65" t="s">
        <v>217</v>
      </c>
      <c r="I33" s="65" t="s">
        <v>147</v>
      </c>
      <c r="J33" s="65" t="str" cm="1">
        <f t="array" ref="J33">INDEX('Rate Table Service Desc XWalk'!F:F,MATCH(1,(G33='Rate Table Service Desc XWalk'!B:B)*(E33='Rate Table Service Desc XWalk'!A:A),0))</f>
        <v>13-5-117</v>
      </c>
      <c r="K33" s="66" t="str">
        <f>INDEX('[5]Combined Bill Code List'!$A:$A,MATCH(A33,'[5]Combined Bill Code List'!$F:$F,0))</f>
        <v>Title XX</v>
      </c>
      <c r="L33" s="66" t="str">
        <f>INDEX('[6]Rate History'!$P:$P,MATCH(A33,'[6]Rate History'!$F:$F,0))</f>
        <v>1 hour</v>
      </c>
      <c r="M33" s="77">
        <f>INDEX('[7]PDF DB Service Pivot'!$C:$C,MATCH(B33,'[7]PDF DB Service Pivot'!$B:$B,0))</f>
        <v>6431.27</v>
      </c>
      <c r="N33" s="77">
        <f t="shared" si="11"/>
        <v>487.21742424242433</v>
      </c>
      <c r="O33" s="76">
        <f>INDEX('[7]PDF DB Service Pivot'!$D:$D,MATCH(B33,'[7]PDF DB Service Pivot'!$B:$B,0))</f>
        <v>6431.27</v>
      </c>
      <c r="P33" s="91">
        <v>45170</v>
      </c>
      <c r="Q33" s="81">
        <v>13.2</v>
      </c>
      <c r="R33" s="81">
        <v>11.75</v>
      </c>
      <c r="S33" s="354">
        <f t="shared" si="0"/>
        <v>0.89015151515151525</v>
      </c>
      <c r="T33" s="339">
        <v>1</v>
      </c>
      <c r="U33" s="81">
        <f t="shared" si="1"/>
        <v>0</v>
      </c>
      <c r="V33" s="81" cm="1">
        <f t="array" ref="V33">_xlfn.IFS('Fiscal by Program'!$B$7&lt;10.61,0,'Fiscal by Program'!$B$7&gt;10.6,(ROUND('Fiscal by Program'!$B$7*(1+IF(D33="Yes",'Fiscal by Program'!$B$9,'Fiscal by Program'!$B$8))*T33,2)))</f>
        <v>0</v>
      </c>
      <c r="W33" s="81">
        <f t="shared" si="2"/>
        <v>0</v>
      </c>
      <c r="X33" s="81">
        <f>ROUND((R33/(1+IF(D33="Yes",'Fiscal by Program'!$B$9,'Fiscal by Program'!$B$8))),2)+0.01</f>
        <v>10.62</v>
      </c>
      <c r="Y33" s="81">
        <f t="shared" si="3"/>
        <v>13.2</v>
      </c>
      <c r="Z33" s="88">
        <v>4</v>
      </c>
      <c r="AA33" s="90">
        <f t="shared" si="4"/>
        <v>0.25</v>
      </c>
      <c r="AB33" s="75">
        <f>INDEX('[9]Service List'!$K:$K,MATCH(A33,'[9]Service List'!$F:$F,0))</f>
        <v>170</v>
      </c>
      <c r="AC33" s="73">
        <f>INDEX('[5]Combined Bill Code List'!$P:$P,MATCH(A33,'[5]Combined Bill Code List'!$F:$F,0))</f>
        <v>0</v>
      </c>
      <c r="AD33" s="80" t="s">
        <v>185</v>
      </c>
      <c r="AE33" s="79">
        <v>1</v>
      </c>
      <c r="AF33" s="66">
        <v>0</v>
      </c>
      <c r="AG33" s="70">
        <f>ROUND(INDEX('All Trends'!D:D,MATCH($AD33,'All Trends'!$C:$C,0)),4)</f>
        <v>1</v>
      </c>
      <c r="AH33" s="70">
        <f>ROUND(INDEX('All Trends'!E:E,MATCH($AD33,'All Trends'!$C:$C,0)),4)</f>
        <v>1</v>
      </c>
      <c r="AI33" s="70">
        <f>ROUND(INDEX('All Trends'!F:F,MATCH($AD33,'All Trends'!$C:$C,0)),4)</f>
        <v>1</v>
      </c>
      <c r="AJ33" s="70">
        <f>ROUND(INDEX('All Trends'!G:G,MATCH($AD33,'All Trends'!$C:$C,0)),4)</f>
        <v>1</v>
      </c>
      <c r="AK33" s="70">
        <f>ROUND(INDEX('All Trends'!H:H,MATCH($AD33,'All Trends'!$C:$C,0)),4)</f>
        <v>1</v>
      </c>
      <c r="AL33" s="66" t="s">
        <v>147</v>
      </c>
      <c r="AM33" s="92">
        <f t="shared" si="5"/>
        <v>487.22</v>
      </c>
      <c r="AN33" s="92">
        <f t="shared" si="6"/>
        <v>487.22</v>
      </c>
      <c r="AO33" s="69">
        <f t="shared" si="7"/>
        <v>0</v>
      </c>
      <c r="AP33" s="69">
        <f t="shared" si="8"/>
        <v>0</v>
      </c>
      <c r="AQ33" s="69">
        <f t="shared" si="9"/>
        <v>0</v>
      </c>
      <c r="AR33" s="69">
        <f t="shared" si="10"/>
        <v>0</v>
      </c>
      <c r="AS33" s="409"/>
      <c r="AT33" s="409"/>
      <c r="AU33" s="409"/>
      <c r="AV33" s="65"/>
      <c r="AW33" s="65"/>
      <c r="AX33" s="65"/>
      <c r="AY33" s="65"/>
      <c r="AZ33" s="65"/>
      <c r="BD33" s="65"/>
    </row>
    <row r="34" spans="1:56" s="66" customFormat="1">
      <c r="A34" s="67" t="s">
        <v>218</v>
      </c>
      <c r="B34" s="67" t="s">
        <v>218</v>
      </c>
      <c r="C34" s="78" t="s">
        <v>147</v>
      </c>
      <c r="D34" s="78" t="s">
        <v>148</v>
      </c>
      <c r="E34" s="67" t="s">
        <v>212</v>
      </c>
      <c r="F34" s="67" t="s">
        <v>150</v>
      </c>
      <c r="G34" s="67" t="str">
        <f>INDEX('[4]RT Description to Bill Matix'!$D:$D,MATCH(A34,'[4]RT Description to Bill Matix'!$M:$M,0))</f>
        <v>CDS CAS/FC/PAS/PHC NON-PRIORITY</v>
      </c>
      <c r="H34" s="65" t="s">
        <v>219</v>
      </c>
      <c r="I34" s="65" t="s">
        <v>147</v>
      </c>
      <c r="J34" s="65" t="str" cm="1">
        <f t="array" ref="J34">INDEX('Rate Table Service Desc XWalk'!F:F,MATCH(1,(G34='Rate Table Service Desc XWalk'!B:B)*(E34='Rate Table Service Desc XWalk'!A:A),0))</f>
        <v>13-5-116</v>
      </c>
      <c r="K34" s="66" t="str">
        <f>INDEX('[5]Combined Bill Code List'!$A:$A,MATCH(A34,'[5]Combined Bill Code List'!$F:$F,0))</f>
        <v>Title XX</v>
      </c>
      <c r="L34" s="66" t="str">
        <f>INDEX('[6]Rate History'!$P:$P,MATCH(A34,'[6]Rate History'!$F:$F,0))</f>
        <v>1 hour</v>
      </c>
      <c r="M34" s="77">
        <f>INDEX('[7]PDF DB Service Pivot'!$C:$C,MATCH(B34,'[7]PDF DB Service Pivot'!$B:$B,0))</f>
        <v>231980.7</v>
      </c>
      <c r="N34" s="77">
        <f t="shared" si="11"/>
        <v>17789.930981595095</v>
      </c>
      <c r="O34" s="76">
        <f>INDEX('[7]PDF DB Service Pivot'!$D:$D,MATCH(B34,'[7]PDF DB Service Pivot'!$B:$B,0))</f>
        <v>231980.7</v>
      </c>
      <c r="P34" s="91">
        <v>45170</v>
      </c>
      <c r="Q34" s="81">
        <v>13.04</v>
      </c>
      <c r="R34" s="81">
        <v>11.769999999999998</v>
      </c>
      <c r="S34" s="354">
        <f t="shared" si="0"/>
        <v>0.90260736196319002</v>
      </c>
      <c r="T34" s="339">
        <v>1</v>
      </c>
      <c r="U34" s="81">
        <f t="shared" si="1"/>
        <v>0</v>
      </c>
      <c r="V34" s="81" cm="1">
        <f t="array" ref="V34">_xlfn.IFS('Fiscal by Program'!$B$7&lt;10.61,0,'Fiscal by Program'!$B$7&gt;10.6,(ROUND('Fiscal by Program'!$B$7*(1+IF(D34="Yes",'Fiscal by Program'!$B$9,'Fiscal by Program'!$B$8))*T34,2)))</f>
        <v>0</v>
      </c>
      <c r="W34" s="81">
        <f t="shared" si="2"/>
        <v>0</v>
      </c>
      <c r="X34" s="81">
        <f>ROUND((R34/(1+IF(D34="Yes",'Fiscal by Program'!$B$9,'Fiscal by Program'!$B$8))),2)+0.01</f>
        <v>10.64</v>
      </c>
      <c r="Y34" s="81">
        <f t="shared" si="3"/>
        <v>13.04</v>
      </c>
      <c r="Z34" s="88">
        <v>4</v>
      </c>
      <c r="AA34" s="90">
        <f t="shared" si="4"/>
        <v>0.25</v>
      </c>
      <c r="AB34" s="75">
        <f>INDEX('[9]Service List'!$K:$K,MATCH(A34,'[9]Service List'!$F:$F,0))</f>
        <v>169</v>
      </c>
      <c r="AC34" s="73">
        <f>INDEX('[5]Combined Bill Code List'!$P:$P,MATCH(A34,'[5]Combined Bill Code List'!$F:$F,0))</f>
        <v>0</v>
      </c>
      <c r="AD34" s="80" t="s">
        <v>185</v>
      </c>
      <c r="AE34" s="79">
        <v>1</v>
      </c>
      <c r="AF34" s="66">
        <v>0</v>
      </c>
      <c r="AG34" s="70">
        <f>ROUND(INDEX('All Trends'!D:D,MATCH($AD34,'All Trends'!$C:$C,0)),4)</f>
        <v>1</v>
      </c>
      <c r="AH34" s="70">
        <f>ROUND(INDEX('All Trends'!E:E,MATCH($AD34,'All Trends'!$C:$C,0)),4)</f>
        <v>1</v>
      </c>
      <c r="AI34" s="70">
        <f>ROUND(INDEX('All Trends'!F:F,MATCH($AD34,'All Trends'!$C:$C,0)),4)</f>
        <v>1</v>
      </c>
      <c r="AJ34" s="70">
        <f>ROUND(INDEX('All Trends'!G:G,MATCH($AD34,'All Trends'!$C:$C,0)),4)</f>
        <v>1</v>
      </c>
      <c r="AK34" s="70">
        <f>ROUND(INDEX('All Trends'!H:H,MATCH($AD34,'All Trends'!$C:$C,0)),4)</f>
        <v>1</v>
      </c>
      <c r="AL34" s="66" t="s">
        <v>147</v>
      </c>
      <c r="AM34" s="92">
        <f t="shared" si="5"/>
        <v>17789.93</v>
      </c>
      <c r="AN34" s="92">
        <f t="shared" si="6"/>
        <v>17789.93</v>
      </c>
      <c r="AO34" s="69">
        <f t="shared" si="7"/>
        <v>0</v>
      </c>
      <c r="AP34" s="69">
        <f t="shared" si="8"/>
        <v>0</v>
      </c>
      <c r="AQ34" s="69">
        <f t="shared" si="9"/>
        <v>0</v>
      </c>
      <c r="AR34" s="69">
        <f t="shared" si="10"/>
        <v>0</v>
      </c>
      <c r="AS34" s="409"/>
      <c r="AT34" s="409"/>
      <c r="AU34" s="409"/>
      <c r="AV34" s="65"/>
      <c r="AW34" s="65"/>
      <c r="AX34" s="65"/>
      <c r="AY34" s="65"/>
      <c r="AZ34" s="65"/>
      <c r="BD34" s="65"/>
    </row>
    <row r="35" spans="1:56" s="66" customFormat="1" ht="13.15">
      <c r="A35" s="67" t="s">
        <v>220</v>
      </c>
      <c r="B35" s="67" t="s">
        <v>220</v>
      </c>
      <c r="C35" s="67" t="s">
        <v>147</v>
      </c>
      <c r="D35" s="67" t="s">
        <v>147</v>
      </c>
      <c r="E35" s="67" t="s">
        <v>221</v>
      </c>
      <c r="F35" s="67" t="s">
        <v>34</v>
      </c>
      <c r="G35" s="67" t="s">
        <v>50</v>
      </c>
      <c r="H35" s="67" t="s">
        <v>50</v>
      </c>
      <c r="I35" s="67"/>
      <c r="J35" s="67" t="s">
        <v>79</v>
      </c>
      <c r="K35" s="66" t="s">
        <v>222</v>
      </c>
      <c r="L35" s="66" t="s">
        <v>223</v>
      </c>
      <c r="M35" s="372">
        <v>171</v>
      </c>
      <c r="N35" s="77">
        <f t="shared" si="11"/>
        <v>171</v>
      </c>
      <c r="O35" s="69">
        <v>5381.37</v>
      </c>
      <c r="P35" s="91">
        <v>45170</v>
      </c>
      <c r="Q35" s="72">
        <v>33.4</v>
      </c>
      <c r="R35" s="81">
        <v>19.87</v>
      </c>
      <c r="S35" s="354">
        <v>0.59491017964071857</v>
      </c>
      <c r="T35">
        <v>2.5099999999999998</v>
      </c>
      <c r="U35" s="81">
        <f t="shared" si="1"/>
        <v>0</v>
      </c>
      <c r="V35" s="81" cm="1">
        <f t="array" ref="V35">_xlfn.IFS('Fiscal by Program'!$B$7&lt;10.61,0,'Fiscal by Program'!$B$7&gt;10.6,(ROUND('Fiscal by Program'!$B$7*(1+IF(D35="Yes",'Fiscal by Program'!$B$9,'Fiscal by Program'!$B$8))*T35,2)))</f>
        <v>0</v>
      </c>
      <c r="W35" s="81">
        <f t="shared" si="2"/>
        <v>0</v>
      </c>
      <c r="X35" s="81">
        <f>ROUND((R35/(1+IF(D35="Yes",'Fiscal by Program'!$B$9,'Fiscal by Program'!$B$8))),2)+0.01</f>
        <v>17.950000000000003</v>
      </c>
      <c r="Y35" s="81">
        <f t="shared" si="3"/>
        <v>33.4</v>
      </c>
      <c r="Z35" s="87">
        <v>96</v>
      </c>
      <c r="AA35" s="89">
        <f t="shared" si="4"/>
        <v>2.614583333333333E-2</v>
      </c>
      <c r="AB35" s="71"/>
      <c r="AC35" s="73">
        <v>0</v>
      </c>
      <c r="AD35" s="67" t="s">
        <v>221</v>
      </c>
      <c r="AE35" s="66">
        <v>1</v>
      </c>
      <c r="AF35" s="66">
        <v>0</v>
      </c>
      <c r="AG35" s="70">
        <f>ROUND(INDEX('All Trends'!D:D,MATCH($AD35,'All Trends'!$C:$C,0)),4)</f>
        <v>1</v>
      </c>
      <c r="AH35" s="70">
        <f>ROUND(INDEX('All Trends'!E:E,MATCH($AD35,'All Trends'!$C:$C,0)),4)</f>
        <v>1</v>
      </c>
      <c r="AI35" s="70">
        <f>ROUND(INDEX('All Trends'!F:F,MATCH($AD35,'All Trends'!$C:$C,0)),4)</f>
        <v>1</v>
      </c>
      <c r="AJ35" s="70">
        <f>ROUND(INDEX('All Trends'!G:G,MATCH($AD35,'All Trends'!$C:$C,0)),4)</f>
        <v>1</v>
      </c>
      <c r="AK35" s="70">
        <f>ROUND(INDEX('All Trends'!H:H,MATCH($AD35,'All Trends'!$C:$C,0)),4)</f>
        <v>1</v>
      </c>
      <c r="AL35" s="68" t="s">
        <v>148</v>
      </c>
      <c r="AM35" s="92">
        <f t="shared" si="5"/>
        <v>429.21</v>
      </c>
      <c r="AN35" s="92">
        <f t="shared" si="6"/>
        <v>429.21</v>
      </c>
      <c r="AO35" s="69">
        <f t="shared" si="7"/>
        <v>0</v>
      </c>
      <c r="AP35" s="69">
        <f t="shared" si="8"/>
        <v>0</v>
      </c>
      <c r="AQ35" s="69">
        <f t="shared" si="9"/>
        <v>0</v>
      </c>
      <c r="AR35" s="69">
        <f t="shared" si="10"/>
        <v>0</v>
      </c>
      <c r="AS35" s="409"/>
      <c r="AT35" s="409"/>
      <c r="AU35" s="409"/>
      <c r="AV35" s="65"/>
      <c r="AW35" s="65"/>
      <c r="AX35" s="65"/>
      <c r="AY35" s="65"/>
      <c r="AZ35" s="65"/>
      <c r="BD35" s="65"/>
    </row>
    <row r="36" spans="1:56" s="66" customFormat="1" ht="13.15">
      <c r="A36" s="67" t="s">
        <v>224</v>
      </c>
      <c r="B36" s="67" t="s">
        <v>224</v>
      </c>
      <c r="C36" s="67" t="s">
        <v>147</v>
      </c>
      <c r="D36" s="67" t="s">
        <v>148</v>
      </c>
      <c r="E36" s="67" t="s">
        <v>221</v>
      </c>
      <c r="F36" s="67" t="s">
        <v>225</v>
      </c>
      <c r="G36" s="67" t="s">
        <v>80</v>
      </c>
      <c r="H36" s="67" t="s">
        <v>80</v>
      </c>
      <c r="I36" s="67"/>
      <c r="J36" s="67" t="s">
        <v>81</v>
      </c>
      <c r="K36" s="66" t="s">
        <v>222</v>
      </c>
      <c r="L36" s="67" t="s">
        <v>226</v>
      </c>
      <c r="M36" s="372">
        <v>99876</v>
      </c>
      <c r="N36" s="77">
        <f t="shared" si="11"/>
        <v>99876</v>
      </c>
      <c r="O36" s="69">
        <v>14691021.050000001</v>
      </c>
      <c r="P36" s="91">
        <v>41760</v>
      </c>
      <c r="Q36" s="72">
        <v>147.12</v>
      </c>
      <c r="R36" s="72">
        <f>Q36*0.523</f>
        <v>76.943760000000012</v>
      </c>
      <c r="S36" s="354">
        <f t="shared" ref="S36:S67" si="12">_xlfn.IFNA(R36/Q36,"")</f>
        <v>0.52300000000000002</v>
      </c>
      <c r="T36">
        <v>7.37</v>
      </c>
      <c r="U36" s="81">
        <f t="shared" si="1"/>
        <v>0</v>
      </c>
      <c r="V36" s="81" cm="1">
        <f t="array" ref="V36">_xlfn.IFS('Fiscal by Program'!$B$7&lt;10.61,0,'Fiscal by Program'!$B$7&gt;10.6,(ROUND('Fiscal by Program'!$B$7*(1+IF(D36="Yes",'Fiscal by Program'!$B$9,'Fiscal by Program'!$B$8))*T36,2)))</f>
        <v>0</v>
      </c>
      <c r="W36" s="81">
        <f t="shared" si="2"/>
        <v>0</v>
      </c>
      <c r="X36" s="81">
        <f>ROUND((R36/(1+IF(D36="Yes",'Fiscal by Program'!$B$9,'Fiscal by Program'!$B$8))),2)+0.01</f>
        <v>69.490000000000009</v>
      </c>
      <c r="Y36" s="81">
        <f t="shared" si="3"/>
        <v>147.12</v>
      </c>
      <c r="Z36" s="87">
        <v>72</v>
      </c>
      <c r="AA36" s="89">
        <f t="shared" si="4"/>
        <v>0.10236111111111111</v>
      </c>
      <c r="AB36" s="71"/>
      <c r="AC36" s="73">
        <v>0</v>
      </c>
      <c r="AD36" s="67" t="s">
        <v>221</v>
      </c>
      <c r="AE36" s="66">
        <v>1</v>
      </c>
      <c r="AF36" s="66">
        <v>0</v>
      </c>
      <c r="AG36" s="70">
        <f>ROUND(INDEX('All Trends'!D:D,MATCH($AD36,'All Trends'!$C:$C,0)),4)</f>
        <v>1</v>
      </c>
      <c r="AH36" s="70">
        <f>ROUND(INDEX('All Trends'!E:E,MATCH($AD36,'All Trends'!$C:$C,0)),4)</f>
        <v>1</v>
      </c>
      <c r="AI36" s="70">
        <f>ROUND(INDEX('All Trends'!F:F,MATCH($AD36,'All Trends'!$C:$C,0)),4)</f>
        <v>1</v>
      </c>
      <c r="AJ36" s="70">
        <f>ROUND(INDEX('All Trends'!G:G,MATCH($AD36,'All Trends'!$C:$C,0)),4)</f>
        <v>1</v>
      </c>
      <c r="AK36" s="70">
        <f>ROUND(INDEX('All Trends'!H:H,MATCH($AD36,'All Trends'!$C:$C,0)),4)</f>
        <v>1</v>
      </c>
      <c r="AL36" s="68" t="s">
        <v>148</v>
      </c>
      <c r="AM36" s="92">
        <f t="shared" si="5"/>
        <v>736086.12</v>
      </c>
      <c r="AN36" s="92">
        <f t="shared" si="6"/>
        <v>736086.12</v>
      </c>
      <c r="AO36" s="69">
        <f t="shared" si="7"/>
        <v>0</v>
      </c>
      <c r="AP36" s="69">
        <f t="shared" si="8"/>
        <v>0</v>
      </c>
      <c r="AQ36" s="69">
        <f t="shared" si="9"/>
        <v>0</v>
      </c>
      <c r="AR36" s="69">
        <f t="shared" si="10"/>
        <v>0</v>
      </c>
      <c r="AS36" s="409"/>
      <c r="AT36" s="409"/>
      <c r="AU36" s="409"/>
      <c r="AV36" s="65"/>
      <c r="AW36" s="65"/>
      <c r="AX36" s="65"/>
      <c r="AY36" s="65"/>
      <c r="AZ36" s="65"/>
      <c r="BD36" s="65"/>
    </row>
    <row r="37" spans="1:56" s="66" customFormat="1" ht="13.15">
      <c r="A37" s="67" t="s">
        <v>227</v>
      </c>
      <c r="B37" s="67" t="s">
        <v>227</v>
      </c>
      <c r="C37" s="67" t="s">
        <v>147</v>
      </c>
      <c r="D37" s="67" t="s">
        <v>148</v>
      </c>
      <c r="E37" s="67" t="s">
        <v>221</v>
      </c>
      <c r="F37" s="67" t="s">
        <v>162</v>
      </c>
      <c r="G37" s="67" t="s">
        <v>228</v>
      </c>
      <c r="H37" s="67" t="s">
        <v>228</v>
      </c>
      <c r="I37" s="67"/>
      <c r="J37" s="67" t="s">
        <v>83</v>
      </c>
      <c r="K37" s="66" t="s">
        <v>222</v>
      </c>
      <c r="L37" s="67" t="s">
        <v>229</v>
      </c>
      <c r="M37" s="372">
        <v>9290</v>
      </c>
      <c r="N37" s="77">
        <f t="shared" si="11"/>
        <v>9290</v>
      </c>
      <c r="O37" s="69">
        <v>64145.7</v>
      </c>
      <c r="P37" s="91">
        <v>44287</v>
      </c>
      <c r="Q37" s="72">
        <v>5.6</v>
      </c>
      <c r="R37" s="72">
        <f>Q37*0.825</f>
        <v>4.6199999999999992</v>
      </c>
      <c r="S37" s="354">
        <f t="shared" si="12"/>
        <v>0.82499999999999996</v>
      </c>
      <c r="T37">
        <v>0.25</v>
      </c>
      <c r="U37" s="81">
        <f t="shared" si="1"/>
        <v>0</v>
      </c>
      <c r="V37" s="81" cm="1">
        <f t="array" ref="V37">_xlfn.IFS('Fiscal by Program'!$B$7&lt;10.61,0,'Fiscal by Program'!$B$7&gt;10.6,(ROUND('Fiscal by Program'!$B$7*(1+IF(D37="Yes",'Fiscal by Program'!$B$9,'Fiscal by Program'!$B$8))*T37,2)))</f>
        <v>0</v>
      </c>
      <c r="W37" s="81">
        <f t="shared" si="2"/>
        <v>0</v>
      </c>
      <c r="X37" s="81">
        <f>ROUND((R37/(1+IF(D37="Yes",'Fiscal by Program'!$B$9,'Fiscal by Program'!$B$8))),2)+0.01</f>
        <v>4.18</v>
      </c>
      <c r="Y37" s="81">
        <f t="shared" si="3"/>
        <v>5.6</v>
      </c>
      <c r="Z37" s="87">
        <v>1</v>
      </c>
      <c r="AA37" s="89">
        <f t="shared" si="4"/>
        <v>0.25</v>
      </c>
      <c r="AB37" s="71"/>
      <c r="AC37" s="73">
        <v>0</v>
      </c>
      <c r="AD37" s="67" t="s">
        <v>221</v>
      </c>
      <c r="AE37" s="66">
        <v>1</v>
      </c>
      <c r="AF37" s="66">
        <v>0</v>
      </c>
      <c r="AG37" s="70">
        <f>ROUND(INDEX('All Trends'!D:D,MATCH($AD37,'All Trends'!$C:$C,0)),4)</f>
        <v>1</v>
      </c>
      <c r="AH37" s="70">
        <f>ROUND(INDEX('All Trends'!E:E,MATCH($AD37,'All Trends'!$C:$C,0)),4)</f>
        <v>1</v>
      </c>
      <c r="AI37" s="70">
        <f>ROUND(INDEX('All Trends'!F:F,MATCH($AD37,'All Trends'!$C:$C,0)),4)</f>
        <v>1</v>
      </c>
      <c r="AJ37" s="70">
        <f>ROUND(INDEX('All Trends'!G:G,MATCH($AD37,'All Trends'!$C:$C,0)),4)</f>
        <v>1</v>
      </c>
      <c r="AK37" s="70">
        <f>ROUND(INDEX('All Trends'!H:H,MATCH($AD37,'All Trends'!$C:$C,0)),4)</f>
        <v>1</v>
      </c>
      <c r="AL37" s="68" t="s">
        <v>148</v>
      </c>
      <c r="AM37" s="92">
        <f t="shared" si="5"/>
        <v>2322.5</v>
      </c>
      <c r="AN37" s="92">
        <f t="shared" si="6"/>
        <v>2322.5</v>
      </c>
      <c r="AO37" s="69">
        <f t="shared" si="7"/>
        <v>0</v>
      </c>
      <c r="AP37" s="69">
        <f t="shared" si="8"/>
        <v>0</v>
      </c>
      <c r="AQ37" s="69">
        <f t="shared" si="9"/>
        <v>0</v>
      </c>
      <c r="AR37" s="69">
        <f t="shared" si="10"/>
        <v>0</v>
      </c>
      <c r="AS37" s="409"/>
      <c r="AT37" s="409"/>
      <c r="AU37" s="409"/>
      <c r="AV37" s="65"/>
      <c r="AW37" s="65"/>
      <c r="AX37" s="65"/>
      <c r="AY37" s="65"/>
      <c r="AZ37" s="65"/>
      <c r="BD37" s="65"/>
    </row>
    <row r="38" spans="1:56" s="66" customFormat="1" ht="13.15">
      <c r="A38" s="78" t="s">
        <v>230</v>
      </c>
      <c r="B38" s="78" t="s">
        <v>230</v>
      </c>
      <c r="C38" s="78" t="s">
        <v>147</v>
      </c>
      <c r="D38" s="78" t="s">
        <v>148</v>
      </c>
      <c r="E38" s="67" t="s">
        <v>231</v>
      </c>
      <c r="F38" s="67" t="s">
        <v>162</v>
      </c>
      <c r="G38" s="67" t="str">
        <f>INDEX('[4]RT Description to Bill Matix'!$D:$D,MATCH(A38,'[4]RT Description to Bill Matix'!$M:$M,0))</f>
        <v>PAS/HAB (CFC) and Transportation</v>
      </c>
      <c r="H38" s="65" t="s">
        <v>232</v>
      </c>
      <c r="I38" s="65"/>
      <c r="J38" s="65" t="str" cm="1">
        <f t="array" ref="J38">INDEX('Rate Table Service Desc XWalk'!F:F,MATCH(1,(G38='Rate Table Service Desc XWalk'!B:B)*(E38='Rate Table Service Desc XWalk'!A:A),0))</f>
        <v>3-1-79</v>
      </c>
      <c r="K38" s="66" t="str">
        <f>INDEX('[5]Combined Bill Code List'!$A:$A,MATCH(A38,'[5]Combined Bill Code List'!$F:$F,0))</f>
        <v>State Plan (Title XIX)</v>
      </c>
      <c r="L38" s="66" t="str">
        <f>INDEX('[6]Rate History'!$P:$P,MATCH(A38,'[6]Rate History'!$F:$F,0))</f>
        <v>1 hour</v>
      </c>
      <c r="M38" s="77">
        <f>INDEX('[7]PDF DB Service Pivot'!$C:$C,MATCH(B38,'[7]PDF DB Service Pivot'!$B:$B,0))</f>
        <v>1668316.38</v>
      </c>
      <c r="N38" s="77">
        <f t="shared" si="11"/>
        <v>1668316.38</v>
      </c>
      <c r="O38" s="76">
        <f>INDEX('[7]PDF DB Service Pivot'!$D:$D,MATCH(B38,'[7]PDF DB Service Pivot'!$B:$B,0))</f>
        <v>31345023.690000001</v>
      </c>
      <c r="P38" s="91">
        <v>45170</v>
      </c>
      <c r="Q38" s="81">
        <v>18.36</v>
      </c>
      <c r="R38" s="81">
        <v>15.15</v>
      </c>
      <c r="S38" s="354">
        <f t="shared" si="12"/>
        <v>0.82516339869281052</v>
      </c>
      <c r="T38">
        <v>1</v>
      </c>
      <c r="U38" s="81">
        <f t="shared" si="1"/>
        <v>0</v>
      </c>
      <c r="V38" s="81" cm="1">
        <f t="array" ref="V38">_xlfn.IFS('Fiscal by Program'!$B$7&lt;10.61,0,'Fiscal by Program'!$B$7&gt;10.6,(ROUND('Fiscal by Program'!$B$7*(1+IF(D38="Yes",'Fiscal by Program'!$B$9,'Fiscal by Program'!$B$8))*T38,2)))</f>
        <v>0</v>
      </c>
      <c r="W38" s="81">
        <f t="shared" si="2"/>
        <v>0</v>
      </c>
      <c r="X38" s="81">
        <f>ROUND((R38/(1+IF(D38="Yes",'Fiscal by Program'!$B$9,'Fiscal by Program'!$B$8))),2)+0.01</f>
        <v>13.69</v>
      </c>
      <c r="Y38" s="81">
        <f t="shared" si="3"/>
        <v>18.36</v>
      </c>
      <c r="Z38" s="88">
        <v>4</v>
      </c>
      <c r="AA38" s="90">
        <f t="shared" si="4"/>
        <v>0.25</v>
      </c>
      <c r="AB38" s="75">
        <f>INDEX('[9]Service List'!$K:$K,MATCH(A38,'[9]Service List'!$F:$F,0))</f>
        <v>284</v>
      </c>
      <c r="AC38" s="73" t="str">
        <f>INDEX('[5]Combined Bill Code List'!$P:$P,MATCH(A38,'[5]Combined Bill Code List'!$F:$F,0))</f>
        <v>CFC</v>
      </c>
      <c r="AD38" s="80" t="s">
        <v>231</v>
      </c>
      <c r="AE38" s="79">
        <v>1</v>
      </c>
      <c r="AF38" s="66">
        <v>-0.06</v>
      </c>
      <c r="AG38" s="70">
        <f>ROUND(INDEX('All Trends'!D:D,MATCH($AD38,'All Trends'!$C:$C,0)),4)</f>
        <v>0.99270000000000003</v>
      </c>
      <c r="AH38" s="70">
        <f>ROUND(INDEX('All Trends'!E:E,MATCH($AD38,'All Trends'!$C:$C,0)),4)</f>
        <v>1.0091000000000001</v>
      </c>
      <c r="AI38" s="70">
        <f>ROUND(INDEX('All Trends'!F:F,MATCH($AD38,'All Trends'!$C:$C,0)),4)</f>
        <v>1.0519000000000001</v>
      </c>
      <c r="AJ38" s="70">
        <f>ROUND(INDEX('All Trends'!G:G,MATCH($AD38,'All Trends'!$C:$C,0)),4)</f>
        <v>1.0519000000000001</v>
      </c>
      <c r="AK38" s="70">
        <f>ROUND(INDEX('All Trends'!H:H,MATCH($AD38,'All Trends'!$C:$C,0)),4)</f>
        <v>1.0519000000000001</v>
      </c>
      <c r="AL38" s="74" t="s">
        <v>148</v>
      </c>
      <c r="AM38" s="92">
        <f t="shared" si="5"/>
        <v>1754902</v>
      </c>
      <c r="AN38" s="92">
        <f t="shared" si="6"/>
        <v>1754902</v>
      </c>
      <c r="AO38" s="69">
        <f t="shared" si="7"/>
        <v>0</v>
      </c>
      <c r="AP38" s="69">
        <f t="shared" si="8"/>
        <v>0</v>
      </c>
      <c r="AQ38" s="69">
        <f t="shared" si="9"/>
        <v>0</v>
      </c>
      <c r="AR38" s="69">
        <f t="shared" si="10"/>
        <v>0</v>
      </c>
      <c r="AS38" s="409"/>
      <c r="AT38" s="409"/>
      <c r="AU38" s="409"/>
      <c r="AV38" s="65"/>
      <c r="AW38" s="65"/>
      <c r="AX38" s="65"/>
      <c r="AY38" s="65"/>
      <c r="AZ38" s="65"/>
      <c r="BD38" s="65"/>
    </row>
    <row r="39" spans="1:56" s="66" customFormat="1" ht="13.15">
      <c r="A39" s="78" t="s">
        <v>233</v>
      </c>
      <c r="B39" s="78" t="s">
        <v>233</v>
      </c>
      <c r="C39" s="78" t="s">
        <v>147</v>
      </c>
      <c r="D39" s="78" t="s">
        <v>148</v>
      </c>
      <c r="E39" s="67" t="s">
        <v>231</v>
      </c>
      <c r="F39" s="67" t="s">
        <v>162</v>
      </c>
      <c r="G39" s="67" t="str">
        <f>INDEX('[4]RT Description to Bill Matix'!$D:$D,MATCH(A39,'[4]RT Description to Bill Matix'!$M:$M,0))</f>
        <v>PAS/HAB (CFC) and Transportation</v>
      </c>
      <c r="H39" s="65" t="s">
        <v>234</v>
      </c>
      <c r="I39" s="65"/>
      <c r="J39" s="65" t="str" cm="1">
        <f t="array" ref="J39">INDEX('Rate Table Service Desc XWalk'!F:F,MATCH(1,(G39='Rate Table Service Desc XWalk'!B:B)*(E39='Rate Table Service Desc XWalk'!A:A),0))</f>
        <v>3-1-79</v>
      </c>
      <c r="K39" s="66" t="str">
        <f>INDEX('[5]Combined Bill Code List'!$A:$A,MATCH(A39,'[5]Combined Bill Code List'!$F:$F,0))</f>
        <v>State Plan (Title XIX)</v>
      </c>
      <c r="L39" s="66" t="str">
        <f>INDEX('[6]Rate History'!$P:$P,MATCH(A39,'[6]Rate History'!$F:$F,0))</f>
        <v>1 hour</v>
      </c>
      <c r="M39" s="77">
        <f>INDEX('[7]PDF DB Service Pivot'!$C:$C,MATCH(B39,'[7]PDF DB Service Pivot'!$B:$B,0))</f>
        <v>21089.25</v>
      </c>
      <c r="N39" s="77">
        <f t="shared" si="11"/>
        <v>21089.25</v>
      </c>
      <c r="O39" s="76">
        <f>INDEX('[7]PDF DB Service Pivot'!$D:$D,MATCH(B39,'[7]PDF DB Service Pivot'!$B:$B,0))</f>
        <v>393767.36</v>
      </c>
      <c r="P39" s="91">
        <v>45170</v>
      </c>
      <c r="Q39" s="81">
        <v>18.36</v>
      </c>
      <c r="R39" s="81">
        <v>15.15</v>
      </c>
      <c r="S39" s="354">
        <f t="shared" si="12"/>
        <v>0.82516339869281052</v>
      </c>
      <c r="T39">
        <v>1</v>
      </c>
      <c r="U39" s="81">
        <f t="shared" si="1"/>
        <v>0</v>
      </c>
      <c r="V39" s="81" cm="1">
        <f t="array" ref="V39">_xlfn.IFS('Fiscal by Program'!$B$7&lt;10.61,0,'Fiscal by Program'!$B$7&gt;10.6,(ROUND('Fiscal by Program'!$B$7*(1+IF(D39="Yes",'Fiscal by Program'!$B$9,'Fiscal by Program'!$B$8))*T39,2)))</f>
        <v>0</v>
      </c>
      <c r="W39" s="81">
        <f t="shared" si="2"/>
        <v>0</v>
      </c>
      <c r="X39" s="81">
        <f>ROUND((R39/(1+IF(D39="Yes",'Fiscal by Program'!$B$9,'Fiscal by Program'!$B$8))),2)+0.01</f>
        <v>13.69</v>
      </c>
      <c r="Y39" s="81">
        <f t="shared" si="3"/>
        <v>18.36</v>
      </c>
      <c r="Z39" s="88">
        <v>4</v>
      </c>
      <c r="AA39" s="90">
        <f t="shared" si="4"/>
        <v>0.25</v>
      </c>
      <c r="AB39" s="75">
        <f>INDEX('[9]Service List'!$K:$K,MATCH(A39,'[9]Service List'!$F:$F,0))</f>
        <v>285</v>
      </c>
      <c r="AC39" s="73" t="str">
        <f>INDEX('[5]Combined Bill Code List'!$P:$P,MATCH(A39,'[5]Combined Bill Code List'!$F:$F,0))</f>
        <v>CFC</v>
      </c>
      <c r="AD39" s="80" t="s">
        <v>231</v>
      </c>
      <c r="AE39" s="79">
        <v>1</v>
      </c>
      <c r="AF39" s="66">
        <v>-0.06</v>
      </c>
      <c r="AG39" s="70">
        <f>ROUND(INDEX('All Trends'!D:D,MATCH($AD39,'All Trends'!$C:$C,0)),4)</f>
        <v>0.99270000000000003</v>
      </c>
      <c r="AH39" s="70">
        <f>ROUND(INDEX('All Trends'!E:E,MATCH($AD39,'All Trends'!$C:$C,0)),4)</f>
        <v>1.0091000000000001</v>
      </c>
      <c r="AI39" s="70">
        <f>ROUND(INDEX('All Trends'!F:F,MATCH($AD39,'All Trends'!$C:$C,0)),4)</f>
        <v>1.0519000000000001</v>
      </c>
      <c r="AJ39" s="70">
        <f>ROUND(INDEX('All Trends'!G:G,MATCH($AD39,'All Trends'!$C:$C,0)),4)</f>
        <v>1.0519000000000001</v>
      </c>
      <c r="AK39" s="70">
        <f>ROUND(INDEX('All Trends'!H:H,MATCH($AD39,'All Trends'!$C:$C,0)),4)</f>
        <v>1.0519000000000001</v>
      </c>
      <c r="AL39" s="74" t="s">
        <v>148</v>
      </c>
      <c r="AM39" s="92">
        <f t="shared" si="5"/>
        <v>22183.78</v>
      </c>
      <c r="AN39" s="92">
        <f t="shared" si="6"/>
        <v>22183.78</v>
      </c>
      <c r="AO39" s="69">
        <f t="shared" si="7"/>
        <v>0</v>
      </c>
      <c r="AP39" s="69">
        <f t="shared" si="8"/>
        <v>0</v>
      </c>
      <c r="AQ39" s="69">
        <f t="shared" si="9"/>
        <v>0</v>
      </c>
      <c r="AR39" s="69">
        <f t="shared" si="10"/>
        <v>0</v>
      </c>
      <c r="AS39" s="409"/>
      <c r="AT39" s="409"/>
      <c r="AU39" s="409"/>
      <c r="AV39" s="65"/>
      <c r="AW39" s="65"/>
      <c r="AX39" s="65"/>
      <c r="AY39" s="65"/>
      <c r="AZ39" s="65"/>
      <c r="BD39" s="65"/>
    </row>
    <row r="40" spans="1:56" s="66" customFormat="1" ht="13.15">
      <c r="A40" s="78" t="s">
        <v>235</v>
      </c>
      <c r="B40" s="78" t="s">
        <v>235</v>
      </c>
      <c r="C40" s="78" t="s">
        <v>147</v>
      </c>
      <c r="D40" s="78" t="s">
        <v>148</v>
      </c>
      <c r="E40" s="67" t="s">
        <v>231</v>
      </c>
      <c r="F40" s="67" t="s">
        <v>162</v>
      </c>
      <c r="G40" s="67" t="str">
        <f>INDEX('[4]RT Description to Bill Matix'!$D:$D,MATCH(A40,'[4]RT Description to Bill Matix'!$M:$M,0))</f>
        <v>CDS PAS/HAB (CFC) and Transportation</v>
      </c>
      <c r="H40" s="65" t="s">
        <v>236</v>
      </c>
      <c r="I40" s="65" t="s">
        <v>147</v>
      </c>
      <c r="J40" s="65" t="str" cm="1">
        <f t="array" ref="J40">INDEX('Rate Table Service Desc XWalk'!F:F,MATCH(1,(G40='Rate Table Service Desc XWalk'!B:B)*(E40='Rate Table Service Desc XWalk'!A:A),0))</f>
        <v>3-5-143</v>
      </c>
      <c r="K40" s="66" t="str">
        <f>INDEX('[5]Combined Bill Code List'!$A:$A,MATCH(A40,'[5]Combined Bill Code List'!$F:$F,0))</f>
        <v>State Plan (Title XIX)</v>
      </c>
      <c r="L40" s="66" t="str">
        <f>INDEX('[6]Rate History'!$P:$P,MATCH(A40,'[6]Rate History'!$F:$F,0))</f>
        <v>1 hour</v>
      </c>
      <c r="M40" s="77">
        <f>INDEX('[7]PDF DB Service Pivot'!$C:$C,MATCH(B40,'[7]PDF DB Service Pivot'!$B:$B,0))</f>
        <v>61516838.409999996</v>
      </c>
      <c r="N40" s="77">
        <f t="shared" si="11"/>
        <v>2693381.7167250435</v>
      </c>
      <c r="O40" s="76">
        <f>INDEX('[7]PDF DB Service Pivot'!$D:$D,MATCH(B40,'[7]PDF DB Service Pivot'!$B:$B,0))</f>
        <v>61516838.409999996</v>
      </c>
      <c r="P40" s="91">
        <v>45170</v>
      </c>
      <c r="Q40" s="81">
        <v>22.84</v>
      </c>
      <c r="R40" s="81">
        <v>18.84</v>
      </c>
      <c r="S40" s="354">
        <f t="shared" si="12"/>
        <v>0.82486865148861643</v>
      </c>
      <c r="T40">
        <v>1</v>
      </c>
      <c r="U40" s="81">
        <f t="shared" si="1"/>
        <v>0</v>
      </c>
      <c r="V40" s="81" cm="1">
        <f t="array" ref="V40">_xlfn.IFS('Fiscal by Program'!$B$7&lt;10.61,0,'Fiscal by Program'!$B$7&gt;10.6,(ROUND('Fiscal by Program'!$B$7*(1+IF(D40="Yes",'Fiscal by Program'!$B$9,'Fiscal by Program'!$B$8))*T40,2)))</f>
        <v>0</v>
      </c>
      <c r="W40" s="81">
        <f t="shared" si="2"/>
        <v>0</v>
      </c>
      <c r="X40" s="81">
        <f>ROUND((R40/(1+IF(D40="Yes",'Fiscal by Program'!$B$9,'Fiscal by Program'!$B$8))),2)+0.01</f>
        <v>17.020000000000003</v>
      </c>
      <c r="Y40" s="81">
        <f t="shared" si="3"/>
        <v>22.84</v>
      </c>
      <c r="Z40" s="88">
        <v>4</v>
      </c>
      <c r="AA40" s="90">
        <f t="shared" si="4"/>
        <v>0.25</v>
      </c>
      <c r="AB40" s="75">
        <f>INDEX('[9]Service List'!$K:$K,MATCH(A40,'[9]Service List'!$F:$F,0))</f>
        <v>282</v>
      </c>
      <c r="AC40" s="73" t="str">
        <f>INDEX('[5]Combined Bill Code List'!$P:$P,MATCH(A40,'[5]Combined Bill Code List'!$F:$F,0))</f>
        <v>CFC</v>
      </c>
      <c r="AD40" s="80" t="s">
        <v>231</v>
      </c>
      <c r="AE40" s="79">
        <v>1</v>
      </c>
      <c r="AF40" s="66">
        <v>-0.06</v>
      </c>
      <c r="AG40" s="70">
        <f>ROUND(INDEX('All Trends'!D:D,MATCH($AD40,'All Trends'!$C:$C,0)),4)</f>
        <v>0.99270000000000003</v>
      </c>
      <c r="AH40" s="70">
        <f>ROUND(INDEX('All Trends'!E:E,MATCH($AD40,'All Trends'!$C:$C,0)),4)</f>
        <v>1.0091000000000001</v>
      </c>
      <c r="AI40" s="70">
        <f>ROUND(INDEX('All Trends'!F:F,MATCH($AD40,'All Trends'!$C:$C,0)),4)</f>
        <v>1.0519000000000001</v>
      </c>
      <c r="AJ40" s="70">
        <f>ROUND(INDEX('All Trends'!G:G,MATCH($AD40,'All Trends'!$C:$C,0)),4)</f>
        <v>1.0519000000000001</v>
      </c>
      <c r="AK40" s="70">
        <f>ROUND(INDEX('All Trends'!H:H,MATCH($AD40,'All Trends'!$C:$C,0)),4)</f>
        <v>1.0519000000000001</v>
      </c>
      <c r="AL40" s="74" t="s">
        <v>148</v>
      </c>
      <c r="AM40" s="92">
        <f t="shared" si="5"/>
        <v>2833168.23</v>
      </c>
      <c r="AN40" s="92">
        <f t="shared" si="6"/>
        <v>2833168.23</v>
      </c>
      <c r="AO40" s="69">
        <f t="shared" si="7"/>
        <v>0</v>
      </c>
      <c r="AP40" s="69">
        <f t="shared" si="8"/>
        <v>0</v>
      </c>
      <c r="AQ40" s="69">
        <f t="shared" si="9"/>
        <v>0</v>
      </c>
      <c r="AR40" s="69">
        <f t="shared" si="10"/>
        <v>0</v>
      </c>
      <c r="AS40" s="409"/>
      <c r="AT40" s="409"/>
      <c r="AU40" s="409"/>
      <c r="AV40" s="65"/>
      <c r="AW40" s="65"/>
      <c r="AX40" s="65"/>
      <c r="AY40" s="65"/>
      <c r="AZ40" s="65"/>
      <c r="BD40" s="65"/>
    </row>
    <row r="41" spans="1:56" s="66" customFormat="1" ht="13.15">
      <c r="A41" s="78" t="s">
        <v>237</v>
      </c>
      <c r="B41" s="78" t="s">
        <v>237</v>
      </c>
      <c r="C41" s="78" t="s">
        <v>147</v>
      </c>
      <c r="D41" s="78" t="s">
        <v>148</v>
      </c>
      <c r="E41" s="67" t="s">
        <v>231</v>
      </c>
      <c r="F41" s="67" t="s">
        <v>162</v>
      </c>
      <c r="G41" s="67" t="str">
        <f>INDEX('[4]RT Description to Bill Matix'!$D:$D,MATCH(A41,'[4]RT Description to Bill Matix'!$M:$M,0))</f>
        <v>CDS PAS/HAB (CFC) and Transportation</v>
      </c>
      <c r="H41" s="65" t="s">
        <v>238</v>
      </c>
      <c r="I41" s="65" t="s">
        <v>147</v>
      </c>
      <c r="J41" s="65" t="str" cm="1">
        <f t="array" ref="J41">INDEX('Rate Table Service Desc XWalk'!F:F,MATCH(1,(G41='Rate Table Service Desc XWalk'!B:B)*(E41='Rate Table Service Desc XWalk'!A:A),0))</f>
        <v>3-5-143</v>
      </c>
      <c r="K41" s="66" t="str">
        <f>INDEX('[5]Combined Bill Code List'!$A:$A,MATCH(A41,'[5]Combined Bill Code List'!$F:$F,0))</f>
        <v>State Plan (Title XIX)</v>
      </c>
      <c r="L41" s="66" t="str">
        <f>INDEX('[6]Rate History'!$P:$P,MATCH(A41,'[6]Rate History'!$F:$F,0))</f>
        <v>1 hour</v>
      </c>
      <c r="M41" s="77">
        <f>INDEX('[7]PDF DB Service Pivot'!$C:$C,MATCH(B41,'[7]PDF DB Service Pivot'!$B:$B,0))</f>
        <v>750317.56</v>
      </c>
      <c r="N41" s="77">
        <f t="shared" si="11"/>
        <v>32851.031523642734</v>
      </c>
      <c r="O41" s="76">
        <f>INDEX('[7]PDF DB Service Pivot'!$D:$D,MATCH(B41,'[7]PDF DB Service Pivot'!$B:$B,0))</f>
        <v>750317.56</v>
      </c>
      <c r="P41" s="91">
        <v>45170</v>
      </c>
      <c r="Q41" s="81">
        <v>22.84</v>
      </c>
      <c r="R41" s="81">
        <v>18.84</v>
      </c>
      <c r="S41" s="354">
        <f t="shared" si="12"/>
        <v>0.82486865148861643</v>
      </c>
      <c r="T41">
        <v>1</v>
      </c>
      <c r="U41" s="81">
        <f t="shared" si="1"/>
        <v>0</v>
      </c>
      <c r="V41" s="81" cm="1">
        <f t="array" ref="V41">_xlfn.IFS('Fiscal by Program'!$B$7&lt;10.61,0,'Fiscal by Program'!$B$7&gt;10.6,(ROUND('Fiscal by Program'!$B$7*(1+IF(D41="Yes",'Fiscal by Program'!$B$9,'Fiscal by Program'!$B$8))*T41,2)))</f>
        <v>0</v>
      </c>
      <c r="W41" s="81">
        <f t="shared" si="2"/>
        <v>0</v>
      </c>
      <c r="X41" s="81">
        <f>ROUND((R41/(1+IF(D41="Yes",'Fiscal by Program'!$B$9,'Fiscal by Program'!$B$8))),2)+0.01</f>
        <v>17.020000000000003</v>
      </c>
      <c r="Y41" s="81">
        <f t="shared" si="3"/>
        <v>22.84</v>
      </c>
      <c r="Z41" s="88">
        <v>4</v>
      </c>
      <c r="AA41" s="90">
        <f t="shared" si="4"/>
        <v>0.25</v>
      </c>
      <c r="AB41" s="75">
        <f>INDEX('[9]Service List'!$K:$K,MATCH(A41,'[9]Service List'!$F:$F,0))</f>
        <v>283</v>
      </c>
      <c r="AC41" s="73" t="str">
        <f>INDEX('[5]Combined Bill Code List'!$P:$P,MATCH(A41,'[5]Combined Bill Code List'!$F:$F,0))</f>
        <v>CFC</v>
      </c>
      <c r="AD41" s="80" t="s">
        <v>231</v>
      </c>
      <c r="AE41" s="79">
        <v>1</v>
      </c>
      <c r="AF41" s="66">
        <v>-0.06</v>
      </c>
      <c r="AG41" s="70">
        <f>ROUND(INDEX('All Trends'!D:D,MATCH($AD41,'All Trends'!$C:$C,0)),4)</f>
        <v>0.99270000000000003</v>
      </c>
      <c r="AH41" s="70">
        <f>ROUND(INDEX('All Trends'!E:E,MATCH($AD41,'All Trends'!$C:$C,0)),4)</f>
        <v>1.0091000000000001</v>
      </c>
      <c r="AI41" s="70">
        <f>ROUND(INDEX('All Trends'!F:F,MATCH($AD41,'All Trends'!$C:$C,0)),4)</f>
        <v>1.0519000000000001</v>
      </c>
      <c r="AJ41" s="70">
        <f>ROUND(INDEX('All Trends'!G:G,MATCH($AD41,'All Trends'!$C:$C,0)),4)</f>
        <v>1.0519000000000001</v>
      </c>
      <c r="AK41" s="70">
        <f>ROUND(INDEX('All Trends'!H:H,MATCH($AD41,'All Trends'!$C:$C,0)),4)</f>
        <v>1.0519000000000001</v>
      </c>
      <c r="AL41" s="74" t="s">
        <v>148</v>
      </c>
      <c r="AM41" s="92">
        <f t="shared" si="5"/>
        <v>34556</v>
      </c>
      <c r="AN41" s="92">
        <f t="shared" si="6"/>
        <v>34556</v>
      </c>
      <c r="AO41" s="69">
        <f t="shared" si="7"/>
        <v>0</v>
      </c>
      <c r="AP41" s="69">
        <f t="shared" si="8"/>
        <v>0</v>
      </c>
      <c r="AQ41" s="69">
        <f t="shared" si="9"/>
        <v>0</v>
      </c>
      <c r="AR41" s="69">
        <f t="shared" si="10"/>
        <v>0</v>
      </c>
      <c r="AS41" s="409"/>
      <c r="AT41" s="409"/>
      <c r="AU41" s="409"/>
      <c r="AV41" s="65"/>
      <c r="AW41" s="65"/>
      <c r="AX41" s="65"/>
      <c r="AY41" s="65"/>
      <c r="AZ41" s="65"/>
      <c r="BD41" s="65"/>
    </row>
    <row r="42" spans="1:56" s="66" customFormat="1" ht="13.15">
      <c r="A42" s="78" t="s">
        <v>239</v>
      </c>
      <c r="B42" s="78" t="s">
        <v>239</v>
      </c>
      <c r="C42" s="78" t="s">
        <v>147</v>
      </c>
      <c r="D42" s="78" t="s">
        <v>148</v>
      </c>
      <c r="E42" s="67" t="s">
        <v>231</v>
      </c>
      <c r="F42" s="67" t="s">
        <v>26</v>
      </c>
      <c r="G42" s="67" t="str">
        <f>INDEX('[4]RT Description to Bill Matix'!$D:$D,MATCH(A42,'[4]RT Description to Bill Matix'!$M:$M,0))</f>
        <v>In Home Respite</v>
      </c>
      <c r="H42" s="65" t="s">
        <v>240</v>
      </c>
      <c r="I42" s="65"/>
      <c r="J42" s="358" t="str" cm="1">
        <f t="array" ref="J42">INDEX('Rate Table Service Desc XWalk'!F:F,MATCH(1,(G42='Rate Table Service Desc XWalk'!B:B)*(E42='Rate Table Service Desc XWalk'!A:A),0))</f>
        <v>3-1-39</v>
      </c>
      <c r="K42" s="66" t="str">
        <f>INDEX('[5]Combined Bill Code List'!$A:$A,MATCH(A42,'[5]Combined Bill Code List'!$F:$F,0))</f>
        <v>1915(c) waiver</v>
      </c>
      <c r="L42" s="66" t="str">
        <f>INDEX('[6]Rate History'!$P:$P,MATCH(A42,'[6]Rate History'!$F:$F,0))</f>
        <v>1 hour</v>
      </c>
      <c r="M42" s="77">
        <f>INDEX('[7]PDF DB Service Pivot'!$C:$C,MATCH(B42,'[7]PDF DB Service Pivot'!$B:$B,0))</f>
        <v>92440.99</v>
      </c>
      <c r="N42" s="77">
        <f t="shared" si="11"/>
        <v>92440.99</v>
      </c>
      <c r="O42" s="76">
        <f>INDEX('[7]PDF DB Service Pivot'!$D:$D,MATCH(B42,'[7]PDF DB Service Pivot'!$B:$B,0))</f>
        <v>1794840.7</v>
      </c>
      <c r="P42" s="91">
        <v>45170</v>
      </c>
      <c r="Q42" s="81">
        <v>20</v>
      </c>
      <c r="R42" s="81">
        <v>11.77</v>
      </c>
      <c r="S42" s="354">
        <f t="shared" si="12"/>
        <v>0.58850000000000002</v>
      </c>
      <c r="T42">
        <v>1</v>
      </c>
      <c r="U42" s="81">
        <f t="shared" si="1"/>
        <v>0</v>
      </c>
      <c r="V42" s="81" cm="1">
        <f t="array" ref="V42">_xlfn.IFS('Fiscal by Program'!$B$7&lt;10.61,0,'Fiscal by Program'!$B$7&gt;10.6,(ROUND('Fiscal by Program'!$B$7*(1+IF(D42="Yes",'Fiscal by Program'!$B$9,'Fiscal by Program'!$B$8))*T42,2)))</f>
        <v>0</v>
      </c>
      <c r="W42" s="81">
        <f t="shared" si="2"/>
        <v>0</v>
      </c>
      <c r="X42" s="81">
        <f>ROUND((R42/(1+IF(D42="Yes",'Fiscal by Program'!$B$9,'Fiscal by Program'!$B$8))),2)+0.01</f>
        <v>10.64</v>
      </c>
      <c r="Y42" s="81">
        <f t="shared" si="3"/>
        <v>20</v>
      </c>
      <c r="Z42" s="88">
        <v>4</v>
      </c>
      <c r="AA42" s="90">
        <f t="shared" si="4"/>
        <v>0.25</v>
      </c>
      <c r="AB42" s="75">
        <f>INDEX('[9]Service List'!$K:$K,MATCH(A42,'[9]Service List'!$F:$F,0))</f>
        <v>394</v>
      </c>
      <c r="AC42" s="73">
        <f>INDEX('[5]Combined Bill Code List'!$P:$P,MATCH(A42,'[5]Combined Bill Code List'!$F:$F,0))</f>
        <v>0</v>
      </c>
      <c r="AD42" s="80" t="s">
        <v>231</v>
      </c>
      <c r="AE42" s="79">
        <v>1</v>
      </c>
      <c r="AF42" s="66">
        <v>0</v>
      </c>
      <c r="AG42" s="70">
        <f>ROUND(INDEX('All Trends'!D:D,MATCH($AD42,'All Trends'!$C:$C,0)),4)</f>
        <v>0.99270000000000003</v>
      </c>
      <c r="AH42" s="70">
        <f>ROUND(INDEX('All Trends'!E:E,MATCH($AD42,'All Trends'!$C:$C,0)),4)</f>
        <v>1.0091000000000001</v>
      </c>
      <c r="AI42" s="70">
        <f>ROUND(INDEX('All Trends'!F:F,MATCH($AD42,'All Trends'!$C:$C,0)),4)</f>
        <v>1.0519000000000001</v>
      </c>
      <c r="AJ42" s="70">
        <f>ROUND(INDEX('All Trends'!G:G,MATCH($AD42,'All Trends'!$C:$C,0)),4)</f>
        <v>1.0519000000000001</v>
      </c>
      <c r="AK42" s="70">
        <f>ROUND(INDEX('All Trends'!H:H,MATCH($AD42,'All Trends'!$C:$C,0)),4)</f>
        <v>1.0519000000000001</v>
      </c>
      <c r="AL42" s="74" t="s">
        <v>148</v>
      </c>
      <c r="AM42" s="92">
        <f t="shared" si="5"/>
        <v>97238.68</v>
      </c>
      <c r="AN42" s="92">
        <f t="shared" si="6"/>
        <v>97238.68</v>
      </c>
      <c r="AO42" s="69">
        <f t="shared" si="7"/>
        <v>0</v>
      </c>
      <c r="AP42" s="69">
        <f t="shared" si="8"/>
        <v>0</v>
      </c>
      <c r="AQ42" s="69">
        <f t="shared" si="9"/>
        <v>0</v>
      </c>
      <c r="AR42" s="69">
        <f t="shared" si="10"/>
        <v>0</v>
      </c>
      <c r="AS42" s="409"/>
      <c r="AT42" s="409"/>
      <c r="AU42" s="409"/>
      <c r="AV42" s="65"/>
      <c r="AW42" s="65"/>
      <c r="AX42" s="65"/>
      <c r="AY42" s="65"/>
      <c r="AZ42" s="65"/>
      <c r="BD42" s="65"/>
    </row>
    <row r="43" spans="1:56" s="66" customFormat="1" ht="13.15">
      <c r="A43" s="78" t="s">
        <v>241</v>
      </c>
      <c r="B43" s="78" t="s">
        <v>241</v>
      </c>
      <c r="C43" s="78" t="s">
        <v>147</v>
      </c>
      <c r="D43" s="78" t="s">
        <v>148</v>
      </c>
      <c r="E43" s="67" t="s">
        <v>231</v>
      </c>
      <c r="F43" s="67" t="s">
        <v>26</v>
      </c>
      <c r="G43" s="67" t="str">
        <f>INDEX('[4]RT Description to Bill Matix'!$D:$D,MATCH(A43,'[4]RT Description to Bill Matix'!$M:$M,0))</f>
        <v>In Home Respite</v>
      </c>
      <c r="H43" s="65" t="s">
        <v>242</v>
      </c>
      <c r="I43" s="65"/>
      <c r="J43" s="358" t="str" cm="1">
        <f t="array" ref="J43">INDEX('Rate Table Service Desc XWalk'!F:F,MATCH(1,(G43='Rate Table Service Desc XWalk'!B:B)*(E43='Rate Table Service Desc XWalk'!A:A),0))</f>
        <v>3-1-39</v>
      </c>
      <c r="K43" s="66" t="str">
        <f>INDEX('[5]Combined Bill Code List'!$A:$A,MATCH(A43,'[5]Combined Bill Code List'!$F:$F,0))</f>
        <v>1915(c) waiver</v>
      </c>
      <c r="L43" s="66" t="str">
        <f>INDEX('[6]Rate History'!$P:$P,MATCH(A43,'[6]Rate History'!$F:$F,0))</f>
        <v>1 hour</v>
      </c>
      <c r="M43" s="77">
        <f>INDEX('[7]PDF DB Service Pivot'!$C:$C,MATCH(B43,'[7]PDF DB Service Pivot'!$B:$B,0))</f>
        <v>12.75</v>
      </c>
      <c r="N43" s="77">
        <f t="shared" si="11"/>
        <v>12.75</v>
      </c>
      <c r="O43" s="76">
        <f>INDEX('[7]PDF DB Service Pivot'!$D:$D,MATCH(B43,'[7]PDF DB Service Pivot'!$B:$B,0))</f>
        <v>256.79000000000002</v>
      </c>
      <c r="P43" s="91">
        <v>45170</v>
      </c>
      <c r="Q43" s="81">
        <v>20</v>
      </c>
      <c r="R43" s="81">
        <v>11.77</v>
      </c>
      <c r="S43" s="354">
        <f t="shared" si="12"/>
        <v>0.58850000000000002</v>
      </c>
      <c r="T43">
        <v>1</v>
      </c>
      <c r="U43" s="81">
        <f t="shared" si="1"/>
        <v>0</v>
      </c>
      <c r="V43" s="81" cm="1">
        <f t="array" ref="V43">_xlfn.IFS('Fiscal by Program'!$B$7&lt;10.61,0,'Fiscal by Program'!$B$7&gt;10.6,(ROUND('Fiscal by Program'!$B$7*(1+IF(D43="Yes",'Fiscal by Program'!$B$9,'Fiscal by Program'!$B$8))*T43,2)))</f>
        <v>0</v>
      </c>
      <c r="W43" s="81">
        <f t="shared" si="2"/>
        <v>0</v>
      </c>
      <c r="X43" s="81">
        <f>ROUND((R43/(1+IF(D43="Yes",'Fiscal by Program'!$B$9,'Fiscal by Program'!$B$8))),2)+0.01</f>
        <v>10.64</v>
      </c>
      <c r="Y43" s="81">
        <f t="shared" si="3"/>
        <v>20</v>
      </c>
      <c r="Z43" s="88">
        <v>4</v>
      </c>
      <c r="AA43" s="90">
        <f t="shared" si="4"/>
        <v>0.25</v>
      </c>
      <c r="AB43" s="75">
        <f>INDEX('[9]Service List'!$K:$K,MATCH(A43,'[9]Service List'!$F:$F,0))</f>
        <v>395</v>
      </c>
      <c r="AC43" s="73">
        <f>INDEX('[5]Combined Bill Code List'!$P:$P,MATCH(A43,'[5]Combined Bill Code List'!$F:$F,0))</f>
        <v>0</v>
      </c>
      <c r="AD43" s="80" t="s">
        <v>231</v>
      </c>
      <c r="AE43" s="79">
        <v>1</v>
      </c>
      <c r="AF43" s="66">
        <v>0</v>
      </c>
      <c r="AG43" s="70">
        <f>ROUND(INDEX('All Trends'!D:D,MATCH($AD43,'All Trends'!$C:$C,0)),4)</f>
        <v>0.99270000000000003</v>
      </c>
      <c r="AH43" s="70">
        <f>ROUND(INDEX('All Trends'!E:E,MATCH($AD43,'All Trends'!$C:$C,0)),4)</f>
        <v>1.0091000000000001</v>
      </c>
      <c r="AI43" s="70">
        <f>ROUND(INDEX('All Trends'!F:F,MATCH($AD43,'All Trends'!$C:$C,0)),4)</f>
        <v>1.0519000000000001</v>
      </c>
      <c r="AJ43" s="70">
        <f>ROUND(INDEX('All Trends'!G:G,MATCH($AD43,'All Trends'!$C:$C,0)),4)</f>
        <v>1.0519000000000001</v>
      </c>
      <c r="AK43" s="70">
        <f>ROUND(INDEX('All Trends'!H:H,MATCH($AD43,'All Trends'!$C:$C,0)),4)</f>
        <v>1.0519000000000001</v>
      </c>
      <c r="AL43" s="74" t="s">
        <v>148</v>
      </c>
      <c r="AM43" s="92">
        <f t="shared" si="5"/>
        <v>13.41</v>
      </c>
      <c r="AN43" s="92">
        <f t="shared" si="6"/>
        <v>13.41</v>
      </c>
      <c r="AO43" s="69">
        <f t="shared" si="7"/>
        <v>0</v>
      </c>
      <c r="AP43" s="69">
        <f t="shared" si="8"/>
        <v>0</v>
      </c>
      <c r="AQ43" s="69">
        <f t="shared" si="9"/>
        <v>0</v>
      </c>
      <c r="AR43" s="69">
        <f t="shared" si="10"/>
        <v>0</v>
      </c>
      <c r="AS43" s="409"/>
      <c r="AT43" s="409"/>
      <c r="AU43" s="409"/>
      <c r="AV43" s="65"/>
      <c r="AW43" s="65"/>
      <c r="AX43" s="65"/>
      <c r="AY43" s="65"/>
      <c r="AZ43" s="65"/>
      <c r="BD43" s="65"/>
    </row>
    <row r="44" spans="1:56" s="66" customFormat="1" ht="13.15">
      <c r="A44" s="78" t="s">
        <v>243</v>
      </c>
      <c r="B44" s="78" t="s">
        <v>243</v>
      </c>
      <c r="C44" s="78" t="s">
        <v>147</v>
      </c>
      <c r="D44" s="78" t="s">
        <v>148</v>
      </c>
      <c r="E44" s="67" t="s">
        <v>231</v>
      </c>
      <c r="F44" s="67" t="s">
        <v>244</v>
      </c>
      <c r="G44" s="67" t="str">
        <f>INDEX('[4]RT Description to Bill Matix'!$D:$D,MATCH(A44,'[4]RT Description to Bill Matix'!$M:$M,0))</f>
        <v>Out-of-Home Respite</v>
      </c>
      <c r="H44" s="65" t="s">
        <v>245</v>
      </c>
      <c r="I44" s="65"/>
      <c r="J44" s="65" t="str" cm="1">
        <f t="array" ref="J44">INDEX('Rate Table Service Desc XWalk'!F:F,MATCH(1,(G44='Rate Table Service Desc XWalk'!B:B)*(E44='Rate Table Service Desc XWalk'!A:A),0))</f>
        <v>3-1-74</v>
      </c>
      <c r="K44" s="66" t="str">
        <f>INDEX('[5]Combined Bill Code List'!$A:$A,MATCH(A44,'[5]Combined Bill Code List'!$F:$F,0))</f>
        <v>1915(c) waiver</v>
      </c>
      <c r="L44" s="66" t="str">
        <f>INDEX('[6]Rate History'!$P:$P,MATCH(A44,'[6]Rate History'!$F:$F,0))</f>
        <v>1 hour</v>
      </c>
      <c r="M44" s="77">
        <f>INDEX('[7]PDF DB Service Pivot'!$C:$C,MATCH(B44,'[7]PDF DB Service Pivot'!$B:$B,0))</f>
        <v>56.75</v>
      </c>
      <c r="N44" s="77">
        <f t="shared" si="11"/>
        <v>56.75</v>
      </c>
      <c r="O44" s="76">
        <f>INDEX('[7]PDF DB Service Pivot'!$D:$D,MATCH(B44,'[7]PDF DB Service Pivot'!$B:$B,0))</f>
        <v>1142.95</v>
      </c>
      <c r="P44" s="91">
        <v>45170</v>
      </c>
      <c r="Q44" s="81">
        <v>18.89</v>
      </c>
      <c r="R44" s="81">
        <v>11.77</v>
      </c>
      <c r="S44" s="354">
        <f t="shared" si="12"/>
        <v>0.62308099523557436</v>
      </c>
      <c r="T44">
        <v>1</v>
      </c>
      <c r="U44" s="81">
        <f t="shared" si="1"/>
        <v>0</v>
      </c>
      <c r="V44" s="81" cm="1">
        <f t="array" ref="V44">_xlfn.IFS('Fiscal by Program'!$B$7&lt;10.61,0,'Fiscal by Program'!$B$7&gt;10.6,(ROUND('Fiscal by Program'!$B$7*(1+IF(D44="Yes",'Fiscal by Program'!$B$9,'Fiscal by Program'!$B$8))*T44,2)))</f>
        <v>0</v>
      </c>
      <c r="W44" s="81">
        <f t="shared" si="2"/>
        <v>0</v>
      </c>
      <c r="X44" s="81">
        <f>ROUND((R44/(1+IF(D44="Yes",'Fiscal by Program'!$B$9,'Fiscal by Program'!$B$8))),2)+0.01</f>
        <v>10.64</v>
      </c>
      <c r="Y44" s="81">
        <f t="shared" si="3"/>
        <v>18.89</v>
      </c>
      <c r="Z44" s="88">
        <v>4</v>
      </c>
      <c r="AA44" s="90">
        <f t="shared" si="4"/>
        <v>0.25</v>
      </c>
      <c r="AB44" s="75">
        <f>INDEX('[9]Service List'!$K:$K,MATCH(A44,'[9]Service List'!$F:$F,0))</f>
        <v>1245</v>
      </c>
      <c r="AC44" s="73">
        <f>INDEX('[5]Combined Bill Code List'!$P:$P,MATCH(A44,'[5]Combined Bill Code List'!$F:$F,0))</f>
        <v>0</v>
      </c>
      <c r="AD44" s="80" t="s">
        <v>231</v>
      </c>
      <c r="AE44" s="79">
        <v>1</v>
      </c>
      <c r="AF44" s="66">
        <v>0</v>
      </c>
      <c r="AG44" s="70">
        <f>ROUND(INDEX('All Trends'!D:D,MATCH($AD44,'All Trends'!$C:$C,0)),4)</f>
        <v>0.99270000000000003</v>
      </c>
      <c r="AH44" s="70">
        <f>ROUND(INDEX('All Trends'!E:E,MATCH($AD44,'All Trends'!$C:$C,0)),4)</f>
        <v>1.0091000000000001</v>
      </c>
      <c r="AI44" s="70">
        <f>ROUND(INDEX('All Trends'!F:F,MATCH($AD44,'All Trends'!$C:$C,0)),4)</f>
        <v>1.0519000000000001</v>
      </c>
      <c r="AJ44" s="70">
        <f>ROUND(INDEX('All Trends'!G:G,MATCH($AD44,'All Trends'!$C:$C,0)),4)</f>
        <v>1.0519000000000001</v>
      </c>
      <c r="AK44" s="70">
        <f>ROUND(INDEX('All Trends'!H:H,MATCH($AD44,'All Trends'!$C:$C,0)),4)</f>
        <v>1.0519000000000001</v>
      </c>
      <c r="AL44" s="74" t="s">
        <v>148</v>
      </c>
      <c r="AM44" s="92">
        <f t="shared" si="5"/>
        <v>59.7</v>
      </c>
      <c r="AN44" s="92">
        <f t="shared" si="6"/>
        <v>59.7</v>
      </c>
      <c r="AO44" s="69">
        <f t="shared" si="7"/>
        <v>0</v>
      </c>
      <c r="AP44" s="69">
        <f t="shared" si="8"/>
        <v>0</v>
      </c>
      <c r="AQ44" s="69">
        <f t="shared" si="9"/>
        <v>0</v>
      </c>
      <c r="AR44" s="69">
        <f t="shared" si="10"/>
        <v>0</v>
      </c>
      <c r="AS44" s="409"/>
      <c r="AT44" s="409"/>
      <c r="AU44" s="409"/>
      <c r="AV44" s="65"/>
      <c r="AW44" s="65"/>
      <c r="AX44" s="65"/>
      <c r="AY44" s="65"/>
      <c r="AZ44" s="65"/>
      <c r="BD44" s="65"/>
    </row>
    <row r="45" spans="1:56" s="66" customFormat="1" ht="13.15">
      <c r="A45" s="78" t="s">
        <v>246</v>
      </c>
      <c r="B45" s="78" t="s">
        <v>246</v>
      </c>
      <c r="C45" s="78" t="s">
        <v>147</v>
      </c>
      <c r="D45" s="78" t="s">
        <v>148</v>
      </c>
      <c r="E45" s="67" t="s">
        <v>231</v>
      </c>
      <c r="F45" s="67" t="s">
        <v>26</v>
      </c>
      <c r="G45" s="67" t="str">
        <f>INDEX('[4]RT Description to Bill Matix'!$D:$D,MATCH(A45,'[4]RT Description to Bill Matix'!$M:$M,0))</f>
        <v>In Home Respite</v>
      </c>
      <c r="H45" s="65" t="s">
        <v>247</v>
      </c>
      <c r="I45" s="65"/>
      <c r="J45" s="358" t="str" cm="1">
        <f t="array" ref="J45">INDEX('Rate Table Service Desc XWalk'!F:F,MATCH(1,(G45='Rate Table Service Desc XWalk'!B:B)*(E45='Rate Table Service Desc XWalk'!A:A),0))</f>
        <v>3-1-39</v>
      </c>
      <c r="K45" s="66" t="str">
        <f>INDEX('[5]Combined Bill Code List'!$A:$A,MATCH(A45,'[5]Combined Bill Code List'!$F:$F,0))</f>
        <v>1915(c) waiver</v>
      </c>
      <c r="L45" s="66" t="str">
        <f>INDEX('[6]Rate History'!$P:$P,MATCH(A45,'[6]Rate History'!$F:$F,0))</f>
        <v>1 hour</v>
      </c>
      <c r="M45" s="77">
        <f>INDEX('[7]PDF DB Service Pivot'!$C:$C,MATCH(B45,'[7]PDF DB Service Pivot'!$B:$B,0))</f>
        <v>1007.75</v>
      </c>
      <c r="N45" s="77">
        <f t="shared" si="11"/>
        <v>1007.75</v>
      </c>
      <c r="O45" s="76">
        <f>INDEX('[7]PDF DB Service Pivot'!$D:$D,MATCH(B45,'[7]PDF DB Service Pivot'!$B:$B,0))</f>
        <v>19883.73</v>
      </c>
      <c r="P45" s="91">
        <v>45170</v>
      </c>
      <c r="Q45" s="81">
        <v>18.89</v>
      </c>
      <c r="R45" s="81">
        <v>11.77</v>
      </c>
      <c r="S45" s="354">
        <f t="shared" si="12"/>
        <v>0.62308099523557436</v>
      </c>
      <c r="T45">
        <v>1</v>
      </c>
      <c r="U45" s="81">
        <f t="shared" si="1"/>
        <v>0</v>
      </c>
      <c r="V45" s="81" cm="1">
        <f t="array" ref="V45">_xlfn.IFS('Fiscal by Program'!$B$7&lt;10.61,0,'Fiscal by Program'!$B$7&gt;10.6,(ROUND('Fiscal by Program'!$B$7*(1+IF(D45="Yes",'Fiscal by Program'!$B$9,'Fiscal by Program'!$B$8))*T45,2)))</f>
        <v>0</v>
      </c>
      <c r="W45" s="81">
        <f t="shared" si="2"/>
        <v>0</v>
      </c>
      <c r="X45" s="81">
        <f>ROUND((R45/(1+IF(D45="Yes",'Fiscal by Program'!$B$9,'Fiscal by Program'!$B$8))),2)+0.01</f>
        <v>10.64</v>
      </c>
      <c r="Y45" s="81">
        <f t="shared" si="3"/>
        <v>18.89</v>
      </c>
      <c r="Z45" s="88">
        <v>4</v>
      </c>
      <c r="AA45" s="90">
        <f t="shared" si="4"/>
        <v>0.25</v>
      </c>
      <c r="AB45" s="75">
        <f>INDEX('[9]Service List'!$K:$K,MATCH(A45,'[9]Service List'!$F:$F,0))</f>
        <v>1246</v>
      </c>
      <c r="AC45" s="73">
        <f>INDEX('[5]Combined Bill Code List'!$P:$P,MATCH(A45,'[5]Combined Bill Code List'!$F:$F,0))</f>
        <v>0</v>
      </c>
      <c r="AD45" s="80" t="s">
        <v>231</v>
      </c>
      <c r="AE45" s="79">
        <v>1</v>
      </c>
      <c r="AF45" s="66">
        <v>0</v>
      </c>
      <c r="AG45" s="70">
        <f>ROUND(INDEX('All Trends'!D:D,MATCH($AD45,'All Trends'!$C:$C,0)),4)</f>
        <v>0.99270000000000003</v>
      </c>
      <c r="AH45" s="70">
        <f>ROUND(INDEX('All Trends'!E:E,MATCH($AD45,'All Trends'!$C:$C,0)),4)</f>
        <v>1.0091000000000001</v>
      </c>
      <c r="AI45" s="70">
        <f>ROUND(INDEX('All Trends'!F:F,MATCH($AD45,'All Trends'!$C:$C,0)),4)</f>
        <v>1.0519000000000001</v>
      </c>
      <c r="AJ45" s="70">
        <f>ROUND(INDEX('All Trends'!G:G,MATCH($AD45,'All Trends'!$C:$C,0)),4)</f>
        <v>1.0519000000000001</v>
      </c>
      <c r="AK45" s="70">
        <f>ROUND(INDEX('All Trends'!H:H,MATCH($AD45,'All Trends'!$C:$C,0)),4)</f>
        <v>1.0519000000000001</v>
      </c>
      <c r="AL45" s="74" t="s">
        <v>148</v>
      </c>
      <c r="AM45" s="92">
        <f t="shared" si="5"/>
        <v>1060.05</v>
      </c>
      <c r="AN45" s="92">
        <f t="shared" si="6"/>
        <v>1060.05</v>
      </c>
      <c r="AO45" s="69">
        <f t="shared" si="7"/>
        <v>0</v>
      </c>
      <c r="AP45" s="69">
        <f t="shared" si="8"/>
        <v>0</v>
      </c>
      <c r="AQ45" s="69">
        <f t="shared" si="9"/>
        <v>0</v>
      </c>
      <c r="AR45" s="69">
        <f t="shared" si="10"/>
        <v>0</v>
      </c>
      <c r="AS45" s="409"/>
      <c r="AT45" s="409"/>
      <c r="AU45" s="409"/>
      <c r="AV45" s="65"/>
      <c r="AW45" s="65"/>
      <c r="AX45" s="65"/>
      <c r="AY45" s="65"/>
      <c r="AZ45" s="65"/>
      <c r="BD45" s="65"/>
    </row>
    <row r="46" spans="1:56" s="66" customFormat="1" ht="13.15">
      <c r="A46" s="78" t="s">
        <v>248</v>
      </c>
      <c r="B46" s="78" t="s">
        <v>248</v>
      </c>
      <c r="C46" s="78" t="s">
        <v>147</v>
      </c>
      <c r="D46" s="78" t="s">
        <v>148</v>
      </c>
      <c r="E46" s="67" t="s">
        <v>231</v>
      </c>
      <c r="F46" s="67" t="s">
        <v>26</v>
      </c>
      <c r="G46" s="67" t="str">
        <f>INDEX('[4]RT Description to Bill Matix'!$D:$D,MATCH(A46,'[4]RT Description to Bill Matix'!$M:$M,0))</f>
        <v>In Home Respite</v>
      </c>
      <c r="H46" s="65" t="s">
        <v>249</v>
      </c>
      <c r="I46" s="65"/>
      <c r="J46" s="358" t="str" cm="1">
        <f t="array" ref="J46">INDEX('Rate Table Service Desc XWalk'!F:F,MATCH(1,(G46='Rate Table Service Desc XWalk'!B:B)*(E46='Rate Table Service Desc XWalk'!A:A),0))</f>
        <v>3-1-39</v>
      </c>
      <c r="K46" s="66" t="str">
        <f>INDEX('[5]Combined Bill Code List'!$A:$A,MATCH(A46,'[5]Combined Bill Code List'!$F:$F,0))</f>
        <v>1915(c) waiver</v>
      </c>
      <c r="L46" s="66" t="str">
        <f>INDEX('[6]Rate History'!$P:$P,MATCH(A46,'[6]Rate History'!$F:$F,0))</f>
        <v>1 hour</v>
      </c>
      <c r="M46" s="77">
        <f>INDEX('[7]PDF DB Service Pivot'!$C:$C,MATCH(B46,'[7]PDF DB Service Pivot'!$B:$B,0))</f>
        <v>3301.25</v>
      </c>
      <c r="N46" s="77">
        <f t="shared" si="11"/>
        <v>3301.25</v>
      </c>
      <c r="O46" s="76">
        <f>INDEX('[7]PDF DB Service Pivot'!$D:$D,MATCH(B46,'[7]PDF DB Service Pivot'!$B:$B,0))</f>
        <v>64418.94</v>
      </c>
      <c r="P46" s="91">
        <v>45170</v>
      </c>
      <c r="Q46" s="81">
        <v>18.89</v>
      </c>
      <c r="R46" s="81">
        <v>11.77</v>
      </c>
      <c r="S46" s="354">
        <f t="shared" si="12"/>
        <v>0.62308099523557436</v>
      </c>
      <c r="T46">
        <v>1</v>
      </c>
      <c r="U46" s="81">
        <f t="shared" si="1"/>
        <v>0</v>
      </c>
      <c r="V46" s="81" cm="1">
        <f t="array" ref="V46">_xlfn.IFS('Fiscal by Program'!$B$7&lt;10.61,0,'Fiscal by Program'!$B$7&gt;10.6,(ROUND('Fiscal by Program'!$B$7*(1+IF(D46="Yes",'Fiscal by Program'!$B$9,'Fiscal by Program'!$B$8))*T46,2)))</f>
        <v>0</v>
      </c>
      <c r="W46" s="81">
        <f t="shared" si="2"/>
        <v>0</v>
      </c>
      <c r="X46" s="81">
        <f>ROUND((R46/(1+IF(D46="Yes",'Fiscal by Program'!$B$9,'Fiscal by Program'!$B$8))),2)+0.01</f>
        <v>10.64</v>
      </c>
      <c r="Y46" s="81">
        <f t="shared" si="3"/>
        <v>18.89</v>
      </c>
      <c r="Z46" s="88">
        <v>4</v>
      </c>
      <c r="AA46" s="90">
        <f t="shared" si="4"/>
        <v>0.25</v>
      </c>
      <c r="AB46" s="75">
        <f>INDEX('[9]Service List'!$K:$K,MATCH(A46,'[9]Service List'!$F:$F,0))</f>
        <v>1247</v>
      </c>
      <c r="AC46" s="73">
        <f>INDEX('[5]Combined Bill Code List'!$P:$P,MATCH(A46,'[5]Combined Bill Code List'!$F:$F,0))</f>
        <v>0</v>
      </c>
      <c r="AD46" s="80" t="s">
        <v>231</v>
      </c>
      <c r="AE46" s="79">
        <v>1</v>
      </c>
      <c r="AF46" s="66">
        <v>0</v>
      </c>
      <c r="AG46" s="70">
        <f>ROUND(INDEX('All Trends'!D:D,MATCH($AD46,'All Trends'!$C:$C,0)),4)</f>
        <v>0.99270000000000003</v>
      </c>
      <c r="AH46" s="70">
        <f>ROUND(INDEX('All Trends'!E:E,MATCH($AD46,'All Trends'!$C:$C,0)),4)</f>
        <v>1.0091000000000001</v>
      </c>
      <c r="AI46" s="70">
        <f>ROUND(INDEX('All Trends'!F:F,MATCH($AD46,'All Trends'!$C:$C,0)),4)</f>
        <v>1.0519000000000001</v>
      </c>
      <c r="AJ46" s="70">
        <f>ROUND(INDEX('All Trends'!G:G,MATCH($AD46,'All Trends'!$C:$C,0)),4)</f>
        <v>1.0519000000000001</v>
      </c>
      <c r="AK46" s="70">
        <f>ROUND(INDEX('All Trends'!H:H,MATCH($AD46,'All Trends'!$C:$C,0)),4)</f>
        <v>1.0519000000000001</v>
      </c>
      <c r="AL46" s="74" t="s">
        <v>148</v>
      </c>
      <c r="AM46" s="92">
        <f t="shared" si="5"/>
        <v>3472.58</v>
      </c>
      <c r="AN46" s="92">
        <f t="shared" si="6"/>
        <v>3472.58</v>
      </c>
      <c r="AO46" s="69">
        <f t="shared" si="7"/>
        <v>0</v>
      </c>
      <c r="AP46" s="69">
        <f t="shared" si="8"/>
        <v>0</v>
      </c>
      <c r="AQ46" s="69">
        <f t="shared" si="9"/>
        <v>0</v>
      </c>
      <c r="AR46" s="69">
        <f t="shared" si="10"/>
        <v>0</v>
      </c>
      <c r="AS46" s="409"/>
      <c r="AT46" s="409"/>
      <c r="AU46" s="409"/>
      <c r="AV46" s="65"/>
      <c r="AW46" s="65"/>
      <c r="AX46" s="65"/>
      <c r="AY46" s="65"/>
      <c r="AZ46" s="65"/>
      <c r="BD46" s="65"/>
    </row>
    <row r="47" spans="1:56" s="66" customFormat="1" ht="13.15">
      <c r="A47" s="78" t="s">
        <v>250</v>
      </c>
      <c r="B47" s="78" t="s">
        <v>250</v>
      </c>
      <c r="C47" s="78" t="s">
        <v>147</v>
      </c>
      <c r="D47" s="78" t="s">
        <v>148</v>
      </c>
      <c r="E47" s="67" t="s">
        <v>231</v>
      </c>
      <c r="F47" s="67" t="s">
        <v>244</v>
      </c>
      <c r="G47" s="67" t="str">
        <f>INDEX('[4]RT Description to Bill Matix'!$D:$D,MATCH(A47,'[4]RT Description to Bill Matix'!$M:$M,0))</f>
        <v>Out-of-Home Respite</v>
      </c>
      <c r="H47" s="65" t="s">
        <v>251</v>
      </c>
      <c r="I47" s="65"/>
      <c r="J47" s="65" t="str" cm="1">
        <f t="array" ref="J47">INDEX('Rate Table Service Desc XWalk'!F:F,MATCH(1,(G47='Rate Table Service Desc XWalk'!B:B)*(E47='Rate Table Service Desc XWalk'!A:A),0))</f>
        <v>3-1-74</v>
      </c>
      <c r="K47" s="66" t="str">
        <f>INDEX('[5]Combined Bill Code List'!$A:$A,MATCH(A47,'[5]Combined Bill Code List'!$F:$F,0))</f>
        <v>1915(c) waiver</v>
      </c>
      <c r="L47" s="66" t="str">
        <f>INDEX('[6]Rate History'!$P:$P,MATCH(A47,'[6]Rate History'!$F:$F,0))</f>
        <v>1 hour</v>
      </c>
      <c r="M47" s="77">
        <f>INDEX('[7]PDF DB Service Pivot'!$C:$C,MATCH(B47,'[7]PDF DB Service Pivot'!$B:$B,0))</f>
        <v>13075.5</v>
      </c>
      <c r="N47" s="77">
        <f t="shared" si="11"/>
        <v>13075.5</v>
      </c>
      <c r="O47" s="76">
        <f>INDEX('[7]PDF DB Service Pivot'!$D:$D,MATCH(B47,'[7]PDF DB Service Pivot'!$B:$B,0))</f>
        <v>258407.19</v>
      </c>
      <c r="P47" s="91">
        <v>45170</v>
      </c>
      <c r="Q47" s="81">
        <v>18.89</v>
      </c>
      <c r="R47" s="81">
        <v>11.77</v>
      </c>
      <c r="S47" s="354">
        <f t="shared" si="12"/>
        <v>0.62308099523557436</v>
      </c>
      <c r="T47">
        <v>1</v>
      </c>
      <c r="U47" s="81">
        <f t="shared" si="1"/>
        <v>0</v>
      </c>
      <c r="V47" s="81" cm="1">
        <f t="array" ref="V47">_xlfn.IFS('Fiscal by Program'!$B$7&lt;10.61,0,'Fiscal by Program'!$B$7&gt;10.6,(ROUND('Fiscal by Program'!$B$7*(1+IF(D47="Yes",'Fiscal by Program'!$B$9,'Fiscal by Program'!$B$8))*T47,2)))</f>
        <v>0</v>
      </c>
      <c r="W47" s="81">
        <f t="shared" si="2"/>
        <v>0</v>
      </c>
      <c r="X47" s="81">
        <f>ROUND((R47/(1+IF(D47="Yes",'Fiscal by Program'!$B$9,'Fiscal by Program'!$B$8))),2)+0.01</f>
        <v>10.64</v>
      </c>
      <c r="Y47" s="81">
        <f t="shared" si="3"/>
        <v>18.89</v>
      </c>
      <c r="Z47" s="88">
        <v>4</v>
      </c>
      <c r="AA47" s="90">
        <f t="shared" si="4"/>
        <v>0.25</v>
      </c>
      <c r="AB47" s="75">
        <f>INDEX('[9]Service List'!$K:$K,MATCH(A47,'[9]Service List'!$F:$F,0))</f>
        <v>1248</v>
      </c>
      <c r="AC47" s="73">
        <f>INDEX('[5]Combined Bill Code List'!$P:$P,MATCH(A47,'[5]Combined Bill Code List'!$F:$F,0))</f>
        <v>0</v>
      </c>
      <c r="AD47" s="80" t="s">
        <v>231</v>
      </c>
      <c r="AE47" s="79">
        <v>1</v>
      </c>
      <c r="AF47" s="66">
        <v>0</v>
      </c>
      <c r="AG47" s="70">
        <f>ROUND(INDEX('All Trends'!D:D,MATCH($AD47,'All Trends'!$C:$C,0)),4)</f>
        <v>0.99270000000000003</v>
      </c>
      <c r="AH47" s="70">
        <f>ROUND(INDEX('All Trends'!E:E,MATCH($AD47,'All Trends'!$C:$C,0)),4)</f>
        <v>1.0091000000000001</v>
      </c>
      <c r="AI47" s="70">
        <f>ROUND(INDEX('All Trends'!F:F,MATCH($AD47,'All Trends'!$C:$C,0)),4)</f>
        <v>1.0519000000000001</v>
      </c>
      <c r="AJ47" s="70">
        <f>ROUND(INDEX('All Trends'!G:G,MATCH($AD47,'All Trends'!$C:$C,0)),4)</f>
        <v>1.0519000000000001</v>
      </c>
      <c r="AK47" s="70">
        <f>ROUND(INDEX('All Trends'!H:H,MATCH($AD47,'All Trends'!$C:$C,0)),4)</f>
        <v>1.0519000000000001</v>
      </c>
      <c r="AL47" s="74" t="s">
        <v>148</v>
      </c>
      <c r="AM47" s="92">
        <f t="shared" si="5"/>
        <v>13754.12</v>
      </c>
      <c r="AN47" s="92">
        <f t="shared" si="6"/>
        <v>13754.12</v>
      </c>
      <c r="AO47" s="69">
        <f t="shared" si="7"/>
        <v>0</v>
      </c>
      <c r="AP47" s="69">
        <f t="shared" si="8"/>
        <v>0</v>
      </c>
      <c r="AQ47" s="69">
        <f t="shared" si="9"/>
        <v>0</v>
      </c>
      <c r="AR47" s="69">
        <f t="shared" si="10"/>
        <v>0</v>
      </c>
      <c r="AS47" s="409"/>
      <c r="AT47" s="409"/>
      <c r="AU47" s="409"/>
      <c r="AV47" s="65"/>
      <c r="AW47" s="65"/>
      <c r="AX47" s="65"/>
      <c r="AY47" s="65"/>
      <c r="AZ47" s="65"/>
      <c r="BD47" s="65"/>
    </row>
    <row r="48" spans="1:56" s="66" customFormat="1" ht="13.15">
      <c r="A48" s="78" t="s">
        <v>252</v>
      </c>
      <c r="B48" s="78" t="s">
        <v>252</v>
      </c>
      <c r="C48" s="78" t="s">
        <v>147</v>
      </c>
      <c r="D48" s="78" t="s">
        <v>148</v>
      </c>
      <c r="E48" s="67" t="s">
        <v>231</v>
      </c>
      <c r="F48" s="67" t="s">
        <v>244</v>
      </c>
      <c r="G48" s="67" t="str">
        <f>INDEX('[4]RT Description to Bill Matix'!$D:$D,MATCH(A48,'[4]RT Description to Bill Matix'!$M:$M,0))</f>
        <v>Out-of-Home Respite</v>
      </c>
      <c r="H48" s="65" t="s">
        <v>253</v>
      </c>
      <c r="I48" s="65"/>
      <c r="J48" s="65" t="str" cm="1">
        <f t="array" ref="J48">INDEX('Rate Table Service Desc XWalk'!F:F,MATCH(1,(G48='Rate Table Service Desc XWalk'!B:B)*(E48='Rate Table Service Desc XWalk'!A:A),0))</f>
        <v>3-1-74</v>
      </c>
      <c r="K48" s="66" t="str">
        <f>INDEX('[5]Combined Bill Code List'!$A:$A,MATCH(A48,'[5]Combined Bill Code List'!$F:$F,0))</f>
        <v>1915(c) waiver</v>
      </c>
      <c r="L48" s="66" t="str">
        <f>INDEX('[6]Rate History'!$P:$P,MATCH(A48,'[6]Rate History'!$F:$F,0))</f>
        <v>1 hour</v>
      </c>
      <c r="M48" s="77">
        <f>INDEX('[7]PDF DB Service Pivot'!$C:$C,MATCH(B48,'[7]PDF DB Service Pivot'!$B:$B,0))</f>
        <v>296.75</v>
      </c>
      <c r="N48" s="77">
        <f t="shared" si="11"/>
        <v>296.75</v>
      </c>
      <c r="O48" s="76">
        <f>INDEX('[7]PDF DB Service Pivot'!$D:$D,MATCH(B48,'[7]PDF DB Service Pivot'!$B:$B,0))</f>
        <v>5753.73</v>
      </c>
      <c r="P48" s="91">
        <v>45170</v>
      </c>
      <c r="Q48" s="81">
        <v>18.89</v>
      </c>
      <c r="R48" s="81">
        <v>11.77</v>
      </c>
      <c r="S48" s="354">
        <f t="shared" si="12"/>
        <v>0.62308099523557436</v>
      </c>
      <c r="T48">
        <v>1</v>
      </c>
      <c r="U48" s="81">
        <f t="shared" si="1"/>
        <v>0</v>
      </c>
      <c r="V48" s="81" cm="1">
        <f t="array" ref="V48">_xlfn.IFS('Fiscal by Program'!$B$7&lt;10.61,0,'Fiscal by Program'!$B$7&gt;10.6,(ROUND('Fiscal by Program'!$B$7*(1+IF(D48="Yes",'Fiscal by Program'!$B$9,'Fiscal by Program'!$B$8))*T48,2)))</f>
        <v>0</v>
      </c>
      <c r="W48" s="81">
        <f t="shared" si="2"/>
        <v>0</v>
      </c>
      <c r="X48" s="81">
        <f>ROUND((R48/(1+IF(D48="Yes",'Fiscal by Program'!$B$9,'Fiscal by Program'!$B$8))),2)+0.01</f>
        <v>10.64</v>
      </c>
      <c r="Y48" s="81">
        <f t="shared" si="3"/>
        <v>18.89</v>
      </c>
      <c r="Z48" s="88">
        <v>4</v>
      </c>
      <c r="AA48" s="90">
        <f t="shared" si="4"/>
        <v>0.25</v>
      </c>
      <c r="AB48" s="75">
        <f>INDEX('[9]Service List'!$K:$K,MATCH(A48,'[9]Service List'!$F:$F,0))</f>
        <v>1249</v>
      </c>
      <c r="AC48" s="73">
        <f>INDEX('[5]Combined Bill Code List'!$P:$P,MATCH(A48,'[5]Combined Bill Code List'!$F:$F,0))</f>
        <v>0</v>
      </c>
      <c r="AD48" s="80" t="s">
        <v>231</v>
      </c>
      <c r="AE48" s="79">
        <v>1</v>
      </c>
      <c r="AF48" s="66">
        <v>0</v>
      </c>
      <c r="AG48" s="70">
        <f>ROUND(INDEX('All Trends'!D:D,MATCH($AD48,'All Trends'!$C:$C,0)),4)</f>
        <v>0.99270000000000003</v>
      </c>
      <c r="AH48" s="70">
        <f>ROUND(INDEX('All Trends'!E:E,MATCH($AD48,'All Trends'!$C:$C,0)),4)</f>
        <v>1.0091000000000001</v>
      </c>
      <c r="AI48" s="70">
        <f>ROUND(INDEX('All Trends'!F:F,MATCH($AD48,'All Trends'!$C:$C,0)),4)</f>
        <v>1.0519000000000001</v>
      </c>
      <c r="AJ48" s="70">
        <f>ROUND(INDEX('All Trends'!G:G,MATCH($AD48,'All Trends'!$C:$C,0)),4)</f>
        <v>1.0519000000000001</v>
      </c>
      <c r="AK48" s="70">
        <f>ROUND(INDEX('All Trends'!H:H,MATCH($AD48,'All Trends'!$C:$C,0)),4)</f>
        <v>1.0519000000000001</v>
      </c>
      <c r="AL48" s="74" t="s">
        <v>148</v>
      </c>
      <c r="AM48" s="92">
        <f t="shared" si="5"/>
        <v>312.14999999999998</v>
      </c>
      <c r="AN48" s="92">
        <f t="shared" si="6"/>
        <v>312.14999999999998</v>
      </c>
      <c r="AO48" s="69">
        <f t="shared" si="7"/>
        <v>0</v>
      </c>
      <c r="AP48" s="69">
        <f t="shared" si="8"/>
        <v>0</v>
      </c>
      <c r="AQ48" s="69">
        <f t="shared" si="9"/>
        <v>0</v>
      </c>
      <c r="AR48" s="69">
        <f t="shared" si="10"/>
        <v>0</v>
      </c>
      <c r="AS48" s="409"/>
      <c r="AT48" s="409"/>
      <c r="AU48" s="409"/>
      <c r="AV48" s="65"/>
      <c r="AW48" s="65"/>
      <c r="AX48" s="65"/>
      <c r="AY48" s="65"/>
      <c r="AZ48" s="65"/>
      <c r="BD48" s="65"/>
    </row>
    <row r="49" spans="1:56" s="66" customFormat="1" ht="13.15">
      <c r="A49" s="78" t="s">
        <v>254</v>
      </c>
      <c r="B49" s="78" t="s">
        <v>254</v>
      </c>
      <c r="C49" s="78" t="s">
        <v>147</v>
      </c>
      <c r="D49" s="78" t="s">
        <v>148</v>
      </c>
      <c r="E49" s="67" t="s">
        <v>231</v>
      </c>
      <c r="F49" s="67" t="s">
        <v>244</v>
      </c>
      <c r="G49" s="67" t="str">
        <f>INDEX('[4]RT Description to Bill Matix'!$D:$D,MATCH(A49,'[4]RT Description to Bill Matix'!$M:$M,0))</f>
        <v>Out-of-Home Respite</v>
      </c>
      <c r="H49" s="65" t="s">
        <v>255</v>
      </c>
      <c r="I49" s="65"/>
      <c r="J49" s="65" t="str" cm="1">
        <f t="array" ref="J49">INDEX('Rate Table Service Desc XWalk'!F:F,MATCH(1,(G49='Rate Table Service Desc XWalk'!B:B)*(E49='Rate Table Service Desc XWalk'!A:A),0))</f>
        <v>3-1-74</v>
      </c>
      <c r="K49" s="66" t="str">
        <f>INDEX('[5]Combined Bill Code List'!$A:$A,MATCH(A49,'[5]Combined Bill Code List'!$F:$F,0))</f>
        <v>1915(c) waiver</v>
      </c>
      <c r="L49" s="66" t="str">
        <f>INDEX('[6]Rate History'!$P:$P,MATCH(A49,'[6]Rate History'!$F:$F,0))</f>
        <v>1 hour</v>
      </c>
      <c r="M49" s="77">
        <f>INDEX('[7]PDF DB Service Pivot'!$C:$C,MATCH(B49,'[7]PDF DB Service Pivot'!$B:$B,0))</f>
        <v>889.75</v>
      </c>
      <c r="N49" s="77">
        <f t="shared" si="11"/>
        <v>889.75</v>
      </c>
      <c r="O49" s="76">
        <f>INDEX('[7]PDF DB Service Pivot'!$D:$D,MATCH(B49,'[7]PDF DB Service Pivot'!$B:$B,0))</f>
        <v>17549.64</v>
      </c>
      <c r="P49" s="91">
        <v>45170</v>
      </c>
      <c r="Q49" s="81">
        <v>18.89</v>
      </c>
      <c r="R49" s="81">
        <v>11.77</v>
      </c>
      <c r="S49" s="354">
        <f t="shared" si="12"/>
        <v>0.62308099523557436</v>
      </c>
      <c r="T49">
        <v>1</v>
      </c>
      <c r="U49" s="81">
        <f t="shared" si="1"/>
        <v>0</v>
      </c>
      <c r="V49" s="81" cm="1">
        <f t="array" ref="V49">_xlfn.IFS('Fiscal by Program'!$B$7&lt;10.61,0,'Fiscal by Program'!$B$7&gt;10.6,(ROUND('Fiscal by Program'!$B$7*(1+IF(D49="Yes",'Fiscal by Program'!$B$9,'Fiscal by Program'!$B$8))*T49,2)))</f>
        <v>0</v>
      </c>
      <c r="W49" s="81">
        <f t="shared" si="2"/>
        <v>0</v>
      </c>
      <c r="X49" s="81">
        <f>ROUND((R49/(1+IF(D49="Yes",'Fiscal by Program'!$B$9,'Fiscal by Program'!$B$8))),2)+0.01</f>
        <v>10.64</v>
      </c>
      <c r="Y49" s="81">
        <f t="shared" si="3"/>
        <v>18.89</v>
      </c>
      <c r="Z49" s="88">
        <v>4</v>
      </c>
      <c r="AA49" s="90">
        <f t="shared" si="4"/>
        <v>0.25</v>
      </c>
      <c r="AB49" s="75">
        <f>INDEX('[9]Service List'!$K:$K,MATCH(A49,'[9]Service List'!$F:$F,0))</f>
        <v>1250</v>
      </c>
      <c r="AC49" s="73">
        <f>INDEX('[5]Combined Bill Code List'!$P:$P,MATCH(A49,'[5]Combined Bill Code List'!$F:$F,0))</f>
        <v>0</v>
      </c>
      <c r="AD49" s="80" t="s">
        <v>231</v>
      </c>
      <c r="AE49" s="79">
        <v>1</v>
      </c>
      <c r="AF49" s="66">
        <v>0</v>
      </c>
      <c r="AG49" s="70">
        <f>ROUND(INDEX('All Trends'!D:D,MATCH($AD49,'All Trends'!$C:$C,0)),4)</f>
        <v>0.99270000000000003</v>
      </c>
      <c r="AH49" s="70">
        <f>ROUND(INDEX('All Trends'!E:E,MATCH($AD49,'All Trends'!$C:$C,0)),4)</f>
        <v>1.0091000000000001</v>
      </c>
      <c r="AI49" s="70">
        <f>ROUND(INDEX('All Trends'!F:F,MATCH($AD49,'All Trends'!$C:$C,0)),4)</f>
        <v>1.0519000000000001</v>
      </c>
      <c r="AJ49" s="70">
        <f>ROUND(INDEX('All Trends'!G:G,MATCH($AD49,'All Trends'!$C:$C,0)),4)</f>
        <v>1.0519000000000001</v>
      </c>
      <c r="AK49" s="70">
        <f>ROUND(INDEX('All Trends'!H:H,MATCH($AD49,'All Trends'!$C:$C,0)),4)</f>
        <v>1.0519000000000001</v>
      </c>
      <c r="AL49" s="74" t="s">
        <v>148</v>
      </c>
      <c r="AM49" s="92">
        <f t="shared" si="5"/>
        <v>935.93</v>
      </c>
      <c r="AN49" s="92">
        <f t="shared" si="6"/>
        <v>935.93</v>
      </c>
      <c r="AO49" s="69">
        <f t="shared" si="7"/>
        <v>0</v>
      </c>
      <c r="AP49" s="69">
        <f t="shared" si="8"/>
        <v>0</v>
      </c>
      <c r="AQ49" s="69">
        <f t="shared" si="9"/>
        <v>0</v>
      </c>
      <c r="AR49" s="69">
        <f t="shared" si="10"/>
        <v>0</v>
      </c>
      <c r="AS49" s="409"/>
      <c r="AT49" s="409"/>
      <c r="AU49" s="409"/>
      <c r="AV49" s="65"/>
      <c r="AW49" s="65"/>
      <c r="AX49" s="65"/>
      <c r="AY49" s="65"/>
      <c r="AZ49" s="65"/>
      <c r="BD49" s="65"/>
    </row>
    <row r="50" spans="1:56" s="66" customFormat="1" ht="13.15">
      <c r="A50" s="78" t="s">
        <v>256</v>
      </c>
      <c r="B50" s="78" t="s">
        <v>256</v>
      </c>
      <c r="C50" s="78" t="s">
        <v>147</v>
      </c>
      <c r="D50" s="78" t="s">
        <v>148</v>
      </c>
      <c r="E50" s="67" t="s">
        <v>231</v>
      </c>
      <c r="F50" s="67" t="s">
        <v>26</v>
      </c>
      <c r="G50" s="67" t="str">
        <f>INDEX('[4]RT Description to Bill Matix'!$D:$D,MATCH(A50,'[4]RT Description to Bill Matix'!$M:$M,0))</f>
        <v>CDS In Home Respite</v>
      </c>
      <c r="H50" s="65" t="s">
        <v>257</v>
      </c>
      <c r="I50" s="65" t="s">
        <v>147</v>
      </c>
      <c r="J50" s="358" t="str" cm="1">
        <f t="array" ref="J50">INDEX('Rate Table Service Desc XWalk'!F:F,MATCH(1,(G50='Rate Table Service Desc XWalk'!B:B)*(E50='Rate Table Service Desc XWalk'!A:A),0))</f>
        <v>3-5-124</v>
      </c>
      <c r="K50" s="66" t="str">
        <f>INDEX('[5]Combined Bill Code List'!$A:$A,MATCH(A50,'[5]Combined Bill Code List'!$F:$F,0))</f>
        <v>1915(c) waiver</v>
      </c>
      <c r="L50" s="66" t="str">
        <f>INDEX('[6]Rate History'!$P:$P,MATCH(A50,'[6]Rate History'!$F:$F,0))</f>
        <v>1 hour</v>
      </c>
      <c r="M50" s="77">
        <f>INDEX('[7]PDF DB Service Pivot'!$C:$C,MATCH(B50,'[7]PDF DB Service Pivot'!$B:$B,0))</f>
        <v>2904386.91</v>
      </c>
      <c r="N50" s="77">
        <f t="shared" si="11"/>
        <v>152862.46894736844</v>
      </c>
      <c r="O50" s="76">
        <f>INDEX('[7]PDF DB Service Pivot'!$D:$D,MATCH(B50,'[7]PDF DB Service Pivot'!$B:$B,0))</f>
        <v>2904386.91</v>
      </c>
      <c r="P50" s="91">
        <v>45170</v>
      </c>
      <c r="Q50" s="81">
        <v>19</v>
      </c>
      <c r="R50" s="81">
        <v>11.77</v>
      </c>
      <c r="S50" s="354">
        <f t="shared" si="12"/>
        <v>0.61947368421052629</v>
      </c>
      <c r="T50">
        <v>1</v>
      </c>
      <c r="U50" s="81">
        <f t="shared" si="1"/>
        <v>0</v>
      </c>
      <c r="V50" s="81" cm="1">
        <f t="array" ref="V50">_xlfn.IFS('Fiscal by Program'!$B$7&lt;10.61,0,'Fiscal by Program'!$B$7&gt;10.6,(ROUND('Fiscal by Program'!$B$7*(1+IF(D50="Yes",'Fiscal by Program'!$B$9,'Fiscal by Program'!$B$8))*T50,2)))</f>
        <v>0</v>
      </c>
      <c r="W50" s="81">
        <f t="shared" si="2"/>
        <v>0</v>
      </c>
      <c r="X50" s="81">
        <f>ROUND((R50/(1+IF(D50="Yes",'Fiscal by Program'!$B$9,'Fiscal by Program'!$B$8))),2)+0.01</f>
        <v>10.64</v>
      </c>
      <c r="Y50" s="81">
        <f t="shared" si="3"/>
        <v>19</v>
      </c>
      <c r="Z50" s="88">
        <v>4</v>
      </c>
      <c r="AA50" s="90">
        <f t="shared" si="4"/>
        <v>0.25</v>
      </c>
      <c r="AB50" s="75">
        <f>INDEX('[9]Service List'!$K:$K,MATCH(A50,'[9]Service List'!$F:$F,0))</f>
        <v>392</v>
      </c>
      <c r="AC50" s="73">
        <f>INDEX('[5]Combined Bill Code List'!$P:$P,MATCH(A50,'[5]Combined Bill Code List'!$F:$F,0))</f>
        <v>0</v>
      </c>
      <c r="AD50" s="80" t="s">
        <v>231</v>
      </c>
      <c r="AE50" s="79">
        <v>1</v>
      </c>
      <c r="AF50" s="66">
        <v>0</v>
      </c>
      <c r="AG50" s="70">
        <f>ROUND(INDEX('All Trends'!D:D,MATCH($AD50,'All Trends'!$C:$C,0)),4)</f>
        <v>0.99270000000000003</v>
      </c>
      <c r="AH50" s="70">
        <f>ROUND(INDEX('All Trends'!E:E,MATCH($AD50,'All Trends'!$C:$C,0)),4)</f>
        <v>1.0091000000000001</v>
      </c>
      <c r="AI50" s="70">
        <f>ROUND(INDEX('All Trends'!F:F,MATCH($AD50,'All Trends'!$C:$C,0)),4)</f>
        <v>1.0519000000000001</v>
      </c>
      <c r="AJ50" s="70">
        <f>ROUND(INDEX('All Trends'!G:G,MATCH($AD50,'All Trends'!$C:$C,0)),4)</f>
        <v>1.0519000000000001</v>
      </c>
      <c r="AK50" s="70">
        <f>ROUND(INDEX('All Trends'!H:H,MATCH($AD50,'All Trends'!$C:$C,0)),4)</f>
        <v>1.0519000000000001</v>
      </c>
      <c r="AL50" s="74" t="s">
        <v>148</v>
      </c>
      <c r="AM50" s="92">
        <f t="shared" si="5"/>
        <v>160796.03</v>
      </c>
      <c r="AN50" s="92">
        <f t="shared" si="6"/>
        <v>160796.03</v>
      </c>
      <c r="AO50" s="69">
        <f t="shared" si="7"/>
        <v>0</v>
      </c>
      <c r="AP50" s="69">
        <f t="shared" si="8"/>
        <v>0</v>
      </c>
      <c r="AQ50" s="69">
        <f t="shared" si="9"/>
        <v>0</v>
      </c>
      <c r="AR50" s="69">
        <f t="shared" si="10"/>
        <v>0</v>
      </c>
      <c r="AS50" s="409"/>
      <c r="AT50" s="409"/>
      <c r="AU50" s="409"/>
      <c r="AV50" s="65"/>
      <c r="AW50" s="65"/>
      <c r="AX50" s="65"/>
      <c r="AY50" s="65"/>
      <c r="AZ50" s="65"/>
      <c r="BD50" s="65"/>
    </row>
    <row r="51" spans="1:56" s="66" customFormat="1" ht="13.15">
      <c r="A51" s="78" t="s">
        <v>258</v>
      </c>
      <c r="B51" s="78" t="s">
        <v>258</v>
      </c>
      <c r="C51" s="78" t="s">
        <v>147</v>
      </c>
      <c r="D51" s="78" t="s">
        <v>148</v>
      </c>
      <c r="E51" s="67" t="s">
        <v>231</v>
      </c>
      <c r="F51" s="67" t="s">
        <v>26</v>
      </c>
      <c r="G51" s="67" t="str">
        <f>INDEX('[4]RT Description to Bill Matix'!$D:$D,MATCH(A51,'[4]RT Description to Bill Matix'!$M:$M,0))</f>
        <v>CDS In Home Respite</v>
      </c>
      <c r="H51" s="65" t="s">
        <v>259</v>
      </c>
      <c r="I51" s="65" t="s">
        <v>147</v>
      </c>
      <c r="J51" s="358" t="str" cm="1">
        <f t="array" ref="J51">INDEX('Rate Table Service Desc XWalk'!F:F,MATCH(1,(G51='Rate Table Service Desc XWalk'!B:B)*(E51='Rate Table Service Desc XWalk'!A:A),0))</f>
        <v>3-5-124</v>
      </c>
      <c r="K51" s="66" t="str">
        <f>INDEX('[5]Combined Bill Code List'!$A:$A,MATCH(A51,'[5]Combined Bill Code List'!$F:$F,0))</f>
        <v>1915(c) waiver</v>
      </c>
      <c r="L51" s="66" t="str">
        <f>INDEX('[6]Rate History'!$P:$P,MATCH(A51,'[6]Rate History'!$F:$F,0))</f>
        <v>1 hour</v>
      </c>
      <c r="M51" s="77">
        <f>INDEX('[7]PDF DB Service Pivot'!$C:$C,MATCH(B51,'[7]PDF DB Service Pivot'!$B:$B,0))</f>
        <v>15184.8</v>
      </c>
      <c r="N51" s="77">
        <f t="shared" si="11"/>
        <v>799.19999999999993</v>
      </c>
      <c r="O51" s="76">
        <f>INDEX('[7]PDF DB Service Pivot'!$D:$D,MATCH(B51,'[7]PDF DB Service Pivot'!$B:$B,0))</f>
        <v>15184.8</v>
      </c>
      <c r="P51" s="91">
        <v>45170</v>
      </c>
      <c r="Q51" s="81">
        <v>19</v>
      </c>
      <c r="R51" s="81">
        <v>11.77</v>
      </c>
      <c r="S51" s="354">
        <f t="shared" si="12"/>
        <v>0.61947368421052629</v>
      </c>
      <c r="T51">
        <v>1</v>
      </c>
      <c r="U51" s="81">
        <f t="shared" si="1"/>
        <v>0</v>
      </c>
      <c r="V51" s="81" cm="1">
        <f t="array" ref="V51">_xlfn.IFS('Fiscal by Program'!$B$7&lt;10.61,0,'Fiscal by Program'!$B$7&gt;10.6,(ROUND('Fiscal by Program'!$B$7*(1+IF(D51="Yes",'Fiscal by Program'!$B$9,'Fiscal by Program'!$B$8))*T51,2)))</f>
        <v>0</v>
      </c>
      <c r="W51" s="81">
        <f t="shared" si="2"/>
        <v>0</v>
      </c>
      <c r="X51" s="81">
        <f>ROUND((R51/(1+IF(D51="Yes",'Fiscal by Program'!$B$9,'Fiscal by Program'!$B$8))),2)+0.01</f>
        <v>10.64</v>
      </c>
      <c r="Y51" s="81">
        <f t="shared" si="3"/>
        <v>19</v>
      </c>
      <c r="Z51" s="88">
        <v>4</v>
      </c>
      <c r="AA51" s="90">
        <f t="shared" si="4"/>
        <v>0.25</v>
      </c>
      <c r="AB51" s="75">
        <f>INDEX('[9]Service List'!$K:$K,MATCH(A51,'[9]Service List'!$F:$F,0))</f>
        <v>393</v>
      </c>
      <c r="AC51" s="73">
        <f>INDEX('[5]Combined Bill Code List'!$P:$P,MATCH(A51,'[5]Combined Bill Code List'!$F:$F,0))</f>
        <v>0</v>
      </c>
      <c r="AD51" s="80" t="s">
        <v>231</v>
      </c>
      <c r="AE51" s="79">
        <v>1</v>
      </c>
      <c r="AF51" s="66">
        <v>0</v>
      </c>
      <c r="AG51" s="70">
        <f>ROUND(INDEX('All Trends'!D:D,MATCH($AD51,'All Trends'!$C:$C,0)),4)</f>
        <v>0.99270000000000003</v>
      </c>
      <c r="AH51" s="70">
        <f>ROUND(INDEX('All Trends'!E:E,MATCH($AD51,'All Trends'!$C:$C,0)),4)</f>
        <v>1.0091000000000001</v>
      </c>
      <c r="AI51" s="70">
        <f>ROUND(INDEX('All Trends'!F:F,MATCH($AD51,'All Trends'!$C:$C,0)),4)</f>
        <v>1.0519000000000001</v>
      </c>
      <c r="AJ51" s="70">
        <f>ROUND(INDEX('All Trends'!G:G,MATCH($AD51,'All Trends'!$C:$C,0)),4)</f>
        <v>1.0519000000000001</v>
      </c>
      <c r="AK51" s="70">
        <f>ROUND(INDEX('All Trends'!H:H,MATCH($AD51,'All Trends'!$C:$C,0)),4)</f>
        <v>1.0519000000000001</v>
      </c>
      <c r="AL51" s="74" t="s">
        <v>148</v>
      </c>
      <c r="AM51" s="92">
        <f t="shared" si="5"/>
        <v>840.68</v>
      </c>
      <c r="AN51" s="92">
        <f t="shared" si="6"/>
        <v>840.68</v>
      </c>
      <c r="AO51" s="69">
        <f t="shared" si="7"/>
        <v>0</v>
      </c>
      <c r="AP51" s="69">
        <f t="shared" si="8"/>
        <v>0</v>
      </c>
      <c r="AQ51" s="69">
        <f t="shared" si="9"/>
        <v>0</v>
      </c>
      <c r="AR51" s="69">
        <f t="shared" si="10"/>
        <v>0</v>
      </c>
      <c r="AS51" s="409"/>
      <c r="AT51" s="409"/>
      <c r="AU51" s="409"/>
      <c r="AV51" s="65"/>
      <c r="AW51" s="65"/>
      <c r="AX51" s="65"/>
      <c r="AY51" s="65"/>
      <c r="AZ51" s="65"/>
      <c r="BD51" s="65"/>
    </row>
    <row r="52" spans="1:56" s="66" customFormat="1" ht="13.15">
      <c r="A52" s="78" t="s">
        <v>260</v>
      </c>
      <c r="B52" s="78" t="s">
        <v>260</v>
      </c>
      <c r="C52" s="78" t="s">
        <v>147</v>
      </c>
      <c r="D52" s="78" t="s">
        <v>148</v>
      </c>
      <c r="E52" s="67" t="s">
        <v>231</v>
      </c>
      <c r="F52" s="67" t="s">
        <v>26</v>
      </c>
      <c r="G52" s="67" t="str">
        <f>INDEX('[4]RT Description to Bill Matix'!$D:$D,MATCH(A52,'[4]RT Description to Bill Matix'!$M:$M,0))</f>
        <v>CDS In Home Respite</v>
      </c>
      <c r="H52" s="65" t="s">
        <v>261</v>
      </c>
      <c r="I52" s="65" t="s">
        <v>147</v>
      </c>
      <c r="J52" s="358" t="str" cm="1">
        <f t="array" ref="J52">INDEX('Rate Table Service Desc XWalk'!F:F,MATCH(1,(G52='Rate Table Service Desc XWalk'!B:B)*(E52='Rate Table Service Desc XWalk'!A:A),0))</f>
        <v>3-5-124</v>
      </c>
      <c r="K52" s="66" t="str">
        <f>INDEX('[5]Combined Bill Code List'!$A:$A,MATCH(A52,'[5]Combined Bill Code List'!$F:$F,0))</f>
        <v>1915(c) waiver</v>
      </c>
      <c r="L52" s="66" t="str">
        <f>INDEX('[6]Rate History'!$P:$P,MATCH(A52,'[6]Rate History'!$F:$F,0))</f>
        <v>1 hour</v>
      </c>
      <c r="M52" s="77">
        <f>INDEX('[7]PDF DB Service Pivot'!$C:$C,MATCH(B52,'[7]PDF DB Service Pivot'!$B:$B,0))</f>
        <v>4470.5200000000004</v>
      </c>
      <c r="N52" s="77">
        <f t="shared" si="11"/>
        <v>249.88932364449414</v>
      </c>
      <c r="O52" s="76">
        <f>INDEX('[7]PDF DB Service Pivot'!$D:$D,MATCH(B52,'[7]PDF DB Service Pivot'!$B:$B,0))</f>
        <v>4470.5200000000004</v>
      </c>
      <c r="P52" s="91">
        <v>45170</v>
      </c>
      <c r="Q52" s="81">
        <v>17.89</v>
      </c>
      <c r="R52" s="81">
        <v>11.77</v>
      </c>
      <c r="S52" s="354">
        <f t="shared" si="12"/>
        <v>0.65790944661822237</v>
      </c>
      <c r="T52">
        <v>1</v>
      </c>
      <c r="U52" s="81">
        <f t="shared" si="1"/>
        <v>0</v>
      </c>
      <c r="V52" s="81" cm="1">
        <f t="array" ref="V52">_xlfn.IFS('Fiscal by Program'!$B$7&lt;10.61,0,'Fiscal by Program'!$B$7&gt;10.6,(ROUND('Fiscal by Program'!$B$7*(1+IF(D52="Yes",'Fiscal by Program'!$B$9,'Fiscal by Program'!$B$8))*T52,2)))</f>
        <v>0</v>
      </c>
      <c r="W52" s="81">
        <f t="shared" si="2"/>
        <v>0</v>
      </c>
      <c r="X52" s="81">
        <f>ROUND((R52/(1+IF(D52="Yes",'Fiscal by Program'!$B$9,'Fiscal by Program'!$B$8))),2)+0.01</f>
        <v>10.64</v>
      </c>
      <c r="Y52" s="81">
        <f t="shared" si="3"/>
        <v>17.89</v>
      </c>
      <c r="Z52" s="88">
        <v>4</v>
      </c>
      <c r="AA52" s="90">
        <f t="shared" si="4"/>
        <v>0.25</v>
      </c>
      <c r="AB52" s="75">
        <f>INDEX('[9]Service List'!$K:$K,MATCH(A52,'[9]Service List'!$F:$F,0))</f>
        <v>1258</v>
      </c>
      <c r="AC52" s="73">
        <f>INDEX('[5]Combined Bill Code List'!$P:$P,MATCH(A52,'[5]Combined Bill Code List'!$F:$F,0))</f>
        <v>0</v>
      </c>
      <c r="AD52" s="80" t="s">
        <v>231</v>
      </c>
      <c r="AE52" s="79">
        <v>1</v>
      </c>
      <c r="AF52" s="66">
        <v>0</v>
      </c>
      <c r="AG52" s="70">
        <f>ROUND(INDEX('All Trends'!D:D,MATCH($AD52,'All Trends'!$C:$C,0)),4)</f>
        <v>0.99270000000000003</v>
      </c>
      <c r="AH52" s="70">
        <f>ROUND(INDEX('All Trends'!E:E,MATCH($AD52,'All Trends'!$C:$C,0)),4)</f>
        <v>1.0091000000000001</v>
      </c>
      <c r="AI52" s="70">
        <f>ROUND(INDEX('All Trends'!F:F,MATCH($AD52,'All Trends'!$C:$C,0)),4)</f>
        <v>1.0519000000000001</v>
      </c>
      <c r="AJ52" s="70">
        <f>ROUND(INDEX('All Trends'!G:G,MATCH($AD52,'All Trends'!$C:$C,0)),4)</f>
        <v>1.0519000000000001</v>
      </c>
      <c r="AK52" s="70">
        <f>ROUND(INDEX('All Trends'!H:H,MATCH($AD52,'All Trends'!$C:$C,0)),4)</f>
        <v>1.0519000000000001</v>
      </c>
      <c r="AL52" s="74" t="s">
        <v>148</v>
      </c>
      <c r="AM52" s="92">
        <f t="shared" si="5"/>
        <v>262.86</v>
      </c>
      <c r="AN52" s="92">
        <f t="shared" si="6"/>
        <v>262.86</v>
      </c>
      <c r="AO52" s="69">
        <f t="shared" si="7"/>
        <v>0</v>
      </c>
      <c r="AP52" s="69">
        <f t="shared" si="8"/>
        <v>0</v>
      </c>
      <c r="AQ52" s="69">
        <f t="shared" si="9"/>
        <v>0</v>
      </c>
      <c r="AR52" s="69">
        <f t="shared" si="10"/>
        <v>0</v>
      </c>
      <c r="AS52" s="409"/>
      <c r="AT52" s="409"/>
      <c r="AU52" s="409"/>
      <c r="AV52" s="65"/>
      <c r="AW52" s="65"/>
      <c r="AX52" s="65"/>
      <c r="AY52" s="65"/>
      <c r="AZ52" s="65"/>
      <c r="BD52" s="65"/>
    </row>
    <row r="53" spans="1:56" s="66" customFormat="1" ht="13.15">
      <c r="A53" s="78" t="s">
        <v>262</v>
      </c>
      <c r="B53" s="78" t="s">
        <v>262</v>
      </c>
      <c r="C53" s="78" t="s">
        <v>147</v>
      </c>
      <c r="D53" s="78" t="s">
        <v>148</v>
      </c>
      <c r="E53" s="67" t="s">
        <v>231</v>
      </c>
      <c r="F53" s="67" t="s">
        <v>244</v>
      </c>
      <c r="G53" s="67" t="str">
        <f>INDEX('[4]RT Description to Bill Matix'!$D:$D,MATCH(A53,'[4]RT Description to Bill Matix'!$M:$M,0))</f>
        <v>CDS Out-of-Home Respite</v>
      </c>
      <c r="H53" s="65" t="s">
        <v>263</v>
      </c>
      <c r="I53" s="65" t="s">
        <v>147</v>
      </c>
      <c r="J53" s="65" t="str" cm="1">
        <f t="array" ref="J53">INDEX('Rate Table Service Desc XWalk'!F:F,MATCH(1,(G53='Rate Table Service Desc XWalk'!B:B)*(E53='Rate Table Service Desc XWalk'!A:A),0))</f>
        <v>3-5-139</v>
      </c>
      <c r="K53" s="66" t="str">
        <f>INDEX('[5]Combined Bill Code List'!$A:$A,MATCH(A53,'[5]Combined Bill Code List'!$F:$F,0))</f>
        <v>1915(c) waiver</v>
      </c>
      <c r="L53" s="66" t="str">
        <f>INDEX('[6]Rate History'!$P:$P,MATCH(A53,'[6]Rate History'!$F:$F,0))</f>
        <v>1 hour</v>
      </c>
      <c r="M53" s="77">
        <f>INDEX('[7]PDF DB Service Pivot'!$C:$C,MATCH(B53,'[7]PDF DB Service Pivot'!$B:$B,0))</f>
        <v>47504.01</v>
      </c>
      <c r="N53" s="77">
        <f t="shared" si="11"/>
        <v>2655.3387367244272</v>
      </c>
      <c r="O53" s="76">
        <f>INDEX('[7]PDF DB Service Pivot'!$D:$D,MATCH(B53,'[7]PDF DB Service Pivot'!$B:$B,0))</f>
        <v>47504.01</v>
      </c>
      <c r="P53" s="91">
        <v>45170</v>
      </c>
      <c r="Q53" s="81">
        <v>17.89</v>
      </c>
      <c r="R53" s="81">
        <v>11.77</v>
      </c>
      <c r="S53" s="354">
        <f t="shared" si="12"/>
        <v>0.65790944661822237</v>
      </c>
      <c r="T53">
        <v>1</v>
      </c>
      <c r="U53" s="81">
        <f t="shared" si="1"/>
        <v>0</v>
      </c>
      <c r="V53" s="81" cm="1">
        <f t="array" ref="V53">_xlfn.IFS('Fiscal by Program'!$B$7&lt;10.61,0,'Fiscal by Program'!$B$7&gt;10.6,(ROUND('Fiscal by Program'!$B$7*(1+IF(D53="Yes",'Fiscal by Program'!$B$9,'Fiscal by Program'!$B$8))*T53,2)))</f>
        <v>0</v>
      </c>
      <c r="W53" s="81">
        <f t="shared" si="2"/>
        <v>0</v>
      </c>
      <c r="X53" s="81">
        <f>ROUND((R53/(1+IF(D53="Yes",'Fiscal by Program'!$B$9,'Fiscal by Program'!$B$8))),2)+0.01</f>
        <v>10.64</v>
      </c>
      <c r="Y53" s="81">
        <f t="shared" si="3"/>
        <v>17.89</v>
      </c>
      <c r="Z53" s="88">
        <v>4</v>
      </c>
      <c r="AA53" s="90">
        <f t="shared" si="4"/>
        <v>0.25</v>
      </c>
      <c r="AB53" s="75">
        <f>INDEX('[9]Service List'!$K:$K,MATCH(A53,'[9]Service List'!$F:$F,0))</f>
        <v>1260</v>
      </c>
      <c r="AC53" s="73">
        <f>INDEX('[5]Combined Bill Code List'!$P:$P,MATCH(A53,'[5]Combined Bill Code List'!$F:$F,0))</f>
        <v>0</v>
      </c>
      <c r="AD53" s="80" t="s">
        <v>231</v>
      </c>
      <c r="AE53" s="79">
        <v>1</v>
      </c>
      <c r="AF53" s="66">
        <v>0</v>
      </c>
      <c r="AG53" s="70">
        <f>ROUND(INDEX('All Trends'!D:D,MATCH($AD53,'All Trends'!$C:$C,0)),4)</f>
        <v>0.99270000000000003</v>
      </c>
      <c r="AH53" s="70">
        <f>ROUND(INDEX('All Trends'!E:E,MATCH($AD53,'All Trends'!$C:$C,0)),4)</f>
        <v>1.0091000000000001</v>
      </c>
      <c r="AI53" s="70">
        <f>ROUND(INDEX('All Trends'!F:F,MATCH($AD53,'All Trends'!$C:$C,0)),4)</f>
        <v>1.0519000000000001</v>
      </c>
      <c r="AJ53" s="70">
        <f>ROUND(INDEX('All Trends'!G:G,MATCH($AD53,'All Trends'!$C:$C,0)),4)</f>
        <v>1.0519000000000001</v>
      </c>
      <c r="AK53" s="70">
        <f>ROUND(INDEX('All Trends'!H:H,MATCH($AD53,'All Trends'!$C:$C,0)),4)</f>
        <v>1.0519000000000001</v>
      </c>
      <c r="AL53" s="74" t="s">
        <v>148</v>
      </c>
      <c r="AM53" s="92">
        <f t="shared" si="5"/>
        <v>2793.15</v>
      </c>
      <c r="AN53" s="92">
        <f t="shared" si="6"/>
        <v>2793.15</v>
      </c>
      <c r="AO53" s="69">
        <f t="shared" si="7"/>
        <v>0</v>
      </c>
      <c r="AP53" s="69">
        <f t="shared" si="8"/>
        <v>0</v>
      </c>
      <c r="AQ53" s="69">
        <f t="shared" si="9"/>
        <v>0</v>
      </c>
      <c r="AR53" s="69">
        <f t="shared" si="10"/>
        <v>0</v>
      </c>
      <c r="AS53" s="409"/>
      <c r="AT53" s="409"/>
      <c r="AU53" s="409"/>
      <c r="AV53" s="65"/>
      <c r="AW53" s="65"/>
      <c r="AX53" s="65"/>
      <c r="AY53" s="65"/>
      <c r="AZ53" s="65"/>
      <c r="BD53" s="65"/>
    </row>
    <row r="54" spans="1:56" s="66" customFormat="1" ht="13.15">
      <c r="A54" s="78" t="s">
        <v>264</v>
      </c>
      <c r="B54" s="78" t="s">
        <v>264</v>
      </c>
      <c r="C54" s="78" t="s">
        <v>147</v>
      </c>
      <c r="D54" s="78" t="s">
        <v>148</v>
      </c>
      <c r="E54" s="67" t="s">
        <v>231</v>
      </c>
      <c r="F54" s="67" t="s">
        <v>244</v>
      </c>
      <c r="G54" s="67" t="str">
        <f>INDEX('[4]RT Description to Bill Matix'!$D:$D,MATCH(A54,'[4]RT Description to Bill Matix'!$M:$M,0))</f>
        <v>CDS Out-of-Home Respite</v>
      </c>
      <c r="H54" s="65" t="s">
        <v>265</v>
      </c>
      <c r="I54" s="65" t="s">
        <v>147</v>
      </c>
      <c r="J54" s="65" t="str" cm="1">
        <f t="array" ref="J54">INDEX('Rate Table Service Desc XWalk'!F:F,MATCH(1,(G54='Rate Table Service Desc XWalk'!B:B)*(E54='Rate Table Service Desc XWalk'!A:A),0))</f>
        <v>3-5-139</v>
      </c>
      <c r="K54" s="66" t="str">
        <f>INDEX('[5]Combined Bill Code List'!$A:$A,MATCH(A54,'[5]Combined Bill Code List'!$F:$F,0))</f>
        <v>1915(c) waiver</v>
      </c>
      <c r="L54" s="66" t="str">
        <f>INDEX('[6]Rate History'!$P:$P,MATCH(A54,'[6]Rate History'!$F:$F,0))</f>
        <v>1 hour</v>
      </c>
      <c r="M54" s="77">
        <f>INDEX('[7]PDF DB Service Pivot'!$C:$C,MATCH(B54,'[7]PDF DB Service Pivot'!$B:$B,0))</f>
        <v>16810.830000000002</v>
      </c>
      <c r="N54" s="77">
        <f t="shared" si="11"/>
        <v>939.67747344885413</v>
      </c>
      <c r="O54" s="76">
        <f>INDEX('[7]PDF DB Service Pivot'!$D:$D,MATCH(B54,'[7]PDF DB Service Pivot'!$B:$B,0))</f>
        <v>16810.830000000002</v>
      </c>
      <c r="P54" s="91">
        <v>45170</v>
      </c>
      <c r="Q54" s="81">
        <v>17.89</v>
      </c>
      <c r="R54" s="81">
        <v>11.77</v>
      </c>
      <c r="S54" s="354">
        <f t="shared" si="12"/>
        <v>0.65790944661822237</v>
      </c>
      <c r="T54">
        <v>1</v>
      </c>
      <c r="U54" s="81">
        <f t="shared" si="1"/>
        <v>0</v>
      </c>
      <c r="V54" s="81" cm="1">
        <f t="array" ref="V54">_xlfn.IFS('Fiscal by Program'!$B$7&lt;10.61,0,'Fiscal by Program'!$B$7&gt;10.6,(ROUND('Fiscal by Program'!$B$7*(1+IF(D54="Yes",'Fiscal by Program'!$B$9,'Fiscal by Program'!$B$8))*T54,2)))</f>
        <v>0</v>
      </c>
      <c r="W54" s="81">
        <f t="shared" si="2"/>
        <v>0</v>
      </c>
      <c r="X54" s="81">
        <f>ROUND((R54/(1+IF(D54="Yes",'Fiscal by Program'!$B$9,'Fiscal by Program'!$B$8))),2)+0.01</f>
        <v>10.64</v>
      </c>
      <c r="Y54" s="81">
        <f t="shared" si="3"/>
        <v>17.89</v>
      </c>
      <c r="Z54" s="88">
        <v>4</v>
      </c>
      <c r="AA54" s="90">
        <f t="shared" si="4"/>
        <v>0.25</v>
      </c>
      <c r="AB54" s="75">
        <f>INDEX('[9]Service List'!$K:$K,MATCH(A54,'[9]Service List'!$F:$F,0))</f>
        <v>1265</v>
      </c>
      <c r="AC54" s="73">
        <f>INDEX('[5]Combined Bill Code List'!$P:$P,MATCH(A54,'[5]Combined Bill Code List'!$F:$F,0))</f>
        <v>0</v>
      </c>
      <c r="AD54" s="80" t="s">
        <v>231</v>
      </c>
      <c r="AE54" s="79">
        <v>1</v>
      </c>
      <c r="AF54" s="66">
        <v>0</v>
      </c>
      <c r="AG54" s="70">
        <f>ROUND(INDEX('All Trends'!D:D,MATCH($AD54,'All Trends'!$C:$C,0)),4)</f>
        <v>0.99270000000000003</v>
      </c>
      <c r="AH54" s="70">
        <f>ROUND(INDEX('All Trends'!E:E,MATCH($AD54,'All Trends'!$C:$C,0)),4)</f>
        <v>1.0091000000000001</v>
      </c>
      <c r="AI54" s="70">
        <f>ROUND(INDEX('All Trends'!F:F,MATCH($AD54,'All Trends'!$C:$C,0)),4)</f>
        <v>1.0519000000000001</v>
      </c>
      <c r="AJ54" s="70">
        <f>ROUND(INDEX('All Trends'!G:G,MATCH($AD54,'All Trends'!$C:$C,0)),4)</f>
        <v>1.0519000000000001</v>
      </c>
      <c r="AK54" s="70">
        <f>ROUND(INDEX('All Trends'!H:H,MATCH($AD54,'All Trends'!$C:$C,0)),4)</f>
        <v>1.0519000000000001</v>
      </c>
      <c r="AL54" s="74" t="s">
        <v>148</v>
      </c>
      <c r="AM54" s="92">
        <f t="shared" si="5"/>
        <v>988.45</v>
      </c>
      <c r="AN54" s="92">
        <f t="shared" si="6"/>
        <v>988.45</v>
      </c>
      <c r="AO54" s="69">
        <f t="shared" si="7"/>
        <v>0</v>
      </c>
      <c r="AP54" s="69">
        <f t="shared" si="8"/>
        <v>0</v>
      </c>
      <c r="AQ54" s="69">
        <f t="shared" si="9"/>
        <v>0</v>
      </c>
      <c r="AR54" s="69">
        <f t="shared" si="10"/>
        <v>0</v>
      </c>
      <c r="AS54" s="409"/>
      <c r="AT54" s="409"/>
      <c r="AU54" s="409"/>
      <c r="AV54" s="65"/>
      <c r="AW54" s="65"/>
      <c r="AX54" s="65"/>
      <c r="AY54" s="65"/>
      <c r="AZ54" s="65"/>
      <c r="BD54" s="65"/>
    </row>
    <row r="55" spans="1:56" s="66" customFormat="1" ht="13.15">
      <c r="A55" s="78" t="s">
        <v>266</v>
      </c>
      <c r="B55" s="78" t="s">
        <v>266</v>
      </c>
      <c r="C55" s="78" t="s">
        <v>147</v>
      </c>
      <c r="D55" s="78" t="s">
        <v>148</v>
      </c>
      <c r="E55" s="67" t="s">
        <v>231</v>
      </c>
      <c r="F55" s="67" t="s">
        <v>244</v>
      </c>
      <c r="G55" s="67" t="str">
        <f>INDEX('[4]RT Description to Bill Matix'!$D:$D,MATCH(A55,'[4]RT Description to Bill Matix'!$M:$M,0))</f>
        <v>CDS Out-of-Home Respite</v>
      </c>
      <c r="H55" s="65" t="s">
        <v>267</v>
      </c>
      <c r="I55" s="65" t="s">
        <v>147</v>
      </c>
      <c r="J55" s="65" t="str" cm="1">
        <f t="array" ref="J55">INDEX('Rate Table Service Desc XWalk'!F:F,MATCH(1,(G55='Rate Table Service Desc XWalk'!B:B)*(E55='Rate Table Service Desc XWalk'!A:A),0))</f>
        <v>3-5-139</v>
      </c>
      <c r="K55" s="66" t="str">
        <f>INDEX('[5]Combined Bill Code List'!$A:$A,MATCH(A55,'[5]Combined Bill Code List'!$F:$F,0))</f>
        <v>1915(c) waiver</v>
      </c>
      <c r="L55" s="66" t="str">
        <f>INDEX('[6]Rate History'!$P:$P,MATCH(A55,'[6]Rate History'!$F:$F,0))</f>
        <v>1 hour</v>
      </c>
      <c r="M55" s="77">
        <f>INDEX('[7]PDF DB Service Pivot'!$C:$C,MATCH(B55,'[7]PDF DB Service Pivot'!$B:$B,0))</f>
        <v>1073.4000000000001</v>
      </c>
      <c r="N55" s="77">
        <f t="shared" si="11"/>
        <v>60</v>
      </c>
      <c r="O55" s="76">
        <f>INDEX('[7]PDF DB Service Pivot'!$D:$D,MATCH(B55,'[7]PDF DB Service Pivot'!$B:$B,0))</f>
        <v>1073.4000000000001</v>
      </c>
      <c r="P55" s="91">
        <v>45170</v>
      </c>
      <c r="Q55" s="81">
        <v>17.89</v>
      </c>
      <c r="R55" s="81">
        <v>11.77</v>
      </c>
      <c r="S55" s="354">
        <f t="shared" si="12"/>
        <v>0.65790944661822237</v>
      </c>
      <c r="T55">
        <v>1</v>
      </c>
      <c r="U55" s="81">
        <f t="shared" si="1"/>
        <v>0</v>
      </c>
      <c r="V55" s="81" cm="1">
        <f t="array" ref="V55">_xlfn.IFS('Fiscal by Program'!$B$7&lt;10.61,0,'Fiscal by Program'!$B$7&gt;10.6,(ROUND('Fiscal by Program'!$B$7*(1+IF(D55="Yes",'Fiscal by Program'!$B$9,'Fiscal by Program'!$B$8))*T55,2)))</f>
        <v>0</v>
      </c>
      <c r="W55" s="81">
        <f t="shared" si="2"/>
        <v>0</v>
      </c>
      <c r="X55" s="81">
        <f>ROUND((R55/(1+IF(D55="Yes",'Fiscal by Program'!$B$9,'Fiscal by Program'!$B$8))),2)+0.01</f>
        <v>10.64</v>
      </c>
      <c r="Y55" s="81">
        <f t="shared" si="3"/>
        <v>17.89</v>
      </c>
      <c r="Z55" s="88">
        <v>4</v>
      </c>
      <c r="AA55" s="90">
        <f t="shared" si="4"/>
        <v>0.25</v>
      </c>
      <c r="AB55" s="75">
        <f>INDEX('[9]Service List'!$K:$K,MATCH(A55,'[9]Service List'!$F:$F,0))</f>
        <v>1266</v>
      </c>
      <c r="AC55" s="73">
        <f>INDEX('[5]Combined Bill Code List'!$P:$P,MATCH(A55,'[5]Combined Bill Code List'!$F:$F,0))</f>
        <v>0</v>
      </c>
      <c r="AD55" s="80" t="s">
        <v>231</v>
      </c>
      <c r="AE55" s="79">
        <v>1</v>
      </c>
      <c r="AF55" s="66">
        <v>0</v>
      </c>
      <c r="AG55" s="70">
        <f>ROUND(INDEX('All Trends'!D:D,MATCH($AD55,'All Trends'!$C:$C,0)),4)</f>
        <v>0.99270000000000003</v>
      </c>
      <c r="AH55" s="70">
        <f>ROUND(INDEX('All Trends'!E:E,MATCH($AD55,'All Trends'!$C:$C,0)),4)</f>
        <v>1.0091000000000001</v>
      </c>
      <c r="AI55" s="70">
        <f>ROUND(INDEX('All Trends'!F:F,MATCH($AD55,'All Trends'!$C:$C,0)),4)</f>
        <v>1.0519000000000001</v>
      </c>
      <c r="AJ55" s="70">
        <f>ROUND(INDEX('All Trends'!G:G,MATCH($AD55,'All Trends'!$C:$C,0)),4)</f>
        <v>1.0519000000000001</v>
      </c>
      <c r="AK55" s="70">
        <f>ROUND(INDEX('All Trends'!H:H,MATCH($AD55,'All Trends'!$C:$C,0)),4)</f>
        <v>1.0519000000000001</v>
      </c>
      <c r="AL55" s="74" t="s">
        <v>148</v>
      </c>
      <c r="AM55" s="92">
        <f t="shared" si="5"/>
        <v>63.11</v>
      </c>
      <c r="AN55" s="92">
        <f t="shared" si="6"/>
        <v>63.11</v>
      </c>
      <c r="AO55" s="69">
        <f t="shared" si="7"/>
        <v>0</v>
      </c>
      <c r="AP55" s="69">
        <f t="shared" si="8"/>
        <v>0</v>
      </c>
      <c r="AQ55" s="69">
        <f t="shared" si="9"/>
        <v>0</v>
      </c>
      <c r="AR55" s="69">
        <f t="shared" si="10"/>
        <v>0</v>
      </c>
      <c r="AS55" s="409"/>
      <c r="AT55" s="409"/>
      <c r="AU55" s="409"/>
      <c r="AV55" s="65"/>
      <c r="AW55" s="65"/>
      <c r="AX55" s="65"/>
      <c r="AY55" s="65"/>
      <c r="AZ55" s="65"/>
      <c r="BD55" s="65"/>
    </row>
    <row r="56" spans="1:56" s="66" customFormat="1" ht="13.15">
      <c r="A56" s="78" t="s">
        <v>268</v>
      </c>
      <c r="B56" s="78" t="s">
        <v>268</v>
      </c>
      <c r="C56" s="78" t="s">
        <v>147</v>
      </c>
      <c r="D56" s="78" t="s">
        <v>148</v>
      </c>
      <c r="E56" s="67" t="s">
        <v>231</v>
      </c>
      <c r="F56" s="67" t="s">
        <v>204</v>
      </c>
      <c r="G56" s="67" t="str">
        <f>INDEX('[4]RT Description to Bill Matix'!$D:$D,MATCH(A56,'[4]RT Description to Bill Matix'!$M:$M,0))</f>
        <v>Individualized Skills and Socialization LON 1 - On-Site</v>
      </c>
      <c r="H56" s="65" t="s">
        <v>269</v>
      </c>
      <c r="I56" s="65"/>
      <c r="J56" s="65" t="s">
        <v>270</v>
      </c>
      <c r="K56" s="66" t="str">
        <f>INDEX('[5]Combined Bill Code List'!$A:$A,MATCH(A56,'[5]Combined Bill Code List'!$F:$F,0))</f>
        <v>1915(c) waiver</v>
      </c>
      <c r="L56" s="66" t="str">
        <f>INDEX('[6]Rate History'!$P:$P,MATCH(A56,'[6]Rate History'!$F:$F,0))</f>
        <v>1 hour</v>
      </c>
      <c r="M56" s="77">
        <f>INDEX('[7]PDF DB Service Pivot'!$C:$C,MATCH(B56,'[7]PDF DB Service Pivot'!$B:$B,0))</f>
        <v>1427421.5</v>
      </c>
      <c r="N56" s="77">
        <f t="shared" si="11"/>
        <v>2854843</v>
      </c>
      <c r="O56" s="76">
        <f>INDEX('[7]PDF DB Service Pivot'!$D:$D,MATCH(B56,'[7]PDF DB Service Pivot'!$B:$B,0))</f>
        <v>9335574.5600000005</v>
      </c>
      <c r="P56" s="91">
        <v>44927</v>
      </c>
      <c r="Q56" s="81">
        <v>6.54</v>
      </c>
      <c r="R56" s="81">
        <v>2.0499999999999998</v>
      </c>
      <c r="S56" s="354">
        <f t="shared" si="12"/>
        <v>0.31345565749235471</v>
      </c>
      <c r="T56">
        <v>0.14000000000000001</v>
      </c>
      <c r="U56" s="81">
        <f t="shared" si="1"/>
        <v>0</v>
      </c>
      <c r="V56" s="81" cm="1">
        <f t="array" ref="V56">_xlfn.IFS('Fiscal by Program'!$B$7&lt;10.61,0,'Fiscal by Program'!$B$7&gt;10.6,(ROUND('Fiscal by Program'!$B$7*(1+IF(D56="Yes",'Fiscal by Program'!$B$9,'Fiscal by Program'!$B$8))*T56,2)))</f>
        <v>0</v>
      </c>
      <c r="W56" s="81">
        <f t="shared" si="2"/>
        <v>0</v>
      </c>
      <c r="X56" s="81">
        <f>ROUND((R56/(1+IF(D56="Yes",'Fiscal by Program'!$B$9,'Fiscal by Program'!$B$8))),2)+0.01</f>
        <v>1.86</v>
      </c>
      <c r="Y56" s="81">
        <f t="shared" si="3"/>
        <v>6.54</v>
      </c>
      <c r="Z56" s="88">
        <v>4</v>
      </c>
      <c r="AA56" s="90">
        <f t="shared" si="4"/>
        <v>3.5000000000000003E-2</v>
      </c>
      <c r="AB56" s="75">
        <f>INDEX('[9]Service List'!$K:$K,MATCH(A56,'[9]Service List'!$F:$F,0))</f>
        <v>238</v>
      </c>
      <c r="AC56" s="73">
        <f>INDEX('[5]Combined Bill Code List'!$P:$P,MATCH(A56,'[5]Combined Bill Code List'!$F:$F,0))</f>
        <v>0</v>
      </c>
      <c r="AD56" s="80" t="s">
        <v>231</v>
      </c>
      <c r="AE56" s="79">
        <v>1</v>
      </c>
      <c r="AF56" s="66">
        <v>0</v>
      </c>
      <c r="AG56" s="70">
        <f>ROUND(INDEX('All Trends'!D:D,MATCH($AD56,'All Trends'!$C:$C,0)),4)</f>
        <v>0.99270000000000003</v>
      </c>
      <c r="AH56" s="70">
        <f>ROUND(INDEX('All Trends'!E:E,MATCH($AD56,'All Trends'!$C:$C,0)),4)</f>
        <v>1.0091000000000001</v>
      </c>
      <c r="AI56" s="70">
        <f>ROUND(INDEX('All Trends'!F:F,MATCH($AD56,'All Trends'!$C:$C,0)),4)</f>
        <v>1.0519000000000001</v>
      </c>
      <c r="AJ56" s="70">
        <f>ROUND(INDEX('All Trends'!G:G,MATCH($AD56,'All Trends'!$C:$C,0)),4)</f>
        <v>1.0519000000000001</v>
      </c>
      <c r="AK56" s="70">
        <f>ROUND(INDEX('All Trends'!H:H,MATCH($AD56,'All Trends'!$C:$C,0)),4)</f>
        <v>1.0519000000000001</v>
      </c>
      <c r="AL56" s="74" t="s">
        <v>148</v>
      </c>
      <c r="AM56" s="92">
        <f t="shared" si="5"/>
        <v>420421.31</v>
      </c>
      <c r="AN56" s="92">
        <f t="shared" si="6"/>
        <v>420421.31</v>
      </c>
      <c r="AO56" s="69">
        <f t="shared" si="7"/>
        <v>0</v>
      </c>
      <c r="AP56" s="69">
        <f t="shared" si="8"/>
        <v>0</v>
      </c>
      <c r="AQ56" s="69">
        <f t="shared" si="9"/>
        <v>0</v>
      </c>
      <c r="AR56" s="69">
        <f t="shared" si="10"/>
        <v>0</v>
      </c>
      <c r="AS56" s="409"/>
      <c r="AT56" s="409"/>
      <c r="AU56" s="409"/>
      <c r="AV56" s="65"/>
      <c r="AW56" s="65"/>
      <c r="AX56" s="65"/>
      <c r="AY56" s="65"/>
      <c r="AZ56" s="65"/>
      <c r="BD56" s="65"/>
    </row>
    <row r="57" spans="1:56" s="66" customFormat="1" ht="13.15">
      <c r="A57" s="78" t="s">
        <v>271</v>
      </c>
      <c r="B57" s="78" t="s">
        <v>271</v>
      </c>
      <c r="C57" s="78" t="s">
        <v>147</v>
      </c>
      <c r="D57" s="78" t="s">
        <v>148</v>
      </c>
      <c r="E57" s="67" t="s">
        <v>231</v>
      </c>
      <c r="F57" s="67" t="s">
        <v>204</v>
      </c>
      <c r="G57" s="67" t="str">
        <f>INDEX('[4]RT Description to Bill Matix'!$D:$D,MATCH(A57,'[4]RT Description to Bill Matix'!$M:$M,0))</f>
        <v>Individualized Skills and Socialization LON 1 - Off-Site (incl. Enhanced)</v>
      </c>
      <c r="H57" s="65" t="s">
        <v>272</v>
      </c>
      <c r="I57" s="65"/>
      <c r="J57" s="65" t="s">
        <v>270</v>
      </c>
      <c r="K57" s="66" t="str">
        <f>INDEX('[5]Combined Bill Code List'!$A:$A,MATCH(A57,'[5]Combined Bill Code List'!$F:$F,0))</f>
        <v>1915(c) waiver</v>
      </c>
      <c r="L57" s="66" t="str">
        <f>INDEX('[6]Rate History'!$P:$P,MATCH(A57,'[6]Rate History'!$F:$F,0))</f>
        <v>1 hour</v>
      </c>
      <c r="M57" s="77">
        <f>INDEX('[7]PDF DB Service Pivot'!$C:$C,MATCH(B57,'[7]PDF DB Service Pivot'!$B:$B,0))</f>
        <v>163325.5</v>
      </c>
      <c r="N57" s="77">
        <f t="shared" si="11"/>
        <v>326651</v>
      </c>
      <c r="O57" s="76">
        <f>INDEX('[7]PDF DB Service Pivot'!$D:$D,MATCH(B57,'[7]PDF DB Service Pivot'!$B:$B,0))</f>
        <v>1543476.67</v>
      </c>
      <c r="P57" s="91">
        <v>44927</v>
      </c>
      <c r="Q57" s="81">
        <v>9.4499999999999993</v>
      </c>
      <c r="R57" s="81">
        <v>1.76</v>
      </c>
      <c r="S57" s="354">
        <f t="shared" si="12"/>
        <v>0.18624338624338627</v>
      </c>
      <c r="T57">
        <v>0.13</v>
      </c>
      <c r="U57" s="81">
        <f t="shared" si="1"/>
        <v>0</v>
      </c>
      <c r="V57" s="81" cm="1">
        <f t="array" ref="V57">_xlfn.IFS('Fiscal by Program'!$B$7&lt;10.61,0,'Fiscal by Program'!$B$7&gt;10.6,(ROUND('Fiscal by Program'!$B$7*(1+IF(D57="Yes",'Fiscal by Program'!$B$9,'Fiscal by Program'!$B$8))*T57,2)))</f>
        <v>0</v>
      </c>
      <c r="W57" s="81">
        <f t="shared" si="2"/>
        <v>0</v>
      </c>
      <c r="X57" s="81">
        <f>ROUND((R57/(1+IF(D57="Yes",'Fiscal by Program'!$B$9,'Fiscal by Program'!$B$8))),2)+0.01</f>
        <v>1.6</v>
      </c>
      <c r="Y57" s="81">
        <f t="shared" si="3"/>
        <v>9.4499999999999993</v>
      </c>
      <c r="Z57" s="88">
        <v>4</v>
      </c>
      <c r="AA57" s="90">
        <f t="shared" si="4"/>
        <v>3.2500000000000001E-2</v>
      </c>
      <c r="AB57" s="75">
        <f>INDEX('[9]Service List'!$K:$K,MATCH(A57,'[9]Service List'!$F:$F,0))</f>
        <v>239</v>
      </c>
      <c r="AC57" s="73">
        <f>INDEX('[5]Combined Bill Code List'!$P:$P,MATCH(A57,'[5]Combined Bill Code List'!$F:$F,0))</f>
        <v>0</v>
      </c>
      <c r="AD57" s="80" t="s">
        <v>231</v>
      </c>
      <c r="AE57" s="79">
        <v>1</v>
      </c>
      <c r="AF57" s="66">
        <v>0</v>
      </c>
      <c r="AG57" s="70">
        <f>ROUND(INDEX('All Trends'!D:D,MATCH($AD57,'All Trends'!$C:$C,0)),4)</f>
        <v>0.99270000000000003</v>
      </c>
      <c r="AH57" s="70">
        <f>ROUND(INDEX('All Trends'!E:E,MATCH($AD57,'All Trends'!$C:$C,0)),4)</f>
        <v>1.0091000000000001</v>
      </c>
      <c r="AI57" s="70">
        <f>ROUND(INDEX('All Trends'!F:F,MATCH($AD57,'All Trends'!$C:$C,0)),4)</f>
        <v>1.0519000000000001</v>
      </c>
      <c r="AJ57" s="70">
        <f>ROUND(INDEX('All Trends'!G:G,MATCH($AD57,'All Trends'!$C:$C,0)),4)</f>
        <v>1.0519000000000001</v>
      </c>
      <c r="AK57" s="70">
        <f>ROUND(INDEX('All Trends'!H:H,MATCH($AD57,'All Trends'!$C:$C,0)),4)</f>
        <v>1.0519000000000001</v>
      </c>
      <c r="AL57" s="74" t="s">
        <v>148</v>
      </c>
      <c r="AM57" s="92">
        <f t="shared" si="5"/>
        <v>44668.54</v>
      </c>
      <c r="AN57" s="92">
        <f t="shared" si="6"/>
        <v>44668.54</v>
      </c>
      <c r="AO57" s="69">
        <f t="shared" si="7"/>
        <v>0</v>
      </c>
      <c r="AP57" s="69">
        <f t="shared" si="8"/>
        <v>0</v>
      </c>
      <c r="AQ57" s="69">
        <f t="shared" si="9"/>
        <v>0</v>
      </c>
      <c r="AR57" s="69">
        <f t="shared" si="10"/>
        <v>0</v>
      </c>
      <c r="AS57" s="409"/>
      <c r="AT57" s="409"/>
      <c r="AU57" s="409"/>
      <c r="AV57" s="65"/>
      <c r="AW57" s="65"/>
      <c r="AX57" s="65"/>
      <c r="AY57" s="65"/>
      <c r="AZ57" s="65"/>
      <c r="BD57" s="65"/>
    </row>
    <row r="58" spans="1:56" s="66" customFormat="1" ht="13.15">
      <c r="A58" s="78" t="s">
        <v>273</v>
      </c>
      <c r="B58" s="78" t="s">
        <v>273</v>
      </c>
      <c r="C58" s="78" t="s">
        <v>147</v>
      </c>
      <c r="D58" s="78" t="s">
        <v>148</v>
      </c>
      <c r="E58" s="67" t="s">
        <v>231</v>
      </c>
      <c r="F58" s="67" t="s">
        <v>204</v>
      </c>
      <c r="G58" s="67" t="str">
        <f>INDEX('[4]RT Description to Bill Matix'!$D:$D,MATCH(A58,'[4]RT Description to Bill Matix'!$M:$M,0))</f>
        <v>Individualized Skills and Socialization LON 1 - Off-Site (incl. Enhanced)</v>
      </c>
      <c r="H58" s="65" t="s">
        <v>274</v>
      </c>
      <c r="I58" s="65"/>
      <c r="J58" s="65" t="s">
        <v>270</v>
      </c>
      <c r="K58" s="66" t="str">
        <f>INDEX('[5]Combined Bill Code List'!$A:$A,MATCH(A58,'[5]Combined Bill Code List'!$F:$F,0))</f>
        <v>1915(c) waiver</v>
      </c>
      <c r="L58" s="66" t="str">
        <f>INDEX('[6]Rate History'!$P:$P,MATCH(A58,'[6]Rate History'!$F:$F,0))</f>
        <v>1 hour</v>
      </c>
      <c r="M58" s="77">
        <f>INDEX('[7]PDF DB Service Pivot'!$C:$C,MATCH(B58,'[7]PDF DB Service Pivot'!$B:$B,0))</f>
        <v>134</v>
      </c>
      <c r="N58" s="77">
        <f t="shared" si="11"/>
        <v>268</v>
      </c>
      <c r="O58" s="76">
        <f>INDEX('[7]PDF DB Service Pivot'!$D:$D,MATCH(B58,'[7]PDF DB Service Pivot'!$B:$B,0))</f>
        <v>2067.65</v>
      </c>
      <c r="P58" s="91">
        <v>44927</v>
      </c>
      <c r="Q58" s="81">
        <v>15.43</v>
      </c>
      <c r="R58" s="81">
        <v>7.02</v>
      </c>
      <c r="S58" s="354">
        <f t="shared" si="12"/>
        <v>0.45495787427090084</v>
      </c>
      <c r="T58">
        <v>0.5</v>
      </c>
      <c r="U58" s="81">
        <f t="shared" si="1"/>
        <v>0</v>
      </c>
      <c r="V58" s="81" cm="1">
        <f t="array" ref="V58">_xlfn.IFS('Fiscal by Program'!$B$7&lt;10.61,0,'Fiscal by Program'!$B$7&gt;10.6,(ROUND('Fiscal by Program'!$B$7*(1+IF(D58="Yes",'Fiscal by Program'!$B$9,'Fiscal by Program'!$B$8))*T58,2)))</f>
        <v>0</v>
      </c>
      <c r="W58" s="81">
        <f t="shared" si="2"/>
        <v>0</v>
      </c>
      <c r="X58" s="81">
        <f>ROUND((R58/(1+IF(D58="Yes",'Fiscal by Program'!$B$9,'Fiscal by Program'!$B$8))),2)+0.01</f>
        <v>6.35</v>
      </c>
      <c r="Y58" s="81">
        <f t="shared" si="3"/>
        <v>15.43</v>
      </c>
      <c r="Z58" s="88">
        <v>4</v>
      </c>
      <c r="AA58" s="90">
        <f t="shared" si="4"/>
        <v>0.125</v>
      </c>
      <c r="AB58" s="75">
        <f>INDEX('[9]Service List'!$K:$K,MATCH(A58,'[9]Service List'!$F:$F,0))</f>
        <v>258</v>
      </c>
      <c r="AC58" s="73">
        <f>INDEX('[5]Combined Bill Code List'!$P:$P,MATCH(A58,'[5]Combined Bill Code List'!$F:$F,0))</f>
        <v>0</v>
      </c>
      <c r="AD58" s="80" t="s">
        <v>231</v>
      </c>
      <c r="AE58" s="79">
        <v>1</v>
      </c>
      <c r="AF58" s="66">
        <v>0</v>
      </c>
      <c r="AG58" s="70">
        <f>ROUND(INDEX('All Trends'!D:D,MATCH($AD58,'All Trends'!$C:$C,0)),4)</f>
        <v>0.99270000000000003</v>
      </c>
      <c r="AH58" s="70">
        <f>ROUND(INDEX('All Trends'!E:E,MATCH($AD58,'All Trends'!$C:$C,0)),4)</f>
        <v>1.0091000000000001</v>
      </c>
      <c r="AI58" s="70">
        <f>ROUND(INDEX('All Trends'!F:F,MATCH($AD58,'All Trends'!$C:$C,0)),4)</f>
        <v>1.0519000000000001</v>
      </c>
      <c r="AJ58" s="70">
        <f>ROUND(INDEX('All Trends'!G:G,MATCH($AD58,'All Trends'!$C:$C,0)),4)</f>
        <v>1.0519000000000001</v>
      </c>
      <c r="AK58" s="70">
        <f>ROUND(INDEX('All Trends'!H:H,MATCH($AD58,'All Trends'!$C:$C,0)),4)</f>
        <v>1.0519000000000001</v>
      </c>
      <c r="AL58" s="74" t="s">
        <v>148</v>
      </c>
      <c r="AM58" s="92">
        <f t="shared" si="5"/>
        <v>140.94999999999999</v>
      </c>
      <c r="AN58" s="92">
        <f t="shared" si="6"/>
        <v>140.94999999999999</v>
      </c>
      <c r="AO58" s="69">
        <f t="shared" si="7"/>
        <v>0</v>
      </c>
      <c r="AP58" s="69">
        <f t="shared" si="8"/>
        <v>0</v>
      </c>
      <c r="AQ58" s="69">
        <f t="shared" si="9"/>
        <v>0</v>
      </c>
      <c r="AR58" s="69">
        <f t="shared" si="10"/>
        <v>0</v>
      </c>
      <c r="AS58" s="409"/>
      <c r="AT58" s="409"/>
      <c r="AU58" s="409"/>
      <c r="AV58" s="65"/>
      <c r="AW58" s="65"/>
      <c r="AX58" s="65"/>
      <c r="AY58" s="65"/>
      <c r="AZ58" s="65"/>
      <c r="BD58" s="65"/>
    </row>
    <row r="59" spans="1:56" s="66" customFormat="1" ht="13.15">
      <c r="A59" s="78" t="s">
        <v>275</v>
      </c>
      <c r="B59" s="78" t="s">
        <v>275</v>
      </c>
      <c r="C59" s="78" t="s">
        <v>147</v>
      </c>
      <c r="D59" s="78" t="s">
        <v>148</v>
      </c>
      <c r="E59" s="67" t="s">
        <v>231</v>
      </c>
      <c r="F59" s="67" t="s">
        <v>204</v>
      </c>
      <c r="G59" s="67" t="str">
        <f>INDEX('[4]RT Description to Bill Matix'!$D:$D,MATCH(A59,'[4]RT Description to Bill Matix'!$M:$M,0))</f>
        <v>Individualized Skills and Socialization LON 1 - On-Site</v>
      </c>
      <c r="H59" s="65" t="s">
        <v>276</v>
      </c>
      <c r="I59" s="65"/>
      <c r="J59" s="65" t="s">
        <v>270</v>
      </c>
      <c r="K59" s="66" t="str">
        <f>INDEX('[5]Combined Bill Code List'!$A:$A,MATCH(A59,'[5]Combined Bill Code List'!$F:$F,0))</f>
        <v>1915(c) waiver</v>
      </c>
      <c r="L59" s="66" t="str">
        <f>INDEX('[6]Rate History'!$P:$P,MATCH(A59,'[6]Rate History'!$F:$F,0))</f>
        <v>1 hour</v>
      </c>
      <c r="M59" s="77">
        <f>INDEX('[7]PDF DB Service Pivot'!$C:$C,MATCH(B59,'[7]PDF DB Service Pivot'!$B:$B,0))</f>
        <v>23617.5</v>
      </c>
      <c r="N59" s="77">
        <f t="shared" si="11"/>
        <v>47235</v>
      </c>
      <c r="O59" s="76">
        <f>INDEX('[7]PDF DB Service Pivot'!$D:$D,MATCH(B59,'[7]PDF DB Service Pivot'!$B:$B,0))</f>
        <v>154460.01</v>
      </c>
      <c r="P59" s="91">
        <v>44927</v>
      </c>
      <c r="Q59" s="81">
        <v>6.54</v>
      </c>
      <c r="R59" s="81">
        <v>2.0499999999999998</v>
      </c>
      <c r="S59" s="354">
        <f t="shared" si="12"/>
        <v>0.31345565749235471</v>
      </c>
      <c r="T59">
        <v>0.14000000000000001</v>
      </c>
      <c r="U59" s="81">
        <f t="shared" si="1"/>
        <v>0</v>
      </c>
      <c r="V59" s="81" cm="1">
        <f t="array" ref="V59">_xlfn.IFS('Fiscal by Program'!$B$7&lt;10.61,0,'Fiscal by Program'!$B$7&gt;10.6,(ROUND('Fiscal by Program'!$B$7*(1+IF(D59="Yes",'Fiscal by Program'!$B$9,'Fiscal by Program'!$B$8))*T59,2)))</f>
        <v>0</v>
      </c>
      <c r="W59" s="81">
        <f t="shared" si="2"/>
        <v>0</v>
      </c>
      <c r="X59" s="81">
        <f>ROUND((R59/(1+IF(D59="Yes",'Fiscal by Program'!$B$9,'Fiscal by Program'!$B$8))),2)+0.01</f>
        <v>1.86</v>
      </c>
      <c r="Y59" s="81">
        <f t="shared" si="3"/>
        <v>6.54</v>
      </c>
      <c r="Z59" s="88">
        <v>4</v>
      </c>
      <c r="AA59" s="90">
        <f t="shared" si="4"/>
        <v>3.5000000000000003E-2</v>
      </c>
      <c r="AB59" s="75">
        <f>INDEX('[9]Service List'!$K:$K,MATCH(A59,'[9]Service List'!$F:$F,0))</f>
        <v>240</v>
      </c>
      <c r="AC59" s="73">
        <f>INDEX('[5]Combined Bill Code List'!$P:$P,MATCH(A59,'[5]Combined Bill Code List'!$F:$F,0))</f>
        <v>0</v>
      </c>
      <c r="AD59" s="80" t="s">
        <v>231</v>
      </c>
      <c r="AE59" s="79">
        <v>1</v>
      </c>
      <c r="AF59" s="66">
        <v>0</v>
      </c>
      <c r="AG59" s="70">
        <f>ROUND(INDEX('All Trends'!D:D,MATCH($AD59,'All Trends'!$C:$C,0)),4)</f>
        <v>0.99270000000000003</v>
      </c>
      <c r="AH59" s="70">
        <f>ROUND(INDEX('All Trends'!E:E,MATCH($AD59,'All Trends'!$C:$C,0)),4)</f>
        <v>1.0091000000000001</v>
      </c>
      <c r="AI59" s="70">
        <f>ROUND(INDEX('All Trends'!F:F,MATCH($AD59,'All Trends'!$C:$C,0)),4)</f>
        <v>1.0519000000000001</v>
      </c>
      <c r="AJ59" s="70">
        <f>ROUND(INDEX('All Trends'!G:G,MATCH($AD59,'All Trends'!$C:$C,0)),4)</f>
        <v>1.0519000000000001</v>
      </c>
      <c r="AK59" s="70">
        <f>ROUND(INDEX('All Trends'!H:H,MATCH($AD59,'All Trends'!$C:$C,0)),4)</f>
        <v>1.0519000000000001</v>
      </c>
      <c r="AL59" s="74" t="s">
        <v>148</v>
      </c>
      <c r="AM59" s="92">
        <f t="shared" si="5"/>
        <v>6956.11</v>
      </c>
      <c r="AN59" s="92">
        <f t="shared" si="6"/>
        <v>6956.11</v>
      </c>
      <c r="AO59" s="69">
        <f t="shared" si="7"/>
        <v>0</v>
      </c>
      <c r="AP59" s="69">
        <f t="shared" si="8"/>
        <v>0</v>
      </c>
      <c r="AQ59" s="69">
        <f t="shared" si="9"/>
        <v>0</v>
      </c>
      <c r="AR59" s="69">
        <f t="shared" si="10"/>
        <v>0</v>
      </c>
      <c r="AS59" s="409"/>
      <c r="AT59" s="409"/>
      <c r="AU59" s="409"/>
      <c r="AV59" s="65"/>
      <c r="AW59" s="65"/>
      <c r="AX59" s="65"/>
      <c r="AY59" s="65"/>
      <c r="AZ59" s="65"/>
      <c r="BD59" s="65"/>
    </row>
    <row r="60" spans="1:56" s="66" customFormat="1" ht="13.15">
      <c r="A60" s="78" t="s">
        <v>277</v>
      </c>
      <c r="B60" s="78" t="s">
        <v>277</v>
      </c>
      <c r="C60" s="78" t="s">
        <v>147</v>
      </c>
      <c r="D60" s="78" t="s">
        <v>148</v>
      </c>
      <c r="E60" s="67" t="s">
        <v>231</v>
      </c>
      <c r="F60" s="67" t="s">
        <v>204</v>
      </c>
      <c r="G60" s="67" t="str">
        <f>INDEX('[4]RT Description to Bill Matix'!$D:$D,MATCH(A60,'[4]RT Description to Bill Matix'!$M:$M,0))</f>
        <v>Individualized Skills and Socialization LON 5 - On-Site</v>
      </c>
      <c r="H60" s="65" t="s">
        <v>278</v>
      </c>
      <c r="I60" s="65"/>
      <c r="J60" s="65" t="s">
        <v>270</v>
      </c>
      <c r="K60" s="66" t="str">
        <f>INDEX('[5]Combined Bill Code List'!$A:$A,MATCH(A60,'[5]Combined Bill Code List'!$F:$F,0))</f>
        <v>1915(c) waiver</v>
      </c>
      <c r="L60" s="66" t="str">
        <f>INDEX('[6]Rate History'!$P:$P,MATCH(A60,'[6]Rate History'!$F:$F,0))</f>
        <v>1 hour</v>
      </c>
      <c r="M60" s="77">
        <f>INDEX('[7]PDF DB Service Pivot'!$C:$C,MATCH(B60,'[7]PDF DB Service Pivot'!$B:$B,0))</f>
        <v>3512457.75</v>
      </c>
      <c r="N60" s="77">
        <f t="shared" si="11"/>
        <v>7024915.5</v>
      </c>
      <c r="O60" s="76">
        <f>INDEX('[7]PDF DB Service Pivot'!$D:$D,MATCH(B60,'[7]PDF DB Service Pivot'!$B:$B,0))</f>
        <v>26273183.969999999</v>
      </c>
      <c r="P60" s="91">
        <v>44927</v>
      </c>
      <c r="Q60" s="81">
        <v>7.48</v>
      </c>
      <c r="R60" s="81">
        <v>2.87</v>
      </c>
      <c r="S60" s="354">
        <f t="shared" si="12"/>
        <v>0.38368983957219249</v>
      </c>
      <c r="T60">
        <v>0.2</v>
      </c>
      <c r="U60" s="81">
        <f t="shared" si="1"/>
        <v>0</v>
      </c>
      <c r="V60" s="81" cm="1">
        <f t="array" ref="V60">_xlfn.IFS('Fiscal by Program'!$B$7&lt;10.61,0,'Fiscal by Program'!$B$7&gt;10.6,(ROUND('Fiscal by Program'!$B$7*(1+IF(D60="Yes",'Fiscal by Program'!$B$9,'Fiscal by Program'!$B$8))*T60,2)))</f>
        <v>0</v>
      </c>
      <c r="W60" s="81">
        <f t="shared" si="2"/>
        <v>0</v>
      </c>
      <c r="X60" s="81">
        <f>ROUND((R60/(1+IF(D60="Yes",'Fiscal by Program'!$B$9,'Fiscal by Program'!$B$8))),2)+0.01</f>
        <v>2.5999999999999996</v>
      </c>
      <c r="Y60" s="81">
        <f t="shared" si="3"/>
        <v>7.48</v>
      </c>
      <c r="Z60" s="88">
        <v>4</v>
      </c>
      <c r="AA60" s="90">
        <f t="shared" si="4"/>
        <v>0.05</v>
      </c>
      <c r="AB60" s="75">
        <f>INDEX('[9]Service List'!$K:$K,MATCH(A60,'[9]Service List'!$F:$F,0))</f>
        <v>242</v>
      </c>
      <c r="AC60" s="73">
        <f>INDEX('[5]Combined Bill Code List'!$P:$P,MATCH(A60,'[5]Combined Bill Code List'!$F:$F,0))</f>
        <v>0</v>
      </c>
      <c r="AD60" s="80" t="s">
        <v>231</v>
      </c>
      <c r="AE60" s="79">
        <v>1</v>
      </c>
      <c r="AF60" s="66">
        <v>0</v>
      </c>
      <c r="AG60" s="70">
        <f>ROUND(INDEX('All Trends'!D:D,MATCH($AD60,'All Trends'!$C:$C,0)),4)</f>
        <v>0.99270000000000003</v>
      </c>
      <c r="AH60" s="70">
        <f>ROUND(INDEX('All Trends'!E:E,MATCH($AD60,'All Trends'!$C:$C,0)),4)</f>
        <v>1.0091000000000001</v>
      </c>
      <c r="AI60" s="70">
        <f>ROUND(INDEX('All Trends'!F:F,MATCH($AD60,'All Trends'!$C:$C,0)),4)</f>
        <v>1.0519000000000001</v>
      </c>
      <c r="AJ60" s="70">
        <f>ROUND(INDEX('All Trends'!G:G,MATCH($AD60,'All Trends'!$C:$C,0)),4)</f>
        <v>1.0519000000000001</v>
      </c>
      <c r="AK60" s="70">
        <f>ROUND(INDEX('All Trends'!H:H,MATCH($AD60,'All Trends'!$C:$C,0)),4)</f>
        <v>1.0519000000000001</v>
      </c>
      <c r="AL60" s="74" t="s">
        <v>148</v>
      </c>
      <c r="AM60" s="92">
        <f t="shared" si="5"/>
        <v>1477901.72</v>
      </c>
      <c r="AN60" s="92">
        <f t="shared" si="6"/>
        <v>1477901.72</v>
      </c>
      <c r="AO60" s="69">
        <f t="shared" si="7"/>
        <v>0</v>
      </c>
      <c r="AP60" s="69">
        <f t="shared" si="8"/>
        <v>0</v>
      </c>
      <c r="AQ60" s="69">
        <f t="shared" si="9"/>
        <v>0</v>
      </c>
      <c r="AR60" s="69">
        <f t="shared" si="10"/>
        <v>0</v>
      </c>
      <c r="AS60" s="409"/>
      <c r="AT60" s="409"/>
      <c r="AU60" s="409"/>
      <c r="AV60" s="65"/>
      <c r="AW60" s="65"/>
      <c r="AX60" s="65"/>
      <c r="AY60" s="65"/>
      <c r="AZ60" s="65"/>
      <c r="BD60" s="65"/>
    </row>
    <row r="61" spans="1:56" s="66" customFormat="1" ht="13.15">
      <c r="A61" s="78" t="s">
        <v>279</v>
      </c>
      <c r="B61" s="78" t="s">
        <v>279</v>
      </c>
      <c r="C61" s="78" t="s">
        <v>147</v>
      </c>
      <c r="D61" s="78" t="s">
        <v>148</v>
      </c>
      <c r="E61" s="67" t="s">
        <v>231</v>
      </c>
      <c r="F61" s="67" t="s">
        <v>204</v>
      </c>
      <c r="G61" s="67" t="str">
        <f>INDEX('[4]RT Description to Bill Matix'!$D:$D,MATCH(A61,'[4]RT Description to Bill Matix'!$M:$M,0))</f>
        <v>Individualized Skills and Socialization LON 5 - Off-Site (incl. Enhanced)</v>
      </c>
      <c r="H61" s="65" t="s">
        <v>280</v>
      </c>
      <c r="I61" s="65"/>
      <c r="J61" s="65" t="s">
        <v>270</v>
      </c>
      <c r="K61" s="66" t="str">
        <f>INDEX('[5]Combined Bill Code List'!$A:$A,MATCH(A61,'[5]Combined Bill Code List'!$F:$F,0))</f>
        <v>1915(c) waiver</v>
      </c>
      <c r="L61" s="66" t="str">
        <f>INDEX('[6]Rate History'!$P:$P,MATCH(A61,'[6]Rate History'!$F:$F,0))</f>
        <v>1 hour</v>
      </c>
      <c r="M61" s="77">
        <f>INDEX('[7]PDF DB Service Pivot'!$C:$C,MATCH(B61,'[7]PDF DB Service Pivot'!$B:$B,0))</f>
        <v>375649.25</v>
      </c>
      <c r="N61" s="77">
        <f t="shared" si="11"/>
        <v>751298.5</v>
      </c>
      <c r="O61" s="76">
        <f>INDEX('[7]PDF DB Service Pivot'!$D:$D,MATCH(B61,'[7]PDF DB Service Pivot'!$B:$B,0))</f>
        <v>3549978.69</v>
      </c>
      <c r="P61" s="91">
        <v>44927</v>
      </c>
      <c r="Q61" s="81">
        <v>9.4499999999999993</v>
      </c>
      <c r="R61" s="81">
        <v>1.76</v>
      </c>
      <c r="S61" s="354">
        <f t="shared" si="12"/>
        <v>0.18624338624338627</v>
      </c>
      <c r="T61">
        <v>0.13</v>
      </c>
      <c r="U61" s="81">
        <f t="shared" ref="U61:U124" si="13">ROUND(V61/Z61,2)</f>
        <v>0</v>
      </c>
      <c r="V61" s="81" cm="1">
        <f t="array" ref="V61">_xlfn.IFS('Fiscal by Program'!$B$7&lt;10.61,0,'Fiscal by Program'!$B$7&gt;10.6,(ROUND('Fiscal by Program'!$B$7*(1+IF(D61="Yes",'Fiscal by Program'!$B$9,'Fiscal by Program'!$B$8))*T61,2)))</f>
        <v>0</v>
      </c>
      <c r="W61" s="81">
        <f t="shared" si="2"/>
        <v>0</v>
      </c>
      <c r="X61" s="81">
        <f>ROUND((R61/(1+IF(D61="Yes",'Fiscal by Program'!$B$9,'Fiscal by Program'!$B$8))),2)+0.01</f>
        <v>1.6</v>
      </c>
      <c r="Y61" s="81">
        <f t="shared" si="3"/>
        <v>9.4499999999999993</v>
      </c>
      <c r="Z61" s="88">
        <v>4</v>
      </c>
      <c r="AA61" s="90">
        <f t="shared" ref="AA61:AA124" si="14">T61/Z61</f>
        <v>3.2500000000000001E-2</v>
      </c>
      <c r="AB61" s="75">
        <f>INDEX('[9]Service List'!$K:$K,MATCH(A61,'[9]Service List'!$F:$F,0))</f>
        <v>243</v>
      </c>
      <c r="AC61" s="73">
        <f>INDEX('[5]Combined Bill Code List'!$P:$P,MATCH(A61,'[5]Combined Bill Code List'!$F:$F,0))</f>
        <v>0</v>
      </c>
      <c r="AD61" s="80" t="s">
        <v>231</v>
      </c>
      <c r="AE61" s="79">
        <v>1</v>
      </c>
      <c r="AF61" s="66">
        <v>0</v>
      </c>
      <c r="AG61" s="70">
        <f>ROUND(INDEX('All Trends'!D:D,MATCH($AD61,'All Trends'!$C:$C,0)),4)</f>
        <v>0.99270000000000003</v>
      </c>
      <c r="AH61" s="70">
        <f>ROUND(INDEX('All Trends'!E:E,MATCH($AD61,'All Trends'!$C:$C,0)),4)</f>
        <v>1.0091000000000001</v>
      </c>
      <c r="AI61" s="70">
        <f>ROUND(INDEX('All Trends'!F:F,MATCH($AD61,'All Trends'!$C:$C,0)),4)</f>
        <v>1.0519000000000001</v>
      </c>
      <c r="AJ61" s="70">
        <f>ROUND(INDEX('All Trends'!G:G,MATCH($AD61,'All Trends'!$C:$C,0)),4)</f>
        <v>1.0519000000000001</v>
      </c>
      <c r="AK61" s="70">
        <f>ROUND(INDEX('All Trends'!H:H,MATCH($AD61,'All Trends'!$C:$C,0)),4)</f>
        <v>1.0519000000000001</v>
      </c>
      <c r="AL61" s="74" t="s">
        <v>148</v>
      </c>
      <c r="AM61" s="92">
        <f t="shared" si="5"/>
        <v>102737.82</v>
      </c>
      <c r="AN61" s="92">
        <f t="shared" si="6"/>
        <v>102737.82</v>
      </c>
      <c r="AO61" s="69">
        <f t="shared" si="7"/>
        <v>0</v>
      </c>
      <c r="AP61" s="69">
        <f t="shared" si="8"/>
        <v>0</v>
      </c>
      <c r="AQ61" s="69">
        <f t="shared" si="9"/>
        <v>0</v>
      </c>
      <c r="AR61" s="69">
        <f t="shared" si="10"/>
        <v>0</v>
      </c>
      <c r="AS61" s="409"/>
      <c r="AT61" s="409"/>
      <c r="AU61" s="409"/>
      <c r="AV61" s="65"/>
      <c r="AW61" s="65"/>
      <c r="AX61" s="65"/>
      <c r="AY61" s="65"/>
      <c r="AZ61" s="65"/>
      <c r="BD61" s="65"/>
    </row>
    <row r="62" spans="1:56" s="66" customFormat="1" ht="13.15">
      <c r="A62" s="78" t="s">
        <v>281</v>
      </c>
      <c r="B62" s="78" t="s">
        <v>281</v>
      </c>
      <c r="C62" s="78" t="s">
        <v>147</v>
      </c>
      <c r="D62" s="78" t="s">
        <v>148</v>
      </c>
      <c r="E62" s="67" t="s">
        <v>231</v>
      </c>
      <c r="F62" s="67" t="s">
        <v>204</v>
      </c>
      <c r="G62" s="67" t="str">
        <f>INDEX('[4]RT Description to Bill Matix'!$D:$D,MATCH(A62,'[4]RT Description to Bill Matix'!$M:$M,0))</f>
        <v>Individualized Skills and Socialization LON 5 - Off-Site (incl. Enhanced)</v>
      </c>
      <c r="H62" s="65" t="s">
        <v>282</v>
      </c>
      <c r="I62" s="65"/>
      <c r="J62" s="65" t="s">
        <v>270</v>
      </c>
      <c r="K62" s="66" t="str">
        <f>INDEX('[5]Combined Bill Code List'!$A:$A,MATCH(A62,'[5]Combined Bill Code List'!$F:$F,0))</f>
        <v>1915(c) waiver</v>
      </c>
      <c r="L62" s="66" t="str">
        <f>INDEX('[6]Rate History'!$P:$P,MATCH(A62,'[6]Rate History'!$F:$F,0))</f>
        <v>1 hour</v>
      </c>
      <c r="M62" s="77">
        <f>INDEX('[7]PDF DB Service Pivot'!$C:$C,MATCH(B62,'[7]PDF DB Service Pivot'!$B:$B,0))</f>
        <v>543.75</v>
      </c>
      <c r="N62" s="77">
        <f t="shared" si="11"/>
        <v>1087.5</v>
      </c>
      <c r="O62" s="76">
        <f>INDEX('[7]PDF DB Service Pivot'!$D:$D,MATCH(B62,'[7]PDF DB Service Pivot'!$B:$B,0))</f>
        <v>8390.31</v>
      </c>
      <c r="P62" s="91">
        <v>44927</v>
      </c>
      <c r="Q62" s="81">
        <v>15.43</v>
      </c>
      <c r="R62" s="81">
        <v>7.02</v>
      </c>
      <c r="S62" s="354">
        <f t="shared" si="12"/>
        <v>0.45495787427090084</v>
      </c>
      <c r="T62">
        <v>0.5</v>
      </c>
      <c r="U62" s="81">
        <f t="shared" si="13"/>
        <v>0</v>
      </c>
      <c r="V62" s="81" cm="1">
        <f t="array" ref="V62">_xlfn.IFS('Fiscal by Program'!$B$7&lt;10.61,0,'Fiscal by Program'!$B$7&gt;10.6,(ROUND('Fiscal by Program'!$B$7*(1+IF(D62="Yes",'Fiscal by Program'!$B$9,'Fiscal by Program'!$B$8))*T62,2)))</f>
        <v>0</v>
      </c>
      <c r="W62" s="81">
        <f t="shared" si="2"/>
        <v>0</v>
      </c>
      <c r="X62" s="81">
        <f>ROUND((R62/(1+IF(D62="Yes",'Fiscal by Program'!$B$9,'Fiscal by Program'!$B$8))),2)+0.01</f>
        <v>6.35</v>
      </c>
      <c r="Y62" s="81">
        <f t="shared" si="3"/>
        <v>15.43</v>
      </c>
      <c r="Z62" s="88">
        <v>4</v>
      </c>
      <c r="AA62" s="90">
        <f t="shared" si="14"/>
        <v>0.125</v>
      </c>
      <c r="AB62" s="75">
        <f>INDEX('[9]Service List'!$K:$K,MATCH(A62,'[9]Service List'!$F:$F,0))</f>
        <v>260</v>
      </c>
      <c r="AC62" s="73">
        <f>INDEX('[5]Combined Bill Code List'!$P:$P,MATCH(A62,'[5]Combined Bill Code List'!$F:$F,0))</f>
        <v>0</v>
      </c>
      <c r="AD62" s="80" t="s">
        <v>231</v>
      </c>
      <c r="AE62" s="79">
        <v>1</v>
      </c>
      <c r="AF62" s="66">
        <v>0</v>
      </c>
      <c r="AG62" s="70">
        <f>ROUND(INDEX('All Trends'!D:D,MATCH($AD62,'All Trends'!$C:$C,0)),4)</f>
        <v>0.99270000000000003</v>
      </c>
      <c r="AH62" s="70">
        <f>ROUND(INDEX('All Trends'!E:E,MATCH($AD62,'All Trends'!$C:$C,0)),4)</f>
        <v>1.0091000000000001</v>
      </c>
      <c r="AI62" s="70">
        <f>ROUND(INDEX('All Trends'!F:F,MATCH($AD62,'All Trends'!$C:$C,0)),4)</f>
        <v>1.0519000000000001</v>
      </c>
      <c r="AJ62" s="70">
        <f>ROUND(INDEX('All Trends'!G:G,MATCH($AD62,'All Trends'!$C:$C,0)),4)</f>
        <v>1.0519000000000001</v>
      </c>
      <c r="AK62" s="70">
        <f>ROUND(INDEX('All Trends'!H:H,MATCH($AD62,'All Trends'!$C:$C,0)),4)</f>
        <v>1.0519000000000001</v>
      </c>
      <c r="AL62" s="74" t="s">
        <v>148</v>
      </c>
      <c r="AM62" s="92">
        <f t="shared" si="5"/>
        <v>571.97</v>
      </c>
      <c r="AN62" s="92">
        <f t="shared" si="6"/>
        <v>571.97</v>
      </c>
      <c r="AO62" s="69">
        <f t="shared" si="7"/>
        <v>0</v>
      </c>
      <c r="AP62" s="69">
        <f t="shared" si="8"/>
        <v>0</v>
      </c>
      <c r="AQ62" s="69">
        <f t="shared" si="9"/>
        <v>0</v>
      </c>
      <c r="AR62" s="69">
        <f t="shared" si="10"/>
        <v>0</v>
      </c>
      <c r="AS62" s="409"/>
      <c r="AT62" s="409"/>
      <c r="AU62" s="409"/>
      <c r="AV62" s="65"/>
      <c r="AW62" s="65"/>
      <c r="AX62" s="65"/>
      <c r="AY62" s="65"/>
      <c r="AZ62" s="65"/>
      <c r="BD62" s="65"/>
    </row>
    <row r="63" spans="1:56" s="66" customFormat="1" ht="13.15">
      <c r="A63" s="78" t="s">
        <v>283</v>
      </c>
      <c r="B63" s="78" t="s">
        <v>283</v>
      </c>
      <c r="C63" s="78" t="s">
        <v>147</v>
      </c>
      <c r="D63" s="78" t="s">
        <v>148</v>
      </c>
      <c r="E63" s="67" t="s">
        <v>231</v>
      </c>
      <c r="F63" s="67" t="s">
        <v>204</v>
      </c>
      <c r="G63" s="67" t="str">
        <f>INDEX('[4]RT Description to Bill Matix'!$D:$D,MATCH(A63,'[4]RT Description to Bill Matix'!$M:$M,0))</f>
        <v>Individualized Skills and Socialization LON 5 - On-Site</v>
      </c>
      <c r="H63" s="65" t="s">
        <v>284</v>
      </c>
      <c r="I63" s="65"/>
      <c r="J63" s="65" t="s">
        <v>270</v>
      </c>
      <c r="K63" s="66" t="str">
        <f>INDEX('[5]Combined Bill Code List'!$A:$A,MATCH(A63,'[5]Combined Bill Code List'!$F:$F,0))</f>
        <v>1915(c) waiver</v>
      </c>
      <c r="L63" s="66" t="str">
        <f>INDEX('[6]Rate History'!$P:$P,MATCH(A63,'[6]Rate History'!$F:$F,0))</f>
        <v>1 hour</v>
      </c>
      <c r="M63" s="77">
        <f>INDEX('[7]PDF DB Service Pivot'!$C:$C,MATCH(B63,'[7]PDF DB Service Pivot'!$B:$B,0))</f>
        <v>64316.5</v>
      </c>
      <c r="N63" s="77">
        <f t="shared" si="11"/>
        <v>128633</v>
      </c>
      <c r="O63" s="76">
        <f>INDEX('[7]PDF DB Service Pivot'!$D:$D,MATCH(B63,'[7]PDF DB Service Pivot'!$B:$B,0))</f>
        <v>481087.42</v>
      </c>
      <c r="P63" s="91">
        <v>44927</v>
      </c>
      <c r="Q63" s="81">
        <v>7.48</v>
      </c>
      <c r="R63" s="81">
        <v>2.87</v>
      </c>
      <c r="S63" s="354">
        <f t="shared" si="12"/>
        <v>0.38368983957219249</v>
      </c>
      <c r="T63">
        <v>0.2</v>
      </c>
      <c r="U63" s="81">
        <f t="shared" si="13"/>
        <v>0</v>
      </c>
      <c r="V63" s="81" cm="1">
        <f t="array" ref="V63">_xlfn.IFS('Fiscal by Program'!$B$7&lt;10.61,0,'Fiscal by Program'!$B$7&gt;10.6,(ROUND('Fiscal by Program'!$B$7*(1+IF(D63="Yes",'Fiscal by Program'!$B$9,'Fiscal by Program'!$B$8))*T63,2)))</f>
        <v>0</v>
      </c>
      <c r="W63" s="81">
        <f t="shared" si="2"/>
        <v>0</v>
      </c>
      <c r="X63" s="81">
        <f>ROUND((R63/(1+IF(D63="Yes",'Fiscal by Program'!$B$9,'Fiscal by Program'!$B$8))),2)+0.01</f>
        <v>2.5999999999999996</v>
      </c>
      <c r="Y63" s="81">
        <f t="shared" si="3"/>
        <v>7.48</v>
      </c>
      <c r="Z63" s="88">
        <v>4</v>
      </c>
      <c r="AA63" s="90">
        <f t="shared" si="14"/>
        <v>0.05</v>
      </c>
      <c r="AB63" s="75">
        <f>INDEX('[9]Service List'!$K:$K,MATCH(A63,'[9]Service List'!$F:$F,0))</f>
        <v>244</v>
      </c>
      <c r="AC63" s="73">
        <f>INDEX('[5]Combined Bill Code List'!$P:$P,MATCH(A63,'[5]Combined Bill Code List'!$F:$F,0))</f>
        <v>0</v>
      </c>
      <c r="AD63" s="80" t="s">
        <v>231</v>
      </c>
      <c r="AE63" s="79">
        <v>1</v>
      </c>
      <c r="AF63" s="66">
        <v>0</v>
      </c>
      <c r="AG63" s="70">
        <f>ROUND(INDEX('All Trends'!D:D,MATCH($AD63,'All Trends'!$C:$C,0)),4)</f>
        <v>0.99270000000000003</v>
      </c>
      <c r="AH63" s="70">
        <f>ROUND(INDEX('All Trends'!E:E,MATCH($AD63,'All Trends'!$C:$C,0)),4)</f>
        <v>1.0091000000000001</v>
      </c>
      <c r="AI63" s="70">
        <f>ROUND(INDEX('All Trends'!F:F,MATCH($AD63,'All Trends'!$C:$C,0)),4)</f>
        <v>1.0519000000000001</v>
      </c>
      <c r="AJ63" s="70">
        <f>ROUND(INDEX('All Trends'!G:G,MATCH($AD63,'All Trends'!$C:$C,0)),4)</f>
        <v>1.0519000000000001</v>
      </c>
      <c r="AK63" s="70">
        <f>ROUND(INDEX('All Trends'!H:H,MATCH($AD63,'All Trends'!$C:$C,0)),4)</f>
        <v>1.0519000000000001</v>
      </c>
      <c r="AL63" s="74" t="s">
        <v>148</v>
      </c>
      <c r="AM63" s="92">
        <f t="shared" si="5"/>
        <v>27061.81</v>
      </c>
      <c r="AN63" s="92">
        <f t="shared" si="6"/>
        <v>27061.81</v>
      </c>
      <c r="AO63" s="69">
        <f t="shared" si="7"/>
        <v>0</v>
      </c>
      <c r="AP63" s="69">
        <f t="shared" si="8"/>
        <v>0</v>
      </c>
      <c r="AQ63" s="69">
        <f t="shared" si="9"/>
        <v>0</v>
      </c>
      <c r="AR63" s="69">
        <f t="shared" si="10"/>
        <v>0</v>
      </c>
      <c r="AS63" s="409"/>
      <c r="AT63" s="409"/>
      <c r="AU63" s="409"/>
      <c r="AV63" s="65"/>
      <c r="AW63" s="65"/>
      <c r="AX63" s="65"/>
      <c r="AY63" s="65"/>
      <c r="AZ63" s="65"/>
      <c r="BD63" s="65"/>
    </row>
    <row r="64" spans="1:56" s="66" customFormat="1" ht="13.15">
      <c r="A64" s="78" t="s">
        <v>285</v>
      </c>
      <c r="B64" s="78" t="s">
        <v>285</v>
      </c>
      <c r="C64" s="78" t="s">
        <v>147</v>
      </c>
      <c r="D64" s="78" t="s">
        <v>148</v>
      </c>
      <c r="E64" s="67" t="s">
        <v>231</v>
      </c>
      <c r="F64" s="67" t="s">
        <v>204</v>
      </c>
      <c r="G64" s="67" t="str">
        <f>INDEX('[4]RT Description to Bill Matix'!$D:$D,MATCH(A64,'[4]RT Description to Bill Matix'!$M:$M,0))</f>
        <v>Individualized Skills and Socialization LON 6 - On-Site</v>
      </c>
      <c r="H64" s="65" t="s">
        <v>286</v>
      </c>
      <c r="I64" s="65"/>
      <c r="J64" s="65" t="s">
        <v>270</v>
      </c>
      <c r="K64" s="66" t="str">
        <f>INDEX('[5]Combined Bill Code List'!$A:$A,MATCH(A64,'[5]Combined Bill Code List'!$F:$F,0))</f>
        <v>1915(c) waiver</v>
      </c>
      <c r="L64" s="66" t="str">
        <f>INDEX('[6]Rate History'!$P:$P,MATCH(A64,'[6]Rate History'!$F:$F,0))</f>
        <v>1 hour</v>
      </c>
      <c r="M64" s="77">
        <f>INDEX('[7]PDF DB Service Pivot'!$C:$C,MATCH(B64,'[7]PDF DB Service Pivot'!$B:$B,0))</f>
        <v>582194.4</v>
      </c>
      <c r="N64" s="77">
        <f t="shared" si="11"/>
        <v>1164388.8</v>
      </c>
      <c r="O64" s="76">
        <f>INDEX('[7]PDF DB Service Pivot'!$D:$D,MATCH(B64,'[7]PDF DB Service Pivot'!$B:$B,0))</f>
        <v>5618201.7400000002</v>
      </c>
      <c r="P64" s="91">
        <v>44927</v>
      </c>
      <c r="Q64" s="81">
        <v>9.65</v>
      </c>
      <c r="R64" s="81">
        <v>4.79</v>
      </c>
      <c r="S64" s="354">
        <f t="shared" si="12"/>
        <v>0.49637305699481865</v>
      </c>
      <c r="T64">
        <v>0.33</v>
      </c>
      <c r="U64" s="81">
        <f t="shared" si="13"/>
        <v>0</v>
      </c>
      <c r="V64" s="81" cm="1">
        <f t="array" ref="V64">_xlfn.IFS('Fiscal by Program'!$B$7&lt;10.61,0,'Fiscal by Program'!$B$7&gt;10.6,(ROUND('Fiscal by Program'!$B$7*(1+IF(D64="Yes",'Fiscal by Program'!$B$9,'Fiscal by Program'!$B$8))*T64,2)))</f>
        <v>0</v>
      </c>
      <c r="W64" s="81">
        <f t="shared" si="2"/>
        <v>0</v>
      </c>
      <c r="X64" s="81">
        <f>ROUND((R64/(1+IF(D64="Yes",'Fiscal by Program'!$B$9,'Fiscal by Program'!$B$8))),2)+0.01</f>
        <v>4.34</v>
      </c>
      <c r="Y64" s="81">
        <f t="shared" si="3"/>
        <v>9.65</v>
      </c>
      <c r="Z64" s="88">
        <v>4</v>
      </c>
      <c r="AA64" s="90">
        <f t="shared" si="14"/>
        <v>8.2500000000000004E-2</v>
      </c>
      <c r="AB64" s="75">
        <f>INDEX('[9]Service List'!$K:$K,MATCH(A64,'[9]Service List'!$F:$F,0))</f>
        <v>246</v>
      </c>
      <c r="AC64" s="73">
        <f>INDEX('[5]Combined Bill Code List'!$P:$P,MATCH(A64,'[5]Combined Bill Code List'!$F:$F,0))</f>
        <v>0</v>
      </c>
      <c r="AD64" s="80" t="s">
        <v>231</v>
      </c>
      <c r="AE64" s="79">
        <v>1</v>
      </c>
      <c r="AF64" s="66">
        <v>0</v>
      </c>
      <c r="AG64" s="70">
        <f>ROUND(INDEX('All Trends'!D:D,MATCH($AD64,'All Trends'!$C:$C,0)),4)</f>
        <v>0.99270000000000003</v>
      </c>
      <c r="AH64" s="70">
        <f>ROUND(INDEX('All Trends'!E:E,MATCH($AD64,'All Trends'!$C:$C,0)),4)</f>
        <v>1.0091000000000001</v>
      </c>
      <c r="AI64" s="70">
        <f>ROUND(INDEX('All Trends'!F:F,MATCH($AD64,'All Trends'!$C:$C,0)),4)</f>
        <v>1.0519000000000001</v>
      </c>
      <c r="AJ64" s="70">
        <f>ROUND(INDEX('All Trends'!G:G,MATCH($AD64,'All Trends'!$C:$C,0)),4)</f>
        <v>1.0519000000000001</v>
      </c>
      <c r="AK64" s="70">
        <f>ROUND(INDEX('All Trends'!H:H,MATCH($AD64,'All Trends'!$C:$C,0)),4)</f>
        <v>1.0519000000000001</v>
      </c>
      <c r="AL64" s="74" t="s">
        <v>148</v>
      </c>
      <c r="AM64" s="92">
        <f t="shared" si="5"/>
        <v>404190.79</v>
      </c>
      <c r="AN64" s="92">
        <f t="shared" si="6"/>
        <v>404190.79</v>
      </c>
      <c r="AO64" s="69">
        <f t="shared" si="7"/>
        <v>0</v>
      </c>
      <c r="AP64" s="69">
        <f t="shared" si="8"/>
        <v>0</v>
      </c>
      <c r="AQ64" s="69">
        <f t="shared" si="9"/>
        <v>0</v>
      </c>
      <c r="AR64" s="69">
        <f t="shared" si="10"/>
        <v>0</v>
      </c>
      <c r="AS64" s="409"/>
      <c r="AT64" s="409"/>
      <c r="AU64" s="409"/>
      <c r="AV64" s="65"/>
      <c r="AW64" s="65"/>
      <c r="AX64" s="65"/>
      <c r="AY64" s="65"/>
      <c r="AZ64" s="65"/>
      <c r="BD64" s="65"/>
    </row>
    <row r="65" spans="1:56" s="66" customFormat="1" ht="13.15">
      <c r="A65" s="78" t="s">
        <v>287</v>
      </c>
      <c r="B65" s="78" t="s">
        <v>287</v>
      </c>
      <c r="C65" s="78" t="s">
        <v>147</v>
      </c>
      <c r="D65" s="78" t="s">
        <v>148</v>
      </c>
      <c r="E65" s="67" t="s">
        <v>231</v>
      </c>
      <c r="F65" s="67" t="s">
        <v>204</v>
      </c>
      <c r="G65" s="67" t="str">
        <f>INDEX('[4]RT Description to Bill Matix'!$D:$D,MATCH(A65,'[4]RT Description to Bill Matix'!$M:$M,0))</f>
        <v>Individualized Skills and Socialization LON 6 - Off-Site (incl. Enhanced)</v>
      </c>
      <c r="H65" s="65" t="s">
        <v>288</v>
      </c>
      <c r="I65" s="65"/>
      <c r="J65" s="65" t="s">
        <v>270</v>
      </c>
      <c r="K65" s="66" t="str">
        <f>INDEX('[5]Combined Bill Code List'!$A:$A,MATCH(A65,'[5]Combined Bill Code List'!$F:$F,0))</f>
        <v>1915(c) waiver</v>
      </c>
      <c r="L65" s="66" t="str">
        <f>INDEX('[6]Rate History'!$P:$P,MATCH(A65,'[6]Rate History'!$F:$F,0))</f>
        <v>1 hour</v>
      </c>
      <c r="M65" s="77">
        <f>INDEX('[7]PDF DB Service Pivot'!$C:$C,MATCH(B65,'[7]PDF DB Service Pivot'!$B:$B,0))</f>
        <v>51179.75</v>
      </c>
      <c r="N65" s="77">
        <f t="shared" si="11"/>
        <v>102359.5</v>
      </c>
      <c r="O65" s="76">
        <f>INDEX('[7]PDF DB Service Pivot'!$D:$D,MATCH(B65,'[7]PDF DB Service Pivot'!$B:$B,0))</f>
        <v>789708.4</v>
      </c>
      <c r="P65" s="91">
        <v>44927</v>
      </c>
      <c r="Q65" s="81">
        <v>15.43</v>
      </c>
      <c r="R65" s="81">
        <v>7.02</v>
      </c>
      <c r="S65" s="354">
        <f t="shared" si="12"/>
        <v>0.45495787427090084</v>
      </c>
      <c r="T65">
        <v>0.5</v>
      </c>
      <c r="U65" s="81">
        <f t="shared" si="13"/>
        <v>0</v>
      </c>
      <c r="V65" s="81" cm="1">
        <f t="array" ref="V65">_xlfn.IFS('Fiscal by Program'!$B$7&lt;10.61,0,'Fiscal by Program'!$B$7&gt;10.6,(ROUND('Fiscal by Program'!$B$7*(1+IF(D65="Yes",'Fiscal by Program'!$B$9,'Fiscal by Program'!$B$8))*T65,2)))</f>
        <v>0</v>
      </c>
      <c r="W65" s="81">
        <f t="shared" si="2"/>
        <v>0</v>
      </c>
      <c r="X65" s="81">
        <f>ROUND((R65/(1+IF(D65="Yes",'Fiscal by Program'!$B$9,'Fiscal by Program'!$B$8))),2)+0.01</f>
        <v>6.35</v>
      </c>
      <c r="Y65" s="81">
        <f t="shared" si="3"/>
        <v>15.43</v>
      </c>
      <c r="Z65" s="88">
        <v>4</v>
      </c>
      <c r="AA65" s="90">
        <f t="shared" si="14"/>
        <v>0.125</v>
      </c>
      <c r="AB65" s="75">
        <f>INDEX('[9]Service List'!$K:$K,MATCH(A65,'[9]Service List'!$F:$F,0))</f>
        <v>247</v>
      </c>
      <c r="AC65" s="73">
        <f>INDEX('[5]Combined Bill Code List'!$P:$P,MATCH(A65,'[5]Combined Bill Code List'!$F:$F,0))</f>
        <v>0</v>
      </c>
      <c r="AD65" s="80" t="s">
        <v>231</v>
      </c>
      <c r="AE65" s="79">
        <v>1</v>
      </c>
      <c r="AF65" s="66">
        <v>0</v>
      </c>
      <c r="AG65" s="70">
        <f>ROUND(INDEX('All Trends'!D:D,MATCH($AD65,'All Trends'!$C:$C,0)),4)</f>
        <v>0.99270000000000003</v>
      </c>
      <c r="AH65" s="70">
        <f>ROUND(INDEX('All Trends'!E:E,MATCH($AD65,'All Trends'!$C:$C,0)),4)</f>
        <v>1.0091000000000001</v>
      </c>
      <c r="AI65" s="70">
        <f>ROUND(INDEX('All Trends'!F:F,MATCH($AD65,'All Trends'!$C:$C,0)),4)</f>
        <v>1.0519000000000001</v>
      </c>
      <c r="AJ65" s="70">
        <f>ROUND(INDEX('All Trends'!G:G,MATCH($AD65,'All Trends'!$C:$C,0)),4)</f>
        <v>1.0519000000000001</v>
      </c>
      <c r="AK65" s="70">
        <f>ROUND(INDEX('All Trends'!H:H,MATCH($AD65,'All Trends'!$C:$C,0)),4)</f>
        <v>1.0519000000000001</v>
      </c>
      <c r="AL65" s="74" t="s">
        <v>148</v>
      </c>
      <c r="AM65" s="92">
        <f t="shared" si="5"/>
        <v>53835.98</v>
      </c>
      <c r="AN65" s="92">
        <f t="shared" si="6"/>
        <v>53835.98</v>
      </c>
      <c r="AO65" s="69">
        <f t="shared" si="7"/>
        <v>0</v>
      </c>
      <c r="AP65" s="69">
        <f t="shared" si="8"/>
        <v>0</v>
      </c>
      <c r="AQ65" s="69">
        <f t="shared" si="9"/>
        <v>0</v>
      </c>
      <c r="AR65" s="69">
        <f t="shared" si="10"/>
        <v>0</v>
      </c>
      <c r="AS65" s="409"/>
      <c r="AT65" s="409"/>
      <c r="AU65" s="409"/>
      <c r="AV65" s="65"/>
      <c r="AW65" s="65"/>
      <c r="AX65" s="65"/>
      <c r="AY65" s="65"/>
      <c r="AZ65" s="65"/>
      <c r="BD65" s="65"/>
    </row>
    <row r="66" spans="1:56" s="66" customFormat="1" ht="13.15">
      <c r="A66" s="78" t="s">
        <v>289</v>
      </c>
      <c r="B66" s="78" t="s">
        <v>289</v>
      </c>
      <c r="C66" s="78" t="s">
        <v>147</v>
      </c>
      <c r="D66" s="78" t="s">
        <v>148</v>
      </c>
      <c r="E66" s="67" t="s">
        <v>231</v>
      </c>
      <c r="F66" s="67" t="s">
        <v>204</v>
      </c>
      <c r="G66" s="67" t="str">
        <f>INDEX('[4]RT Description to Bill Matix'!$D:$D,MATCH(A66,'[4]RT Description to Bill Matix'!$M:$M,0))</f>
        <v>Individualized Skills and Socialization LON 6 - Off-Site (incl. Enhanced)</v>
      </c>
      <c r="H66" s="65" t="s">
        <v>290</v>
      </c>
      <c r="I66" s="65"/>
      <c r="J66" s="65" t="s">
        <v>270</v>
      </c>
      <c r="K66" s="66" t="str">
        <f>INDEX('[5]Combined Bill Code List'!$A:$A,MATCH(A66,'[5]Combined Bill Code List'!$F:$F,0))</f>
        <v>1915(c) waiver</v>
      </c>
      <c r="L66" s="66" t="str">
        <f>INDEX('[6]Rate History'!$P:$P,MATCH(A66,'[6]Rate History'!$F:$F,0))</f>
        <v>1 hour</v>
      </c>
      <c r="M66" s="77">
        <f>INDEX('[7]PDF DB Service Pivot'!$C:$C,MATCH(B66,'[7]PDF DB Service Pivot'!$B:$B,0))</f>
        <v>2077.5</v>
      </c>
      <c r="N66" s="77">
        <f t="shared" si="11"/>
        <v>4155</v>
      </c>
      <c r="O66" s="76">
        <f>INDEX('[7]PDF DB Service Pivot'!$D:$D,MATCH(B66,'[7]PDF DB Service Pivot'!$B:$B,0))</f>
        <v>48634.71</v>
      </c>
      <c r="P66" s="91">
        <v>44927</v>
      </c>
      <c r="Q66" s="81">
        <v>23.41</v>
      </c>
      <c r="R66" s="81">
        <v>14.04</v>
      </c>
      <c r="S66" s="354">
        <f t="shared" si="12"/>
        <v>0.59974369927381455</v>
      </c>
      <c r="T66">
        <v>1</v>
      </c>
      <c r="U66" s="81">
        <f t="shared" si="13"/>
        <v>0</v>
      </c>
      <c r="V66" s="81" cm="1">
        <f t="array" ref="V66">_xlfn.IFS('Fiscal by Program'!$B$7&lt;10.61,0,'Fiscal by Program'!$B$7&gt;10.6,(ROUND('Fiscal by Program'!$B$7*(1+IF(D66="Yes",'Fiscal by Program'!$B$9,'Fiscal by Program'!$B$8))*T66,2)))</f>
        <v>0</v>
      </c>
      <c r="W66" s="81">
        <f t="shared" si="2"/>
        <v>0</v>
      </c>
      <c r="X66" s="81">
        <f>ROUND((R66/(1+IF(D66="Yes",'Fiscal by Program'!$B$9,'Fiscal by Program'!$B$8))),2)+0.01</f>
        <v>12.69</v>
      </c>
      <c r="Y66" s="81">
        <f t="shared" si="3"/>
        <v>23.41</v>
      </c>
      <c r="Z66" s="88">
        <v>4</v>
      </c>
      <c r="AA66" s="90">
        <f t="shared" si="14"/>
        <v>0.25</v>
      </c>
      <c r="AB66" s="75">
        <f>INDEX('[9]Service List'!$K:$K,MATCH(A66,'[9]Service List'!$F:$F,0))</f>
        <v>262</v>
      </c>
      <c r="AC66" s="73">
        <f>INDEX('[5]Combined Bill Code List'!$P:$P,MATCH(A66,'[5]Combined Bill Code List'!$F:$F,0))</f>
        <v>0</v>
      </c>
      <c r="AD66" s="80" t="s">
        <v>231</v>
      </c>
      <c r="AE66" s="79">
        <v>1</v>
      </c>
      <c r="AF66" s="66">
        <v>0</v>
      </c>
      <c r="AG66" s="70">
        <f>ROUND(INDEX('All Trends'!D:D,MATCH($AD66,'All Trends'!$C:$C,0)),4)</f>
        <v>0.99270000000000003</v>
      </c>
      <c r="AH66" s="70">
        <f>ROUND(INDEX('All Trends'!E:E,MATCH($AD66,'All Trends'!$C:$C,0)),4)</f>
        <v>1.0091000000000001</v>
      </c>
      <c r="AI66" s="70">
        <f>ROUND(INDEX('All Trends'!F:F,MATCH($AD66,'All Trends'!$C:$C,0)),4)</f>
        <v>1.0519000000000001</v>
      </c>
      <c r="AJ66" s="70">
        <f>ROUND(INDEX('All Trends'!G:G,MATCH($AD66,'All Trends'!$C:$C,0)),4)</f>
        <v>1.0519000000000001</v>
      </c>
      <c r="AK66" s="70">
        <f>ROUND(INDEX('All Trends'!H:H,MATCH($AD66,'All Trends'!$C:$C,0)),4)</f>
        <v>1.0519000000000001</v>
      </c>
      <c r="AL66" s="74" t="s">
        <v>148</v>
      </c>
      <c r="AM66" s="92">
        <f t="shared" si="5"/>
        <v>4370.6400000000003</v>
      </c>
      <c r="AN66" s="92">
        <f t="shared" si="6"/>
        <v>4370.6400000000003</v>
      </c>
      <c r="AO66" s="69">
        <f t="shared" si="7"/>
        <v>0</v>
      </c>
      <c r="AP66" s="69">
        <f t="shared" si="8"/>
        <v>0</v>
      </c>
      <c r="AQ66" s="69">
        <f t="shared" si="9"/>
        <v>0</v>
      </c>
      <c r="AR66" s="69">
        <f t="shared" si="10"/>
        <v>0</v>
      </c>
      <c r="AS66" s="409"/>
      <c r="AT66" s="409"/>
      <c r="AU66" s="409"/>
      <c r="AV66" s="65"/>
      <c r="AW66" s="65"/>
      <c r="AX66" s="65"/>
      <c r="AY66" s="65"/>
      <c r="AZ66" s="65"/>
      <c r="BD66" s="65"/>
    </row>
    <row r="67" spans="1:56" s="66" customFormat="1" ht="13.15">
      <c r="A67" s="78" t="s">
        <v>291</v>
      </c>
      <c r="B67" s="78" t="s">
        <v>291</v>
      </c>
      <c r="C67" s="78" t="s">
        <v>147</v>
      </c>
      <c r="D67" s="78" t="s">
        <v>148</v>
      </c>
      <c r="E67" s="67" t="s">
        <v>231</v>
      </c>
      <c r="F67" s="67" t="s">
        <v>204</v>
      </c>
      <c r="G67" s="67" t="str">
        <f>INDEX('[4]RT Description to Bill Matix'!$D:$D,MATCH(A67,'[4]RT Description to Bill Matix'!$M:$M,0))</f>
        <v>Individualized Skills and Socialization LON 6 - On-Site</v>
      </c>
      <c r="H67" s="65" t="s">
        <v>292</v>
      </c>
      <c r="I67" s="65"/>
      <c r="J67" s="65" t="s">
        <v>270</v>
      </c>
      <c r="K67" s="66" t="str">
        <f>INDEX('[5]Combined Bill Code List'!$A:$A,MATCH(A67,'[5]Combined Bill Code List'!$F:$F,0))</f>
        <v>1915(c) waiver</v>
      </c>
      <c r="L67" s="66" t="str">
        <f>INDEX('[6]Rate History'!$P:$P,MATCH(A67,'[6]Rate History'!$F:$F,0))</f>
        <v>1 hour</v>
      </c>
      <c r="M67" s="77">
        <f>INDEX('[7]PDF DB Service Pivot'!$C:$C,MATCH(B67,'[7]PDF DB Service Pivot'!$B:$B,0))</f>
        <v>21739.25</v>
      </c>
      <c r="N67" s="77">
        <f t="shared" ref="N67:N130" si="15">IF(ISNUMBER(FIND("ISS",F67)),IF(I67="Yes",((M67/Q67)/6)*12,(M67/6)*12),IF(AND(I67="Yes",M67=O67),M67/Q67,M67))</f>
        <v>43478.5</v>
      </c>
      <c r="O67" s="76">
        <f>INDEX('[7]PDF DB Service Pivot'!$D:$D,MATCH(B67,'[7]PDF DB Service Pivot'!$B:$B,0))</f>
        <v>209783.99</v>
      </c>
      <c r="P67" s="91">
        <v>44927</v>
      </c>
      <c r="Q67" s="81">
        <v>9.65</v>
      </c>
      <c r="R67" s="81">
        <v>4.79</v>
      </c>
      <c r="S67" s="354">
        <f t="shared" si="12"/>
        <v>0.49637305699481865</v>
      </c>
      <c r="T67">
        <v>0.33</v>
      </c>
      <c r="U67" s="81">
        <f t="shared" si="13"/>
        <v>0</v>
      </c>
      <c r="V67" s="81" cm="1">
        <f t="array" ref="V67">_xlfn.IFS('Fiscal by Program'!$B$7&lt;10.61,0,'Fiscal by Program'!$B$7&gt;10.6,(ROUND('Fiscal by Program'!$B$7*(1+IF(D67="Yes",'Fiscal by Program'!$B$9,'Fiscal by Program'!$B$8))*T67,2)))</f>
        <v>0</v>
      </c>
      <c r="W67" s="81">
        <f t="shared" ref="W67:W130" si="16">IF(V67-R67&lt;0,0,V67-R67)</f>
        <v>0</v>
      </c>
      <c r="X67" s="81">
        <f>ROUND((R67/(1+IF(D67="Yes",'Fiscal by Program'!$B$9,'Fiscal by Program'!$B$8))),2)+0.01</f>
        <v>4.34</v>
      </c>
      <c r="Y67" s="81">
        <f t="shared" ref="Y67:Y130" si="17">Q67+W67</f>
        <v>9.65</v>
      </c>
      <c r="Z67" s="88">
        <v>4</v>
      </c>
      <c r="AA67" s="90">
        <f t="shared" si="14"/>
        <v>8.2500000000000004E-2</v>
      </c>
      <c r="AB67" s="75">
        <f>INDEX('[9]Service List'!$K:$K,MATCH(A67,'[9]Service List'!$F:$F,0))</f>
        <v>248</v>
      </c>
      <c r="AC67" s="73">
        <f>INDEX('[5]Combined Bill Code List'!$P:$P,MATCH(A67,'[5]Combined Bill Code List'!$F:$F,0))</f>
        <v>0</v>
      </c>
      <c r="AD67" s="80" t="s">
        <v>231</v>
      </c>
      <c r="AE67" s="79">
        <v>1</v>
      </c>
      <c r="AF67" s="66">
        <v>0</v>
      </c>
      <c r="AG67" s="70">
        <f>ROUND(INDEX('All Trends'!D:D,MATCH($AD67,'All Trends'!$C:$C,0)),4)</f>
        <v>0.99270000000000003</v>
      </c>
      <c r="AH67" s="70">
        <f>ROUND(INDEX('All Trends'!E:E,MATCH($AD67,'All Trends'!$C:$C,0)),4)</f>
        <v>1.0091000000000001</v>
      </c>
      <c r="AI67" s="70">
        <f>ROUND(INDEX('All Trends'!F:F,MATCH($AD67,'All Trends'!$C:$C,0)),4)</f>
        <v>1.0519000000000001</v>
      </c>
      <c r="AJ67" s="70">
        <f>ROUND(INDEX('All Trends'!G:G,MATCH($AD67,'All Trends'!$C:$C,0)),4)</f>
        <v>1.0519000000000001</v>
      </c>
      <c r="AK67" s="70">
        <f>ROUND(INDEX('All Trends'!H:H,MATCH($AD67,'All Trends'!$C:$C,0)),4)</f>
        <v>1.0519000000000001</v>
      </c>
      <c r="AL67" s="74" t="s">
        <v>148</v>
      </c>
      <c r="AM67" s="92">
        <f t="shared" ref="AM67:AM130" si="18">IF(C67="Yes",ROUND(T67*N67*AI67,2),0)</f>
        <v>15092.56</v>
      </c>
      <c r="AN67" s="92">
        <f t="shared" ref="AN67:AN130" si="19">IF(C67="Yes",ROUND(T67*N67*AJ67,2),0)</f>
        <v>15092.56</v>
      </c>
      <c r="AO67" s="69">
        <f t="shared" ref="AO67:AO130" si="20">IF(C67="Yes",ROUND((W67*N67*AI67),2),0)</f>
        <v>0</v>
      </c>
      <c r="AP67" s="69">
        <f t="shared" ref="AP67:AP130" si="21">IF(C67="Yes",IF($AL67="No",ROUND(($AO67*($AY$2+$AF67)),2),ROUND($AO67,2)),0)</f>
        <v>0</v>
      </c>
      <c r="AQ67" s="69">
        <f t="shared" ref="AQ67:AQ130" si="22">IF(C67="Yes",ROUND((W67*N67*AJ67),2),0)</f>
        <v>0</v>
      </c>
      <c r="AR67" s="69">
        <f t="shared" ref="AR67:AR130" si="23">IF(C67="Yes",IF($AL67="No",ROUND(($AQ67*($AZ$2+$AF67)),2),ROUND($AQ67,2)),0)</f>
        <v>0</v>
      </c>
      <c r="AS67" s="409"/>
      <c r="AT67" s="409"/>
      <c r="AU67" s="409"/>
      <c r="AV67" s="65"/>
      <c r="AW67" s="65"/>
      <c r="AX67" s="65"/>
      <c r="AY67" s="65"/>
      <c r="AZ67" s="65"/>
      <c r="BD67" s="65"/>
    </row>
    <row r="68" spans="1:56" s="66" customFormat="1" ht="13.15">
      <c r="A68" s="78" t="s">
        <v>293</v>
      </c>
      <c r="B68" s="78" t="s">
        <v>293</v>
      </c>
      <c r="C68" s="78" t="s">
        <v>147</v>
      </c>
      <c r="D68" s="78" t="s">
        <v>148</v>
      </c>
      <c r="E68" s="67" t="s">
        <v>231</v>
      </c>
      <c r="F68" s="67" t="s">
        <v>204</v>
      </c>
      <c r="G68" s="67" t="str">
        <f>INDEX('[4]RT Description to Bill Matix'!$D:$D,MATCH(A68,'[4]RT Description to Bill Matix'!$M:$M,0))</f>
        <v>Individualized Skills and Socialization LON 8 - On-Site</v>
      </c>
      <c r="H68" s="65" t="s">
        <v>294</v>
      </c>
      <c r="I68" s="65"/>
      <c r="J68" s="65" t="s">
        <v>270</v>
      </c>
      <c r="K68" s="66" t="str">
        <f>INDEX('[5]Combined Bill Code List'!$A:$A,MATCH(A68,'[5]Combined Bill Code List'!$F:$F,0))</f>
        <v>1915(c) waiver</v>
      </c>
      <c r="L68" s="66" t="str">
        <f>INDEX('[6]Rate History'!$P:$P,MATCH(A68,'[6]Rate History'!$F:$F,0))</f>
        <v>1 hour</v>
      </c>
      <c r="M68" s="77">
        <f>INDEX('[7]PDF DB Service Pivot'!$C:$C,MATCH(B68,'[7]PDF DB Service Pivot'!$B:$B,0))</f>
        <v>1597941.86</v>
      </c>
      <c r="N68" s="77">
        <f t="shared" si="15"/>
        <v>3195883.7200000007</v>
      </c>
      <c r="O68" s="76">
        <f>INDEX('[7]PDF DB Service Pivot'!$D:$D,MATCH(B68,'[7]PDF DB Service Pivot'!$B:$B,0))</f>
        <v>15420224.130000001</v>
      </c>
      <c r="P68" s="91">
        <v>44927</v>
      </c>
      <c r="Q68" s="81">
        <v>9.65</v>
      </c>
      <c r="R68" s="81">
        <v>4.79</v>
      </c>
      <c r="S68" s="354">
        <f t="shared" ref="S68:S99" si="24">_xlfn.IFNA(R68/Q68,"")</f>
        <v>0.49637305699481865</v>
      </c>
      <c r="T68">
        <v>0.33</v>
      </c>
      <c r="U68" s="81">
        <f t="shared" si="13"/>
        <v>0</v>
      </c>
      <c r="V68" s="81" cm="1">
        <f t="array" ref="V68">_xlfn.IFS('Fiscal by Program'!$B$7&lt;10.61,0,'Fiscal by Program'!$B$7&gt;10.6,(ROUND('Fiscal by Program'!$B$7*(1+IF(D68="Yes",'Fiscal by Program'!$B$9,'Fiscal by Program'!$B$8))*T68,2)))</f>
        <v>0</v>
      </c>
      <c r="W68" s="81">
        <f t="shared" si="16"/>
        <v>0</v>
      </c>
      <c r="X68" s="81">
        <f>ROUND((R68/(1+IF(D68="Yes",'Fiscal by Program'!$B$9,'Fiscal by Program'!$B$8))),2)+0.01</f>
        <v>4.34</v>
      </c>
      <c r="Y68" s="81">
        <f t="shared" si="17"/>
        <v>9.65</v>
      </c>
      <c r="Z68" s="88">
        <v>4</v>
      </c>
      <c r="AA68" s="90">
        <f t="shared" si="14"/>
        <v>8.2500000000000004E-2</v>
      </c>
      <c r="AB68" s="75">
        <f>INDEX('[9]Service List'!$K:$K,MATCH(A68,'[9]Service List'!$F:$F,0))</f>
        <v>250</v>
      </c>
      <c r="AC68" s="73">
        <f>INDEX('[5]Combined Bill Code List'!$P:$P,MATCH(A68,'[5]Combined Bill Code List'!$F:$F,0))</f>
        <v>0</v>
      </c>
      <c r="AD68" s="80" t="s">
        <v>231</v>
      </c>
      <c r="AE68" s="79">
        <v>1</v>
      </c>
      <c r="AF68" s="66">
        <v>0</v>
      </c>
      <c r="AG68" s="70">
        <f>ROUND(INDEX('All Trends'!D:D,MATCH($AD68,'All Trends'!$C:$C,0)),4)</f>
        <v>0.99270000000000003</v>
      </c>
      <c r="AH68" s="70">
        <f>ROUND(INDEX('All Trends'!E:E,MATCH($AD68,'All Trends'!$C:$C,0)),4)</f>
        <v>1.0091000000000001</v>
      </c>
      <c r="AI68" s="70">
        <f>ROUND(INDEX('All Trends'!F:F,MATCH($AD68,'All Trends'!$C:$C,0)),4)</f>
        <v>1.0519000000000001</v>
      </c>
      <c r="AJ68" s="70">
        <f>ROUND(INDEX('All Trends'!G:G,MATCH($AD68,'All Trends'!$C:$C,0)),4)</f>
        <v>1.0519000000000001</v>
      </c>
      <c r="AK68" s="70">
        <f>ROUND(INDEX('All Trends'!H:H,MATCH($AD68,'All Trends'!$C:$C,0)),4)</f>
        <v>1.0519000000000001</v>
      </c>
      <c r="AL68" s="74" t="s">
        <v>148</v>
      </c>
      <c r="AM68" s="92">
        <f t="shared" si="18"/>
        <v>1109377.53</v>
      </c>
      <c r="AN68" s="92">
        <f t="shared" si="19"/>
        <v>1109377.53</v>
      </c>
      <c r="AO68" s="69">
        <f t="shared" si="20"/>
        <v>0</v>
      </c>
      <c r="AP68" s="69">
        <f t="shared" si="21"/>
        <v>0</v>
      </c>
      <c r="AQ68" s="69">
        <f t="shared" si="22"/>
        <v>0</v>
      </c>
      <c r="AR68" s="69">
        <f t="shared" si="23"/>
        <v>0</v>
      </c>
      <c r="AS68" s="409"/>
      <c r="AT68" s="409"/>
      <c r="AU68" s="409"/>
      <c r="AV68" s="65"/>
      <c r="AW68" s="65"/>
      <c r="AX68" s="65"/>
      <c r="AY68" s="65"/>
      <c r="AZ68" s="65"/>
      <c r="BD68" s="65"/>
    </row>
    <row r="69" spans="1:56" s="66" customFormat="1">
      <c r="A69" s="78" t="s">
        <v>295</v>
      </c>
      <c r="B69" s="78" t="s">
        <v>295</v>
      </c>
      <c r="C69" s="78" t="s">
        <v>147</v>
      </c>
      <c r="D69" s="78" t="s">
        <v>148</v>
      </c>
      <c r="E69" s="67" t="s">
        <v>231</v>
      </c>
      <c r="F69" s="67" t="s">
        <v>204</v>
      </c>
      <c r="G69" s="67" t="str">
        <f>INDEX('[4]RT Description to Bill Matix'!$D:$D,MATCH(A69,'[4]RT Description to Bill Matix'!$M:$M,0))</f>
        <v>Individualized Skills and Socialization LON 8 - Off-Site (incl. Enhanced)</v>
      </c>
      <c r="H69" s="65" t="s">
        <v>296</v>
      </c>
      <c r="I69" s="65"/>
      <c r="J69" s="65" t="s">
        <v>270</v>
      </c>
      <c r="K69" s="66" t="str">
        <f>INDEX('[5]Combined Bill Code List'!$A:$A,MATCH(A69,'[5]Combined Bill Code List'!$F:$F,0))</f>
        <v>1915(c) waiver</v>
      </c>
      <c r="L69" s="66" t="str">
        <f>INDEX('[6]Rate History'!$P:$P,MATCH(A69,'[6]Rate History'!$F:$F,0))</f>
        <v>1 hour</v>
      </c>
      <c r="M69" s="77">
        <f>INDEX('[7]PDF DB Service Pivot'!$C:$C,MATCH(B69,'[7]PDF DB Service Pivot'!$B:$B,0))</f>
        <v>133245.5</v>
      </c>
      <c r="N69" s="77">
        <f t="shared" si="15"/>
        <v>266491</v>
      </c>
      <c r="O69" s="76">
        <f>INDEX('[7]PDF DB Service Pivot'!$D:$D,MATCH(B69,'[7]PDF DB Service Pivot'!$B:$B,0))</f>
        <v>2055999.96</v>
      </c>
      <c r="P69" s="91">
        <v>44927</v>
      </c>
      <c r="Q69" s="81">
        <v>15.43</v>
      </c>
      <c r="R69" s="81">
        <v>7.02</v>
      </c>
      <c r="S69" s="354">
        <f t="shared" si="24"/>
        <v>0.45495787427090084</v>
      </c>
      <c r="T69" s="339">
        <f>INDEX('[10]Billable Services'!$L:$L,MATCH(B69,'[10]Billable Services'!$O:$O,0))</f>
        <v>0.5</v>
      </c>
      <c r="U69" s="81">
        <f t="shared" si="13"/>
        <v>0</v>
      </c>
      <c r="V69" s="81" cm="1">
        <f t="array" ref="V69">_xlfn.IFS('Fiscal by Program'!$B$7&lt;10.61,0,'Fiscal by Program'!$B$7&gt;10.6,(ROUND('Fiscal by Program'!$B$7*(1+IF(D69="Yes",'Fiscal by Program'!$B$9,'Fiscal by Program'!$B$8))*T69,2)))</f>
        <v>0</v>
      </c>
      <c r="W69" s="81">
        <f t="shared" si="16"/>
        <v>0</v>
      </c>
      <c r="X69" s="81">
        <f>ROUND((R69/(1+IF(D69="Yes",'Fiscal by Program'!$B$9,'Fiscal by Program'!$B$8))),2)+0.01</f>
        <v>6.35</v>
      </c>
      <c r="Y69" s="81">
        <f t="shared" si="17"/>
        <v>15.43</v>
      </c>
      <c r="Z69" s="88">
        <v>4</v>
      </c>
      <c r="AA69" s="90">
        <f t="shared" si="14"/>
        <v>0.125</v>
      </c>
      <c r="AB69" s="75">
        <f>INDEX('[9]Service List'!$K:$K,MATCH(A69,'[9]Service List'!$F:$F,0))</f>
        <v>251</v>
      </c>
      <c r="AC69" s="73">
        <f>INDEX('[5]Combined Bill Code List'!$P:$P,MATCH(A69,'[5]Combined Bill Code List'!$F:$F,0))</f>
        <v>0</v>
      </c>
      <c r="AD69" s="80" t="s">
        <v>231</v>
      </c>
      <c r="AE69" s="79">
        <v>1</v>
      </c>
      <c r="AF69" s="66">
        <v>0</v>
      </c>
      <c r="AG69" s="70">
        <f>ROUND(INDEX('All Trends'!D:D,MATCH($AD69,'All Trends'!$C:$C,0)),4)</f>
        <v>0.99270000000000003</v>
      </c>
      <c r="AH69" s="70">
        <f>ROUND(INDEX('All Trends'!E:E,MATCH($AD69,'All Trends'!$C:$C,0)),4)</f>
        <v>1.0091000000000001</v>
      </c>
      <c r="AI69" s="70">
        <f>ROUND(INDEX('All Trends'!F:F,MATCH($AD69,'All Trends'!$C:$C,0)),4)</f>
        <v>1.0519000000000001</v>
      </c>
      <c r="AJ69" s="70">
        <f>ROUND(INDEX('All Trends'!G:G,MATCH($AD69,'All Trends'!$C:$C,0)),4)</f>
        <v>1.0519000000000001</v>
      </c>
      <c r="AK69" s="70">
        <f>ROUND(INDEX('All Trends'!H:H,MATCH($AD69,'All Trends'!$C:$C,0)),4)</f>
        <v>1.0519000000000001</v>
      </c>
      <c r="AL69" s="74" t="s">
        <v>148</v>
      </c>
      <c r="AM69" s="92">
        <f t="shared" si="18"/>
        <v>140160.94</v>
      </c>
      <c r="AN69" s="92">
        <f t="shared" si="19"/>
        <v>140160.94</v>
      </c>
      <c r="AO69" s="69">
        <f t="shared" si="20"/>
        <v>0</v>
      </c>
      <c r="AP69" s="69">
        <f t="shared" si="21"/>
        <v>0</v>
      </c>
      <c r="AQ69" s="69">
        <f t="shared" si="22"/>
        <v>0</v>
      </c>
      <c r="AR69" s="69">
        <f t="shared" si="23"/>
        <v>0</v>
      </c>
      <c r="AS69" s="409"/>
      <c r="AT69" s="409"/>
      <c r="AU69" s="409"/>
      <c r="AV69" s="65"/>
      <c r="AW69" s="65"/>
      <c r="AX69" s="65"/>
      <c r="AY69" s="65"/>
      <c r="AZ69" s="65"/>
      <c r="BD69" s="65"/>
    </row>
    <row r="70" spans="1:56" s="66" customFormat="1">
      <c r="A70" s="78" t="s">
        <v>297</v>
      </c>
      <c r="B70" s="78" t="s">
        <v>297</v>
      </c>
      <c r="C70" s="78" t="s">
        <v>147</v>
      </c>
      <c r="D70" s="78" t="s">
        <v>148</v>
      </c>
      <c r="E70" s="67" t="s">
        <v>231</v>
      </c>
      <c r="F70" s="67" t="s">
        <v>204</v>
      </c>
      <c r="G70" s="67" t="str">
        <f>INDEX('[4]RT Description to Bill Matix'!$D:$D,MATCH(A70,'[4]RT Description to Bill Matix'!$M:$M,0))</f>
        <v>Individualized Skills and Socialization LON 8 - Off-Site (incl. Enhanced)</v>
      </c>
      <c r="H70" s="65" t="s">
        <v>298</v>
      </c>
      <c r="I70" s="65"/>
      <c r="J70" s="65" t="s">
        <v>270</v>
      </c>
      <c r="K70" s="66" t="str">
        <f>INDEX('[5]Combined Bill Code List'!$A:$A,MATCH(A70,'[5]Combined Bill Code List'!$F:$F,0))</f>
        <v>1915(c) waiver</v>
      </c>
      <c r="L70" s="66" t="str">
        <f>INDEX('[6]Rate History'!$P:$P,MATCH(A70,'[6]Rate History'!$F:$F,0))</f>
        <v>1 hour</v>
      </c>
      <c r="M70" s="77">
        <f>INDEX('[7]PDF DB Service Pivot'!$C:$C,MATCH(B70,'[7]PDF DB Service Pivot'!$B:$B,0))</f>
        <v>2437.75</v>
      </c>
      <c r="N70" s="77">
        <f t="shared" si="15"/>
        <v>4875.5</v>
      </c>
      <c r="O70" s="76">
        <f>INDEX('[7]PDF DB Service Pivot'!$D:$D,MATCH(B70,'[7]PDF DB Service Pivot'!$B:$B,0))</f>
        <v>57068.3</v>
      </c>
      <c r="P70" s="91">
        <v>44927</v>
      </c>
      <c r="Q70" s="81">
        <v>23.41</v>
      </c>
      <c r="R70" s="81">
        <v>14.04</v>
      </c>
      <c r="S70" s="354">
        <f t="shared" si="24"/>
        <v>0.59974369927381455</v>
      </c>
      <c r="T70" s="339">
        <f>INDEX('[10]Billable Services'!$L:$L,MATCH(B70,'[10]Billable Services'!$O:$O,0))</f>
        <v>1</v>
      </c>
      <c r="U70" s="81">
        <f t="shared" si="13"/>
        <v>0</v>
      </c>
      <c r="V70" s="81" cm="1">
        <f t="array" ref="V70">_xlfn.IFS('Fiscal by Program'!$B$7&lt;10.61,0,'Fiscal by Program'!$B$7&gt;10.6,(ROUND('Fiscal by Program'!$B$7*(1+IF(D70="Yes",'Fiscal by Program'!$B$9,'Fiscal by Program'!$B$8))*T70,2)))</f>
        <v>0</v>
      </c>
      <c r="W70" s="81">
        <f t="shared" si="16"/>
        <v>0</v>
      </c>
      <c r="X70" s="81">
        <f>ROUND((R70/(1+IF(D70="Yes",'Fiscal by Program'!$B$9,'Fiscal by Program'!$B$8))),2)+0.01</f>
        <v>12.69</v>
      </c>
      <c r="Y70" s="81">
        <f t="shared" si="17"/>
        <v>23.41</v>
      </c>
      <c r="Z70" s="88">
        <v>4</v>
      </c>
      <c r="AA70" s="90">
        <f t="shared" si="14"/>
        <v>0.25</v>
      </c>
      <c r="AB70" s="75">
        <f>INDEX('[9]Service List'!$K:$K,MATCH(A70,'[9]Service List'!$F:$F,0))</f>
        <v>263</v>
      </c>
      <c r="AC70" s="73">
        <f>INDEX('[5]Combined Bill Code List'!$P:$P,MATCH(A70,'[5]Combined Bill Code List'!$F:$F,0))</f>
        <v>0</v>
      </c>
      <c r="AD70" s="80" t="s">
        <v>231</v>
      </c>
      <c r="AE70" s="79">
        <v>1</v>
      </c>
      <c r="AF70" s="66">
        <v>0</v>
      </c>
      <c r="AG70" s="70">
        <f>ROUND(INDEX('All Trends'!D:D,MATCH($AD70,'All Trends'!$C:$C,0)),4)</f>
        <v>0.99270000000000003</v>
      </c>
      <c r="AH70" s="70">
        <f>ROUND(INDEX('All Trends'!E:E,MATCH($AD70,'All Trends'!$C:$C,0)),4)</f>
        <v>1.0091000000000001</v>
      </c>
      <c r="AI70" s="70">
        <f>ROUND(INDEX('All Trends'!F:F,MATCH($AD70,'All Trends'!$C:$C,0)),4)</f>
        <v>1.0519000000000001</v>
      </c>
      <c r="AJ70" s="70">
        <f>ROUND(INDEX('All Trends'!G:G,MATCH($AD70,'All Trends'!$C:$C,0)),4)</f>
        <v>1.0519000000000001</v>
      </c>
      <c r="AK70" s="70">
        <f>ROUND(INDEX('All Trends'!H:H,MATCH($AD70,'All Trends'!$C:$C,0)),4)</f>
        <v>1.0519000000000001</v>
      </c>
      <c r="AL70" s="74" t="s">
        <v>148</v>
      </c>
      <c r="AM70" s="92">
        <f t="shared" si="18"/>
        <v>5128.54</v>
      </c>
      <c r="AN70" s="92">
        <f t="shared" si="19"/>
        <v>5128.54</v>
      </c>
      <c r="AO70" s="69">
        <f t="shared" si="20"/>
        <v>0</v>
      </c>
      <c r="AP70" s="69">
        <f t="shared" si="21"/>
        <v>0</v>
      </c>
      <c r="AQ70" s="69">
        <f t="shared" si="22"/>
        <v>0</v>
      </c>
      <c r="AR70" s="69">
        <f t="shared" si="23"/>
        <v>0</v>
      </c>
      <c r="AS70" s="409"/>
      <c r="AT70" s="409"/>
      <c r="AU70" s="409"/>
      <c r="AV70" s="65"/>
      <c r="AW70" s="65"/>
      <c r="AX70" s="65"/>
      <c r="AY70" s="65"/>
      <c r="AZ70" s="65"/>
      <c r="BD70" s="65"/>
    </row>
    <row r="71" spans="1:56" s="66" customFormat="1">
      <c r="A71" s="78" t="s">
        <v>299</v>
      </c>
      <c r="B71" s="78" t="s">
        <v>299</v>
      </c>
      <c r="C71" s="78" t="s">
        <v>147</v>
      </c>
      <c r="D71" s="78" t="s">
        <v>148</v>
      </c>
      <c r="E71" s="67" t="s">
        <v>231</v>
      </c>
      <c r="F71" s="67" t="s">
        <v>204</v>
      </c>
      <c r="G71" s="67" t="str">
        <f>INDEX('[4]RT Description to Bill Matix'!$D:$D,MATCH(A71,'[4]RT Description to Bill Matix'!$M:$M,0))</f>
        <v>Individualized Skills and Socialization LON 8 - On-Site</v>
      </c>
      <c r="H71" s="65" t="s">
        <v>300</v>
      </c>
      <c r="I71" s="65"/>
      <c r="J71" s="65" t="s">
        <v>270</v>
      </c>
      <c r="K71" s="66" t="str">
        <f>INDEX('[5]Combined Bill Code List'!$A:$A,MATCH(A71,'[5]Combined Bill Code List'!$F:$F,0))</f>
        <v>1915(c) waiver</v>
      </c>
      <c r="L71" s="66" t="str">
        <f>INDEX('[6]Rate History'!$P:$P,MATCH(A71,'[6]Rate History'!$F:$F,0))</f>
        <v>1 hour</v>
      </c>
      <c r="M71" s="77">
        <f>INDEX('[7]PDF DB Service Pivot'!$C:$C,MATCH(B71,'[7]PDF DB Service Pivot'!$B:$B,0))</f>
        <v>45499.25</v>
      </c>
      <c r="N71" s="77">
        <f t="shared" si="15"/>
        <v>90998.5</v>
      </c>
      <c r="O71" s="76">
        <f>INDEX('[7]PDF DB Service Pivot'!$D:$D,MATCH(B71,'[7]PDF DB Service Pivot'!$B:$B,0))</f>
        <v>439069.79</v>
      </c>
      <c r="P71" s="91">
        <v>44927</v>
      </c>
      <c r="Q71" s="81">
        <v>9.65</v>
      </c>
      <c r="R71" s="81">
        <v>4.79</v>
      </c>
      <c r="S71" s="354">
        <f t="shared" si="24"/>
        <v>0.49637305699481865</v>
      </c>
      <c r="T71" s="339">
        <f>INDEX('[10]Billable Services'!$L:$L,MATCH(B71,'[10]Billable Services'!$O:$O,0))</f>
        <v>0.33</v>
      </c>
      <c r="U71" s="81">
        <f t="shared" si="13"/>
        <v>0</v>
      </c>
      <c r="V71" s="81" cm="1">
        <f t="array" ref="V71">_xlfn.IFS('Fiscal by Program'!$B$7&lt;10.61,0,'Fiscal by Program'!$B$7&gt;10.6,(ROUND('Fiscal by Program'!$B$7*(1+IF(D71="Yes",'Fiscal by Program'!$B$9,'Fiscal by Program'!$B$8))*T71,2)))</f>
        <v>0</v>
      </c>
      <c r="W71" s="81">
        <f t="shared" si="16"/>
        <v>0</v>
      </c>
      <c r="X71" s="81">
        <f>ROUND((R71/(1+IF(D71="Yes",'Fiscal by Program'!$B$9,'Fiscal by Program'!$B$8))),2)+0.01</f>
        <v>4.34</v>
      </c>
      <c r="Y71" s="81">
        <f t="shared" si="17"/>
        <v>9.65</v>
      </c>
      <c r="Z71" s="88">
        <v>4</v>
      </c>
      <c r="AA71" s="90">
        <f t="shared" si="14"/>
        <v>8.2500000000000004E-2</v>
      </c>
      <c r="AB71" s="75">
        <f>INDEX('[9]Service List'!$K:$K,MATCH(A71,'[9]Service List'!$F:$F,0))</f>
        <v>252</v>
      </c>
      <c r="AC71" s="73">
        <f>INDEX('[5]Combined Bill Code List'!$P:$P,MATCH(A71,'[5]Combined Bill Code List'!$F:$F,0))</f>
        <v>0</v>
      </c>
      <c r="AD71" s="80" t="s">
        <v>231</v>
      </c>
      <c r="AE71" s="79">
        <v>1</v>
      </c>
      <c r="AF71" s="66">
        <v>0</v>
      </c>
      <c r="AG71" s="70">
        <f>ROUND(INDEX('All Trends'!D:D,MATCH($AD71,'All Trends'!$C:$C,0)),4)</f>
        <v>0.99270000000000003</v>
      </c>
      <c r="AH71" s="70">
        <f>ROUND(INDEX('All Trends'!E:E,MATCH($AD71,'All Trends'!$C:$C,0)),4)</f>
        <v>1.0091000000000001</v>
      </c>
      <c r="AI71" s="70">
        <f>ROUND(INDEX('All Trends'!F:F,MATCH($AD71,'All Trends'!$C:$C,0)),4)</f>
        <v>1.0519000000000001</v>
      </c>
      <c r="AJ71" s="70">
        <f>ROUND(INDEX('All Trends'!G:G,MATCH($AD71,'All Trends'!$C:$C,0)),4)</f>
        <v>1.0519000000000001</v>
      </c>
      <c r="AK71" s="70">
        <f>ROUND(INDEX('All Trends'!H:H,MATCH($AD71,'All Trends'!$C:$C,0)),4)</f>
        <v>1.0519000000000001</v>
      </c>
      <c r="AL71" s="74" t="s">
        <v>148</v>
      </c>
      <c r="AM71" s="92">
        <f t="shared" si="18"/>
        <v>31588.04</v>
      </c>
      <c r="AN71" s="92">
        <f t="shared" si="19"/>
        <v>31588.04</v>
      </c>
      <c r="AO71" s="69">
        <f t="shared" si="20"/>
        <v>0</v>
      </c>
      <c r="AP71" s="69">
        <f t="shared" si="21"/>
        <v>0</v>
      </c>
      <c r="AQ71" s="69">
        <f t="shared" si="22"/>
        <v>0</v>
      </c>
      <c r="AR71" s="69">
        <f t="shared" si="23"/>
        <v>0</v>
      </c>
      <c r="AS71" s="409"/>
      <c r="AT71" s="409"/>
      <c r="AU71" s="409"/>
      <c r="AV71" s="65"/>
      <c r="AW71" s="65"/>
      <c r="AX71" s="65"/>
      <c r="AY71" s="65"/>
      <c r="AZ71" s="65"/>
      <c r="BD71" s="65"/>
    </row>
    <row r="72" spans="1:56" s="66" customFormat="1">
      <c r="A72" s="78" t="s">
        <v>301</v>
      </c>
      <c r="B72" s="78" t="s">
        <v>301</v>
      </c>
      <c r="C72" s="78" t="s">
        <v>147</v>
      </c>
      <c r="D72" s="78" t="s">
        <v>148</v>
      </c>
      <c r="E72" s="67" t="s">
        <v>231</v>
      </c>
      <c r="F72" s="67" t="s">
        <v>204</v>
      </c>
      <c r="G72" s="67" t="str">
        <f>INDEX('[4]RT Description to Bill Matix'!$D:$D,MATCH(A72,'[4]RT Description to Bill Matix'!$M:$M,0))</f>
        <v>Individualized Skills and Socialization LON 9 - On-Site</v>
      </c>
      <c r="H72" s="65" t="s">
        <v>302</v>
      </c>
      <c r="I72" s="65"/>
      <c r="J72" s="65" t="s">
        <v>270</v>
      </c>
      <c r="K72" s="66" t="str">
        <f>INDEX('[5]Combined Bill Code List'!$A:$A,MATCH(A72,'[5]Combined Bill Code List'!$F:$F,0))</f>
        <v>1915(c) waiver</v>
      </c>
      <c r="L72" s="66" t="str">
        <f>INDEX('[6]Rate History'!$P:$P,MATCH(A72,'[6]Rate History'!$F:$F,0))</f>
        <v>1 hour</v>
      </c>
      <c r="M72" s="77">
        <f>INDEX('[7]PDF DB Service Pivot'!$C:$C,MATCH(B72,'[7]PDF DB Service Pivot'!$B:$B,0))</f>
        <v>61936</v>
      </c>
      <c r="N72" s="77">
        <f t="shared" si="15"/>
        <v>123872</v>
      </c>
      <c r="O72" s="76">
        <f>INDEX('[7]PDF DB Service Pivot'!$D:$D,MATCH(B72,'[7]PDF DB Service Pivot'!$B:$B,0))</f>
        <v>1543445.12</v>
      </c>
      <c r="P72" s="91">
        <v>44927</v>
      </c>
      <c r="Q72" s="81">
        <v>24.92</v>
      </c>
      <c r="R72" s="81">
        <v>17.93</v>
      </c>
      <c r="S72" s="354">
        <f t="shared" si="24"/>
        <v>0.71950240770465479</v>
      </c>
      <c r="T72" s="339">
        <f>INDEX('[10]Billable Services'!$L:$L,MATCH(B72,'[10]Billable Services'!$O:$O,0))</f>
        <v>1</v>
      </c>
      <c r="U72" s="81">
        <f t="shared" si="13"/>
        <v>0</v>
      </c>
      <c r="V72" s="81" cm="1">
        <f t="array" ref="V72">_xlfn.IFS('Fiscal by Program'!$B$7&lt;10.61,0,'Fiscal by Program'!$B$7&gt;10.6,(ROUND('Fiscal by Program'!$B$7*(1+IF(D72="Yes",'Fiscal by Program'!$B$9,'Fiscal by Program'!$B$8))*T72,2)))</f>
        <v>0</v>
      </c>
      <c r="W72" s="81">
        <f t="shared" si="16"/>
        <v>0</v>
      </c>
      <c r="X72" s="81">
        <f>ROUND((R72/(1+IF(D72="Yes",'Fiscal by Program'!$B$9,'Fiscal by Program'!$B$8))),2)+0.01</f>
        <v>16.200000000000003</v>
      </c>
      <c r="Y72" s="81">
        <f t="shared" si="17"/>
        <v>24.92</v>
      </c>
      <c r="Z72" s="88">
        <v>4</v>
      </c>
      <c r="AA72" s="90">
        <f t="shared" si="14"/>
        <v>0.25</v>
      </c>
      <c r="AB72" s="75">
        <f>INDEX('[9]Service List'!$K:$K,MATCH(A72,'[9]Service List'!$F:$F,0))</f>
        <v>254</v>
      </c>
      <c r="AC72" s="73">
        <f>INDEX('[5]Combined Bill Code List'!$P:$P,MATCH(A72,'[5]Combined Bill Code List'!$F:$F,0))</f>
        <v>0</v>
      </c>
      <c r="AD72" s="80" t="s">
        <v>231</v>
      </c>
      <c r="AE72" s="79">
        <v>1</v>
      </c>
      <c r="AF72" s="66">
        <v>0</v>
      </c>
      <c r="AG72" s="70">
        <f>ROUND(INDEX('All Trends'!D:D,MATCH($AD72,'All Trends'!$C:$C,0)),4)</f>
        <v>0.99270000000000003</v>
      </c>
      <c r="AH72" s="70">
        <f>ROUND(INDEX('All Trends'!E:E,MATCH($AD72,'All Trends'!$C:$C,0)),4)</f>
        <v>1.0091000000000001</v>
      </c>
      <c r="AI72" s="70">
        <f>ROUND(INDEX('All Trends'!F:F,MATCH($AD72,'All Trends'!$C:$C,0)),4)</f>
        <v>1.0519000000000001</v>
      </c>
      <c r="AJ72" s="70">
        <f>ROUND(INDEX('All Trends'!G:G,MATCH($AD72,'All Trends'!$C:$C,0)),4)</f>
        <v>1.0519000000000001</v>
      </c>
      <c r="AK72" s="70">
        <f>ROUND(INDEX('All Trends'!H:H,MATCH($AD72,'All Trends'!$C:$C,0)),4)</f>
        <v>1.0519000000000001</v>
      </c>
      <c r="AL72" s="74" t="s">
        <v>148</v>
      </c>
      <c r="AM72" s="92">
        <f t="shared" si="18"/>
        <v>130300.96</v>
      </c>
      <c r="AN72" s="92">
        <f t="shared" si="19"/>
        <v>130300.96</v>
      </c>
      <c r="AO72" s="69">
        <f t="shared" si="20"/>
        <v>0</v>
      </c>
      <c r="AP72" s="69">
        <f t="shared" si="21"/>
        <v>0</v>
      </c>
      <c r="AQ72" s="69">
        <f t="shared" si="22"/>
        <v>0</v>
      </c>
      <c r="AR72" s="69">
        <f t="shared" si="23"/>
        <v>0</v>
      </c>
      <c r="AS72" s="409"/>
      <c r="AT72" s="409"/>
      <c r="AU72" s="409"/>
      <c r="AV72" s="65"/>
      <c r="AW72" s="65"/>
      <c r="AX72" s="65"/>
      <c r="AY72" s="65"/>
      <c r="AZ72" s="65"/>
      <c r="BD72" s="65"/>
    </row>
    <row r="73" spans="1:56" s="66" customFormat="1">
      <c r="A73" s="78" t="s">
        <v>303</v>
      </c>
      <c r="B73" s="78" t="s">
        <v>303</v>
      </c>
      <c r="C73" s="78" t="s">
        <v>147</v>
      </c>
      <c r="D73" s="78" t="s">
        <v>148</v>
      </c>
      <c r="E73" s="67" t="s">
        <v>231</v>
      </c>
      <c r="F73" s="67" t="s">
        <v>204</v>
      </c>
      <c r="G73" s="67" t="str">
        <f>INDEX('[4]RT Description to Bill Matix'!$D:$D,MATCH(A73,'[4]RT Description to Bill Matix'!$M:$M,0))</f>
        <v>Individualized Skills and Socialization LON 9 - Off-Site (incl. Enhanced)</v>
      </c>
      <c r="H73" s="65" t="s">
        <v>304</v>
      </c>
      <c r="I73" s="65"/>
      <c r="J73" s="65" t="s">
        <v>270</v>
      </c>
      <c r="K73" s="66" t="str">
        <f>INDEX('[5]Combined Bill Code List'!$A:$A,MATCH(A73,'[5]Combined Bill Code List'!$F:$F,0))</f>
        <v>1915(c) waiver</v>
      </c>
      <c r="L73" s="66" t="str">
        <f>INDEX('[6]Rate History'!$P:$P,MATCH(A73,'[6]Rate History'!$F:$F,0))</f>
        <v>1 hour</v>
      </c>
      <c r="M73" s="77">
        <f>INDEX('[7]PDF DB Service Pivot'!$C:$C,MATCH(B73,'[7]PDF DB Service Pivot'!$B:$B,0))</f>
        <v>8737.25</v>
      </c>
      <c r="N73" s="77">
        <f t="shared" si="15"/>
        <v>17474.5</v>
      </c>
      <c r="O73" s="76">
        <f>INDEX('[7]PDF DB Service Pivot'!$D:$D,MATCH(B73,'[7]PDF DB Service Pivot'!$B:$B,0))</f>
        <v>217732.27</v>
      </c>
      <c r="P73" s="91">
        <v>44927</v>
      </c>
      <c r="Q73" s="81">
        <v>24.92</v>
      </c>
      <c r="R73" s="81">
        <v>17.93</v>
      </c>
      <c r="S73" s="354">
        <f t="shared" si="24"/>
        <v>0.71950240770465479</v>
      </c>
      <c r="T73" s="339">
        <f>INDEX('[10]Billable Services'!$L:$L,MATCH(B73,'[10]Billable Services'!$O:$O,0))</f>
        <v>1</v>
      </c>
      <c r="U73" s="81">
        <f t="shared" si="13"/>
        <v>0</v>
      </c>
      <c r="V73" s="81" cm="1">
        <f t="array" ref="V73">_xlfn.IFS('Fiscal by Program'!$B$7&lt;10.61,0,'Fiscal by Program'!$B$7&gt;10.6,(ROUND('Fiscal by Program'!$B$7*(1+IF(D73="Yes",'Fiscal by Program'!$B$9,'Fiscal by Program'!$B$8))*T73,2)))</f>
        <v>0</v>
      </c>
      <c r="W73" s="81">
        <f t="shared" si="16"/>
        <v>0</v>
      </c>
      <c r="X73" s="81">
        <f>ROUND((R73/(1+IF(D73="Yes",'Fiscal by Program'!$B$9,'Fiscal by Program'!$B$8))),2)+0.01</f>
        <v>16.200000000000003</v>
      </c>
      <c r="Y73" s="81">
        <f t="shared" si="17"/>
        <v>24.92</v>
      </c>
      <c r="Z73" s="88">
        <v>4</v>
      </c>
      <c r="AA73" s="90">
        <f t="shared" si="14"/>
        <v>0.25</v>
      </c>
      <c r="AB73" s="75">
        <f>INDEX('[9]Service List'!$K:$K,MATCH(A73,'[9]Service List'!$F:$F,0))</f>
        <v>255</v>
      </c>
      <c r="AC73" s="73">
        <f>INDEX('[5]Combined Bill Code List'!$P:$P,MATCH(A73,'[5]Combined Bill Code List'!$F:$F,0))</f>
        <v>0</v>
      </c>
      <c r="AD73" s="80" t="s">
        <v>231</v>
      </c>
      <c r="AE73" s="79">
        <v>1</v>
      </c>
      <c r="AF73" s="66">
        <v>0</v>
      </c>
      <c r="AG73" s="70">
        <f>ROUND(INDEX('All Trends'!D:D,MATCH($AD73,'All Trends'!$C:$C,0)),4)</f>
        <v>0.99270000000000003</v>
      </c>
      <c r="AH73" s="70">
        <f>ROUND(INDEX('All Trends'!E:E,MATCH($AD73,'All Trends'!$C:$C,0)),4)</f>
        <v>1.0091000000000001</v>
      </c>
      <c r="AI73" s="70">
        <f>ROUND(INDEX('All Trends'!F:F,MATCH($AD73,'All Trends'!$C:$C,0)),4)</f>
        <v>1.0519000000000001</v>
      </c>
      <c r="AJ73" s="70">
        <f>ROUND(INDEX('All Trends'!G:G,MATCH($AD73,'All Trends'!$C:$C,0)),4)</f>
        <v>1.0519000000000001</v>
      </c>
      <c r="AK73" s="70">
        <f>ROUND(INDEX('All Trends'!H:H,MATCH($AD73,'All Trends'!$C:$C,0)),4)</f>
        <v>1.0519000000000001</v>
      </c>
      <c r="AL73" s="74" t="s">
        <v>148</v>
      </c>
      <c r="AM73" s="92">
        <f t="shared" si="18"/>
        <v>18381.43</v>
      </c>
      <c r="AN73" s="92">
        <f t="shared" si="19"/>
        <v>18381.43</v>
      </c>
      <c r="AO73" s="69">
        <f t="shared" si="20"/>
        <v>0</v>
      </c>
      <c r="AP73" s="69">
        <f t="shared" si="21"/>
        <v>0</v>
      </c>
      <c r="AQ73" s="69">
        <f t="shared" si="22"/>
        <v>0</v>
      </c>
      <c r="AR73" s="69">
        <f t="shared" si="23"/>
        <v>0</v>
      </c>
      <c r="AS73" s="409"/>
      <c r="AT73" s="409"/>
      <c r="AU73" s="409"/>
      <c r="AV73" s="65"/>
      <c r="AW73" s="65"/>
      <c r="AX73" s="65"/>
      <c r="AY73" s="65"/>
      <c r="AZ73" s="65"/>
      <c r="BD73" s="65"/>
    </row>
    <row r="74" spans="1:56" s="66" customFormat="1">
      <c r="A74" s="78" t="s">
        <v>305</v>
      </c>
      <c r="B74" s="78" t="s">
        <v>305</v>
      </c>
      <c r="C74" s="78" t="s">
        <v>147</v>
      </c>
      <c r="D74" s="78" t="s">
        <v>148</v>
      </c>
      <c r="E74" s="67" t="s">
        <v>231</v>
      </c>
      <c r="F74" s="67" t="s">
        <v>204</v>
      </c>
      <c r="G74" s="67" t="str">
        <f>INDEX('[4]RT Description to Bill Matix'!$D:$D,MATCH(A74,'[4]RT Description to Bill Matix'!$M:$M,0))</f>
        <v>Individualized Skills and Socialization LON 9 - On-Site</v>
      </c>
      <c r="H74" s="65" t="s">
        <v>306</v>
      </c>
      <c r="I74" s="65"/>
      <c r="J74" s="65" t="s">
        <v>270</v>
      </c>
      <c r="K74" s="66" t="str">
        <f>INDEX('[5]Combined Bill Code List'!$A:$A,MATCH(A74,'[5]Combined Bill Code List'!$F:$F,0))</f>
        <v>1915(c) waiver</v>
      </c>
      <c r="L74" s="66" t="str">
        <f>INDEX('[6]Rate History'!$P:$P,MATCH(A74,'[6]Rate History'!$F:$F,0))</f>
        <v>1 hour</v>
      </c>
      <c r="M74" s="77">
        <f>INDEX('[7]PDF DB Service Pivot'!$C:$C,MATCH(B74,'[7]PDF DB Service Pivot'!$B:$B,0))</f>
        <v>901.5</v>
      </c>
      <c r="N74" s="77">
        <f t="shared" si="15"/>
        <v>1803</v>
      </c>
      <c r="O74" s="76">
        <f>INDEX('[7]PDF DB Service Pivot'!$D:$D,MATCH(B74,'[7]PDF DB Service Pivot'!$B:$B,0))</f>
        <v>22465.38</v>
      </c>
      <c r="P74" s="91">
        <v>44927</v>
      </c>
      <c r="Q74" s="81">
        <v>24.92</v>
      </c>
      <c r="R74" s="81">
        <v>17.93</v>
      </c>
      <c r="S74" s="354">
        <f t="shared" si="24"/>
        <v>0.71950240770465479</v>
      </c>
      <c r="T74" s="339">
        <f>INDEX('[10]Billable Services'!$L:$L,MATCH(B74,'[10]Billable Services'!$O:$O,0))</f>
        <v>1</v>
      </c>
      <c r="U74" s="81">
        <f t="shared" si="13"/>
        <v>0</v>
      </c>
      <c r="V74" s="81" cm="1">
        <f t="array" ref="V74">_xlfn.IFS('Fiscal by Program'!$B$7&lt;10.61,0,'Fiscal by Program'!$B$7&gt;10.6,(ROUND('Fiscal by Program'!$B$7*(1+IF(D74="Yes",'Fiscal by Program'!$B$9,'Fiscal by Program'!$B$8))*T74,2)))</f>
        <v>0</v>
      </c>
      <c r="W74" s="81">
        <f t="shared" si="16"/>
        <v>0</v>
      </c>
      <c r="X74" s="81">
        <f>ROUND((R74/(1+IF(D74="Yes",'Fiscal by Program'!$B$9,'Fiscal by Program'!$B$8))),2)+0.01</f>
        <v>16.200000000000003</v>
      </c>
      <c r="Y74" s="81">
        <f t="shared" si="17"/>
        <v>24.92</v>
      </c>
      <c r="Z74" s="88">
        <v>4</v>
      </c>
      <c r="AA74" s="90">
        <f t="shared" si="14"/>
        <v>0.25</v>
      </c>
      <c r="AB74" s="75">
        <f>INDEX('[9]Service List'!$K:$K,MATCH(A74,'[9]Service List'!$F:$F,0))</f>
        <v>256</v>
      </c>
      <c r="AC74" s="73">
        <f>INDEX('[5]Combined Bill Code List'!$P:$P,MATCH(A74,'[5]Combined Bill Code List'!$F:$F,0))</f>
        <v>0</v>
      </c>
      <c r="AD74" s="80" t="s">
        <v>231</v>
      </c>
      <c r="AE74" s="79">
        <v>1</v>
      </c>
      <c r="AF74" s="66">
        <v>0</v>
      </c>
      <c r="AG74" s="70">
        <f>ROUND(INDEX('All Trends'!D:D,MATCH($AD74,'All Trends'!$C:$C,0)),4)</f>
        <v>0.99270000000000003</v>
      </c>
      <c r="AH74" s="70">
        <f>ROUND(INDEX('All Trends'!E:E,MATCH($AD74,'All Trends'!$C:$C,0)),4)</f>
        <v>1.0091000000000001</v>
      </c>
      <c r="AI74" s="70">
        <f>ROUND(INDEX('All Trends'!F:F,MATCH($AD74,'All Trends'!$C:$C,0)),4)</f>
        <v>1.0519000000000001</v>
      </c>
      <c r="AJ74" s="70">
        <f>ROUND(INDEX('All Trends'!G:G,MATCH($AD74,'All Trends'!$C:$C,0)),4)</f>
        <v>1.0519000000000001</v>
      </c>
      <c r="AK74" s="70">
        <f>ROUND(INDEX('All Trends'!H:H,MATCH($AD74,'All Trends'!$C:$C,0)),4)</f>
        <v>1.0519000000000001</v>
      </c>
      <c r="AL74" s="74" t="s">
        <v>148</v>
      </c>
      <c r="AM74" s="92">
        <f t="shared" si="18"/>
        <v>1896.58</v>
      </c>
      <c r="AN74" s="92">
        <f t="shared" si="19"/>
        <v>1896.58</v>
      </c>
      <c r="AO74" s="69">
        <f t="shared" si="20"/>
        <v>0</v>
      </c>
      <c r="AP74" s="69">
        <f t="shared" si="21"/>
        <v>0</v>
      </c>
      <c r="AQ74" s="69">
        <f t="shared" si="22"/>
        <v>0</v>
      </c>
      <c r="AR74" s="69">
        <f t="shared" si="23"/>
        <v>0</v>
      </c>
      <c r="AS74" s="409"/>
      <c r="AT74" s="409"/>
      <c r="AU74" s="409"/>
      <c r="AV74" s="65"/>
      <c r="AW74" s="65"/>
      <c r="AX74" s="65"/>
      <c r="AY74" s="65"/>
      <c r="AZ74" s="65"/>
      <c r="BD74" s="65"/>
    </row>
    <row r="75" spans="1:56" s="66" customFormat="1">
      <c r="A75" s="78" t="s">
        <v>307</v>
      </c>
      <c r="B75" s="78" t="s">
        <v>307</v>
      </c>
      <c r="C75" s="78" t="s">
        <v>147</v>
      </c>
      <c r="D75" s="78" t="s">
        <v>148</v>
      </c>
      <c r="E75" s="67" t="s">
        <v>231</v>
      </c>
      <c r="F75" s="67" t="s">
        <v>204</v>
      </c>
      <c r="G75" s="67" t="str">
        <f>INDEX('[4]RT Description to Bill Matix'!$D:$D,MATCH(A75,'[4]RT Description to Bill Matix'!$M:$M,0))</f>
        <v>Individualized Skills and Socialization LON 1 - On-Site</v>
      </c>
      <c r="H75" s="65" t="s">
        <v>308</v>
      </c>
      <c r="I75" s="65"/>
      <c r="J75" s="65" t="s">
        <v>270</v>
      </c>
      <c r="K75" s="66" t="str">
        <f>INDEX('[5]Combined Bill Code List'!$A:$A,MATCH(A75,'[5]Combined Bill Code List'!$F:$F,0))</f>
        <v>1915(c) waiver</v>
      </c>
      <c r="L75" s="66" t="str">
        <f>INDEX('[6]Rate History'!$P:$P,MATCH(A75,'[6]Rate History'!$F:$F,0))</f>
        <v>1 hour</v>
      </c>
      <c r="M75" s="77">
        <f>INDEX('[7]PDF DB Service Pivot'!$C:$C,MATCH(B75,'[7]PDF DB Service Pivot'!$B:$B,0))</f>
        <v>160278.75</v>
      </c>
      <c r="N75" s="77">
        <f t="shared" si="15"/>
        <v>320557.5</v>
      </c>
      <c r="O75" s="76">
        <f>INDEX('[7]PDF DB Service Pivot'!$D:$D,MATCH(B75,'[7]PDF DB Service Pivot'!$B:$B,0))</f>
        <v>1048223.8</v>
      </c>
      <c r="P75" s="91">
        <v>44927</v>
      </c>
      <c r="Q75" s="81">
        <v>6.54</v>
      </c>
      <c r="R75" s="81">
        <v>2.0499999999999998</v>
      </c>
      <c r="S75" s="354">
        <f t="shared" si="24"/>
        <v>0.31345565749235471</v>
      </c>
      <c r="T75" s="339">
        <f>INDEX('[10]Billable Services'!$L:$L,MATCH(B75,'[10]Billable Services'!$O:$O,0))</f>
        <v>0.14000000000000001</v>
      </c>
      <c r="U75" s="81">
        <f t="shared" si="13"/>
        <v>0</v>
      </c>
      <c r="V75" s="81" cm="1">
        <f t="array" ref="V75">_xlfn.IFS('Fiscal by Program'!$B$7&lt;10.61,0,'Fiscal by Program'!$B$7&gt;10.6,(ROUND('Fiscal by Program'!$B$7*(1+IF(D75="Yes",'Fiscal by Program'!$B$9,'Fiscal by Program'!$B$8))*T75,2)))</f>
        <v>0</v>
      </c>
      <c r="W75" s="81">
        <f t="shared" si="16"/>
        <v>0</v>
      </c>
      <c r="X75" s="81">
        <f>ROUND((R75/(1+IF(D75="Yes",'Fiscal by Program'!$B$9,'Fiscal by Program'!$B$8))),2)+0.01</f>
        <v>1.86</v>
      </c>
      <c r="Y75" s="81">
        <f t="shared" si="17"/>
        <v>6.54</v>
      </c>
      <c r="Z75" s="88">
        <v>4</v>
      </c>
      <c r="AA75" s="90">
        <f t="shared" si="14"/>
        <v>3.5000000000000003E-2</v>
      </c>
      <c r="AB75" s="75">
        <f>INDEX('[9]Service List'!$K:$K,MATCH(A75,'[9]Service List'!$F:$F,0))</f>
        <v>241</v>
      </c>
      <c r="AC75" s="73">
        <f>INDEX('[5]Combined Bill Code List'!$P:$P,MATCH(A75,'[5]Combined Bill Code List'!$F:$F,0))</f>
        <v>0</v>
      </c>
      <c r="AD75" s="80" t="s">
        <v>231</v>
      </c>
      <c r="AE75" s="79">
        <v>1</v>
      </c>
      <c r="AF75" s="66">
        <v>0</v>
      </c>
      <c r="AG75" s="70">
        <f>ROUND(INDEX('All Trends'!D:D,MATCH($AD75,'All Trends'!$C:$C,0)),4)</f>
        <v>0.99270000000000003</v>
      </c>
      <c r="AH75" s="70">
        <f>ROUND(INDEX('All Trends'!E:E,MATCH($AD75,'All Trends'!$C:$C,0)),4)</f>
        <v>1.0091000000000001</v>
      </c>
      <c r="AI75" s="70">
        <f>ROUND(INDEX('All Trends'!F:F,MATCH($AD75,'All Trends'!$C:$C,0)),4)</f>
        <v>1.0519000000000001</v>
      </c>
      <c r="AJ75" s="70">
        <f>ROUND(INDEX('All Trends'!G:G,MATCH($AD75,'All Trends'!$C:$C,0)),4)</f>
        <v>1.0519000000000001</v>
      </c>
      <c r="AK75" s="70">
        <f>ROUND(INDEX('All Trends'!H:H,MATCH($AD75,'All Trends'!$C:$C,0)),4)</f>
        <v>1.0519000000000001</v>
      </c>
      <c r="AL75" s="74" t="s">
        <v>148</v>
      </c>
      <c r="AM75" s="92">
        <f t="shared" si="18"/>
        <v>47207.22</v>
      </c>
      <c r="AN75" s="92">
        <f t="shared" si="19"/>
        <v>47207.22</v>
      </c>
      <c r="AO75" s="69">
        <f t="shared" si="20"/>
        <v>0</v>
      </c>
      <c r="AP75" s="69">
        <f t="shared" si="21"/>
        <v>0</v>
      </c>
      <c r="AQ75" s="69">
        <f t="shared" si="22"/>
        <v>0</v>
      </c>
      <c r="AR75" s="69">
        <f t="shared" si="23"/>
        <v>0</v>
      </c>
      <c r="AS75" s="409"/>
      <c r="AT75" s="409"/>
      <c r="AU75" s="409"/>
      <c r="AV75" s="65"/>
      <c r="AW75" s="65"/>
      <c r="AX75" s="65"/>
      <c r="AY75" s="65"/>
      <c r="AZ75" s="65"/>
      <c r="BD75" s="65"/>
    </row>
    <row r="76" spans="1:56" s="66" customFormat="1">
      <c r="A76" s="78" t="s">
        <v>309</v>
      </c>
      <c r="B76" s="78" t="s">
        <v>309</v>
      </c>
      <c r="C76" s="78" t="s">
        <v>147</v>
      </c>
      <c r="D76" s="78" t="s">
        <v>148</v>
      </c>
      <c r="E76" s="67" t="s">
        <v>231</v>
      </c>
      <c r="F76" s="67" t="s">
        <v>204</v>
      </c>
      <c r="G76" s="67" t="str">
        <f>INDEX('[4]RT Description to Bill Matix'!$D:$D,MATCH(A76,'[4]RT Description to Bill Matix'!$M:$M,0))</f>
        <v>Individualized Skills and Socialization LON 5 - On-Site</v>
      </c>
      <c r="H76" s="65" t="s">
        <v>310</v>
      </c>
      <c r="I76" s="65"/>
      <c r="J76" s="65" t="s">
        <v>270</v>
      </c>
      <c r="K76" s="66" t="str">
        <f>INDEX('[5]Combined Bill Code List'!$A:$A,MATCH(A76,'[5]Combined Bill Code List'!$F:$F,0))</f>
        <v>1915(c) waiver</v>
      </c>
      <c r="L76" s="66" t="str">
        <f>INDEX('[6]Rate History'!$P:$P,MATCH(A76,'[6]Rate History'!$F:$F,0))</f>
        <v>1 hour</v>
      </c>
      <c r="M76" s="77">
        <f>INDEX('[7]PDF DB Service Pivot'!$C:$C,MATCH(B76,'[7]PDF DB Service Pivot'!$B:$B,0))</f>
        <v>463399.75</v>
      </c>
      <c r="N76" s="77">
        <f t="shared" si="15"/>
        <v>926799.5</v>
      </c>
      <c r="O76" s="76">
        <f>INDEX('[7]PDF DB Service Pivot'!$D:$D,MATCH(B76,'[7]PDF DB Service Pivot'!$B:$B,0))</f>
        <v>3466230.13</v>
      </c>
      <c r="P76" s="91">
        <v>44927</v>
      </c>
      <c r="Q76" s="81">
        <v>7.48</v>
      </c>
      <c r="R76" s="81">
        <v>2.87</v>
      </c>
      <c r="S76" s="354">
        <f t="shared" si="24"/>
        <v>0.38368983957219249</v>
      </c>
      <c r="T76" s="339">
        <f>INDEX('[10]Billable Services'!$L:$L,MATCH(B76,'[10]Billable Services'!$O:$O,0))</f>
        <v>0.2</v>
      </c>
      <c r="U76" s="81">
        <f t="shared" si="13"/>
        <v>0</v>
      </c>
      <c r="V76" s="81" cm="1">
        <f t="array" ref="V76">_xlfn.IFS('Fiscal by Program'!$B$7&lt;10.61,0,'Fiscal by Program'!$B$7&gt;10.6,(ROUND('Fiscal by Program'!$B$7*(1+IF(D76="Yes",'Fiscal by Program'!$B$9,'Fiscal by Program'!$B$8))*T76,2)))</f>
        <v>0</v>
      </c>
      <c r="W76" s="81">
        <f t="shared" si="16"/>
        <v>0</v>
      </c>
      <c r="X76" s="81">
        <f>ROUND((R76/(1+IF(D76="Yes",'Fiscal by Program'!$B$9,'Fiscal by Program'!$B$8))),2)+0.01</f>
        <v>2.5999999999999996</v>
      </c>
      <c r="Y76" s="81">
        <f t="shared" si="17"/>
        <v>7.48</v>
      </c>
      <c r="Z76" s="88">
        <v>4</v>
      </c>
      <c r="AA76" s="90">
        <f t="shared" si="14"/>
        <v>0.05</v>
      </c>
      <c r="AB76" s="75">
        <f>INDEX('[9]Service List'!$K:$K,MATCH(A76,'[9]Service List'!$F:$F,0))</f>
        <v>245</v>
      </c>
      <c r="AC76" s="73">
        <f>INDEX('[5]Combined Bill Code List'!$P:$P,MATCH(A76,'[5]Combined Bill Code List'!$F:$F,0))</f>
        <v>0</v>
      </c>
      <c r="AD76" s="80" t="s">
        <v>231</v>
      </c>
      <c r="AE76" s="79">
        <v>1</v>
      </c>
      <c r="AF76" s="66">
        <v>0</v>
      </c>
      <c r="AG76" s="70">
        <f>ROUND(INDEX('All Trends'!D:D,MATCH($AD76,'All Trends'!$C:$C,0)),4)</f>
        <v>0.99270000000000003</v>
      </c>
      <c r="AH76" s="70">
        <f>ROUND(INDEX('All Trends'!E:E,MATCH($AD76,'All Trends'!$C:$C,0)),4)</f>
        <v>1.0091000000000001</v>
      </c>
      <c r="AI76" s="70">
        <f>ROUND(INDEX('All Trends'!F:F,MATCH($AD76,'All Trends'!$C:$C,0)),4)</f>
        <v>1.0519000000000001</v>
      </c>
      <c r="AJ76" s="70">
        <f>ROUND(INDEX('All Trends'!G:G,MATCH($AD76,'All Trends'!$C:$C,0)),4)</f>
        <v>1.0519000000000001</v>
      </c>
      <c r="AK76" s="70">
        <f>ROUND(INDEX('All Trends'!H:H,MATCH($AD76,'All Trends'!$C:$C,0)),4)</f>
        <v>1.0519000000000001</v>
      </c>
      <c r="AL76" s="74" t="s">
        <v>148</v>
      </c>
      <c r="AM76" s="92">
        <f t="shared" si="18"/>
        <v>194980.08</v>
      </c>
      <c r="AN76" s="92">
        <f t="shared" si="19"/>
        <v>194980.08</v>
      </c>
      <c r="AO76" s="69">
        <f t="shared" si="20"/>
        <v>0</v>
      </c>
      <c r="AP76" s="69">
        <f t="shared" si="21"/>
        <v>0</v>
      </c>
      <c r="AQ76" s="69">
        <f t="shared" si="22"/>
        <v>0</v>
      </c>
      <c r="AR76" s="69">
        <f t="shared" si="23"/>
        <v>0</v>
      </c>
      <c r="AS76" s="409"/>
      <c r="AT76" s="409"/>
      <c r="AU76" s="409"/>
      <c r="AV76" s="65"/>
      <c r="AW76" s="65"/>
      <c r="AX76" s="65"/>
      <c r="AY76" s="65"/>
      <c r="AZ76" s="65"/>
      <c r="BD76" s="65"/>
    </row>
    <row r="77" spans="1:56" s="66" customFormat="1">
      <c r="A77" s="78" t="s">
        <v>311</v>
      </c>
      <c r="B77" s="78" t="s">
        <v>311</v>
      </c>
      <c r="C77" s="78" t="s">
        <v>147</v>
      </c>
      <c r="D77" s="78" t="s">
        <v>148</v>
      </c>
      <c r="E77" s="67" t="s">
        <v>231</v>
      </c>
      <c r="F77" s="67" t="s">
        <v>204</v>
      </c>
      <c r="G77" s="67" t="str">
        <f>INDEX('[4]RT Description to Bill Matix'!$D:$D,MATCH(A77,'[4]RT Description to Bill Matix'!$M:$M,0))</f>
        <v>Individualized Skills and Socialization LON 6 - On-Site</v>
      </c>
      <c r="H77" s="65" t="s">
        <v>312</v>
      </c>
      <c r="I77" s="65"/>
      <c r="J77" s="65" t="s">
        <v>270</v>
      </c>
      <c r="K77" s="66" t="str">
        <f>INDEX('[5]Combined Bill Code List'!$A:$A,MATCH(A77,'[5]Combined Bill Code List'!$F:$F,0))</f>
        <v>1915(c) waiver</v>
      </c>
      <c r="L77" s="66" t="str">
        <f>INDEX('[6]Rate History'!$P:$P,MATCH(A77,'[6]Rate History'!$F:$F,0))</f>
        <v>1 hour</v>
      </c>
      <c r="M77" s="77">
        <f>INDEX('[7]PDF DB Service Pivot'!$C:$C,MATCH(B77,'[7]PDF DB Service Pivot'!$B:$B,0))</f>
        <v>233853.5</v>
      </c>
      <c r="N77" s="77">
        <f t="shared" si="15"/>
        <v>467707</v>
      </c>
      <c r="O77" s="76">
        <f>INDEX('[7]PDF DB Service Pivot'!$D:$D,MATCH(B77,'[7]PDF DB Service Pivot'!$B:$B,0))</f>
        <v>2256687.9900000002</v>
      </c>
      <c r="P77" s="91">
        <v>44927</v>
      </c>
      <c r="Q77" s="81">
        <v>9.65</v>
      </c>
      <c r="R77" s="81">
        <v>4.79</v>
      </c>
      <c r="S77" s="354">
        <f t="shared" si="24"/>
        <v>0.49637305699481865</v>
      </c>
      <c r="T77" s="339">
        <f>INDEX('[10]Billable Services'!$L:$L,MATCH(B77,'[10]Billable Services'!$O:$O,0))</f>
        <v>0.33</v>
      </c>
      <c r="U77" s="81">
        <f t="shared" si="13"/>
        <v>0</v>
      </c>
      <c r="V77" s="81" cm="1">
        <f t="array" ref="V77">_xlfn.IFS('Fiscal by Program'!$B$7&lt;10.61,0,'Fiscal by Program'!$B$7&gt;10.6,(ROUND('Fiscal by Program'!$B$7*(1+IF(D77="Yes",'Fiscal by Program'!$B$9,'Fiscal by Program'!$B$8))*T77,2)))</f>
        <v>0</v>
      </c>
      <c r="W77" s="81">
        <f t="shared" si="16"/>
        <v>0</v>
      </c>
      <c r="X77" s="81">
        <f>ROUND((R77/(1+IF(D77="Yes",'Fiscal by Program'!$B$9,'Fiscal by Program'!$B$8))),2)+0.01</f>
        <v>4.34</v>
      </c>
      <c r="Y77" s="81">
        <f t="shared" si="17"/>
        <v>9.65</v>
      </c>
      <c r="Z77" s="88">
        <v>4</v>
      </c>
      <c r="AA77" s="90">
        <f t="shared" si="14"/>
        <v>8.2500000000000004E-2</v>
      </c>
      <c r="AB77" s="75">
        <f>INDEX('[9]Service List'!$K:$K,MATCH(A77,'[9]Service List'!$F:$F,0))</f>
        <v>249</v>
      </c>
      <c r="AC77" s="73">
        <f>INDEX('[5]Combined Bill Code List'!$P:$P,MATCH(A77,'[5]Combined Bill Code List'!$F:$F,0))</f>
        <v>0</v>
      </c>
      <c r="AD77" s="80" t="s">
        <v>231</v>
      </c>
      <c r="AE77" s="79">
        <v>1</v>
      </c>
      <c r="AF77" s="66">
        <v>0</v>
      </c>
      <c r="AG77" s="70">
        <f>ROUND(INDEX('All Trends'!D:D,MATCH($AD77,'All Trends'!$C:$C,0)),4)</f>
        <v>0.99270000000000003</v>
      </c>
      <c r="AH77" s="70">
        <f>ROUND(INDEX('All Trends'!E:E,MATCH($AD77,'All Trends'!$C:$C,0)),4)</f>
        <v>1.0091000000000001</v>
      </c>
      <c r="AI77" s="70">
        <f>ROUND(INDEX('All Trends'!F:F,MATCH($AD77,'All Trends'!$C:$C,0)),4)</f>
        <v>1.0519000000000001</v>
      </c>
      <c r="AJ77" s="70">
        <f>ROUND(INDEX('All Trends'!G:G,MATCH($AD77,'All Trends'!$C:$C,0)),4)</f>
        <v>1.0519000000000001</v>
      </c>
      <c r="AK77" s="70">
        <f>ROUND(INDEX('All Trends'!H:H,MATCH($AD77,'All Trends'!$C:$C,0)),4)</f>
        <v>1.0519000000000001</v>
      </c>
      <c r="AL77" s="74" t="s">
        <v>148</v>
      </c>
      <c r="AM77" s="92">
        <f t="shared" si="18"/>
        <v>162353.73000000001</v>
      </c>
      <c r="AN77" s="92">
        <f t="shared" si="19"/>
        <v>162353.73000000001</v>
      </c>
      <c r="AO77" s="69">
        <f t="shared" si="20"/>
        <v>0</v>
      </c>
      <c r="AP77" s="69">
        <f t="shared" si="21"/>
        <v>0</v>
      </c>
      <c r="AQ77" s="69">
        <f t="shared" si="22"/>
        <v>0</v>
      </c>
      <c r="AR77" s="69">
        <f t="shared" si="23"/>
        <v>0</v>
      </c>
      <c r="AS77" s="409"/>
      <c r="AT77" s="409"/>
      <c r="AU77" s="409"/>
      <c r="AV77" s="65"/>
      <c r="AW77" s="65"/>
      <c r="AX77" s="65"/>
      <c r="AY77" s="65"/>
      <c r="AZ77" s="65"/>
      <c r="BD77" s="65"/>
    </row>
    <row r="78" spans="1:56" s="66" customFormat="1">
      <c r="A78" s="78" t="s">
        <v>313</v>
      </c>
      <c r="B78" s="78" t="s">
        <v>313</v>
      </c>
      <c r="C78" s="78" t="s">
        <v>147</v>
      </c>
      <c r="D78" s="78" t="s">
        <v>148</v>
      </c>
      <c r="E78" s="67" t="s">
        <v>231</v>
      </c>
      <c r="F78" s="67" t="s">
        <v>204</v>
      </c>
      <c r="G78" s="67" t="str">
        <f>INDEX('[4]RT Description to Bill Matix'!$D:$D,MATCH(A78,'[4]RT Description to Bill Matix'!$M:$M,0))</f>
        <v>Individualized Skills and Socialization LON 8 - On-Site</v>
      </c>
      <c r="H78" s="65" t="s">
        <v>314</v>
      </c>
      <c r="I78" s="65"/>
      <c r="J78" s="65" t="s">
        <v>270</v>
      </c>
      <c r="K78" s="66" t="str">
        <f>INDEX('[5]Combined Bill Code List'!$A:$A,MATCH(A78,'[5]Combined Bill Code List'!$F:$F,0))</f>
        <v>1915(c) waiver</v>
      </c>
      <c r="L78" s="66" t="str">
        <f>INDEX('[6]Rate History'!$P:$P,MATCH(A78,'[6]Rate History'!$F:$F,0))</f>
        <v>1 hour</v>
      </c>
      <c r="M78" s="77">
        <f>INDEX('[7]PDF DB Service Pivot'!$C:$C,MATCH(B78,'[7]PDF DB Service Pivot'!$B:$B,0))</f>
        <v>333346.5</v>
      </c>
      <c r="N78" s="77">
        <f t="shared" si="15"/>
        <v>666693</v>
      </c>
      <c r="O78" s="76">
        <f>INDEX('[7]PDF DB Service Pivot'!$D:$D,MATCH(B78,'[7]PDF DB Service Pivot'!$B:$B,0))</f>
        <v>3216796.12</v>
      </c>
      <c r="P78" s="91">
        <v>44927</v>
      </c>
      <c r="Q78" s="81">
        <v>9.65</v>
      </c>
      <c r="R78" s="81">
        <v>4.79</v>
      </c>
      <c r="S78" s="354">
        <f t="shared" si="24"/>
        <v>0.49637305699481865</v>
      </c>
      <c r="T78" s="339">
        <f>INDEX('[10]Billable Services'!$L:$L,MATCH(B78,'[10]Billable Services'!$O:$O,0))</f>
        <v>0.33</v>
      </c>
      <c r="U78" s="81">
        <f t="shared" si="13"/>
        <v>0</v>
      </c>
      <c r="V78" s="81" cm="1">
        <f t="array" ref="V78">_xlfn.IFS('Fiscal by Program'!$B$7&lt;10.61,0,'Fiscal by Program'!$B$7&gt;10.6,(ROUND('Fiscal by Program'!$B$7*(1+IF(D78="Yes",'Fiscal by Program'!$B$9,'Fiscal by Program'!$B$8))*T78,2)))</f>
        <v>0</v>
      </c>
      <c r="W78" s="81">
        <f t="shared" si="16"/>
        <v>0</v>
      </c>
      <c r="X78" s="81">
        <f>ROUND((R78/(1+IF(D78="Yes",'Fiscal by Program'!$B$9,'Fiscal by Program'!$B$8))),2)+0.01</f>
        <v>4.34</v>
      </c>
      <c r="Y78" s="81">
        <f t="shared" si="17"/>
        <v>9.65</v>
      </c>
      <c r="Z78" s="88">
        <v>4</v>
      </c>
      <c r="AA78" s="90">
        <f t="shared" si="14"/>
        <v>8.2500000000000004E-2</v>
      </c>
      <c r="AB78" s="75">
        <f>INDEX('[9]Service List'!$K:$K,MATCH(A78,'[9]Service List'!$F:$F,0))</f>
        <v>253</v>
      </c>
      <c r="AC78" s="73">
        <f>INDEX('[5]Combined Bill Code List'!$P:$P,MATCH(A78,'[5]Combined Bill Code List'!$F:$F,0))</f>
        <v>0</v>
      </c>
      <c r="AD78" s="80" t="s">
        <v>231</v>
      </c>
      <c r="AE78" s="79">
        <v>1</v>
      </c>
      <c r="AF78" s="66">
        <v>0</v>
      </c>
      <c r="AG78" s="70">
        <f>ROUND(INDEX('All Trends'!D:D,MATCH($AD78,'All Trends'!$C:$C,0)),4)</f>
        <v>0.99270000000000003</v>
      </c>
      <c r="AH78" s="70">
        <f>ROUND(INDEX('All Trends'!E:E,MATCH($AD78,'All Trends'!$C:$C,0)),4)</f>
        <v>1.0091000000000001</v>
      </c>
      <c r="AI78" s="70">
        <f>ROUND(INDEX('All Trends'!F:F,MATCH($AD78,'All Trends'!$C:$C,0)),4)</f>
        <v>1.0519000000000001</v>
      </c>
      <c r="AJ78" s="70">
        <f>ROUND(INDEX('All Trends'!G:G,MATCH($AD78,'All Trends'!$C:$C,0)),4)</f>
        <v>1.0519000000000001</v>
      </c>
      <c r="AK78" s="70">
        <f>ROUND(INDEX('All Trends'!H:H,MATCH($AD78,'All Trends'!$C:$C,0)),4)</f>
        <v>1.0519000000000001</v>
      </c>
      <c r="AL78" s="74" t="s">
        <v>148</v>
      </c>
      <c r="AM78" s="92">
        <f t="shared" si="18"/>
        <v>231427.14</v>
      </c>
      <c r="AN78" s="92">
        <f t="shared" si="19"/>
        <v>231427.14</v>
      </c>
      <c r="AO78" s="69">
        <f t="shared" si="20"/>
        <v>0</v>
      </c>
      <c r="AP78" s="69">
        <f t="shared" si="21"/>
        <v>0</v>
      </c>
      <c r="AQ78" s="69">
        <f t="shared" si="22"/>
        <v>0</v>
      </c>
      <c r="AR78" s="69">
        <f t="shared" si="23"/>
        <v>0</v>
      </c>
      <c r="AS78" s="409"/>
      <c r="AT78" s="409"/>
      <c r="AU78" s="409"/>
      <c r="AV78" s="65"/>
      <c r="AW78" s="65"/>
      <c r="AX78" s="65"/>
      <c r="AY78" s="65"/>
      <c r="AZ78" s="65"/>
      <c r="BD78" s="65"/>
    </row>
    <row r="79" spans="1:56" s="66" customFormat="1">
      <c r="A79" s="78" t="s">
        <v>315</v>
      </c>
      <c r="B79" s="78" t="s">
        <v>315</v>
      </c>
      <c r="C79" s="78" t="s">
        <v>147</v>
      </c>
      <c r="D79" s="78" t="s">
        <v>148</v>
      </c>
      <c r="E79" s="67" t="s">
        <v>231</v>
      </c>
      <c r="F79" s="67" t="s">
        <v>204</v>
      </c>
      <c r="G79" s="67" t="str">
        <f>INDEX('[4]RT Description to Bill Matix'!$D:$D,MATCH(A79,'[4]RT Description to Bill Matix'!$M:$M,0))</f>
        <v>Individualized Skills and Socialization LON 9 - On-Site</v>
      </c>
      <c r="H79" s="65" t="s">
        <v>316</v>
      </c>
      <c r="I79" s="65"/>
      <c r="J79" s="65" t="s">
        <v>270</v>
      </c>
      <c r="K79" s="66" t="str">
        <f>INDEX('[5]Combined Bill Code List'!$A:$A,MATCH(A79,'[5]Combined Bill Code List'!$F:$F,0))</f>
        <v>1915(c) waiver</v>
      </c>
      <c r="L79" s="66" t="str">
        <f>INDEX('[6]Rate History'!$P:$P,MATCH(A79,'[6]Rate History'!$F:$F,0))</f>
        <v>1 hour</v>
      </c>
      <c r="M79" s="77">
        <f>INDEX('[7]PDF DB Service Pivot'!$C:$C,MATCH(B79,'[7]PDF DB Service Pivot'!$B:$B,0))</f>
        <v>16656.75</v>
      </c>
      <c r="N79" s="77">
        <f t="shared" si="15"/>
        <v>33313.5</v>
      </c>
      <c r="O79" s="76">
        <f>INDEX('[7]PDF DB Service Pivot'!$D:$D,MATCH(B79,'[7]PDF DB Service Pivot'!$B:$B,0))</f>
        <v>415086.21</v>
      </c>
      <c r="P79" s="91">
        <v>44927</v>
      </c>
      <c r="Q79" s="81">
        <v>24.92</v>
      </c>
      <c r="R79" s="81">
        <v>17.93</v>
      </c>
      <c r="S79" s="354">
        <f t="shared" si="24"/>
        <v>0.71950240770465479</v>
      </c>
      <c r="T79" s="339">
        <f>INDEX('[10]Billable Services'!$L:$L,MATCH(B79,'[10]Billable Services'!$O:$O,0))</f>
        <v>1</v>
      </c>
      <c r="U79" s="81">
        <f t="shared" si="13"/>
        <v>0</v>
      </c>
      <c r="V79" s="81" cm="1">
        <f t="array" ref="V79">_xlfn.IFS('Fiscal by Program'!$B$7&lt;10.61,0,'Fiscal by Program'!$B$7&gt;10.6,(ROUND('Fiscal by Program'!$B$7*(1+IF(D79="Yes",'Fiscal by Program'!$B$9,'Fiscal by Program'!$B$8))*T79,2)))</f>
        <v>0</v>
      </c>
      <c r="W79" s="81">
        <f t="shared" si="16"/>
        <v>0</v>
      </c>
      <c r="X79" s="81">
        <f>ROUND((R79/(1+IF(D79="Yes",'Fiscal by Program'!$B$9,'Fiscal by Program'!$B$8))),2)+0.01</f>
        <v>16.200000000000003</v>
      </c>
      <c r="Y79" s="81">
        <f t="shared" si="17"/>
        <v>24.92</v>
      </c>
      <c r="Z79" s="88">
        <v>4</v>
      </c>
      <c r="AA79" s="90">
        <f t="shared" si="14"/>
        <v>0.25</v>
      </c>
      <c r="AB79" s="75">
        <f>INDEX('[9]Service List'!$K:$K,MATCH(A79,'[9]Service List'!$F:$F,0))</f>
        <v>257</v>
      </c>
      <c r="AC79" s="73">
        <f>INDEX('[5]Combined Bill Code List'!$P:$P,MATCH(A79,'[5]Combined Bill Code List'!$F:$F,0))</f>
        <v>0</v>
      </c>
      <c r="AD79" s="80" t="s">
        <v>231</v>
      </c>
      <c r="AE79" s="79">
        <v>1</v>
      </c>
      <c r="AF79" s="66">
        <v>0</v>
      </c>
      <c r="AG79" s="70">
        <f>ROUND(INDEX('All Trends'!D:D,MATCH($AD79,'All Trends'!$C:$C,0)),4)</f>
        <v>0.99270000000000003</v>
      </c>
      <c r="AH79" s="70">
        <f>ROUND(INDEX('All Trends'!E:E,MATCH($AD79,'All Trends'!$C:$C,0)),4)</f>
        <v>1.0091000000000001</v>
      </c>
      <c r="AI79" s="70">
        <f>ROUND(INDEX('All Trends'!F:F,MATCH($AD79,'All Trends'!$C:$C,0)),4)</f>
        <v>1.0519000000000001</v>
      </c>
      <c r="AJ79" s="70">
        <f>ROUND(INDEX('All Trends'!G:G,MATCH($AD79,'All Trends'!$C:$C,0)),4)</f>
        <v>1.0519000000000001</v>
      </c>
      <c r="AK79" s="70">
        <f>ROUND(INDEX('All Trends'!H:H,MATCH($AD79,'All Trends'!$C:$C,0)),4)</f>
        <v>1.0519000000000001</v>
      </c>
      <c r="AL79" s="74" t="s">
        <v>148</v>
      </c>
      <c r="AM79" s="92">
        <f t="shared" si="18"/>
        <v>35042.47</v>
      </c>
      <c r="AN79" s="92">
        <f t="shared" si="19"/>
        <v>35042.47</v>
      </c>
      <c r="AO79" s="69">
        <f t="shared" si="20"/>
        <v>0</v>
      </c>
      <c r="AP79" s="69">
        <f t="shared" si="21"/>
        <v>0</v>
      </c>
      <c r="AQ79" s="69">
        <f t="shared" si="22"/>
        <v>0</v>
      </c>
      <c r="AR79" s="69">
        <f t="shared" si="23"/>
        <v>0</v>
      </c>
      <c r="AS79" s="409"/>
      <c r="AT79" s="409"/>
      <c r="AU79" s="409"/>
      <c r="AV79" s="65"/>
      <c r="AW79" s="65"/>
      <c r="AX79" s="65"/>
      <c r="AY79" s="65"/>
      <c r="AZ79" s="65"/>
      <c r="BD79" s="65"/>
    </row>
    <row r="80" spans="1:56" s="66" customFormat="1">
      <c r="A80" s="78" t="s">
        <v>317</v>
      </c>
      <c r="B80" s="78" t="s">
        <v>317</v>
      </c>
      <c r="C80" s="78" t="s">
        <v>147</v>
      </c>
      <c r="D80" s="78" t="s">
        <v>148</v>
      </c>
      <c r="E80" s="67" t="s">
        <v>231</v>
      </c>
      <c r="F80" s="67" t="s">
        <v>204</v>
      </c>
      <c r="G80" s="67" t="str">
        <f>INDEX('[4]RT Description to Bill Matix'!$D:$D,MATCH(A80,'[4]RT Description to Bill Matix'!$M:$M,0))</f>
        <v>Individualized Skills and Socialization LON 5 - Off-Site (incl. Enhanced)</v>
      </c>
      <c r="H80" s="65" t="s">
        <v>318</v>
      </c>
      <c r="I80" s="65"/>
      <c r="J80" s="65" t="s">
        <v>270</v>
      </c>
      <c r="K80" s="66" t="str">
        <f>INDEX('[5]Combined Bill Code List'!$A:$A,MATCH(A80,'[5]Combined Bill Code List'!$F:$F,0))</f>
        <v>1915(c) waiver</v>
      </c>
      <c r="L80" s="66" t="str">
        <f>INDEX('[6]Rate History'!$P:$P,MATCH(A80,'[6]Rate History'!$F:$F,0))</f>
        <v>1 hour</v>
      </c>
      <c r="M80" s="77">
        <f>INDEX('[7]PDF DB Service Pivot'!$C:$C,MATCH(B80,'[7]PDF DB Service Pivot'!$B:$B,0))</f>
        <v>158</v>
      </c>
      <c r="N80" s="77">
        <f t="shared" si="15"/>
        <v>316</v>
      </c>
      <c r="O80" s="76">
        <f>INDEX('[7]PDF DB Service Pivot'!$D:$D,MATCH(B80,'[7]PDF DB Service Pivot'!$B:$B,0))</f>
        <v>3698.81</v>
      </c>
      <c r="P80" s="91">
        <v>44927</v>
      </c>
      <c r="Q80" s="81">
        <v>23.41</v>
      </c>
      <c r="R80" s="81">
        <v>14.04</v>
      </c>
      <c r="S80" s="354">
        <f t="shared" si="24"/>
        <v>0.59974369927381455</v>
      </c>
      <c r="T80" s="339">
        <f>INDEX('[10]Billable Services'!$L:$L,MATCH(B80,'[10]Billable Services'!$O:$O,0))</f>
        <v>1</v>
      </c>
      <c r="U80" s="81">
        <f t="shared" si="13"/>
        <v>0</v>
      </c>
      <c r="V80" s="81" cm="1">
        <f t="array" ref="V80">_xlfn.IFS('Fiscal by Program'!$B$7&lt;10.61,0,'Fiscal by Program'!$B$7&gt;10.6,(ROUND('Fiscal by Program'!$B$7*(1+IF(D80="Yes",'Fiscal by Program'!$B$9,'Fiscal by Program'!$B$8))*T80,2)))</f>
        <v>0</v>
      </c>
      <c r="W80" s="81">
        <f t="shared" si="16"/>
        <v>0</v>
      </c>
      <c r="X80" s="81">
        <f>ROUND((R80/(1+IF(D80="Yes",'Fiscal by Program'!$B$9,'Fiscal by Program'!$B$8))),2)+0.01</f>
        <v>12.69</v>
      </c>
      <c r="Y80" s="81">
        <f t="shared" si="17"/>
        <v>23.41</v>
      </c>
      <c r="Z80" s="88">
        <v>4</v>
      </c>
      <c r="AA80" s="90">
        <f t="shared" si="14"/>
        <v>0.25</v>
      </c>
      <c r="AB80" s="75">
        <f>INDEX('[9]Service List'!$K:$K,MATCH(A80,'[9]Service List'!$F:$F,0))</f>
        <v>261</v>
      </c>
      <c r="AC80" s="73">
        <f>INDEX('[5]Combined Bill Code List'!$P:$P,MATCH(A80,'[5]Combined Bill Code List'!$F:$F,0))</f>
        <v>0</v>
      </c>
      <c r="AD80" s="80" t="s">
        <v>231</v>
      </c>
      <c r="AE80" s="79">
        <v>1</v>
      </c>
      <c r="AF80" s="66">
        <v>0</v>
      </c>
      <c r="AG80" s="70">
        <f>ROUND(INDEX('All Trends'!D:D,MATCH($AD80,'All Trends'!$C:$C,0)),4)</f>
        <v>0.99270000000000003</v>
      </c>
      <c r="AH80" s="70">
        <f>ROUND(INDEX('All Trends'!E:E,MATCH($AD80,'All Trends'!$C:$C,0)),4)</f>
        <v>1.0091000000000001</v>
      </c>
      <c r="AI80" s="70">
        <f>ROUND(INDEX('All Trends'!F:F,MATCH($AD80,'All Trends'!$C:$C,0)),4)</f>
        <v>1.0519000000000001</v>
      </c>
      <c r="AJ80" s="70">
        <f>ROUND(INDEX('All Trends'!G:G,MATCH($AD80,'All Trends'!$C:$C,0)),4)</f>
        <v>1.0519000000000001</v>
      </c>
      <c r="AK80" s="70">
        <f>ROUND(INDEX('All Trends'!H:H,MATCH($AD80,'All Trends'!$C:$C,0)),4)</f>
        <v>1.0519000000000001</v>
      </c>
      <c r="AL80" s="74" t="s">
        <v>148</v>
      </c>
      <c r="AM80" s="92">
        <f t="shared" si="18"/>
        <v>332.4</v>
      </c>
      <c r="AN80" s="92">
        <f t="shared" si="19"/>
        <v>332.4</v>
      </c>
      <c r="AO80" s="69">
        <f t="shared" si="20"/>
        <v>0</v>
      </c>
      <c r="AP80" s="69">
        <f t="shared" si="21"/>
        <v>0</v>
      </c>
      <c r="AQ80" s="69">
        <f t="shared" si="22"/>
        <v>0</v>
      </c>
      <c r="AR80" s="69">
        <f t="shared" si="23"/>
        <v>0</v>
      </c>
      <c r="AS80" s="409"/>
      <c r="AT80" s="409"/>
      <c r="AU80" s="409"/>
      <c r="AV80" s="65"/>
      <c r="AW80" s="65"/>
      <c r="AX80" s="65"/>
      <c r="AY80" s="65"/>
      <c r="AZ80" s="65"/>
      <c r="BD80" s="65"/>
    </row>
    <row r="81" spans="1:56" s="66" customFormat="1">
      <c r="A81" s="78" t="s">
        <v>319</v>
      </c>
      <c r="B81" s="78" t="s">
        <v>319</v>
      </c>
      <c r="C81" s="78" t="s">
        <v>147</v>
      </c>
      <c r="D81" s="78" t="s">
        <v>148</v>
      </c>
      <c r="E81" s="67" t="s">
        <v>231</v>
      </c>
      <c r="F81" s="67" t="s">
        <v>174</v>
      </c>
      <c r="G81" s="67" t="str">
        <f>INDEX('[4]RT Description to Bill Matix'!$D:$D,MATCH(A81,'[4]RT Description to Bill Matix'!$M:$M,0))</f>
        <v>Employment Assistance and Supported Employment</v>
      </c>
      <c r="H81" s="65" t="s">
        <v>320</v>
      </c>
      <c r="I81" s="65"/>
      <c r="J81" s="65" t="str" cm="1">
        <f t="array" ref="J81">INDEX('Rate Table Service Desc XWalk'!F:F,MATCH(1,(G81='Rate Table Service Desc XWalk'!B:B)*(E81='Rate Table Service Desc XWalk'!A:A),0))</f>
        <v>3-1-23</v>
      </c>
      <c r="K81" s="66" t="str">
        <f>INDEX('[5]Combined Bill Code List'!$A:$A,MATCH(A81,'[5]Combined Bill Code List'!$F:$F,0))</f>
        <v>1915(c) waiver</v>
      </c>
      <c r="L81" s="66" t="str">
        <f>INDEX('[6]Rate History'!$P:$P,MATCH(A81,'[6]Rate History'!$F:$F,0))</f>
        <v>1 hour</v>
      </c>
      <c r="M81" s="77">
        <f>INDEX('[7]PDF DB Service Pivot'!$C:$C,MATCH(B81,'[7]PDF DB Service Pivot'!$B:$B,0))</f>
        <v>38554.25</v>
      </c>
      <c r="N81" s="77">
        <f t="shared" si="15"/>
        <v>38554.25</v>
      </c>
      <c r="O81" s="76">
        <f>INDEX('[7]PDF DB Service Pivot'!$D:$D,MATCH(B81,'[7]PDF DB Service Pivot'!$B:$B,0))</f>
        <v>1298285.49</v>
      </c>
      <c r="P81" s="91">
        <v>40787</v>
      </c>
      <c r="Q81" s="81">
        <v>33.1</v>
      </c>
      <c r="R81" s="81">
        <v>19.07</v>
      </c>
      <c r="S81" s="354">
        <f t="shared" si="24"/>
        <v>0.57613293051359515</v>
      </c>
      <c r="T81" s="339">
        <f>INDEX('[10]Billable Services'!$L:$L,MATCH(B81,'[10]Billable Services'!$O:$O,0))</f>
        <v>1</v>
      </c>
      <c r="U81" s="81">
        <f t="shared" si="13"/>
        <v>0</v>
      </c>
      <c r="V81" s="81" cm="1">
        <f t="array" ref="V81">_xlfn.IFS('Fiscal by Program'!$B$7&lt;10.61,0,'Fiscal by Program'!$B$7&gt;10.6,(ROUND('Fiscal by Program'!$B$7*(1+IF(D81="Yes",'Fiscal by Program'!$B$9,'Fiscal by Program'!$B$8))*T81,2)))</f>
        <v>0</v>
      </c>
      <c r="W81" s="81">
        <f t="shared" si="16"/>
        <v>0</v>
      </c>
      <c r="X81" s="81">
        <f>ROUND((R81/(1+IF(D81="Yes",'Fiscal by Program'!$B$9,'Fiscal by Program'!$B$8))),2)+0.01</f>
        <v>17.23</v>
      </c>
      <c r="Y81" s="81">
        <f t="shared" si="17"/>
        <v>33.1</v>
      </c>
      <c r="Z81" s="88">
        <v>4</v>
      </c>
      <c r="AA81" s="90">
        <f t="shared" si="14"/>
        <v>0.25</v>
      </c>
      <c r="AB81" s="75">
        <f>INDEX('[9]Service List'!$K:$K,MATCH(A81,'[9]Service List'!$F:$F,0))</f>
        <v>230</v>
      </c>
      <c r="AC81" s="73">
        <f>INDEX('[5]Combined Bill Code List'!$P:$P,MATCH(A81,'[5]Combined Bill Code List'!$F:$F,0))</f>
        <v>0</v>
      </c>
      <c r="AD81" s="80" t="s">
        <v>231</v>
      </c>
      <c r="AE81" s="79">
        <v>1</v>
      </c>
      <c r="AF81" s="66">
        <v>0</v>
      </c>
      <c r="AG81" s="70">
        <f>ROUND(INDEX('All Trends'!D:D,MATCH($AD81,'All Trends'!$C:$C,0)),4)</f>
        <v>0.99270000000000003</v>
      </c>
      <c r="AH81" s="70">
        <f>ROUND(INDEX('All Trends'!E:E,MATCH($AD81,'All Trends'!$C:$C,0)),4)</f>
        <v>1.0091000000000001</v>
      </c>
      <c r="AI81" s="70">
        <f>ROUND(INDEX('All Trends'!F:F,MATCH($AD81,'All Trends'!$C:$C,0)),4)</f>
        <v>1.0519000000000001</v>
      </c>
      <c r="AJ81" s="70">
        <f>ROUND(INDEX('All Trends'!G:G,MATCH($AD81,'All Trends'!$C:$C,0)),4)</f>
        <v>1.0519000000000001</v>
      </c>
      <c r="AK81" s="70">
        <f>ROUND(INDEX('All Trends'!H:H,MATCH($AD81,'All Trends'!$C:$C,0)),4)</f>
        <v>1.0519000000000001</v>
      </c>
      <c r="AL81" s="74" t="s">
        <v>148</v>
      </c>
      <c r="AM81" s="92">
        <f t="shared" si="18"/>
        <v>40555.22</v>
      </c>
      <c r="AN81" s="92">
        <f t="shared" si="19"/>
        <v>40555.22</v>
      </c>
      <c r="AO81" s="69">
        <f t="shared" si="20"/>
        <v>0</v>
      </c>
      <c r="AP81" s="69">
        <f t="shared" si="21"/>
        <v>0</v>
      </c>
      <c r="AQ81" s="69">
        <f t="shared" si="22"/>
        <v>0</v>
      </c>
      <c r="AR81" s="69">
        <f t="shared" si="23"/>
        <v>0</v>
      </c>
      <c r="AS81" s="409"/>
      <c r="AT81" s="409"/>
      <c r="AU81" s="409"/>
      <c r="AV81" s="65"/>
      <c r="AW81" s="65"/>
      <c r="AX81" s="65"/>
      <c r="AY81" s="65"/>
      <c r="AZ81" s="65"/>
      <c r="BD81" s="65"/>
    </row>
    <row r="82" spans="1:56" s="66" customFormat="1">
      <c r="A82" s="78" t="s">
        <v>321</v>
      </c>
      <c r="B82" s="78" t="s">
        <v>321</v>
      </c>
      <c r="C82" s="78" t="s">
        <v>147</v>
      </c>
      <c r="D82" s="78" t="s">
        <v>148</v>
      </c>
      <c r="E82" s="67" t="s">
        <v>231</v>
      </c>
      <c r="F82" s="67" t="s">
        <v>174</v>
      </c>
      <c r="G82" s="67" t="str">
        <f>INDEX('[4]RT Description to Bill Matix'!$D:$D,MATCH(A82,'[4]RT Description to Bill Matix'!$M:$M,0))</f>
        <v>Employment Assistance and Supported Employment</v>
      </c>
      <c r="H82" s="65" t="s">
        <v>322</v>
      </c>
      <c r="I82" s="65"/>
      <c r="J82" s="65" t="str" cm="1">
        <f t="array" ref="J82">INDEX('Rate Table Service Desc XWalk'!F:F,MATCH(1,(G82='Rate Table Service Desc XWalk'!B:B)*(E82='Rate Table Service Desc XWalk'!A:A),0))</f>
        <v>3-1-23</v>
      </c>
      <c r="K82" s="66" t="str">
        <f>INDEX('[5]Combined Bill Code List'!$A:$A,MATCH(A82,'[5]Combined Bill Code List'!$F:$F,0))</f>
        <v>1915(c) waiver</v>
      </c>
      <c r="L82" s="66" t="str">
        <f>INDEX('[6]Rate History'!$P:$P,MATCH(A82,'[6]Rate History'!$F:$F,0))</f>
        <v>1 hour</v>
      </c>
      <c r="M82" s="77">
        <f>INDEX('[7]PDF DB Service Pivot'!$C:$C,MATCH(B82,'[7]PDF DB Service Pivot'!$B:$B,0))</f>
        <v>1159.25</v>
      </c>
      <c r="N82" s="77">
        <f t="shared" si="15"/>
        <v>1159.25</v>
      </c>
      <c r="O82" s="76">
        <f>INDEX('[7]PDF DB Service Pivot'!$D:$D,MATCH(B82,'[7]PDF DB Service Pivot'!$B:$B,0))</f>
        <v>38382.800000000003</v>
      </c>
      <c r="P82" s="91">
        <v>40787</v>
      </c>
      <c r="Q82" s="81">
        <v>33.1</v>
      </c>
      <c r="R82" s="81">
        <v>19.07</v>
      </c>
      <c r="S82" s="354">
        <f t="shared" si="24"/>
        <v>0.57613293051359515</v>
      </c>
      <c r="T82" s="339">
        <f>INDEX('[10]Billable Services'!$L:$L,MATCH(B82,'[10]Billable Services'!$O:$O,0))</f>
        <v>1</v>
      </c>
      <c r="U82" s="81">
        <f t="shared" si="13"/>
        <v>0</v>
      </c>
      <c r="V82" s="81" cm="1">
        <f t="array" ref="V82">_xlfn.IFS('Fiscal by Program'!$B$7&lt;10.61,0,'Fiscal by Program'!$B$7&gt;10.6,(ROUND('Fiscal by Program'!$B$7*(1+IF(D82="Yes",'Fiscal by Program'!$B$9,'Fiscal by Program'!$B$8))*T82,2)))</f>
        <v>0</v>
      </c>
      <c r="W82" s="81">
        <f t="shared" si="16"/>
        <v>0</v>
      </c>
      <c r="X82" s="81">
        <f>ROUND((R82/(1+IF(D82="Yes",'Fiscal by Program'!$B$9,'Fiscal by Program'!$B$8))),2)+0.01</f>
        <v>17.23</v>
      </c>
      <c r="Y82" s="81">
        <f t="shared" si="17"/>
        <v>33.1</v>
      </c>
      <c r="Z82" s="88">
        <v>4</v>
      </c>
      <c r="AA82" s="90">
        <f t="shared" si="14"/>
        <v>0.25</v>
      </c>
      <c r="AB82" s="75">
        <f>INDEX('[9]Service List'!$K:$K,MATCH(A82,'[9]Service List'!$F:$F,0))</f>
        <v>231</v>
      </c>
      <c r="AC82" s="73">
        <f>INDEX('[5]Combined Bill Code List'!$P:$P,MATCH(A82,'[5]Combined Bill Code List'!$F:$F,0))</f>
        <v>0</v>
      </c>
      <c r="AD82" s="80" t="s">
        <v>231</v>
      </c>
      <c r="AE82" s="79">
        <v>1</v>
      </c>
      <c r="AF82" s="66">
        <v>0</v>
      </c>
      <c r="AG82" s="70">
        <f>ROUND(INDEX('All Trends'!D:D,MATCH($AD82,'All Trends'!$C:$C,0)),4)</f>
        <v>0.99270000000000003</v>
      </c>
      <c r="AH82" s="70">
        <f>ROUND(INDEX('All Trends'!E:E,MATCH($AD82,'All Trends'!$C:$C,0)),4)</f>
        <v>1.0091000000000001</v>
      </c>
      <c r="AI82" s="70">
        <f>ROUND(INDEX('All Trends'!F:F,MATCH($AD82,'All Trends'!$C:$C,0)),4)</f>
        <v>1.0519000000000001</v>
      </c>
      <c r="AJ82" s="70">
        <f>ROUND(INDEX('All Trends'!G:G,MATCH($AD82,'All Trends'!$C:$C,0)),4)</f>
        <v>1.0519000000000001</v>
      </c>
      <c r="AK82" s="70">
        <f>ROUND(INDEX('All Trends'!H:H,MATCH($AD82,'All Trends'!$C:$C,0)),4)</f>
        <v>1.0519000000000001</v>
      </c>
      <c r="AL82" s="74" t="s">
        <v>148</v>
      </c>
      <c r="AM82" s="92">
        <f t="shared" si="18"/>
        <v>1219.42</v>
      </c>
      <c r="AN82" s="92">
        <f t="shared" si="19"/>
        <v>1219.42</v>
      </c>
      <c r="AO82" s="69">
        <f t="shared" si="20"/>
        <v>0</v>
      </c>
      <c r="AP82" s="69">
        <f t="shared" si="21"/>
        <v>0</v>
      </c>
      <c r="AQ82" s="69">
        <f t="shared" si="22"/>
        <v>0</v>
      </c>
      <c r="AR82" s="69">
        <f t="shared" si="23"/>
        <v>0</v>
      </c>
      <c r="AS82" s="409"/>
      <c r="AT82" s="409"/>
      <c r="AU82" s="409"/>
      <c r="AV82" s="65"/>
      <c r="AW82" s="65"/>
      <c r="AX82" s="65"/>
      <c r="AY82" s="65"/>
      <c r="AZ82" s="65"/>
      <c r="BD82" s="65"/>
    </row>
    <row r="83" spans="1:56" s="66" customFormat="1">
      <c r="A83" s="78" t="s">
        <v>323</v>
      </c>
      <c r="B83" s="78" t="s">
        <v>323</v>
      </c>
      <c r="C83" s="78" t="s">
        <v>147</v>
      </c>
      <c r="D83" s="78" t="s">
        <v>148</v>
      </c>
      <c r="E83" s="67" t="s">
        <v>231</v>
      </c>
      <c r="F83" s="67" t="s">
        <v>174</v>
      </c>
      <c r="G83" s="67" t="str">
        <f>INDEX('[4]RT Description to Bill Matix'!$D:$D,MATCH(A83,'[4]RT Description to Bill Matix'!$M:$M,0))</f>
        <v>CDS Employment Assistance and Supported Employment</v>
      </c>
      <c r="H83" s="65" t="s">
        <v>324</v>
      </c>
      <c r="I83" s="65" t="s">
        <v>147</v>
      </c>
      <c r="J83" s="65" t="str" cm="1">
        <f t="array" ref="J83">INDEX('Rate Table Service Desc XWalk'!F:F,MATCH(1,(G83='Rate Table Service Desc XWalk'!B:B)*(E83='Rate Table Service Desc XWalk'!A:A),0))</f>
        <v>3-5-121</v>
      </c>
      <c r="K83" s="66" t="str">
        <f>INDEX('[5]Combined Bill Code List'!$A:$A,MATCH(A83,'[5]Combined Bill Code List'!$F:$F,0))</f>
        <v>1915(c) waiver</v>
      </c>
      <c r="L83" s="66" t="str">
        <f>INDEX('[6]Rate History'!$P:$P,MATCH(A83,'[6]Rate History'!$F:$F,0))</f>
        <v>1 hour</v>
      </c>
      <c r="M83" s="77">
        <f>INDEX('[7]PDF DB Service Pivot'!$C:$C,MATCH(B83,'[7]PDF DB Service Pivot'!$B:$B,0))</f>
        <v>145205.20000000001</v>
      </c>
      <c r="N83" s="77">
        <f t="shared" si="15"/>
        <v>4523.5264797507789</v>
      </c>
      <c r="O83" s="76">
        <f>INDEX('[7]PDF DB Service Pivot'!$D:$D,MATCH(B83,'[7]PDF DB Service Pivot'!$B:$B,0))</f>
        <v>145205.20000000001</v>
      </c>
      <c r="P83" s="91">
        <v>41518</v>
      </c>
      <c r="Q83" s="81">
        <v>32.1</v>
      </c>
      <c r="R83" s="81">
        <v>18.493867069486406</v>
      </c>
      <c r="S83" s="354">
        <f t="shared" si="24"/>
        <v>0.57613293051359515</v>
      </c>
      <c r="T83" s="339">
        <v>1</v>
      </c>
      <c r="U83" s="81">
        <f t="shared" si="13"/>
        <v>0</v>
      </c>
      <c r="V83" s="81" cm="1">
        <f t="array" ref="V83">_xlfn.IFS('Fiscal by Program'!$B$7&lt;10.61,0,'Fiscal by Program'!$B$7&gt;10.6,(ROUND('Fiscal by Program'!$B$7*(1+IF(D83="Yes",'Fiscal by Program'!$B$9,'Fiscal by Program'!$B$8))*T83,2)))</f>
        <v>0</v>
      </c>
      <c r="W83" s="81">
        <f t="shared" si="16"/>
        <v>0</v>
      </c>
      <c r="X83" s="81">
        <f>ROUND((R83/(1+IF(D83="Yes",'Fiscal by Program'!$B$9,'Fiscal by Program'!$B$8))),2)+0.01</f>
        <v>16.71</v>
      </c>
      <c r="Y83" s="81">
        <f t="shared" si="17"/>
        <v>32.1</v>
      </c>
      <c r="Z83" s="88">
        <v>4</v>
      </c>
      <c r="AA83" s="90">
        <f t="shared" si="14"/>
        <v>0.25</v>
      </c>
      <c r="AB83" s="75">
        <f>INDEX('[9]Service List'!$K:$K,MATCH(A83,'[9]Service List'!$F:$F,0))</f>
        <v>228</v>
      </c>
      <c r="AC83" s="73">
        <f>INDEX('[5]Combined Bill Code List'!$P:$P,MATCH(A83,'[5]Combined Bill Code List'!$F:$F,0))</f>
        <v>0</v>
      </c>
      <c r="AD83" s="80" t="s">
        <v>231</v>
      </c>
      <c r="AE83" s="79">
        <v>1</v>
      </c>
      <c r="AF83" s="66">
        <v>0</v>
      </c>
      <c r="AG83" s="70">
        <f>ROUND(INDEX('All Trends'!D:D,MATCH($AD83,'All Trends'!$C:$C,0)),4)</f>
        <v>0.99270000000000003</v>
      </c>
      <c r="AH83" s="70">
        <f>ROUND(INDEX('All Trends'!E:E,MATCH($AD83,'All Trends'!$C:$C,0)),4)</f>
        <v>1.0091000000000001</v>
      </c>
      <c r="AI83" s="70">
        <f>ROUND(INDEX('All Trends'!F:F,MATCH($AD83,'All Trends'!$C:$C,0)),4)</f>
        <v>1.0519000000000001</v>
      </c>
      <c r="AJ83" s="70">
        <f>ROUND(INDEX('All Trends'!G:G,MATCH($AD83,'All Trends'!$C:$C,0)),4)</f>
        <v>1.0519000000000001</v>
      </c>
      <c r="AK83" s="70">
        <f>ROUND(INDEX('All Trends'!H:H,MATCH($AD83,'All Trends'!$C:$C,0)),4)</f>
        <v>1.0519000000000001</v>
      </c>
      <c r="AL83" s="74" t="s">
        <v>148</v>
      </c>
      <c r="AM83" s="92">
        <f t="shared" si="18"/>
        <v>4758.3</v>
      </c>
      <c r="AN83" s="92">
        <f t="shared" si="19"/>
        <v>4758.3</v>
      </c>
      <c r="AO83" s="69">
        <f t="shared" si="20"/>
        <v>0</v>
      </c>
      <c r="AP83" s="69">
        <f t="shared" si="21"/>
        <v>0</v>
      </c>
      <c r="AQ83" s="69">
        <f t="shared" si="22"/>
        <v>0</v>
      </c>
      <c r="AR83" s="69">
        <f t="shared" si="23"/>
        <v>0</v>
      </c>
      <c r="AS83" s="409"/>
      <c r="AT83" s="409"/>
      <c r="AU83" s="409"/>
      <c r="AV83" s="65"/>
      <c r="AW83" s="65"/>
      <c r="AX83" s="65"/>
      <c r="AY83" s="65"/>
      <c r="AZ83" s="65"/>
      <c r="BD83" s="65"/>
    </row>
    <row r="84" spans="1:56" s="66" customFormat="1">
      <c r="A84" s="78" t="s">
        <v>325</v>
      </c>
      <c r="B84" s="78" t="s">
        <v>325</v>
      </c>
      <c r="C84" s="78" t="s">
        <v>147</v>
      </c>
      <c r="D84" s="78" t="s">
        <v>148</v>
      </c>
      <c r="E84" s="67" t="s">
        <v>231</v>
      </c>
      <c r="F84" s="67" t="s">
        <v>225</v>
      </c>
      <c r="G84" s="67" t="str">
        <f>INDEX('[4]RT Description to Bill Matix'!$D:$D,MATCH(A84,'[4]RT Description to Bill Matix'!$M:$M,0))</f>
        <v>Supervised Living and Residential Support Services LON 1</v>
      </c>
      <c r="H84" s="65" t="s">
        <v>326</v>
      </c>
      <c r="I84" s="65"/>
      <c r="J84" s="65" t="s">
        <v>327</v>
      </c>
      <c r="K84" s="66" t="str">
        <f>INDEX('[5]Combined Bill Code List'!$A:$A,MATCH(A84,'[5]Combined Bill Code List'!$F:$F,0))</f>
        <v>1915(c) waiver</v>
      </c>
      <c r="L84" s="66" t="str">
        <f>INDEX('[6]Rate History'!$P:$P,MATCH(A84,'[6]Rate History'!$F:$F,0))</f>
        <v>1 day = 18 hours, excluding 6 hours for Day Hab</v>
      </c>
      <c r="M84" s="77">
        <f>INDEX('[7]PDF DB Service Pivot'!$C:$C,MATCH(B84,'[7]PDF DB Service Pivot'!$B:$B,0))</f>
        <v>210732.46</v>
      </c>
      <c r="N84" s="77">
        <f t="shared" si="15"/>
        <v>210732.46</v>
      </c>
      <c r="O84" s="76">
        <f>INDEX('[7]PDF DB Service Pivot'!$D:$D,MATCH(B84,'[7]PDF DB Service Pivot'!$B:$B,0))</f>
        <v>30502338.75</v>
      </c>
      <c r="P84" s="91">
        <v>45170</v>
      </c>
      <c r="Q84" s="81">
        <v>149.08000000000001</v>
      </c>
      <c r="R84" s="81">
        <v>78.039999999999964</v>
      </c>
      <c r="S84" s="354">
        <f t="shared" si="24"/>
        <v>0.52347732760933696</v>
      </c>
      <c r="T84" s="339">
        <v>7.37</v>
      </c>
      <c r="U84" s="81">
        <f t="shared" si="13"/>
        <v>0</v>
      </c>
      <c r="V84" s="81" cm="1">
        <f t="array" ref="V84">_xlfn.IFS('Fiscal by Program'!$B$7&lt;10.61,0,'Fiscal by Program'!$B$7&gt;10.6,(ROUND('Fiscal by Program'!$B$7*(1+IF(D84="Yes",'Fiscal by Program'!$B$9,'Fiscal by Program'!$B$8))*T84,2)))</f>
        <v>0</v>
      </c>
      <c r="W84" s="81">
        <f t="shared" si="16"/>
        <v>0</v>
      </c>
      <c r="X84" s="81">
        <f>ROUND((R84/(1+IF(D84="Yes",'Fiscal by Program'!$B$9,'Fiscal by Program'!$B$8))),2)+0.01</f>
        <v>70.48</v>
      </c>
      <c r="Y84" s="81">
        <f t="shared" si="17"/>
        <v>149.08000000000001</v>
      </c>
      <c r="Z84" s="88">
        <v>72</v>
      </c>
      <c r="AA84" s="90">
        <f t="shared" si="14"/>
        <v>0.10236111111111111</v>
      </c>
      <c r="AB84" s="75">
        <f>INDEX('[9]Service List'!$K:$K,MATCH(A84,'[9]Service List'!$F:$F,0))</f>
        <v>396</v>
      </c>
      <c r="AC84" s="73">
        <f>INDEX('[5]Combined Bill Code List'!$P:$P,MATCH(A84,'[5]Combined Bill Code List'!$F:$F,0))</f>
        <v>0</v>
      </c>
      <c r="AD84" s="80" t="s">
        <v>231</v>
      </c>
      <c r="AE84" s="79">
        <v>1</v>
      </c>
      <c r="AF84" s="66">
        <v>0</v>
      </c>
      <c r="AG84" s="70">
        <f>ROUND(INDEX('All Trends'!D:D,MATCH($AD84,'All Trends'!$C:$C,0)),4)</f>
        <v>0.99270000000000003</v>
      </c>
      <c r="AH84" s="70">
        <f>ROUND(INDEX('All Trends'!E:E,MATCH($AD84,'All Trends'!$C:$C,0)),4)</f>
        <v>1.0091000000000001</v>
      </c>
      <c r="AI84" s="70">
        <f>ROUND(INDEX('All Trends'!F:F,MATCH($AD84,'All Trends'!$C:$C,0)),4)</f>
        <v>1.0519000000000001</v>
      </c>
      <c r="AJ84" s="70">
        <f>ROUND(INDEX('All Trends'!G:G,MATCH($AD84,'All Trends'!$C:$C,0)),4)</f>
        <v>1.0519000000000001</v>
      </c>
      <c r="AK84" s="70">
        <f>ROUND(INDEX('All Trends'!H:H,MATCH($AD84,'All Trends'!$C:$C,0)),4)</f>
        <v>1.0519000000000001</v>
      </c>
      <c r="AL84" s="74" t="s">
        <v>148</v>
      </c>
      <c r="AM84" s="92">
        <f t="shared" si="18"/>
        <v>1633704.03</v>
      </c>
      <c r="AN84" s="92">
        <f t="shared" si="19"/>
        <v>1633704.03</v>
      </c>
      <c r="AO84" s="69">
        <f t="shared" si="20"/>
        <v>0</v>
      </c>
      <c r="AP84" s="69">
        <f t="shared" si="21"/>
        <v>0</v>
      </c>
      <c r="AQ84" s="69">
        <f t="shared" si="22"/>
        <v>0</v>
      </c>
      <c r="AR84" s="69">
        <f t="shared" si="23"/>
        <v>0</v>
      </c>
      <c r="AS84" s="409"/>
      <c r="AT84" s="409"/>
      <c r="AU84" s="409"/>
      <c r="AV84" s="65"/>
      <c r="AW84" s="65"/>
      <c r="AX84" s="65"/>
      <c r="AY84" s="65"/>
      <c r="AZ84" s="65"/>
      <c r="BD84" s="65"/>
    </row>
    <row r="85" spans="1:56" s="66" customFormat="1">
      <c r="A85" s="78" t="s">
        <v>328</v>
      </c>
      <c r="B85" s="78" t="s">
        <v>328</v>
      </c>
      <c r="C85" s="78" t="s">
        <v>147</v>
      </c>
      <c r="D85" s="78" t="s">
        <v>148</v>
      </c>
      <c r="E85" s="67" t="s">
        <v>231</v>
      </c>
      <c r="F85" s="67" t="s">
        <v>225</v>
      </c>
      <c r="G85" s="67" t="str">
        <f>INDEX('[4]RT Description to Bill Matix'!$D:$D,MATCH(A85,'[4]RT Description to Bill Matix'!$M:$M,0))</f>
        <v>Supervised Living and Residential Support Services LON 5</v>
      </c>
      <c r="H85" s="65" t="s">
        <v>329</v>
      </c>
      <c r="I85" s="65"/>
      <c r="J85" s="65" t="s">
        <v>327</v>
      </c>
      <c r="K85" s="66" t="str">
        <f>INDEX('[5]Combined Bill Code List'!$A:$A,MATCH(A85,'[5]Combined Bill Code List'!$F:$F,0))</f>
        <v>1915(c) waiver</v>
      </c>
      <c r="L85" s="66" t="str">
        <f>INDEX('[6]Rate History'!$P:$P,MATCH(A85,'[6]Rate History'!$F:$F,0))</f>
        <v>1 day = 18 hours, excluding 6 hours for Day Hab</v>
      </c>
      <c r="M85" s="77">
        <f>INDEX('[7]PDF DB Service Pivot'!$C:$C,MATCH(B85,'[7]PDF DB Service Pivot'!$B:$B,0))</f>
        <v>946685.25</v>
      </c>
      <c r="N85" s="77">
        <f t="shared" si="15"/>
        <v>946685.25</v>
      </c>
      <c r="O85" s="76">
        <f>INDEX('[7]PDF DB Service Pivot'!$D:$D,MATCH(B85,'[7]PDF DB Service Pivot'!$B:$B,0))</f>
        <v>145268619.47</v>
      </c>
      <c r="P85" s="91">
        <v>45170</v>
      </c>
      <c r="Q85" s="81">
        <v>158</v>
      </c>
      <c r="R85" s="81">
        <v>85.740000000000009</v>
      </c>
      <c r="S85" s="354">
        <f t="shared" si="24"/>
        <v>0.54265822784810136</v>
      </c>
      <c r="T85" s="339">
        <v>7.37</v>
      </c>
      <c r="U85" s="81">
        <f t="shared" si="13"/>
        <v>0</v>
      </c>
      <c r="V85" s="81" cm="1">
        <f t="array" ref="V85">_xlfn.IFS('Fiscal by Program'!$B$7&lt;10.61,0,'Fiscal by Program'!$B$7&gt;10.6,(ROUND('Fiscal by Program'!$B$7*(1+IF(D85="Yes",'Fiscal by Program'!$B$9,'Fiscal by Program'!$B$8))*T85,2)))</f>
        <v>0</v>
      </c>
      <c r="W85" s="81">
        <f t="shared" si="16"/>
        <v>0</v>
      </c>
      <c r="X85" s="81">
        <f>ROUND((R85/(1+IF(D85="Yes",'Fiscal by Program'!$B$9,'Fiscal by Program'!$B$8))),2)+0.01</f>
        <v>77.430000000000007</v>
      </c>
      <c r="Y85" s="81">
        <f t="shared" si="17"/>
        <v>158</v>
      </c>
      <c r="Z85" s="88">
        <v>72</v>
      </c>
      <c r="AA85" s="90">
        <f t="shared" si="14"/>
        <v>0.10236111111111111</v>
      </c>
      <c r="AB85" s="75">
        <f>INDEX('[9]Service List'!$K:$K,MATCH(A85,'[9]Service List'!$F:$F,0))</f>
        <v>397</v>
      </c>
      <c r="AC85" s="73">
        <f>INDEX('[5]Combined Bill Code List'!$P:$P,MATCH(A85,'[5]Combined Bill Code List'!$F:$F,0))</f>
        <v>0</v>
      </c>
      <c r="AD85" s="80" t="s">
        <v>231</v>
      </c>
      <c r="AE85" s="79">
        <v>1</v>
      </c>
      <c r="AF85" s="66">
        <v>0</v>
      </c>
      <c r="AG85" s="70">
        <f>ROUND(INDEX('All Trends'!D:D,MATCH($AD85,'All Trends'!$C:$C,0)),4)</f>
        <v>0.99270000000000003</v>
      </c>
      <c r="AH85" s="70">
        <f>ROUND(INDEX('All Trends'!E:E,MATCH($AD85,'All Trends'!$C:$C,0)),4)</f>
        <v>1.0091000000000001</v>
      </c>
      <c r="AI85" s="70">
        <f>ROUND(INDEX('All Trends'!F:F,MATCH($AD85,'All Trends'!$C:$C,0)),4)</f>
        <v>1.0519000000000001</v>
      </c>
      <c r="AJ85" s="70">
        <f>ROUND(INDEX('All Trends'!G:G,MATCH($AD85,'All Trends'!$C:$C,0)),4)</f>
        <v>1.0519000000000001</v>
      </c>
      <c r="AK85" s="70">
        <f>ROUND(INDEX('All Trends'!H:H,MATCH($AD85,'All Trends'!$C:$C,0)),4)</f>
        <v>1.0519000000000001</v>
      </c>
      <c r="AL85" s="74" t="s">
        <v>148</v>
      </c>
      <c r="AM85" s="92">
        <f t="shared" si="18"/>
        <v>7339180.2400000002</v>
      </c>
      <c r="AN85" s="92">
        <f t="shared" si="19"/>
        <v>7339180.2400000002</v>
      </c>
      <c r="AO85" s="69">
        <f t="shared" si="20"/>
        <v>0</v>
      </c>
      <c r="AP85" s="69">
        <f t="shared" si="21"/>
        <v>0</v>
      </c>
      <c r="AQ85" s="69">
        <f t="shared" si="22"/>
        <v>0</v>
      </c>
      <c r="AR85" s="69">
        <f t="shared" si="23"/>
        <v>0</v>
      </c>
      <c r="AS85" s="409"/>
      <c r="AT85" s="409"/>
      <c r="AU85" s="409"/>
      <c r="AV85" s="65"/>
      <c r="AW85" s="65"/>
      <c r="AX85" s="65"/>
      <c r="AY85" s="65"/>
      <c r="AZ85" s="65"/>
      <c r="BD85" s="65"/>
    </row>
    <row r="86" spans="1:56" s="66" customFormat="1">
      <c r="A86" s="78" t="s">
        <v>330</v>
      </c>
      <c r="B86" s="78" t="s">
        <v>330</v>
      </c>
      <c r="C86" s="78" t="s">
        <v>147</v>
      </c>
      <c r="D86" s="78" t="s">
        <v>148</v>
      </c>
      <c r="E86" s="67" t="s">
        <v>231</v>
      </c>
      <c r="F86" s="67" t="s">
        <v>225</v>
      </c>
      <c r="G86" s="67" t="str">
        <f>INDEX('[4]RT Description to Bill Matix'!$D:$D,MATCH(A86,'[4]RT Description to Bill Matix'!$M:$M,0))</f>
        <v>Supervised Living and Residential Support Services LON 6</v>
      </c>
      <c r="H86" s="65" t="s">
        <v>331</v>
      </c>
      <c r="I86" s="65"/>
      <c r="J86" s="65" t="s">
        <v>327</v>
      </c>
      <c r="K86" s="66" t="str">
        <f>INDEX('[5]Combined Bill Code List'!$A:$A,MATCH(A86,'[5]Combined Bill Code List'!$F:$F,0))</f>
        <v>1915(c) waiver</v>
      </c>
      <c r="L86" s="66" t="str">
        <f>INDEX('[6]Rate History'!$P:$P,MATCH(A86,'[6]Rate History'!$F:$F,0))</f>
        <v>1 day = 18 hours, excluding 6 hours for Day Hab</v>
      </c>
      <c r="M86" s="77">
        <f>INDEX('[7]PDF DB Service Pivot'!$C:$C,MATCH(B86,'[7]PDF DB Service Pivot'!$B:$B,0))</f>
        <v>220365</v>
      </c>
      <c r="N86" s="77">
        <f t="shared" si="15"/>
        <v>220365</v>
      </c>
      <c r="O86" s="76">
        <f>INDEX('[7]PDF DB Service Pivot'!$D:$D,MATCH(B86,'[7]PDF DB Service Pivot'!$B:$B,0))</f>
        <v>41360002.75</v>
      </c>
      <c r="P86" s="91">
        <v>45170</v>
      </c>
      <c r="Q86" s="81">
        <v>192.8</v>
      </c>
      <c r="R86" s="81">
        <v>115.87999999999998</v>
      </c>
      <c r="S86" s="354">
        <f t="shared" si="24"/>
        <v>0.60103734439834011</v>
      </c>
      <c r="T86" s="339">
        <v>7.37</v>
      </c>
      <c r="U86" s="81">
        <f t="shared" si="13"/>
        <v>0</v>
      </c>
      <c r="V86" s="81" cm="1">
        <f t="array" ref="V86">_xlfn.IFS('Fiscal by Program'!$B$7&lt;10.61,0,'Fiscal by Program'!$B$7&gt;10.6,(ROUND('Fiscal by Program'!$B$7*(1+IF(D86="Yes",'Fiscal by Program'!$B$9,'Fiscal by Program'!$B$8))*T86,2)))</f>
        <v>0</v>
      </c>
      <c r="W86" s="81">
        <f t="shared" si="16"/>
        <v>0</v>
      </c>
      <c r="X86" s="81">
        <f>ROUND((R86/(1+IF(D86="Yes",'Fiscal by Program'!$B$9,'Fiscal by Program'!$B$8))),2)+0.01</f>
        <v>104.64</v>
      </c>
      <c r="Y86" s="81">
        <f t="shared" si="17"/>
        <v>192.8</v>
      </c>
      <c r="Z86" s="88">
        <v>72</v>
      </c>
      <c r="AA86" s="90">
        <f t="shared" si="14"/>
        <v>0.10236111111111111</v>
      </c>
      <c r="AB86" s="75">
        <f>INDEX('[9]Service List'!$K:$K,MATCH(A86,'[9]Service List'!$F:$F,0))</f>
        <v>398</v>
      </c>
      <c r="AC86" s="73">
        <f>INDEX('[5]Combined Bill Code List'!$P:$P,MATCH(A86,'[5]Combined Bill Code List'!$F:$F,0))</f>
        <v>0</v>
      </c>
      <c r="AD86" s="80" t="s">
        <v>231</v>
      </c>
      <c r="AE86" s="79">
        <v>1</v>
      </c>
      <c r="AF86" s="66">
        <v>0</v>
      </c>
      <c r="AG86" s="70">
        <f>ROUND(INDEX('All Trends'!D:D,MATCH($AD86,'All Trends'!$C:$C,0)),4)</f>
        <v>0.99270000000000003</v>
      </c>
      <c r="AH86" s="70">
        <f>ROUND(INDEX('All Trends'!E:E,MATCH($AD86,'All Trends'!$C:$C,0)),4)</f>
        <v>1.0091000000000001</v>
      </c>
      <c r="AI86" s="70">
        <f>ROUND(INDEX('All Trends'!F:F,MATCH($AD86,'All Trends'!$C:$C,0)),4)</f>
        <v>1.0519000000000001</v>
      </c>
      <c r="AJ86" s="70">
        <f>ROUND(INDEX('All Trends'!G:G,MATCH($AD86,'All Trends'!$C:$C,0)),4)</f>
        <v>1.0519000000000001</v>
      </c>
      <c r="AK86" s="70">
        <f>ROUND(INDEX('All Trends'!H:H,MATCH($AD86,'All Trends'!$C:$C,0)),4)</f>
        <v>1.0519000000000001</v>
      </c>
      <c r="AL86" s="74" t="s">
        <v>148</v>
      </c>
      <c r="AM86" s="92">
        <f t="shared" si="18"/>
        <v>1708380.32</v>
      </c>
      <c r="AN86" s="92">
        <f t="shared" si="19"/>
        <v>1708380.32</v>
      </c>
      <c r="AO86" s="69">
        <f t="shared" si="20"/>
        <v>0</v>
      </c>
      <c r="AP86" s="69">
        <f t="shared" si="21"/>
        <v>0</v>
      </c>
      <c r="AQ86" s="69">
        <f t="shared" si="22"/>
        <v>0</v>
      </c>
      <c r="AR86" s="69">
        <f t="shared" si="23"/>
        <v>0</v>
      </c>
      <c r="AS86" s="409"/>
      <c r="AT86" s="409"/>
      <c r="AU86" s="409"/>
      <c r="AV86" s="65"/>
      <c r="AW86" s="65"/>
      <c r="AX86" s="65"/>
      <c r="AY86" s="65"/>
      <c r="AZ86" s="65"/>
      <c r="BD86" s="65"/>
    </row>
    <row r="87" spans="1:56" s="66" customFormat="1">
      <c r="A87" s="78" t="s">
        <v>332</v>
      </c>
      <c r="B87" s="78" t="s">
        <v>332</v>
      </c>
      <c r="C87" s="78" t="s">
        <v>147</v>
      </c>
      <c r="D87" s="78" t="s">
        <v>148</v>
      </c>
      <c r="E87" s="67" t="s">
        <v>231</v>
      </c>
      <c r="F87" s="67" t="s">
        <v>225</v>
      </c>
      <c r="G87" s="67" t="str">
        <f>INDEX('[4]RT Description to Bill Matix'!$D:$D,MATCH(A87,'[4]RT Description to Bill Matix'!$M:$M,0))</f>
        <v>Supervised Living and Residential Support Services LON 8</v>
      </c>
      <c r="H87" s="65" t="s">
        <v>333</v>
      </c>
      <c r="I87" s="65"/>
      <c r="J87" s="65" t="s">
        <v>327</v>
      </c>
      <c r="K87" s="66" t="str">
        <f>INDEX('[5]Combined Bill Code List'!$A:$A,MATCH(A87,'[5]Combined Bill Code List'!$F:$F,0))</f>
        <v>1915(c) waiver</v>
      </c>
      <c r="L87" s="66" t="str">
        <f>INDEX('[6]Rate History'!$P:$P,MATCH(A87,'[6]Rate History'!$F:$F,0))</f>
        <v>1 day = 18 hours, excluding 6 hours for Day Hab</v>
      </c>
      <c r="M87" s="77">
        <f>INDEX('[7]PDF DB Service Pivot'!$C:$C,MATCH(B87,'[7]PDF DB Service Pivot'!$B:$B,0))</f>
        <v>573793</v>
      </c>
      <c r="N87" s="77">
        <f t="shared" si="15"/>
        <v>573793</v>
      </c>
      <c r="O87" s="76">
        <f>INDEX('[7]PDF DB Service Pivot'!$D:$D,MATCH(B87,'[7]PDF DB Service Pivot'!$B:$B,0))</f>
        <v>95442884.370000005</v>
      </c>
      <c r="P87" s="91">
        <v>45170</v>
      </c>
      <c r="Q87" s="81">
        <v>171.04</v>
      </c>
      <c r="R87" s="81">
        <v>97.029999999999987</v>
      </c>
      <c r="S87" s="354">
        <f t="shared" si="24"/>
        <v>0.56729420018709065</v>
      </c>
      <c r="T87" s="339">
        <v>7.37</v>
      </c>
      <c r="U87" s="81">
        <f t="shared" si="13"/>
        <v>0</v>
      </c>
      <c r="V87" s="81" cm="1">
        <f t="array" ref="V87">_xlfn.IFS('Fiscal by Program'!$B$7&lt;10.61,0,'Fiscal by Program'!$B$7&gt;10.6,(ROUND('Fiscal by Program'!$B$7*(1+IF(D87="Yes",'Fiscal by Program'!$B$9,'Fiscal by Program'!$B$8))*T87,2)))</f>
        <v>0</v>
      </c>
      <c r="W87" s="81">
        <f t="shared" si="16"/>
        <v>0</v>
      </c>
      <c r="X87" s="81">
        <f>ROUND((R87/(1+IF(D87="Yes",'Fiscal by Program'!$B$9,'Fiscal by Program'!$B$8))),2)+0.01</f>
        <v>87.62</v>
      </c>
      <c r="Y87" s="81">
        <f t="shared" si="17"/>
        <v>171.04</v>
      </c>
      <c r="Z87" s="88">
        <v>72</v>
      </c>
      <c r="AA87" s="90">
        <f t="shared" si="14"/>
        <v>0.10236111111111111</v>
      </c>
      <c r="AB87" s="75">
        <f>INDEX('[9]Service List'!$K:$K,MATCH(A87,'[9]Service List'!$F:$F,0))</f>
        <v>399</v>
      </c>
      <c r="AC87" s="73">
        <f>INDEX('[5]Combined Bill Code List'!$P:$P,MATCH(A87,'[5]Combined Bill Code List'!$F:$F,0))</f>
        <v>0</v>
      </c>
      <c r="AD87" s="80" t="s">
        <v>231</v>
      </c>
      <c r="AE87" s="79">
        <v>1</v>
      </c>
      <c r="AF87" s="66">
        <v>0</v>
      </c>
      <c r="AG87" s="70">
        <f>ROUND(INDEX('All Trends'!D:D,MATCH($AD87,'All Trends'!$C:$C,0)),4)</f>
        <v>0.99270000000000003</v>
      </c>
      <c r="AH87" s="70">
        <f>ROUND(INDEX('All Trends'!E:E,MATCH($AD87,'All Trends'!$C:$C,0)),4)</f>
        <v>1.0091000000000001</v>
      </c>
      <c r="AI87" s="70">
        <f>ROUND(INDEX('All Trends'!F:F,MATCH($AD87,'All Trends'!$C:$C,0)),4)</f>
        <v>1.0519000000000001</v>
      </c>
      <c r="AJ87" s="70">
        <f>ROUND(INDEX('All Trends'!G:G,MATCH($AD87,'All Trends'!$C:$C,0)),4)</f>
        <v>1.0519000000000001</v>
      </c>
      <c r="AK87" s="70">
        <f>ROUND(INDEX('All Trends'!H:H,MATCH($AD87,'All Trends'!$C:$C,0)),4)</f>
        <v>1.0519000000000001</v>
      </c>
      <c r="AL87" s="74" t="s">
        <v>148</v>
      </c>
      <c r="AM87" s="92">
        <f t="shared" si="18"/>
        <v>4448331.95</v>
      </c>
      <c r="AN87" s="92">
        <f t="shared" si="19"/>
        <v>4448331.95</v>
      </c>
      <c r="AO87" s="69">
        <f t="shared" si="20"/>
        <v>0</v>
      </c>
      <c r="AP87" s="69">
        <f t="shared" si="21"/>
        <v>0</v>
      </c>
      <c r="AQ87" s="69">
        <f t="shared" si="22"/>
        <v>0</v>
      </c>
      <c r="AR87" s="69">
        <f t="shared" si="23"/>
        <v>0</v>
      </c>
      <c r="AS87" s="409"/>
      <c r="AT87" s="409"/>
      <c r="AU87" s="409"/>
      <c r="AV87" s="65"/>
      <c r="AW87" s="65"/>
      <c r="AX87" s="65"/>
      <c r="AY87" s="65"/>
      <c r="AZ87" s="65"/>
      <c r="BD87" s="65"/>
    </row>
    <row r="88" spans="1:56" s="66" customFormat="1">
      <c r="A88" s="78" t="s">
        <v>334</v>
      </c>
      <c r="B88" s="78" t="s">
        <v>334</v>
      </c>
      <c r="C88" s="78" t="s">
        <v>147</v>
      </c>
      <c r="D88" s="78" t="s">
        <v>148</v>
      </c>
      <c r="E88" s="67" t="s">
        <v>231</v>
      </c>
      <c r="F88" s="67" t="s">
        <v>225</v>
      </c>
      <c r="G88" s="67" t="str">
        <f>INDEX('[4]RT Description to Bill Matix'!$D:$D,MATCH(A88,'[4]RT Description to Bill Matix'!$M:$M,0))</f>
        <v>Supervised Living and Residential Support Services LON 9</v>
      </c>
      <c r="H88" s="65" t="s">
        <v>335</v>
      </c>
      <c r="I88" s="65"/>
      <c r="J88" s="65" t="s">
        <v>327</v>
      </c>
      <c r="K88" s="66" t="str">
        <f>INDEX('[5]Combined Bill Code List'!$A:$A,MATCH(A88,'[5]Combined Bill Code List'!$F:$F,0))</f>
        <v>1915(c) waiver</v>
      </c>
      <c r="L88" s="66" t="str">
        <f>INDEX('[6]Rate History'!$P:$P,MATCH(A88,'[6]Rate History'!$F:$F,0))</f>
        <v>1 day = 18 hours, excluding 6 hours for Day Hab</v>
      </c>
      <c r="M88" s="77">
        <f>INDEX('[7]PDF DB Service Pivot'!$C:$C,MATCH(B88,'[7]PDF DB Service Pivot'!$B:$B,0))</f>
        <v>35215</v>
      </c>
      <c r="N88" s="77">
        <f t="shared" si="15"/>
        <v>35215</v>
      </c>
      <c r="O88" s="76">
        <f>INDEX('[7]PDF DB Service Pivot'!$D:$D,MATCH(B88,'[7]PDF DB Service Pivot'!$B:$B,0))</f>
        <v>9669518.6500000004</v>
      </c>
      <c r="P88" s="91">
        <v>45170</v>
      </c>
      <c r="Q88" s="81">
        <v>280.24</v>
      </c>
      <c r="R88" s="81">
        <v>191.63000000000002</v>
      </c>
      <c r="S88" s="354">
        <f t="shared" si="24"/>
        <v>0.68380673708250073</v>
      </c>
      <c r="T88" s="339">
        <v>7.37</v>
      </c>
      <c r="U88" s="81">
        <f t="shared" si="13"/>
        <v>0</v>
      </c>
      <c r="V88" s="81" cm="1">
        <f t="array" ref="V88">_xlfn.IFS('Fiscal by Program'!$B$7&lt;10.61,0,'Fiscal by Program'!$B$7&gt;10.6,(ROUND('Fiscal by Program'!$B$7*(1+IF(D88="Yes",'Fiscal by Program'!$B$9,'Fiscal by Program'!$B$8))*T88,2)))</f>
        <v>0</v>
      </c>
      <c r="W88" s="81">
        <f t="shared" si="16"/>
        <v>0</v>
      </c>
      <c r="X88" s="81">
        <f>ROUND((R88/(1+IF(D88="Yes",'Fiscal by Program'!$B$9,'Fiscal by Program'!$B$8))),2)+0.01</f>
        <v>173.04</v>
      </c>
      <c r="Y88" s="81">
        <f t="shared" si="17"/>
        <v>280.24</v>
      </c>
      <c r="Z88" s="88">
        <v>72</v>
      </c>
      <c r="AA88" s="90">
        <f t="shared" si="14"/>
        <v>0.10236111111111111</v>
      </c>
      <c r="AB88" s="75">
        <f>INDEX('[9]Service List'!$K:$K,MATCH(A88,'[9]Service List'!$F:$F,0))</f>
        <v>400</v>
      </c>
      <c r="AC88" s="73">
        <f>INDEX('[5]Combined Bill Code List'!$P:$P,MATCH(A88,'[5]Combined Bill Code List'!$F:$F,0))</f>
        <v>0</v>
      </c>
      <c r="AD88" s="80" t="s">
        <v>231</v>
      </c>
      <c r="AE88" s="79">
        <v>1</v>
      </c>
      <c r="AF88" s="66">
        <v>0</v>
      </c>
      <c r="AG88" s="70">
        <f>ROUND(INDEX('All Trends'!D:D,MATCH($AD88,'All Trends'!$C:$C,0)),4)</f>
        <v>0.99270000000000003</v>
      </c>
      <c r="AH88" s="70">
        <f>ROUND(INDEX('All Trends'!E:E,MATCH($AD88,'All Trends'!$C:$C,0)),4)</f>
        <v>1.0091000000000001</v>
      </c>
      <c r="AI88" s="70">
        <f>ROUND(INDEX('All Trends'!F:F,MATCH($AD88,'All Trends'!$C:$C,0)),4)</f>
        <v>1.0519000000000001</v>
      </c>
      <c r="AJ88" s="70">
        <f>ROUND(INDEX('All Trends'!G:G,MATCH($AD88,'All Trends'!$C:$C,0)),4)</f>
        <v>1.0519000000000001</v>
      </c>
      <c r="AK88" s="70">
        <f>ROUND(INDEX('All Trends'!H:H,MATCH($AD88,'All Trends'!$C:$C,0)),4)</f>
        <v>1.0519000000000001</v>
      </c>
      <c r="AL88" s="74" t="s">
        <v>148</v>
      </c>
      <c r="AM88" s="92">
        <f t="shared" si="18"/>
        <v>273004.39</v>
      </c>
      <c r="AN88" s="92">
        <f t="shared" si="19"/>
        <v>273004.39</v>
      </c>
      <c r="AO88" s="69">
        <f t="shared" si="20"/>
        <v>0</v>
      </c>
      <c r="AP88" s="69">
        <f t="shared" si="21"/>
        <v>0</v>
      </c>
      <c r="AQ88" s="69">
        <f t="shared" si="22"/>
        <v>0</v>
      </c>
      <c r="AR88" s="69">
        <f t="shared" si="23"/>
        <v>0</v>
      </c>
      <c r="AS88" s="409"/>
      <c r="AT88" s="409"/>
      <c r="AU88" s="409"/>
      <c r="AV88" s="65"/>
      <c r="AW88" s="65"/>
      <c r="AX88" s="65"/>
      <c r="AY88" s="65"/>
      <c r="AZ88" s="65"/>
      <c r="BD88" s="65"/>
    </row>
    <row r="89" spans="1:56" s="66" customFormat="1">
      <c r="A89" s="78" t="s">
        <v>336</v>
      </c>
      <c r="B89" s="78" t="s">
        <v>336</v>
      </c>
      <c r="C89" s="78" t="s">
        <v>147</v>
      </c>
      <c r="D89" s="78" t="s">
        <v>148</v>
      </c>
      <c r="E89" s="67" t="s">
        <v>231</v>
      </c>
      <c r="F89" s="67" t="s">
        <v>225</v>
      </c>
      <c r="G89" s="67" t="str">
        <f>INDEX('[4]RT Description to Bill Matix'!$D:$D,MATCH(A89,'[4]RT Description to Bill Matix'!$M:$M,0))</f>
        <v>Supervised Living and Residential Support Services LON 1</v>
      </c>
      <c r="H89" s="65" t="s">
        <v>337</v>
      </c>
      <c r="I89" s="65"/>
      <c r="J89" s="65" t="s">
        <v>327</v>
      </c>
      <c r="K89" s="66" t="str">
        <f>INDEX('[5]Combined Bill Code List'!$A:$A,MATCH(A89,'[5]Combined Bill Code List'!$F:$F,0))</f>
        <v>1915(c) waiver</v>
      </c>
      <c r="L89" s="66" t="str">
        <f>INDEX('[6]Rate History'!$P:$P,MATCH(A89,'[6]Rate History'!$F:$F,0))</f>
        <v>1 day = 18 hours, excluding 6 hours for Day Hab</v>
      </c>
      <c r="M89" s="77">
        <f>INDEX('[7]PDF DB Service Pivot'!$C:$C,MATCH(B89,'[7]PDF DB Service Pivot'!$B:$B,0))</f>
        <v>333682.78999999998</v>
      </c>
      <c r="N89" s="77">
        <f t="shared" si="15"/>
        <v>333682.78999999998</v>
      </c>
      <c r="O89" s="76">
        <f>INDEX('[7]PDF DB Service Pivot'!$D:$D,MATCH(B89,'[7]PDF DB Service Pivot'!$B:$B,0))</f>
        <v>47850387.740000002</v>
      </c>
      <c r="P89" s="91">
        <v>45170</v>
      </c>
      <c r="Q89" s="81">
        <v>149.08000000000001</v>
      </c>
      <c r="R89" s="81">
        <v>78.039999999999992</v>
      </c>
      <c r="S89" s="354">
        <f t="shared" si="24"/>
        <v>0.52347732760933718</v>
      </c>
      <c r="T89" s="339">
        <v>7.37</v>
      </c>
      <c r="U89" s="81">
        <f t="shared" si="13"/>
        <v>0</v>
      </c>
      <c r="V89" s="81" cm="1">
        <f t="array" ref="V89">_xlfn.IFS('Fiscal by Program'!$B$7&lt;10.61,0,'Fiscal by Program'!$B$7&gt;10.6,(ROUND('Fiscal by Program'!$B$7*(1+IF(D89="Yes",'Fiscal by Program'!$B$9,'Fiscal by Program'!$B$8))*T89,2)))</f>
        <v>0</v>
      </c>
      <c r="W89" s="81">
        <f t="shared" si="16"/>
        <v>0</v>
      </c>
      <c r="X89" s="81">
        <f>ROUND((R89/(1+IF(D89="Yes",'Fiscal by Program'!$B$9,'Fiscal by Program'!$B$8))),2)+0.01</f>
        <v>70.48</v>
      </c>
      <c r="Y89" s="81">
        <f t="shared" si="17"/>
        <v>149.08000000000001</v>
      </c>
      <c r="Z89" s="88">
        <v>72</v>
      </c>
      <c r="AA89" s="90">
        <f t="shared" si="14"/>
        <v>0.10236111111111111</v>
      </c>
      <c r="AB89" s="75">
        <f>INDEX('[9]Service List'!$K:$K,MATCH(A89,'[9]Service List'!$F:$F,0))</f>
        <v>401</v>
      </c>
      <c r="AC89" s="73">
        <f>INDEX('[5]Combined Bill Code List'!$P:$P,MATCH(A89,'[5]Combined Bill Code List'!$F:$F,0))</f>
        <v>0</v>
      </c>
      <c r="AD89" s="80" t="s">
        <v>231</v>
      </c>
      <c r="AE89" s="79">
        <v>1</v>
      </c>
      <c r="AF89" s="66">
        <v>0</v>
      </c>
      <c r="AG89" s="70">
        <f>ROUND(INDEX('All Trends'!D:D,MATCH($AD89,'All Trends'!$C:$C,0)),4)</f>
        <v>0.99270000000000003</v>
      </c>
      <c r="AH89" s="70">
        <f>ROUND(INDEX('All Trends'!E:E,MATCH($AD89,'All Trends'!$C:$C,0)),4)</f>
        <v>1.0091000000000001</v>
      </c>
      <c r="AI89" s="70">
        <f>ROUND(INDEX('All Trends'!F:F,MATCH($AD89,'All Trends'!$C:$C,0)),4)</f>
        <v>1.0519000000000001</v>
      </c>
      <c r="AJ89" s="70">
        <f>ROUND(INDEX('All Trends'!G:G,MATCH($AD89,'All Trends'!$C:$C,0)),4)</f>
        <v>1.0519000000000001</v>
      </c>
      <c r="AK89" s="70">
        <f>ROUND(INDEX('All Trends'!H:H,MATCH($AD89,'All Trends'!$C:$C,0)),4)</f>
        <v>1.0519000000000001</v>
      </c>
      <c r="AL89" s="74" t="s">
        <v>148</v>
      </c>
      <c r="AM89" s="92">
        <f t="shared" si="18"/>
        <v>2586876.83</v>
      </c>
      <c r="AN89" s="92">
        <f t="shared" si="19"/>
        <v>2586876.83</v>
      </c>
      <c r="AO89" s="69">
        <f t="shared" si="20"/>
        <v>0</v>
      </c>
      <c r="AP89" s="69">
        <f t="shared" si="21"/>
        <v>0</v>
      </c>
      <c r="AQ89" s="69">
        <f t="shared" si="22"/>
        <v>0</v>
      </c>
      <c r="AR89" s="69">
        <f t="shared" si="23"/>
        <v>0</v>
      </c>
      <c r="AS89" s="409"/>
      <c r="AT89" s="409"/>
      <c r="AU89" s="409"/>
      <c r="AV89" s="65"/>
      <c r="AW89" s="65"/>
      <c r="AX89" s="65"/>
      <c r="AY89" s="65"/>
      <c r="AZ89" s="65"/>
      <c r="BD89" s="65"/>
    </row>
    <row r="90" spans="1:56" s="66" customFormat="1">
      <c r="A90" s="78" t="s">
        <v>338</v>
      </c>
      <c r="B90" s="78" t="s">
        <v>338</v>
      </c>
      <c r="C90" s="78" t="s">
        <v>147</v>
      </c>
      <c r="D90" s="78" t="s">
        <v>148</v>
      </c>
      <c r="E90" s="67" t="s">
        <v>231</v>
      </c>
      <c r="F90" s="67" t="s">
        <v>225</v>
      </c>
      <c r="G90" s="67" t="str">
        <f>INDEX('[4]RT Description to Bill Matix'!$D:$D,MATCH(A90,'[4]RT Description to Bill Matix'!$M:$M,0))</f>
        <v>Supervised Living and Residential Support Services LON 5</v>
      </c>
      <c r="H90" s="65" t="s">
        <v>339</v>
      </c>
      <c r="I90" s="65"/>
      <c r="J90" s="65" t="s">
        <v>327</v>
      </c>
      <c r="K90" s="66" t="str">
        <f>INDEX('[5]Combined Bill Code List'!$A:$A,MATCH(A90,'[5]Combined Bill Code List'!$F:$F,0))</f>
        <v>1915(c) waiver</v>
      </c>
      <c r="L90" s="66" t="str">
        <f>INDEX('[6]Rate History'!$P:$P,MATCH(A90,'[6]Rate History'!$F:$F,0))</f>
        <v>1 day = 18 hours, excluding 6 hours for Day Hab</v>
      </c>
      <c r="M90" s="77">
        <f>INDEX('[7]PDF DB Service Pivot'!$C:$C,MATCH(B90,'[7]PDF DB Service Pivot'!$B:$B,0))</f>
        <v>525272.53</v>
      </c>
      <c r="N90" s="77">
        <f t="shared" si="15"/>
        <v>525272.53</v>
      </c>
      <c r="O90" s="76">
        <f>INDEX('[7]PDF DB Service Pivot'!$D:$D,MATCH(B90,'[7]PDF DB Service Pivot'!$B:$B,0))</f>
        <v>79651566.670000002</v>
      </c>
      <c r="P90" s="91">
        <v>45170</v>
      </c>
      <c r="Q90" s="81">
        <v>158</v>
      </c>
      <c r="R90" s="81">
        <v>85.740000000000009</v>
      </c>
      <c r="S90" s="354">
        <f t="shared" si="24"/>
        <v>0.54265822784810136</v>
      </c>
      <c r="T90" s="339">
        <v>7.37</v>
      </c>
      <c r="U90" s="81">
        <f t="shared" si="13"/>
        <v>0</v>
      </c>
      <c r="V90" s="81" cm="1">
        <f t="array" ref="V90">_xlfn.IFS('Fiscal by Program'!$B$7&lt;10.61,0,'Fiscal by Program'!$B$7&gt;10.6,(ROUND('Fiscal by Program'!$B$7*(1+IF(D90="Yes",'Fiscal by Program'!$B$9,'Fiscal by Program'!$B$8))*T90,2)))</f>
        <v>0</v>
      </c>
      <c r="W90" s="81">
        <f t="shared" si="16"/>
        <v>0</v>
      </c>
      <c r="X90" s="81">
        <f>ROUND((R90/(1+IF(D90="Yes",'Fiscal by Program'!$B$9,'Fiscal by Program'!$B$8))),2)+0.01</f>
        <v>77.430000000000007</v>
      </c>
      <c r="Y90" s="81">
        <f t="shared" si="17"/>
        <v>158</v>
      </c>
      <c r="Z90" s="88">
        <v>72</v>
      </c>
      <c r="AA90" s="90">
        <f t="shared" si="14"/>
        <v>0.10236111111111111</v>
      </c>
      <c r="AB90" s="75">
        <f>INDEX('[9]Service List'!$K:$K,MATCH(A90,'[9]Service List'!$F:$F,0))</f>
        <v>402</v>
      </c>
      <c r="AC90" s="73">
        <f>INDEX('[5]Combined Bill Code List'!$P:$P,MATCH(A90,'[5]Combined Bill Code List'!$F:$F,0))</f>
        <v>0</v>
      </c>
      <c r="AD90" s="80" t="s">
        <v>231</v>
      </c>
      <c r="AE90" s="79">
        <v>1</v>
      </c>
      <c r="AF90" s="66">
        <v>0</v>
      </c>
      <c r="AG90" s="70">
        <f>ROUND(INDEX('All Trends'!D:D,MATCH($AD90,'All Trends'!$C:$C,0)),4)</f>
        <v>0.99270000000000003</v>
      </c>
      <c r="AH90" s="70">
        <f>ROUND(INDEX('All Trends'!E:E,MATCH($AD90,'All Trends'!$C:$C,0)),4)</f>
        <v>1.0091000000000001</v>
      </c>
      <c r="AI90" s="70">
        <f>ROUND(INDEX('All Trends'!F:F,MATCH($AD90,'All Trends'!$C:$C,0)),4)</f>
        <v>1.0519000000000001</v>
      </c>
      <c r="AJ90" s="70">
        <f>ROUND(INDEX('All Trends'!G:G,MATCH($AD90,'All Trends'!$C:$C,0)),4)</f>
        <v>1.0519000000000001</v>
      </c>
      <c r="AK90" s="70">
        <f>ROUND(INDEX('All Trends'!H:H,MATCH($AD90,'All Trends'!$C:$C,0)),4)</f>
        <v>1.0519000000000001</v>
      </c>
      <c r="AL90" s="74" t="s">
        <v>148</v>
      </c>
      <c r="AM90" s="92">
        <f t="shared" si="18"/>
        <v>4072176.86</v>
      </c>
      <c r="AN90" s="92">
        <f t="shared" si="19"/>
        <v>4072176.86</v>
      </c>
      <c r="AO90" s="69">
        <f t="shared" si="20"/>
        <v>0</v>
      </c>
      <c r="AP90" s="69">
        <f t="shared" si="21"/>
        <v>0</v>
      </c>
      <c r="AQ90" s="69">
        <f t="shared" si="22"/>
        <v>0</v>
      </c>
      <c r="AR90" s="69">
        <f t="shared" si="23"/>
        <v>0</v>
      </c>
      <c r="AS90" s="409"/>
      <c r="AT90" s="409"/>
      <c r="AU90" s="409"/>
      <c r="AV90" s="65"/>
      <c r="AW90" s="65"/>
      <c r="AX90" s="65"/>
      <c r="AY90" s="65"/>
      <c r="AZ90" s="65"/>
      <c r="BD90" s="65"/>
    </row>
    <row r="91" spans="1:56" s="66" customFormat="1">
      <c r="A91" s="78" t="s">
        <v>340</v>
      </c>
      <c r="B91" s="78" t="s">
        <v>340</v>
      </c>
      <c r="C91" s="78" t="s">
        <v>147</v>
      </c>
      <c r="D91" s="78" t="s">
        <v>148</v>
      </c>
      <c r="E91" s="67" t="s">
        <v>231</v>
      </c>
      <c r="F91" s="67" t="s">
        <v>225</v>
      </c>
      <c r="G91" s="67" t="str">
        <f>INDEX('[4]RT Description to Bill Matix'!$D:$D,MATCH(A91,'[4]RT Description to Bill Matix'!$M:$M,0))</f>
        <v>Supervised Living and Residential Support Services LON 6</v>
      </c>
      <c r="H91" s="65" t="s">
        <v>341</v>
      </c>
      <c r="I91" s="65"/>
      <c r="J91" s="65" t="s">
        <v>327</v>
      </c>
      <c r="K91" s="66" t="str">
        <f>INDEX('[5]Combined Bill Code List'!$A:$A,MATCH(A91,'[5]Combined Bill Code List'!$F:$F,0))</f>
        <v>1915(c) waiver</v>
      </c>
      <c r="L91" s="66" t="str">
        <f>INDEX('[6]Rate History'!$P:$P,MATCH(A91,'[6]Rate History'!$F:$F,0))</f>
        <v>1 day = 18 hours, excluding 6 hours for Day Hab</v>
      </c>
      <c r="M91" s="77">
        <f>INDEX('[7]PDF DB Service Pivot'!$C:$C,MATCH(B91,'[7]PDF DB Service Pivot'!$B:$B,0))</f>
        <v>44400</v>
      </c>
      <c r="N91" s="77">
        <f t="shared" si="15"/>
        <v>44400</v>
      </c>
      <c r="O91" s="76">
        <f>INDEX('[7]PDF DB Service Pivot'!$D:$D,MATCH(B91,'[7]PDF DB Service Pivot'!$B:$B,0))</f>
        <v>8189930.7999999998</v>
      </c>
      <c r="P91" s="91">
        <v>45170</v>
      </c>
      <c r="Q91" s="81">
        <v>192.8</v>
      </c>
      <c r="R91" s="81">
        <v>115.87999999999998</v>
      </c>
      <c r="S91" s="354">
        <f t="shared" si="24"/>
        <v>0.60103734439834011</v>
      </c>
      <c r="T91" s="339">
        <v>7.37</v>
      </c>
      <c r="U91" s="81">
        <f t="shared" si="13"/>
        <v>0</v>
      </c>
      <c r="V91" s="81" cm="1">
        <f t="array" ref="V91">_xlfn.IFS('Fiscal by Program'!$B$7&lt;10.61,0,'Fiscal by Program'!$B$7&gt;10.6,(ROUND('Fiscal by Program'!$B$7*(1+IF(D91="Yes",'Fiscal by Program'!$B$9,'Fiscal by Program'!$B$8))*T91,2)))</f>
        <v>0</v>
      </c>
      <c r="W91" s="81">
        <f t="shared" si="16"/>
        <v>0</v>
      </c>
      <c r="X91" s="81">
        <f>ROUND((R91/(1+IF(D91="Yes",'Fiscal by Program'!$B$9,'Fiscal by Program'!$B$8))),2)+0.01</f>
        <v>104.64</v>
      </c>
      <c r="Y91" s="81">
        <f t="shared" si="17"/>
        <v>192.8</v>
      </c>
      <c r="Z91" s="88">
        <v>72</v>
      </c>
      <c r="AA91" s="90">
        <f t="shared" si="14"/>
        <v>0.10236111111111111</v>
      </c>
      <c r="AB91" s="75">
        <f>INDEX('[9]Service List'!$K:$K,MATCH(A91,'[9]Service List'!$F:$F,0))</f>
        <v>403</v>
      </c>
      <c r="AC91" s="73">
        <f>INDEX('[5]Combined Bill Code List'!$P:$P,MATCH(A91,'[5]Combined Bill Code List'!$F:$F,0))</f>
        <v>0</v>
      </c>
      <c r="AD91" s="80" t="s">
        <v>231</v>
      </c>
      <c r="AE91" s="79">
        <v>1</v>
      </c>
      <c r="AF91" s="66">
        <v>0</v>
      </c>
      <c r="AG91" s="70">
        <f>ROUND(INDEX('All Trends'!D:D,MATCH($AD91,'All Trends'!$C:$C,0)),4)</f>
        <v>0.99270000000000003</v>
      </c>
      <c r="AH91" s="70">
        <f>ROUND(INDEX('All Trends'!E:E,MATCH($AD91,'All Trends'!$C:$C,0)),4)</f>
        <v>1.0091000000000001</v>
      </c>
      <c r="AI91" s="70">
        <f>ROUND(INDEX('All Trends'!F:F,MATCH($AD91,'All Trends'!$C:$C,0)),4)</f>
        <v>1.0519000000000001</v>
      </c>
      <c r="AJ91" s="70">
        <f>ROUND(INDEX('All Trends'!G:G,MATCH($AD91,'All Trends'!$C:$C,0)),4)</f>
        <v>1.0519000000000001</v>
      </c>
      <c r="AK91" s="70">
        <f>ROUND(INDEX('All Trends'!H:H,MATCH($AD91,'All Trends'!$C:$C,0)),4)</f>
        <v>1.0519000000000001</v>
      </c>
      <c r="AL91" s="74" t="s">
        <v>148</v>
      </c>
      <c r="AM91" s="92">
        <f t="shared" si="18"/>
        <v>344211.13</v>
      </c>
      <c r="AN91" s="92">
        <f t="shared" si="19"/>
        <v>344211.13</v>
      </c>
      <c r="AO91" s="69">
        <f t="shared" si="20"/>
        <v>0</v>
      </c>
      <c r="AP91" s="69">
        <f t="shared" si="21"/>
        <v>0</v>
      </c>
      <c r="AQ91" s="69">
        <f t="shared" si="22"/>
        <v>0</v>
      </c>
      <c r="AR91" s="69">
        <f t="shared" si="23"/>
        <v>0</v>
      </c>
      <c r="AS91" s="409"/>
      <c r="AT91" s="409"/>
      <c r="AU91" s="409"/>
      <c r="AV91" s="65"/>
      <c r="AW91" s="65"/>
      <c r="AX91" s="65"/>
      <c r="AY91" s="65"/>
      <c r="AZ91" s="65"/>
      <c r="BD91" s="65"/>
    </row>
    <row r="92" spans="1:56" s="66" customFormat="1">
      <c r="A92" s="78" t="s">
        <v>342</v>
      </c>
      <c r="B92" s="78" t="s">
        <v>342</v>
      </c>
      <c r="C92" s="78" t="s">
        <v>147</v>
      </c>
      <c r="D92" s="78" t="s">
        <v>148</v>
      </c>
      <c r="E92" s="67" t="s">
        <v>231</v>
      </c>
      <c r="F92" s="67" t="s">
        <v>225</v>
      </c>
      <c r="G92" s="67" t="str">
        <f>INDEX('[4]RT Description to Bill Matix'!$D:$D,MATCH(A92,'[4]RT Description to Bill Matix'!$M:$M,0))</f>
        <v>Supervised Living and Residential Support Services LON 8</v>
      </c>
      <c r="H92" s="65" t="s">
        <v>343</v>
      </c>
      <c r="I92" s="65"/>
      <c r="J92" s="65" t="s">
        <v>327</v>
      </c>
      <c r="K92" s="66" t="str">
        <f>INDEX('[5]Combined Bill Code List'!$A:$A,MATCH(A92,'[5]Combined Bill Code List'!$F:$F,0))</f>
        <v>1915(c) waiver</v>
      </c>
      <c r="L92" s="66" t="str">
        <f>INDEX('[6]Rate History'!$P:$P,MATCH(A92,'[6]Rate History'!$F:$F,0))</f>
        <v>1 day = 18 hours, excluding 6 hours for Day Hab</v>
      </c>
      <c r="M92" s="77">
        <f>INDEX('[7]PDF DB Service Pivot'!$C:$C,MATCH(B92,'[7]PDF DB Service Pivot'!$B:$B,0))</f>
        <v>141167.26999999999</v>
      </c>
      <c r="N92" s="77">
        <f t="shared" si="15"/>
        <v>141167.26999999999</v>
      </c>
      <c r="O92" s="76">
        <f>INDEX('[7]PDF DB Service Pivot'!$D:$D,MATCH(B92,'[7]PDF DB Service Pivot'!$B:$B,0))</f>
        <v>23086794.289999999</v>
      </c>
      <c r="P92" s="91">
        <v>45170</v>
      </c>
      <c r="Q92" s="81">
        <v>171.04</v>
      </c>
      <c r="R92" s="81">
        <v>97.029999999999987</v>
      </c>
      <c r="S92" s="354">
        <f t="shared" si="24"/>
        <v>0.56729420018709065</v>
      </c>
      <c r="T92" s="339">
        <v>7.37</v>
      </c>
      <c r="U92" s="81">
        <f t="shared" si="13"/>
        <v>0</v>
      </c>
      <c r="V92" s="81" cm="1">
        <f t="array" ref="V92">_xlfn.IFS('Fiscal by Program'!$B$7&lt;10.61,0,'Fiscal by Program'!$B$7&gt;10.6,(ROUND('Fiscal by Program'!$B$7*(1+IF(D92="Yes",'Fiscal by Program'!$B$9,'Fiscal by Program'!$B$8))*T92,2)))</f>
        <v>0</v>
      </c>
      <c r="W92" s="81">
        <f t="shared" si="16"/>
        <v>0</v>
      </c>
      <c r="X92" s="81">
        <f>ROUND((R92/(1+IF(D92="Yes",'Fiscal by Program'!$B$9,'Fiscal by Program'!$B$8))),2)+0.01</f>
        <v>87.62</v>
      </c>
      <c r="Y92" s="81">
        <f t="shared" si="17"/>
        <v>171.04</v>
      </c>
      <c r="Z92" s="88">
        <v>72</v>
      </c>
      <c r="AA92" s="90">
        <f t="shared" si="14"/>
        <v>0.10236111111111111</v>
      </c>
      <c r="AB92" s="75">
        <f>INDEX('[9]Service List'!$K:$K,MATCH(A92,'[9]Service List'!$F:$F,0))</f>
        <v>404</v>
      </c>
      <c r="AC92" s="73">
        <f>INDEX('[5]Combined Bill Code List'!$P:$P,MATCH(A92,'[5]Combined Bill Code List'!$F:$F,0))</f>
        <v>0</v>
      </c>
      <c r="AD92" s="80" t="s">
        <v>231</v>
      </c>
      <c r="AE92" s="79">
        <v>1</v>
      </c>
      <c r="AF92" s="66">
        <v>0</v>
      </c>
      <c r="AG92" s="70">
        <f>ROUND(INDEX('All Trends'!D:D,MATCH($AD92,'All Trends'!$C:$C,0)),4)</f>
        <v>0.99270000000000003</v>
      </c>
      <c r="AH92" s="70">
        <f>ROUND(INDEX('All Trends'!E:E,MATCH($AD92,'All Trends'!$C:$C,0)),4)</f>
        <v>1.0091000000000001</v>
      </c>
      <c r="AI92" s="70">
        <f>ROUND(INDEX('All Trends'!F:F,MATCH($AD92,'All Trends'!$C:$C,0)),4)</f>
        <v>1.0519000000000001</v>
      </c>
      <c r="AJ92" s="70">
        <f>ROUND(INDEX('All Trends'!G:G,MATCH($AD92,'All Trends'!$C:$C,0)),4)</f>
        <v>1.0519000000000001</v>
      </c>
      <c r="AK92" s="70">
        <f>ROUND(INDEX('All Trends'!H:H,MATCH($AD92,'All Trends'!$C:$C,0)),4)</f>
        <v>1.0519000000000001</v>
      </c>
      <c r="AL92" s="74" t="s">
        <v>148</v>
      </c>
      <c r="AM92" s="92">
        <f t="shared" si="18"/>
        <v>1094399.68</v>
      </c>
      <c r="AN92" s="92">
        <f t="shared" si="19"/>
        <v>1094399.68</v>
      </c>
      <c r="AO92" s="69">
        <f t="shared" si="20"/>
        <v>0</v>
      </c>
      <c r="AP92" s="69">
        <f t="shared" si="21"/>
        <v>0</v>
      </c>
      <c r="AQ92" s="69">
        <f t="shared" si="22"/>
        <v>0</v>
      </c>
      <c r="AR92" s="69">
        <f t="shared" si="23"/>
        <v>0</v>
      </c>
      <c r="AS92" s="409"/>
      <c r="AT92" s="409"/>
      <c r="AU92" s="409"/>
      <c r="AV92" s="65"/>
      <c r="AW92" s="65"/>
      <c r="AX92" s="65"/>
      <c r="AY92" s="65"/>
      <c r="AZ92" s="65"/>
      <c r="BD92" s="65"/>
    </row>
    <row r="93" spans="1:56" s="66" customFormat="1">
      <c r="A93" s="78" t="s">
        <v>344</v>
      </c>
      <c r="B93" s="78" t="s">
        <v>344</v>
      </c>
      <c r="C93" s="78" t="s">
        <v>147</v>
      </c>
      <c r="D93" s="78" t="s">
        <v>148</v>
      </c>
      <c r="E93" s="67" t="s">
        <v>231</v>
      </c>
      <c r="F93" s="67" t="s">
        <v>225</v>
      </c>
      <c r="G93" s="67" t="str">
        <f>INDEX('[4]RT Description to Bill Matix'!$D:$D,MATCH(A93,'[4]RT Description to Bill Matix'!$M:$M,0))</f>
        <v>Supervised Living and Residential Support Services LON 9</v>
      </c>
      <c r="H93" s="65" t="s">
        <v>345</v>
      </c>
      <c r="I93" s="65"/>
      <c r="J93" s="65" t="s">
        <v>327</v>
      </c>
      <c r="K93" s="66" t="str">
        <f>INDEX('[5]Combined Bill Code List'!$A:$A,MATCH(A93,'[5]Combined Bill Code List'!$F:$F,0))</f>
        <v>1915(c) waiver</v>
      </c>
      <c r="L93" s="66" t="str">
        <f>INDEX('[6]Rate History'!$P:$P,MATCH(A93,'[6]Rate History'!$F:$F,0))</f>
        <v>1 day = 18 hours, excluding 6 hours for Day Hab</v>
      </c>
      <c r="M93" s="77">
        <f>INDEX('[7]PDF DB Service Pivot'!$C:$C,MATCH(B93,'[7]PDF DB Service Pivot'!$B:$B,0))</f>
        <v>7137</v>
      </c>
      <c r="N93" s="77">
        <f t="shared" si="15"/>
        <v>7137</v>
      </c>
      <c r="O93" s="76">
        <f>INDEX('[7]PDF DB Service Pivot'!$D:$D,MATCH(B93,'[7]PDF DB Service Pivot'!$B:$B,0))</f>
        <v>1932271.27</v>
      </c>
      <c r="P93" s="91">
        <v>45170</v>
      </c>
      <c r="Q93" s="81">
        <v>280.24</v>
      </c>
      <c r="R93" s="81">
        <v>191.63000000000002</v>
      </c>
      <c r="S93" s="354">
        <f t="shared" si="24"/>
        <v>0.68380673708250073</v>
      </c>
      <c r="T93" s="339">
        <v>7.37</v>
      </c>
      <c r="U93" s="81">
        <f t="shared" si="13"/>
        <v>0</v>
      </c>
      <c r="V93" s="81" cm="1">
        <f t="array" ref="V93">_xlfn.IFS('Fiscal by Program'!$B$7&lt;10.61,0,'Fiscal by Program'!$B$7&gt;10.6,(ROUND('Fiscal by Program'!$B$7*(1+IF(D93="Yes",'Fiscal by Program'!$B$9,'Fiscal by Program'!$B$8))*T93,2)))</f>
        <v>0</v>
      </c>
      <c r="W93" s="81">
        <f t="shared" si="16"/>
        <v>0</v>
      </c>
      <c r="X93" s="81">
        <f>ROUND((R93/(1+IF(D93="Yes",'Fiscal by Program'!$B$9,'Fiscal by Program'!$B$8))),2)+0.01</f>
        <v>173.04</v>
      </c>
      <c r="Y93" s="81">
        <f t="shared" si="17"/>
        <v>280.24</v>
      </c>
      <c r="Z93" s="88">
        <v>72</v>
      </c>
      <c r="AA93" s="90">
        <f t="shared" si="14"/>
        <v>0.10236111111111111</v>
      </c>
      <c r="AB93" s="75">
        <f>INDEX('[9]Service List'!$K:$K,MATCH(A93,'[9]Service List'!$F:$F,0))</f>
        <v>405</v>
      </c>
      <c r="AC93" s="73">
        <f>INDEX('[5]Combined Bill Code List'!$P:$P,MATCH(A93,'[5]Combined Bill Code List'!$F:$F,0))</f>
        <v>0</v>
      </c>
      <c r="AD93" s="80" t="s">
        <v>231</v>
      </c>
      <c r="AE93" s="79">
        <v>1</v>
      </c>
      <c r="AF93" s="66">
        <v>0</v>
      </c>
      <c r="AG93" s="70">
        <f>ROUND(INDEX('All Trends'!D:D,MATCH($AD93,'All Trends'!$C:$C,0)),4)</f>
        <v>0.99270000000000003</v>
      </c>
      <c r="AH93" s="70">
        <f>ROUND(INDEX('All Trends'!E:E,MATCH($AD93,'All Trends'!$C:$C,0)),4)</f>
        <v>1.0091000000000001</v>
      </c>
      <c r="AI93" s="70">
        <f>ROUND(INDEX('All Trends'!F:F,MATCH($AD93,'All Trends'!$C:$C,0)),4)</f>
        <v>1.0519000000000001</v>
      </c>
      <c r="AJ93" s="70">
        <f>ROUND(INDEX('All Trends'!G:G,MATCH($AD93,'All Trends'!$C:$C,0)),4)</f>
        <v>1.0519000000000001</v>
      </c>
      <c r="AK93" s="70">
        <f>ROUND(INDEX('All Trends'!H:H,MATCH($AD93,'All Trends'!$C:$C,0)),4)</f>
        <v>1.0519000000000001</v>
      </c>
      <c r="AL93" s="74" t="s">
        <v>148</v>
      </c>
      <c r="AM93" s="92">
        <f t="shared" si="18"/>
        <v>55329.61</v>
      </c>
      <c r="AN93" s="92">
        <f t="shared" si="19"/>
        <v>55329.61</v>
      </c>
      <c r="AO93" s="69">
        <f t="shared" si="20"/>
        <v>0</v>
      </c>
      <c r="AP93" s="69">
        <f t="shared" si="21"/>
        <v>0</v>
      </c>
      <c r="AQ93" s="69">
        <f t="shared" si="22"/>
        <v>0</v>
      </c>
      <c r="AR93" s="69">
        <f t="shared" si="23"/>
        <v>0</v>
      </c>
      <c r="AS93" s="409"/>
      <c r="AT93" s="409"/>
      <c r="AU93" s="409"/>
      <c r="AV93" s="65"/>
      <c r="AW93" s="65"/>
      <c r="AX93" s="65"/>
      <c r="AY93" s="65"/>
      <c r="AZ93" s="65"/>
      <c r="BD93" s="65"/>
    </row>
    <row r="94" spans="1:56" s="66" customFormat="1">
      <c r="A94" s="78" t="s">
        <v>346</v>
      </c>
      <c r="B94" s="78" t="s">
        <v>346</v>
      </c>
      <c r="C94" s="78" t="s">
        <v>147</v>
      </c>
      <c r="D94" s="78" t="s">
        <v>148</v>
      </c>
      <c r="E94" s="67" t="s">
        <v>231</v>
      </c>
      <c r="F94" s="67" t="s">
        <v>162</v>
      </c>
      <c r="G94" s="67" t="str">
        <f>INDEX('[4]RT Description to Bill Matix'!$D:$D,MATCH(A94,'[4]RT Description to Bill Matix'!$M:$M,0))</f>
        <v>PAS/HAB (CFC) and Transportation</v>
      </c>
      <c r="H94" s="65" t="s">
        <v>347</v>
      </c>
      <c r="I94" s="65"/>
      <c r="J94" s="65" t="str" cm="1">
        <f t="array" ref="J94">INDEX('Rate Table Service Desc XWalk'!F:F,MATCH(1,(G94='Rate Table Service Desc XWalk'!B:B)*(E94='Rate Table Service Desc XWalk'!A:A),0))</f>
        <v>3-1-79</v>
      </c>
      <c r="K94" s="66" t="str">
        <f>INDEX('[5]Combined Bill Code List'!$A:$A,MATCH(A94,'[5]Combined Bill Code List'!$F:$F,0))</f>
        <v>1915(c) waiver</v>
      </c>
      <c r="L94" s="66" t="str">
        <f>INDEX('[6]Rate History'!$P:$P,MATCH(A94,'[6]Rate History'!$F:$F,0))</f>
        <v>1 hour</v>
      </c>
      <c r="M94" s="77">
        <f>INDEX('[7]PDF DB Service Pivot'!$C:$C,MATCH(B94,'[7]PDF DB Service Pivot'!$B:$B,0))</f>
        <v>101475.5</v>
      </c>
      <c r="N94" s="77">
        <f t="shared" si="15"/>
        <v>101475.5</v>
      </c>
      <c r="O94" s="76">
        <f>INDEX('[7]PDF DB Service Pivot'!$D:$D,MATCH(B94,'[7]PDF DB Service Pivot'!$B:$B,0))</f>
        <v>1921428.78</v>
      </c>
      <c r="P94" s="91">
        <v>45170</v>
      </c>
      <c r="Q94" s="81">
        <v>18.36</v>
      </c>
      <c r="R94" s="81">
        <v>15.15</v>
      </c>
      <c r="S94" s="354">
        <f t="shared" si="24"/>
        <v>0.82516339869281052</v>
      </c>
      <c r="T94" s="339">
        <f>INDEX('[10]Billable Services'!$L:$L,MATCH(B94,'[10]Billable Services'!$O:$O,0))</f>
        <v>1</v>
      </c>
      <c r="U94" s="81">
        <f t="shared" si="13"/>
        <v>0</v>
      </c>
      <c r="V94" s="81" cm="1">
        <f t="array" ref="V94">_xlfn.IFS('Fiscal by Program'!$B$7&lt;10.61,0,'Fiscal by Program'!$B$7&gt;10.6,(ROUND('Fiscal by Program'!$B$7*(1+IF(D94="Yes",'Fiscal by Program'!$B$9,'Fiscal by Program'!$B$8))*T94,2)))</f>
        <v>0</v>
      </c>
      <c r="W94" s="81">
        <f t="shared" si="16"/>
        <v>0</v>
      </c>
      <c r="X94" s="81">
        <f>ROUND((R94/(1+IF(D94="Yes",'Fiscal by Program'!$B$9,'Fiscal by Program'!$B$8))),2)+0.01</f>
        <v>13.69</v>
      </c>
      <c r="Y94" s="81">
        <f t="shared" si="17"/>
        <v>18.36</v>
      </c>
      <c r="Z94" s="88">
        <v>4</v>
      </c>
      <c r="AA94" s="90">
        <f t="shared" si="14"/>
        <v>0.25</v>
      </c>
      <c r="AB94" s="75">
        <f>INDEX('[9]Service List'!$K:$K,MATCH(A94,'[9]Service List'!$F:$F,0))</f>
        <v>286</v>
      </c>
      <c r="AC94" s="73">
        <f>INDEX('[5]Combined Bill Code List'!$P:$P,MATCH(A94,'[5]Combined Bill Code List'!$F:$F,0))</f>
        <v>0</v>
      </c>
      <c r="AD94" s="80" t="s">
        <v>231</v>
      </c>
      <c r="AE94" s="79">
        <v>1</v>
      </c>
      <c r="AF94" s="66">
        <v>0</v>
      </c>
      <c r="AG94" s="70">
        <f>ROUND(INDEX('All Trends'!D:D,MATCH($AD94,'All Trends'!$C:$C,0)),4)</f>
        <v>0.99270000000000003</v>
      </c>
      <c r="AH94" s="70">
        <f>ROUND(INDEX('All Trends'!E:E,MATCH($AD94,'All Trends'!$C:$C,0)),4)</f>
        <v>1.0091000000000001</v>
      </c>
      <c r="AI94" s="70">
        <f>ROUND(INDEX('All Trends'!F:F,MATCH($AD94,'All Trends'!$C:$C,0)),4)</f>
        <v>1.0519000000000001</v>
      </c>
      <c r="AJ94" s="70">
        <f>ROUND(INDEX('All Trends'!G:G,MATCH($AD94,'All Trends'!$C:$C,0)),4)</f>
        <v>1.0519000000000001</v>
      </c>
      <c r="AK94" s="70">
        <f>ROUND(INDEX('All Trends'!H:H,MATCH($AD94,'All Trends'!$C:$C,0)),4)</f>
        <v>1.0519000000000001</v>
      </c>
      <c r="AL94" s="74" t="s">
        <v>148</v>
      </c>
      <c r="AM94" s="92">
        <f t="shared" si="18"/>
        <v>106742.08</v>
      </c>
      <c r="AN94" s="92">
        <f t="shared" si="19"/>
        <v>106742.08</v>
      </c>
      <c r="AO94" s="69">
        <f t="shared" si="20"/>
        <v>0</v>
      </c>
      <c r="AP94" s="69">
        <f t="shared" si="21"/>
        <v>0</v>
      </c>
      <c r="AQ94" s="69">
        <f t="shared" si="22"/>
        <v>0</v>
      </c>
      <c r="AR94" s="69">
        <f t="shared" si="23"/>
        <v>0</v>
      </c>
      <c r="AS94" s="409"/>
      <c r="AT94" s="409"/>
      <c r="AU94" s="409"/>
      <c r="AV94" s="65"/>
      <c r="AW94" s="65"/>
      <c r="AX94" s="65"/>
      <c r="AY94" s="65"/>
      <c r="AZ94" s="65"/>
      <c r="BD94" s="65"/>
    </row>
    <row r="95" spans="1:56" s="66" customFormat="1">
      <c r="A95" s="78" t="s">
        <v>348</v>
      </c>
      <c r="B95" s="78" t="s">
        <v>348</v>
      </c>
      <c r="C95" s="78" t="s">
        <v>147</v>
      </c>
      <c r="D95" s="78" t="s">
        <v>148</v>
      </c>
      <c r="E95" s="67" t="s">
        <v>231</v>
      </c>
      <c r="F95" s="67" t="s">
        <v>162</v>
      </c>
      <c r="G95" s="67" t="str">
        <f>INDEX('[4]RT Description to Bill Matix'!$D:$D,MATCH(A95,'[4]RT Description to Bill Matix'!$M:$M,0))</f>
        <v>PAS/HAB (CFC) and Transportation</v>
      </c>
      <c r="H95" s="65" t="s">
        <v>349</v>
      </c>
      <c r="I95" s="65"/>
      <c r="J95" s="65" t="str" cm="1">
        <f t="array" ref="J95">INDEX('Rate Table Service Desc XWalk'!F:F,MATCH(1,(G95='Rate Table Service Desc XWalk'!B:B)*(E95='Rate Table Service Desc XWalk'!A:A),0))</f>
        <v>3-1-79</v>
      </c>
      <c r="K95" s="66" t="str">
        <f>INDEX('[5]Combined Bill Code List'!$A:$A,MATCH(A95,'[5]Combined Bill Code List'!$F:$F,0))</f>
        <v>1915(c) waiver</v>
      </c>
      <c r="L95" s="66" t="str">
        <f>INDEX('[6]Rate History'!$P:$P,MATCH(A95,'[6]Rate History'!$F:$F,0))</f>
        <v>1 hour</v>
      </c>
      <c r="M95" s="77">
        <f>INDEX('[7]PDF DB Service Pivot'!$C:$C,MATCH(B95,'[7]PDF DB Service Pivot'!$B:$B,0))</f>
        <v>116</v>
      </c>
      <c r="N95" s="77">
        <f t="shared" si="15"/>
        <v>116</v>
      </c>
      <c r="O95" s="76">
        <f>INDEX('[7]PDF DB Service Pivot'!$D:$D,MATCH(B95,'[7]PDF DB Service Pivot'!$B:$B,0))</f>
        <v>2183.46</v>
      </c>
      <c r="P95" s="91">
        <v>45170</v>
      </c>
      <c r="Q95" s="81">
        <v>18.36</v>
      </c>
      <c r="R95" s="81">
        <v>15.15</v>
      </c>
      <c r="S95" s="354">
        <f t="shared" si="24"/>
        <v>0.82516339869281052</v>
      </c>
      <c r="T95" s="339">
        <f>INDEX('[10]Billable Services'!$L:$L,MATCH(B95,'[10]Billable Services'!$O:$O,0))</f>
        <v>1</v>
      </c>
      <c r="U95" s="81">
        <f t="shared" si="13"/>
        <v>0</v>
      </c>
      <c r="V95" s="81" cm="1">
        <f t="array" ref="V95">_xlfn.IFS('Fiscal by Program'!$B$7&lt;10.61,0,'Fiscal by Program'!$B$7&gt;10.6,(ROUND('Fiscal by Program'!$B$7*(1+IF(D95="Yes",'Fiscal by Program'!$B$9,'Fiscal by Program'!$B$8))*T95,2)))</f>
        <v>0</v>
      </c>
      <c r="W95" s="81">
        <f t="shared" si="16"/>
        <v>0</v>
      </c>
      <c r="X95" s="81">
        <f>ROUND((R95/(1+IF(D95="Yes",'Fiscal by Program'!$B$9,'Fiscal by Program'!$B$8))),2)+0.01</f>
        <v>13.69</v>
      </c>
      <c r="Y95" s="81">
        <f t="shared" si="17"/>
        <v>18.36</v>
      </c>
      <c r="Z95" s="88">
        <v>4</v>
      </c>
      <c r="AA95" s="90">
        <f t="shared" si="14"/>
        <v>0.25</v>
      </c>
      <c r="AB95" s="75">
        <f>INDEX('[9]Service List'!$K:$K,MATCH(A95,'[9]Service List'!$F:$F,0))</f>
        <v>287</v>
      </c>
      <c r="AC95" s="73">
        <f>INDEX('[5]Combined Bill Code List'!$P:$P,MATCH(A95,'[5]Combined Bill Code List'!$F:$F,0))</f>
        <v>0</v>
      </c>
      <c r="AD95" s="80" t="s">
        <v>231</v>
      </c>
      <c r="AE95" s="79">
        <v>1</v>
      </c>
      <c r="AF95" s="66">
        <v>0</v>
      </c>
      <c r="AG95" s="70">
        <f>ROUND(INDEX('All Trends'!D:D,MATCH($AD95,'All Trends'!$C:$C,0)),4)</f>
        <v>0.99270000000000003</v>
      </c>
      <c r="AH95" s="70">
        <f>ROUND(INDEX('All Trends'!E:E,MATCH($AD95,'All Trends'!$C:$C,0)),4)</f>
        <v>1.0091000000000001</v>
      </c>
      <c r="AI95" s="70">
        <f>ROUND(INDEX('All Trends'!F:F,MATCH($AD95,'All Trends'!$C:$C,0)),4)</f>
        <v>1.0519000000000001</v>
      </c>
      <c r="AJ95" s="70">
        <f>ROUND(INDEX('All Trends'!G:G,MATCH($AD95,'All Trends'!$C:$C,0)),4)</f>
        <v>1.0519000000000001</v>
      </c>
      <c r="AK95" s="70">
        <f>ROUND(INDEX('All Trends'!H:H,MATCH($AD95,'All Trends'!$C:$C,0)),4)</f>
        <v>1.0519000000000001</v>
      </c>
      <c r="AL95" s="74" t="s">
        <v>148</v>
      </c>
      <c r="AM95" s="92">
        <f t="shared" si="18"/>
        <v>122.02</v>
      </c>
      <c r="AN95" s="92">
        <f t="shared" si="19"/>
        <v>122.02</v>
      </c>
      <c r="AO95" s="69">
        <f t="shared" si="20"/>
        <v>0</v>
      </c>
      <c r="AP95" s="69">
        <f t="shared" si="21"/>
        <v>0</v>
      </c>
      <c r="AQ95" s="69">
        <f t="shared" si="22"/>
        <v>0</v>
      </c>
      <c r="AR95" s="69">
        <f t="shared" si="23"/>
        <v>0</v>
      </c>
      <c r="AS95" s="409"/>
      <c r="AT95" s="409"/>
      <c r="AU95" s="409"/>
      <c r="AV95" s="65"/>
      <c r="AW95" s="65"/>
      <c r="AX95" s="65"/>
      <c r="AY95" s="65"/>
      <c r="AZ95" s="65"/>
      <c r="BA95" s="66" t="s">
        <v>350</v>
      </c>
      <c r="BD95" s="65"/>
    </row>
    <row r="96" spans="1:56" s="66" customFormat="1">
      <c r="A96" s="78" t="s">
        <v>351</v>
      </c>
      <c r="B96" s="78" t="s">
        <v>351</v>
      </c>
      <c r="C96" s="78" t="s">
        <v>147</v>
      </c>
      <c r="D96" s="78" t="s">
        <v>148</v>
      </c>
      <c r="E96" s="67" t="s">
        <v>231</v>
      </c>
      <c r="F96" s="67" t="s">
        <v>162</v>
      </c>
      <c r="G96" s="67" t="str">
        <f>INDEX('[4]RT Description to Bill Matix'!$D:$D,MATCH(A96,'[4]RT Description to Bill Matix'!$M:$M,0))</f>
        <v>CDS PAS/HAB (CFC) and Transportation</v>
      </c>
      <c r="H96" s="65" t="s">
        <v>352</v>
      </c>
      <c r="I96" s="65" t="s">
        <v>147</v>
      </c>
      <c r="J96" s="65" t="str" cm="1">
        <f t="array" ref="J96">INDEX('Rate Table Service Desc XWalk'!F:F,MATCH(1,(G96='Rate Table Service Desc XWalk'!B:B)*(E96='Rate Table Service Desc XWalk'!A:A),0))</f>
        <v>3-5-143</v>
      </c>
      <c r="K96" s="66" t="str">
        <f>INDEX('[5]Combined Bill Code List'!$A:$A,MATCH(A96,'[5]Combined Bill Code List'!$F:$F,0))</f>
        <v>1915(c) waiver</v>
      </c>
      <c r="L96" s="66" t="str">
        <f>INDEX('[6]Rate History'!$P:$P,MATCH(A96,'[6]Rate History'!$F:$F,0))</f>
        <v>1 hour</v>
      </c>
      <c r="M96" s="77">
        <f>INDEX('[7]PDF DB Service Pivot'!$C:$C,MATCH(B96,'[7]PDF DB Service Pivot'!$B:$B,0))</f>
        <v>2663304.96</v>
      </c>
      <c r="N96" s="77">
        <f t="shared" si="15"/>
        <v>116607.0472854641</v>
      </c>
      <c r="O96" s="76">
        <f>INDEX('[7]PDF DB Service Pivot'!$D:$D,MATCH(B96,'[7]PDF DB Service Pivot'!$B:$B,0))</f>
        <v>2663304.96</v>
      </c>
      <c r="P96" s="91">
        <v>45170</v>
      </c>
      <c r="Q96" s="81">
        <v>22.84</v>
      </c>
      <c r="R96" s="81">
        <v>18.84</v>
      </c>
      <c r="S96" s="354">
        <f t="shared" si="24"/>
        <v>0.82486865148861643</v>
      </c>
      <c r="T96" s="339">
        <v>1</v>
      </c>
      <c r="U96" s="81">
        <f t="shared" si="13"/>
        <v>0</v>
      </c>
      <c r="V96" s="81" cm="1">
        <f t="array" ref="V96">_xlfn.IFS('Fiscal by Program'!$B$7&lt;10.61,0,'Fiscal by Program'!$B$7&gt;10.6,(ROUND('Fiscal by Program'!$B$7*(1+IF(D96="Yes",'Fiscal by Program'!$B$9,'Fiscal by Program'!$B$8))*T96,2)))</f>
        <v>0</v>
      </c>
      <c r="W96" s="81">
        <f t="shared" si="16"/>
        <v>0</v>
      </c>
      <c r="X96" s="81">
        <f>ROUND((R96/(1+IF(D96="Yes",'Fiscal by Program'!$B$9,'Fiscal by Program'!$B$8))),2)+0.01</f>
        <v>17.020000000000003</v>
      </c>
      <c r="Y96" s="81">
        <f t="shared" si="17"/>
        <v>22.84</v>
      </c>
      <c r="Z96" s="88">
        <v>4</v>
      </c>
      <c r="AA96" s="90">
        <f t="shared" si="14"/>
        <v>0.25</v>
      </c>
      <c r="AB96" s="75">
        <f>INDEX('[9]Service List'!$K:$K,MATCH(A96,'[9]Service List'!$F:$F,0))</f>
        <v>288</v>
      </c>
      <c r="AC96" s="73">
        <f>INDEX('[5]Combined Bill Code List'!$P:$P,MATCH(A96,'[5]Combined Bill Code List'!$F:$F,0))</f>
        <v>0</v>
      </c>
      <c r="AD96" s="80" t="s">
        <v>231</v>
      </c>
      <c r="AE96" s="79">
        <v>1</v>
      </c>
      <c r="AF96" s="66">
        <v>0</v>
      </c>
      <c r="AG96" s="70">
        <f>ROUND(INDEX('All Trends'!D:D,MATCH($AD96,'All Trends'!$C:$C,0)),4)</f>
        <v>0.99270000000000003</v>
      </c>
      <c r="AH96" s="70">
        <f>ROUND(INDEX('All Trends'!E:E,MATCH($AD96,'All Trends'!$C:$C,0)),4)</f>
        <v>1.0091000000000001</v>
      </c>
      <c r="AI96" s="70">
        <f>ROUND(INDEX('All Trends'!F:F,MATCH($AD96,'All Trends'!$C:$C,0)),4)</f>
        <v>1.0519000000000001</v>
      </c>
      <c r="AJ96" s="70">
        <f>ROUND(INDEX('All Trends'!G:G,MATCH($AD96,'All Trends'!$C:$C,0)),4)</f>
        <v>1.0519000000000001</v>
      </c>
      <c r="AK96" s="70">
        <f>ROUND(INDEX('All Trends'!H:H,MATCH($AD96,'All Trends'!$C:$C,0)),4)</f>
        <v>1.0519000000000001</v>
      </c>
      <c r="AL96" s="74" t="s">
        <v>148</v>
      </c>
      <c r="AM96" s="92">
        <f t="shared" si="18"/>
        <v>122658.95</v>
      </c>
      <c r="AN96" s="92">
        <f t="shared" si="19"/>
        <v>122658.95</v>
      </c>
      <c r="AO96" s="69">
        <f t="shared" si="20"/>
        <v>0</v>
      </c>
      <c r="AP96" s="69">
        <f t="shared" si="21"/>
        <v>0</v>
      </c>
      <c r="AQ96" s="69">
        <f t="shared" si="22"/>
        <v>0</v>
      </c>
      <c r="AR96" s="69">
        <f t="shared" si="23"/>
        <v>0</v>
      </c>
      <c r="AS96" s="409"/>
      <c r="AT96" s="409"/>
      <c r="AU96" s="409"/>
      <c r="AV96" s="65"/>
      <c r="AW96" s="65"/>
      <c r="AX96" s="65"/>
      <c r="AY96" s="65"/>
      <c r="AZ96" s="65"/>
      <c r="BA96" s="66" t="s">
        <v>350</v>
      </c>
      <c r="BD96" s="65"/>
    </row>
    <row r="97" spans="1:56" s="66" customFormat="1">
      <c r="A97" s="78" t="s">
        <v>353</v>
      </c>
      <c r="B97" s="78" t="s">
        <v>353</v>
      </c>
      <c r="C97" s="78" t="s">
        <v>147</v>
      </c>
      <c r="D97" s="78" t="s">
        <v>148</v>
      </c>
      <c r="E97" s="67" t="s">
        <v>231</v>
      </c>
      <c r="F97" s="67" t="s">
        <v>162</v>
      </c>
      <c r="G97" s="67" t="str">
        <f>INDEX('[4]RT Description to Bill Matix'!$D:$D,MATCH(A97,'[4]RT Description to Bill Matix'!$M:$M,0))</f>
        <v>CDS PAS/HAB (CFC) and Transportation</v>
      </c>
      <c r="H97" s="65" t="s">
        <v>354</v>
      </c>
      <c r="I97" s="65" t="s">
        <v>147</v>
      </c>
      <c r="J97" s="65" t="str" cm="1">
        <f t="array" ref="J97">INDEX('Rate Table Service Desc XWalk'!F:F,MATCH(1,(G97='Rate Table Service Desc XWalk'!B:B)*(E97='Rate Table Service Desc XWalk'!A:A),0))</f>
        <v>3-5-143</v>
      </c>
      <c r="K97" s="66" t="str">
        <f>INDEX('[5]Combined Bill Code List'!$A:$A,MATCH(A97,'[5]Combined Bill Code List'!$F:$F,0))</f>
        <v>1915(c) waiver</v>
      </c>
      <c r="L97" s="66" t="str">
        <f>INDEX('[6]Rate History'!$P:$P,MATCH(A97,'[6]Rate History'!$F:$F,0))</f>
        <v>1 hour</v>
      </c>
      <c r="M97" s="77">
        <f>INDEX('[7]PDF DB Service Pivot'!$C:$C,MATCH(B97,'[7]PDF DB Service Pivot'!$B:$B,0))</f>
        <v>15427.48</v>
      </c>
      <c r="N97" s="77">
        <f t="shared" si="15"/>
        <v>675.45884413309977</v>
      </c>
      <c r="O97" s="76">
        <f>INDEX('[7]PDF DB Service Pivot'!$D:$D,MATCH(B97,'[7]PDF DB Service Pivot'!$B:$B,0))</f>
        <v>15427.48</v>
      </c>
      <c r="P97" s="91">
        <v>45170</v>
      </c>
      <c r="Q97" s="81">
        <v>22.84</v>
      </c>
      <c r="R97" s="81">
        <v>18.84</v>
      </c>
      <c r="S97" s="354">
        <f t="shared" si="24"/>
        <v>0.82486865148861643</v>
      </c>
      <c r="T97" s="339">
        <v>1</v>
      </c>
      <c r="U97" s="81">
        <f t="shared" si="13"/>
        <v>0</v>
      </c>
      <c r="V97" s="81" cm="1">
        <f t="array" ref="V97">_xlfn.IFS('Fiscal by Program'!$B$7&lt;10.61,0,'Fiscal by Program'!$B$7&gt;10.6,(ROUND('Fiscal by Program'!$B$7*(1+IF(D97="Yes",'Fiscal by Program'!$B$9,'Fiscal by Program'!$B$8))*T97,2)))</f>
        <v>0</v>
      </c>
      <c r="W97" s="81">
        <f t="shared" si="16"/>
        <v>0</v>
      </c>
      <c r="X97" s="81">
        <f>ROUND((R97/(1+IF(D97="Yes",'Fiscal by Program'!$B$9,'Fiscal by Program'!$B$8))),2)+0.01</f>
        <v>17.020000000000003</v>
      </c>
      <c r="Y97" s="81">
        <f t="shared" si="17"/>
        <v>22.84</v>
      </c>
      <c r="Z97" s="88">
        <v>4</v>
      </c>
      <c r="AA97" s="90">
        <f t="shared" si="14"/>
        <v>0.25</v>
      </c>
      <c r="AB97" s="75">
        <f>INDEX('[9]Service List'!$K:$K,MATCH(A97,'[9]Service List'!$F:$F,0))</f>
        <v>289</v>
      </c>
      <c r="AC97" s="73">
        <f>INDEX('[5]Combined Bill Code List'!$P:$P,MATCH(A97,'[5]Combined Bill Code List'!$F:$F,0))</f>
        <v>0</v>
      </c>
      <c r="AD97" s="80" t="s">
        <v>231</v>
      </c>
      <c r="AE97" s="79">
        <v>1</v>
      </c>
      <c r="AF97" s="66">
        <v>0</v>
      </c>
      <c r="AG97" s="70">
        <f>ROUND(INDEX('All Trends'!D:D,MATCH($AD97,'All Trends'!$C:$C,0)),4)</f>
        <v>0.99270000000000003</v>
      </c>
      <c r="AH97" s="70">
        <f>ROUND(INDEX('All Trends'!E:E,MATCH($AD97,'All Trends'!$C:$C,0)),4)</f>
        <v>1.0091000000000001</v>
      </c>
      <c r="AI97" s="70">
        <f>ROUND(INDEX('All Trends'!F:F,MATCH($AD97,'All Trends'!$C:$C,0)),4)</f>
        <v>1.0519000000000001</v>
      </c>
      <c r="AJ97" s="70">
        <f>ROUND(INDEX('All Trends'!G:G,MATCH($AD97,'All Trends'!$C:$C,0)),4)</f>
        <v>1.0519000000000001</v>
      </c>
      <c r="AK97" s="70">
        <f>ROUND(INDEX('All Trends'!H:H,MATCH($AD97,'All Trends'!$C:$C,0)),4)</f>
        <v>1.0519000000000001</v>
      </c>
      <c r="AL97" s="74" t="s">
        <v>148</v>
      </c>
      <c r="AM97" s="92">
        <f t="shared" si="18"/>
        <v>710.52</v>
      </c>
      <c r="AN97" s="92">
        <f t="shared" si="19"/>
        <v>710.52</v>
      </c>
      <c r="AO97" s="69">
        <f t="shared" si="20"/>
        <v>0</v>
      </c>
      <c r="AP97" s="69">
        <f t="shared" si="21"/>
        <v>0</v>
      </c>
      <c r="AQ97" s="69">
        <f t="shared" si="22"/>
        <v>0</v>
      </c>
      <c r="AR97" s="69">
        <f t="shared" si="23"/>
        <v>0</v>
      </c>
      <c r="AS97" s="409"/>
      <c r="AT97" s="409"/>
      <c r="AU97" s="409"/>
      <c r="AV97" s="65"/>
      <c r="AW97" s="65"/>
      <c r="AX97" s="65"/>
      <c r="AY97" s="65"/>
      <c r="AZ97" s="65"/>
      <c r="BD97" s="65"/>
    </row>
    <row r="98" spans="1:56" s="66" customFormat="1">
      <c r="A98" s="78" t="s">
        <v>355</v>
      </c>
      <c r="B98" s="78" t="s">
        <v>355</v>
      </c>
      <c r="C98" s="78" t="s">
        <v>147</v>
      </c>
      <c r="D98" s="78" t="s">
        <v>148</v>
      </c>
      <c r="E98" s="67" t="s">
        <v>231</v>
      </c>
      <c r="F98" s="67" t="s">
        <v>174</v>
      </c>
      <c r="G98" s="67" t="str">
        <f>INDEX('[4]RT Description to Bill Matix'!$D:$D,MATCH(A98,'[4]RT Description to Bill Matix'!$M:$M,0))</f>
        <v>Employment Assistance and Supported Employment</v>
      </c>
      <c r="H98" s="65" t="s">
        <v>356</v>
      </c>
      <c r="I98" s="65"/>
      <c r="J98" s="65" t="str" cm="1">
        <f t="array" ref="J98">INDEX('Rate Table Service Desc XWalk'!F:F,MATCH(1,(G98='Rate Table Service Desc XWalk'!B:B)*(E98='Rate Table Service Desc XWalk'!A:A),0))</f>
        <v>3-1-23</v>
      </c>
      <c r="K98" s="66" t="str">
        <f>INDEX('[5]Combined Bill Code List'!$A:$A,MATCH(A98,'[5]Combined Bill Code List'!$F:$F,0))</f>
        <v>1915(c) waiver</v>
      </c>
      <c r="L98" s="66" t="str">
        <f>INDEX('[6]Rate History'!$P:$P,MATCH(A98,'[6]Rate History'!$F:$F,0))</f>
        <v>1 hour</v>
      </c>
      <c r="M98" s="77">
        <f>INDEX('[7]PDF DB Service Pivot'!$C:$C,MATCH(B98,'[7]PDF DB Service Pivot'!$B:$B,0))</f>
        <v>25</v>
      </c>
      <c r="N98" s="77">
        <f t="shared" si="15"/>
        <v>25</v>
      </c>
      <c r="O98" s="76">
        <f>INDEX('[7]PDF DB Service Pivot'!$D:$D,MATCH(B98,'[7]PDF DB Service Pivot'!$B:$B,0))</f>
        <v>827.5</v>
      </c>
      <c r="P98" s="91">
        <v>40787</v>
      </c>
      <c r="Q98" s="81">
        <v>33.1</v>
      </c>
      <c r="R98" s="81">
        <v>19.07</v>
      </c>
      <c r="S98" s="354">
        <f t="shared" si="24"/>
        <v>0.57613293051359515</v>
      </c>
      <c r="T98" s="339">
        <f>INDEX('[10]Billable Services'!$L:$L,MATCH(B98,'[10]Billable Services'!$O:$O,0))</f>
        <v>1</v>
      </c>
      <c r="U98" s="81">
        <f t="shared" si="13"/>
        <v>0</v>
      </c>
      <c r="V98" s="81" cm="1">
        <f t="array" ref="V98">_xlfn.IFS('Fiscal by Program'!$B$7&lt;10.61,0,'Fiscal by Program'!$B$7&gt;10.6,(ROUND('Fiscal by Program'!$B$7*(1+IF(D98="Yes",'Fiscal by Program'!$B$9,'Fiscal by Program'!$B$8))*T98,2)))</f>
        <v>0</v>
      </c>
      <c r="W98" s="81">
        <f t="shared" si="16"/>
        <v>0</v>
      </c>
      <c r="X98" s="81">
        <f>ROUND((R98/(1+IF(D98="Yes",'Fiscal by Program'!$B$9,'Fiscal by Program'!$B$8))),2)+0.01</f>
        <v>17.23</v>
      </c>
      <c r="Y98" s="81">
        <f t="shared" si="17"/>
        <v>33.1</v>
      </c>
      <c r="Z98" s="88">
        <v>4</v>
      </c>
      <c r="AA98" s="90">
        <f t="shared" si="14"/>
        <v>0.25</v>
      </c>
      <c r="AB98" s="75">
        <f>INDEX('[9]Service List'!$K:$K,MATCH(A98,'[9]Service List'!$F:$F,0))</f>
        <v>227</v>
      </c>
      <c r="AC98" s="73">
        <f>INDEX('[5]Combined Bill Code List'!$P:$P,MATCH(A98,'[5]Combined Bill Code List'!$F:$F,0))</f>
        <v>0</v>
      </c>
      <c r="AD98" s="80" t="s">
        <v>231</v>
      </c>
      <c r="AE98" s="79">
        <v>1</v>
      </c>
      <c r="AF98" s="66">
        <v>0</v>
      </c>
      <c r="AG98" s="70">
        <f>ROUND(INDEX('All Trends'!D:D,MATCH($AD98,'All Trends'!$C:$C,0)),4)</f>
        <v>0.99270000000000003</v>
      </c>
      <c r="AH98" s="70">
        <f>ROUND(INDEX('All Trends'!E:E,MATCH($AD98,'All Trends'!$C:$C,0)),4)</f>
        <v>1.0091000000000001</v>
      </c>
      <c r="AI98" s="70">
        <f>ROUND(INDEX('All Trends'!F:F,MATCH($AD98,'All Trends'!$C:$C,0)),4)</f>
        <v>1.0519000000000001</v>
      </c>
      <c r="AJ98" s="70">
        <f>ROUND(INDEX('All Trends'!G:G,MATCH($AD98,'All Trends'!$C:$C,0)),4)</f>
        <v>1.0519000000000001</v>
      </c>
      <c r="AK98" s="70">
        <f>ROUND(INDEX('All Trends'!H:H,MATCH($AD98,'All Trends'!$C:$C,0)),4)</f>
        <v>1.0519000000000001</v>
      </c>
      <c r="AL98" s="74" t="s">
        <v>148</v>
      </c>
      <c r="AM98" s="92">
        <f t="shared" si="18"/>
        <v>26.3</v>
      </c>
      <c r="AN98" s="92">
        <f t="shared" si="19"/>
        <v>26.3</v>
      </c>
      <c r="AO98" s="69">
        <f t="shared" si="20"/>
        <v>0</v>
      </c>
      <c r="AP98" s="69">
        <f t="shared" si="21"/>
        <v>0</v>
      </c>
      <c r="AQ98" s="69">
        <f t="shared" si="22"/>
        <v>0</v>
      </c>
      <c r="AR98" s="69">
        <f t="shared" si="23"/>
        <v>0</v>
      </c>
      <c r="AS98" s="409"/>
      <c r="AT98" s="409"/>
      <c r="AU98" s="409"/>
      <c r="AV98" s="65"/>
      <c r="AW98" s="65"/>
      <c r="AX98" s="65"/>
      <c r="AY98" s="65"/>
      <c r="AZ98" s="65"/>
      <c r="BA98" s="66" t="s">
        <v>350</v>
      </c>
      <c r="BD98" s="65"/>
    </row>
    <row r="99" spans="1:56" s="66" customFormat="1">
      <c r="A99" s="78" t="s">
        <v>357</v>
      </c>
      <c r="B99" s="78" t="s">
        <v>357</v>
      </c>
      <c r="C99" s="78" t="s">
        <v>147</v>
      </c>
      <c r="D99" s="78" t="s">
        <v>148</v>
      </c>
      <c r="E99" s="67" t="s">
        <v>231</v>
      </c>
      <c r="F99" s="67" t="s">
        <v>174</v>
      </c>
      <c r="G99" s="67" t="str">
        <f>INDEX('[4]RT Description to Bill Matix'!$D:$D,MATCH(A99,'[4]RT Description to Bill Matix'!$M:$M,0))</f>
        <v>Employment Assistance and Supported Employment</v>
      </c>
      <c r="H99" s="65" t="s">
        <v>358</v>
      </c>
      <c r="I99" s="65"/>
      <c r="J99" s="65" t="str" cm="1">
        <f t="array" ref="J99">INDEX('Rate Table Service Desc XWalk'!F:F,MATCH(1,(G99='Rate Table Service Desc XWalk'!B:B)*(E99='Rate Table Service Desc XWalk'!A:A),0))</f>
        <v>3-1-23</v>
      </c>
      <c r="K99" s="66" t="str">
        <f>INDEX('[5]Combined Bill Code List'!$A:$A,MATCH(A99,'[5]Combined Bill Code List'!$F:$F,0))</f>
        <v>1915(c) waiver</v>
      </c>
      <c r="L99" s="66" t="str">
        <f>INDEX('[6]Rate History'!$P:$P,MATCH(A99,'[6]Rate History'!$F:$F,0))</f>
        <v>1 hour</v>
      </c>
      <c r="M99" s="77">
        <f>INDEX('[7]PDF DB Service Pivot'!$C:$C,MATCH(B99,'[7]PDF DB Service Pivot'!$B:$B,0))</f>
        <v>43835.75</v>
      </c>
      <c r="N99" s="77">
        <f t="shared" si="15"/>
        <v>43835.75</v>
      </c>
      <c r="O99" s="76">
        <f>INDEX('[7]PDF DB Service Pivot'!$D:$D,MATCH(B99,'[7]PDF DB Service Pivot'!$B:$B,0))</f>
        <v>1482860.9</v>
      </c>
      <c r="P99" s="91">
        <v>40787</v>
      </c>
      <c r="Q99" s="81">
        <v>33.1</v>
      </c>
      <c r="R99" s="81">
        <v>19.07</v>
      </c>
      <c r="S99" s="354">
        <f t="shared" si="24"/>
        <v>0.57613293051359515</v>
      </c>
      <c r="T99" s="339">
        <f>INDEX('[10]Billable Services'!$L:$L,MATCH(B99,'[10]Billable Services'!$O:$O,0))</f>
        <v>1</v>
      </c>
      <c r="U99" s="81">
        <f t="shared" si="13"/>
        <v>0</v>
      </c>
      <c r="V99" s="81" cm="1">
        <f t="array" ref="V99">_xlfn.IFS('Fiscal by Program'!$B$7&lt;10.61,0,'Fiscal by Program'!$B$7&gt;10.6,(ROUND('Fiscal by Program'!$B$7*(1+IF(D99="Yes",'Fiscal by Program'!$B$9,'Fiscal by Program'!$B$8))*T99,2)))</f>
        <v>0</v>
      </c>
      <c r="W99" s="81">
        <f t="shared" si="16"/>
        <v>0</v>
      </c>
      <c r="X99" s="81">
        <f>ROUND((R99/(1+IF(D99="Yes",'Fiscal by Program'!$B$9,'Fiscal by Program'!$B$8))),2)+0.01</f>
        <v>17.23</v>
      </c>
      <c r="Y99" s="81">
        <f t="shared" si="17"/>
        <v>33.1</v>
      </c>
      <c r="Z99" s="88">
        <v>4</v>
      </c>
      <c r="AA99" s="90">
        <f t="shared" si="14"/>
        <v>0.25</v>
      </c>
      <c r="AB99" s="75">
        <f>INDEX('[9]Service List'!$K:$K,MATCH(A99,'[9]Service List'!$F:$F,0))</f>
        <v>226</v>
      </c>
      <c r="AC99" s="73">
        <f>INDEX('[5]Combined Bill Code List'!$P:$P,MATCH(A99,'[5]Combined Bill Code List'!$F:$F,0))</f>
        <v>0</v>
      </c>
      <c r="AD99" s="80" t="s">
        <v>231</v>
      </c>
      <c r="AE99" s="79">
        <v>1</v>
      </c>
      <c r="AF99" s="66">
        <v>0</v>
      </c>
      <c r="AG99" s="70">
        <f>ROUND(INDEX('All Trends'!D:D,MATCH($AD99,'All Trends'!$C:$C,0)),4)</f>
        <v>0.99270000000000003</v>
      </c>
      <c r="AH99" s="70">
        <f>ROUND(INDEX('All Trends'!E:E,MATCH($AD99,'All Trends'!$C:$C,0)),4)</f>
        <v>1.0091000000000001</v>
      </c>
      <c r="AI99" s="70">
        <f>ROUND(INDEX('All Trends'!F:F,MATCH($AD99,'All Trends'!$C:$C,0)),4)</f>
        <v>1.0519000000000001</v>
      </c>
      <c r="AJ99" s="70">
        <f>ROUND(INDEX('All Trends'!G:G,MATCH($AD99,'All Trends'!$C:$C,0)),4)</f>
        <v>1.0519000000000001</v>
      </c>
      <c r="AK99" s="70">
        <f>ROUND(INDEX('All Trends'!H:H,MATCH($AD99,'All Trends'!$C:$C,0)),4)</f>
        <v>1.0519000000000001</v>
      </c>
      <c r="AL99" s="74" t="s">
        <v>148</v>
      </c>
      <c r="AM99" s="92">
        <f t="shared" si="18"/>
        <v>46110.83</v>
      </c>
      <c r="AN99" s="92">
        <f t="shared" si="19"/>
        <v>46110.83</v>
      </c>
      <c r="AO99" s="69">
        <f t="shared" si="20"/>
        <v>0</v>
      </c>
      <c r="AP99" s="69">
        <f t="shared" si="21"/>
        <v>0</v>
      </c>
      <c r="AQ99" s="69">
        <f t="shared" si="22"/>
        <v>0</v>
      </c>
      <c r="AR99" s="69">
        <f t="shared" si="23"/>
        <v>0</v>
      </c>
      <c r="AS99" s="409"/>
      <c r="AT99" s="409"/>
      <c r="AU99" s="409"/>
      <c r="AV99" s="65"/>
      <c r="AW99" s="65"/>
      <c r="AX99" s="65"/>
      <c r="AY99" s="65"/>
      <c r="AZ99" s="65"/>
      <c r="BD99" s="65"/>
    </row>
    <row r="100" spans="1:56" s="66" customFormat="1">
      <c r="A100" s="78" t="s">
        <v>359</v>
      </c>
      <c r="B100" s="78" t="s">
        <v>359</v>
      </c>
      <c r="C100" s="78" t="s">
        <v>147</v>
      </c>
      <c r="D100" s="78" t="s">
        <v>148</v>
      </c>
      <c r="E100" s="67" t="s">
        <v>231</v>
      </c>
      <c r="F100" s="67" t="s">
        <v>174</v>
      </c>
      <c r="G100" s="67" t="str">
        <f>INDEX('[4]RT Description to Bill Matix'!$D:$D,MATCH(A100,'[4]RT Description to Bill Matix'!$M:$M,0))</f>
        <v>CDS Employment Assistance and Supported Employment</v>
      </c>
      <c r="H100" s="65" t="s">
        <v>360</v>
      </c>
      <c r="I100" s="65" t="s">
        <v>147</v>
      </c>
      <c r="J100" s="65" t="str" cm="1">
        <f t="array" ref="J100">INDEX('Rate Table Service Desc XWalk'!F:F,MATCH(1,(G100='Rate Table Service Desc XWalk'!B:B)*(E100='Rate Table Service Desc XWalk'!A:A),0))</f>
        <v>3-5-121</v>
      </c>
      <c r="K100" s="66" t="str">
        <f>INDEX('[5]Combined Bill Code List'!$A:$A,MATCH(A100,'[5]Combined Bill Code List'!$F:$F,0))</f>
        <v>1915(c) waiver</v>
      </c>
      <c r="L100" s="66" t="str">
        <f>INDEX('[6]Rate History'!$P:$P,MATCH(A100,'[6]Rate History'!$F:$F,0))</f>
        <v>1 hour</v>
      </c>
      <c r="M100" s="77">
        <f>INDEX('[7]PDF DB Service Pivot'!$C:$C,MATCH(B100,'[7]PDF DB Service Pivot'!$B:$B,0))</f>
        <v>22327.48</v>
      </c>
      <c r="N100" s="77">
        <f t="shared" si="15"/>
        <v>695.56012461059186</v>
      </c>
      <c r="O100" s="76">
        <f>INDEX('[7]PDF DB Service Pivot'!$D:$D,MATCH(B100,'[7]PDF DB Service Pivot'!$B:$B,0))</f>
        <v>22327.48</v>
      </c>
      <c r="P100" s="91">
        <v>41518</v>
      </c>
      <c r="Q100" s="81">
        <v>32.1</v>
      </c>
      <c r="R100" s="81">
        <v>18.493867069486406</v>
      </c>
      <c r="S100" s="354">
        <f t="shared" ref="S100:S131" si="25">_xlfn.IFNA(R100/Q100,"")</f>
        <v>0.57613293051359515</v>
      </c>
      <c r="T100" s="339">
        <v>1</v>
      </c>
      <c r="U100" s="81">
        <f t="shared" si="13"/>
        <v>0</v>
      </c>
      <c r="V100" s="81" cm="1">
        <f t="array" ref="V100">_xlfn.IFS('Fiscal by Program'!$B$7&lt;10.61,0,'Fiscal by Program'!$B$7&gt;10.6,(ROUND('Fiscal by Program'!$B$7*(1+IF(D100="Yes",'Fiscal by Program'!$B$9,'Fiscal by Program'!$B$8))*T100,2)))</f>
        <v>0</v>
      </c>
      <c r="W100" s="81">
        <f t="shared" si="16"/>
        <v>0</v>
      </c>
      <c r="X100" s="81">
        <f>ROUND((R100/(1+IF(D100="Yes",'Fiscal by Program'!$B$9,'Fiscal by Program'!$B$8))),2)+0.01</f>
        <v>16.71</v>
      </c>
      <c r="Y100" s="81">
        <f t="shared" si="17"/>
        <v>32.1</v>
      </c>
      <c r="Z100" s="88">
        <v>4</v>
      </c>
      <c r="AA100" s="90">
        <f t="shared" si="14"/>
        <v>0.25</v>
      </c>
      <c r="AB100" s="75">
        <f>INDEX('[9]Service List'!$K:$K,MATCH(A100,'[9]Service List'!$F:$F,0))</f>
        <v>224</v>
      </c>
      <c r="AC100" s="73">
        <f>INDEX('[5]Combined Bill Code List'!$P:$P,MATCH(A100,'[5]Combined Bill Code List'!$F:$F,0))</f>
        <v>0</v>
      </c>
      <c r="AD100" s="80" t="s">
        <v>231</v>
      </c>
      <c r="AE100" s="79">
        <v>1</v>
      </c>
      <c r="AF100" s="66">
        <v>0</v>
      </c>
      <c r="AG100" s="70">
        <f>ROUND(INDEX('All Trends'!D:D,MATCH($AD100,'All Trends'!$C:$C,0)),4)</f>
        <v>0.99270000000000003</v>
      </c>
      <c r="AH100" s="70">
        <f>ROUND(INDEX('All Trends'!E:E,MATCH($AD100,'All Trends'!$C:$C,0)),4)</f>
        <v>1.0091000000000001</v>
      </c>
      <c r="AI100" s="70">
        <f>ROUND(INDEX('All Trends'!F:F,MATCH($AD100,'All Trends'!$C:$C,0)),4)</f>
        <v>1.0519000000000001</v>
      </c>
      <c r="AJ100" s="70">
        <f>ROUND(INDEX('All Trends'!G:G,MATCH($AD100,'All Trends'!$C:$C,0)),4)</f>
        <v>1.0519000000000001</v>
      </c>
      <c r="AK100" s="70">
        <f>ROUND(INDEX('All Trends'!H:H,MATCH($AD100,'All Trends'!$C:$C,0)),4)</f>
        <v>1.0519000000000001</v>
      </c>
      <c r="AL100" s="74" t="s">
        <v>148</v>
      </c>
      <c r="AM100" s="92">
        <f t="shared" si="18"/>
        <v>731.66</v>
      </c>
      <c r="AN100" s="92">
        <f t="shared" si="19"/>
        <v>731.66</v>
      </c>
      <c r="AO100" s="69">
        <f t="shared" si="20"/>
        <v>0</v>
      </c>
      <c r="AP100" s="69">
        <f t="shared" si="21"/>
        <v>0</v>
      </c>
      <c r="AQ100" s="69">
        <f t="shared" si="22"/>
        <v>0</v>
      </c>
      <c r="AR100" s="69">
        <f t="shared" si="23"/>
        <v>0</v>
      </c>
      <c r="AS100" s="409"/>
      <c r="AT100" s="409"/>
      <c r="AU100" s="409"/>
      <c r="AV100" s="65"/>
      <c r="AW100" s="65"/>
      <c r="AX100" s="65"/>
      <c r="AY100" s="65"/>
      <c r="AZ100" s="65"/>
      <c r="BA100" s="66" t="s">
        <v>350</v>
      </c>
      <c r="BD100" s="65"/>
    </row>
    <row r="101" spans="1:56" s="66" customFormat="1">
      <c r="A101" s="78" t="s">
        <v>361</v>
      </c>
      <c r="B101" s="78" t="s">
        <v>361</v>
      </c>
      <c r="C101" s="78" t="s">
        <v>147</v>
      </c>
      <c r="D101" s="78" t="s">
        <v>147</v>
      </c>
      <c r="E101" s="67" t="s">
        <v>362</v>
      </c>
      <c r="F101" s="67" t="s">
        <v>362</v>
      </c>
      <c r="G101" s="67" t="s">
        <v>363</v>
      </c>
      <c r="H101" s="65" t="s">
        <v>364</v>
      </c>
      <c r="I101" s="65"/>
      <c r="J101" s="65" t="s">
        <v>92</v>
      </c>
      <c r="K101" s="66" t="str">
        <f>INDEX('[5]Combined Bill Code List'!$A:$A,MATCH(A101,'[5]Combined Bill Code List'!$F:$F,0))</f>
        <v>State Plan (Title XIX)</v>
      </c>
      <c r="L101" s="66" t="str">
        <f>INDEX('[6]Rate History'!$P:$P,MATCH(A101,'[6]Rate History'!$F:$F,0))</f>
        <v>1 day</v>
      </c>
      <c r="M101" s="77">
        <f>INDEX('[7]PDF DB Service Pivot'!$C:$C,MATCH(B101,'[7]PDF DB Service Pivot'!$B:$B,0))</f>
        <v>1926</v>
      </c>
      <c r="N101" s="77">
        <f t="shared" si="15"/>
        <v>1926</v>
      </c>
      <c r="O101" s="76">
        <f>INDEX('[7]PDF DB Service Pivot'!$D:$D,MATCH(B101,'[7]PDF DB Service Pivot'!$B:$B,0))</f>
        <v>202495.85</v>
      </c>
      <c r="P101" s="91">
        <v>45170</v>
      </c>
      <c r="Q101" s="81">
        <v>124.24</v>
      </c>
      <c r="R101" s="81">
        <v>41.910000000000011</v>
      </c>
      <c r="S101" s="354">
        <f t="shared" si="25"/>
        <v>0.33733097231165499</v>
      </c>
      <c r="T101" s="339">
        <v>5.49</v>
      </c>
      <c r="U101" s="81">
        <f t="shared" si="13"/>
        <v>0</v>
      </c>
      <c r="V101" s="81" cm="1">
        <f t="array" ref="V101">_xlfn.IFS('Fiscal by Program'!$B$7&lt;10.61,0,'Fiscal by Program'!$B$7&gt;10.6,(ROUND('Fiscal by Program'!$B$7*(1+IF(D101="Yes",'Fiscal by Program'!$B$9,'Fiscal by Program'!$B$8))*T101,2)))</f>
        <v>0</v>
      </c>
      <c r="W101" s="81">
        <f t="shared" si="16"/>
        <v>0</v>
      </c>
      <c r="X101" s="81">
        <f>ROUND((R101/(1+IF(D101="Yes",'Fiscal by Program'!$B$9,'Fiscal by Program'!$B$8))),2)+0.01</f>
        <v>37.85</v>
      </c>
      <c r="Y101" s="81">
        <f t="shared" si="17"/>
        <v>124.24</v>
      </c>
      <c r="Z101" s="88">
        <v>96</v>
      </c>
      <c r="AA101" s="90">
        <f t="shared" si="14"/>
        <v>5.7187500000000002E-2</v>
      </c>
      <c r="AB101" s="75">
        <f>INDEX('[9]Service List'!$K:$K,MATCH(A101,'[9]Service List'!$F:$F,0))</f>
        <v>461</v>
      </c>
      <c r="AC101" s="73">
        <f>INDEX('[5]Combined Bill Code List'!$P:$P,MATCH(A101,'[5]Combined Bill Code List'!$F:$F,0))</f>
        <v>0</v>
      </c>
      <c r="AD101" s="67" t="s">
        <v>362</v>
      </c>
      <c r="AE101" s="79">
        <v>1</v>
      </c>
      <c r="AF101" s="66">
        <v>0</v>
      </c>
      <c r="AG101" s="70">
        <f>ROUND(INDEX('All Trends'!D:D,MATCH($AD101,'All Trends'!$C:$C,0)),4)</f>
        <v>0.91639999999999999</v>
      </c>
      <c r="AH101" s="70">
        <f>ROUND(INDEX('All Trends'!E:E,MATCH($AD101,'All Trends'!$C:$C,0)),4)</f>
        <v>0.92300000000000004</v>
      </c>
      <c r="AI101" s="70">
        <f>ROUND(INDEX('All Trends'!F:F,MATCH($AD101,'All Trends'!$C:$C,0)),4)</f>
        <v>0.98150000000000004</v>
      </c>
      <c r="AJ101" s="70">
        <f>ROUND(INDEX('All Trends'!G:G,MATCH($AD101,'All Trends'!$C:$C,0)),4)</f>
        <v>0.98929999999999996</v>
      </c>
      <c r="AK101" s="70">
        <f>ROUND(INDEX('All Trends'!H:H,MATCH($AD101,'All Trends'!$C:$C,0)),4)</f>
        <v>0.99219999999999997</v>
      </c>
      <c r="AL101" s="74" t="s">
        <v>148</v>
      </c>
      <c r="AM101" s="92">
        <f t="shared" si="18"/>
        <v>10378.129999999999</v>
      </c>
      <c r="AN101" s="92">
        <f t="shared" si="19"/>
        <v>10460.6</v>
      </c>
      <c r="AO101" s="69">
        <f t="shared" si="20"/>
        <v>0</v>
      </c>
      <c r="AP101" s="69">
        <f t="shared" si="21"/>
        <v>0</v>
      </c>
      <c r="AQ101" s="69">
        <f t="shared" si="22"/>
        <v>0</v>
      </c>
      <c r="AR101" s="69">
        <f t="shared" si="23"/>
        <v>0</v>
      </c>
      <c r="AS101" s="409"/>
      <c r="AT101" s="409"/>
      <c r="AU101" s="409"/>
      <c r="AV101" s="65"/>
      <c r="AW101" s="65"/>
      <c r="AX101" s="65"/>
      <c r="AY101" s="65"/>
      <c r="AZ101" s="65"/>
      <c r="BD101" s="65"/>
    </row>
    <row r="102" spans="1:56" s="66" customFormat="1">
      <c r="A102" s="78" t="s">
        <v>365</v>
      </c>
      <c r="B102" s="78" t="s">
        <v>365</v>
      </c>
      <c r="C102" s="78" t="s">
        <v>147</v>
      </c>
      <c r="D102" s="78" t="s">
        <v>147</v>
      </c>
      <c r="E102" s="67" t="s">
        <v>362</v>
      </c>
      <c r="F102" s="67" t="s">
        <v>362</v>
      </c>
      <c r="G102" s="67" t="s">
        <v>366</v>
      </c>
      <c r="H102" s="65" t="s">
        <v>367</v>
      </c>
      <c r="I102" s="65"/>
      <c r="J102" s="65" t="s">
        <v>92</v>
      </c>
      <c r="K102" s="66" t="str">
        <f>INDEX('[5]Combined Bill Code List'!$A:$A,MATCH(A102,'[5]Combined Bill Code List'!$F:$F,0))</f>
        <v>State Plan (Title XIX)</v>
      </c>
      <c r="L102" s="66" t="str">
        <f>INDEX('[6]Rate History'!$P:$P,MATCH(A102,'[6]Rate History'!$F:$F,0))</f>
        <v>1 day</v>
      </c>
      <c r="M102" s="77">
        <f>INDEX('[7]PDF DB Service Pivot'!$C:$C,MATCH(B102,'[7]PDF DB Service Pivot'!$B:$B,0))</f>
        <v>14688</v>
      </c>
      <c r="N102" s="77">
        <f t="shared" si="15"/>
        <v>14688</v>
      </c>
      <c r="O102" s="76">
        <f>INDEX('[7]PDF DB Service Pivot'!$D:$D,MATCH(B102,'[7]PDF DB Service Pivot'!$B:$B,0))</f>
        <v>1733415.21</v>
      </c>
      <c r="P102" s="91">
        <v>45170</v>
      </c>
      <c r="Q102" s="81">
        <v>132.96</v>
      </c>
      <c r="R102" s="81">
        <v>47.750000000000014</v>
      </c>
      <c r="S102" s="354">
        <f t="shared" si="25"/>
        <v>0.35913056558363426</v>
      </c>
      <c r="T102" s="339">
        <v>5.49</v>
      </c>
      <c r="U102" s="81">
        <f t="shared" si="13"/>
        <v>0</v>
      </c>
      <c r="V102" s="81" cm="1">
        <f t="array" ref="V102">_xlfn.IFS('Fiscal by Program'!$B$7&lt;10.61,0,'Fiscal by Program'!$B$7&gt;10.6,(ROUND('Fiscal by Program'!$B$7*(1+IF(D102="Yes",'Fiscal by Program'!$B$9,'Fiscal by Program'!$B$8))*T102,2)))</f>
        <v>0</v>
      </c>
      <c r="W102" s="81">
        <f t="shared" si="16"/>
        <v>0</v>
      </c>
      <c r="X102" s="81">
        <f>ROUND((R102/(1+IF(D102="Yes",'Fiscal by Program'!$B$9,'Fiscal by Program'!$B$8))),2)+0.01</f>
        <v>43.129999999999995</v>
      </c>
      <c r="Y102" s="81">
        <f t="shared" si="17"/>
        <v>132.96</v>
      </c>
      <c r="Z102" s="88">
        <v>96</v>
      </c>
      <c r="AA102" s="90">
        <f t="shared" si="14"/>
        <v>5.7187500000000002E-2</v>
      </c>
      <c r="AB102" s="75">
        <f>INDEX('[9]Service List'!$K:$K,MATCH(A102,'[9]Service List'!$F:$F,0))</f>
        <v>462</v>
      </c>
      <c r="AC102" s="73">
        <f>INDEX('[5]Combined Bill Code List'!$P:$P,MATCH(A102,'[5]Combined Bill Code List'!$F:$F,0))</f>
        <v>0</v>
      </c>
      <c r="AD102" s="67" t="s">
        <v>362</v>
      </c>
      <c r="AE102" s="79">
        <v>1</v>
      </c>
      <c r="AF102" s="66">
        <v>0</v>
      </c>
      <c r="AG102" s="70">
        <f>ROUND(INDEX('All Trends'!D:D,MATCH($AD102,'All Trends'!$C:$C,0)),4)</f>
        <v>0.91639999999999999</v>
      </c>
      <c r="AH102" s="70">
        <f>ROUND(INDEX('All Trends'!E:E,MATCH($AD102,'All Trends'!$C:$C,0)),4)</f>
        <v>0.92300000000000004</v>
      </c>
      <c r="AI102" s="70">
        <f>ROUND(INDEX('All Trends'!F:F,MATCH($AD102,'All Trends'!$C:$C,0)),4)</f>
        <v>0.98150000000000004</v>
      </c>
      <c r="AJ102" s="70">
        <f>ROUND(INDEX('All Trends'!G:G,MATCH($AD102,'All Trends'!$C:$C,0)),4)</f>
        <v>0.98929999999999996</v>
      </c>
      <c r="AK102" s="70">
        <f>ROUND(INDEX('All Trends'!H:H,MATCH($AD102,'All Trends'!$C:$C,0)),4)</f>
        <v>0.99219999999999997</v>
      </c>
      <c r="AL102" s="74" t="s">
        <v>148</v>
      </c>
      <c r="AM102" s="92">
        <f t="shared" si="18"/>
        <v>79145.33</v>
      </c>
      <c r="AN102" s="92">
        <f t="shared" si="19"/>
        <v>79774.3</v>
      </c>
      <c r="AO102" s="69">
        <f t="shared" si="20"/>
        <v>0</v>
      </c>
      <c r="AP102" s="69">
        <f t="shared" si="21"/>
        <v>0</v>
      </c>
      <c r="AQ102" s="69">
        <f t="shared" si="22"/>
        <v>0</v>
      </c>
      <c r="AR102" s="69">
        <f t="shared" si="23"/>
        <v>0</v>
      </c>
      <c r="AS102" s="409"/>
      <c r="AT102" s="409"/>
      <c r="AU102" s="409"/>
      <c r="AV102" s="65"/>
      <c r="AW102" s="65"/>
      <c r="AX102" s="65"/>
      <c r="AY102" s="65"/>
      <c r="AZ102" s="65"/>
      <c r="BD102" s="65"/>
    </row>
    <row r="103" spans="1:56" s="66" customFormat="1">
      <c r="A103" s="78" t="s">
        <v>368</v>
      </c>
      <c r="B103" s="78" t="s">
        <v>368</v>
      </c>
      <c r="C103" s="78" t="s">
        <v>147</v>
      </c>
      <c r="D103" s="78" t="s">
        <v>147</v>
      </c>
      <c r="E103" s="67" t="s">
        <v>362</v>
      </c>
      <c r="F103" s="67" t="s">
        <v>362</v>
      </c>
      <c r="G103" s="67" t="s">
        <v>369</v>
      </c>
      <c r="H103" s="65" t="s">
        <v>370</v>
      </c>
      <c r="I103" s="65"/>
      <c r="J103" s="65" t="s">
        <v>92</v>
      </c>
      <c r="K103" s="66" t="str">
        <f>INDEX('[5]Combined Bill Code List'!$A:$A,MATCH(A103,'[5]Combined Bill Code List'!$F:$F,0))</f>
        <v>State Plan (Title XIX)</v>
      </c>
      <c r="L103" s="66" t="str">
        <f>INDEX('[6]Rate History'!$P:$P,MATCH(A103,'[6]Rate History'!$F:$F,0))</f>
        <v>1 day</v>
      </c>
      <c r="M103" s="77">
        <f>INDEX('[7]PDF DB Service Pivot'!$C:$C,MATCH(B103,'[7]PDF DB Service Pivot'!$B:$B,0))</f>
        <v>452</v>
      </c>
      <c r="N103" s="77">
        <f t="shared" si="15"/>
        <v>452</v>
      </c>
      <c r="O103" s="76">
        <f>INDEX('[7]PDF DB Service Pivot'!$D:$D,MATCH(B103,'[7]PDF DB Service Pivot'!$B:$B,0))</f>
        <v>90244.67</v>
      </c>
      <c r="P103" s="91">
        <v>45170</v>
      </c>
      <c r="Q103" s="81">
        <v>200.28</v>
      </c>
      <c r="R103" s="81">
        <v>85.23</v>
      </c>
      <c r="S103" s="354">
        <f t="shared" si="25"/>
        <v>0.42555422408627924</v>
      </c>
      <c r="T103" s="339">
        <v>5.49</v>
      </c>
      <c r="U103" s="81">
        <f t="shared" si="13"/>
        <v>0</v>
      </c>
      <c r="V103" s="81" cm="1">
        <f t="array" ref="V103">_xlfn.IFS('Fiscal by Program'!$B$7&lt;10.61,0,'Fiscal by Program'!$B$7&gt;10.6,(ROUND('Fiscal by Program'!$B$7*(1+IF(D103="Yes",'Fiscal by Program'!$B$9,'Fiscal by Program'!$B$8))*T103,2)))</f>
        <v>0</v>
      </c>
      <c r="W103" s="81">
        <f t="shared" si="16"/>
        <v>0</v>
      </c>
      <c r="X103" s="81">
        <f>ROUND((R103/(1+IF(D103="Yes",'Fiscal by Program'!$B$9,'Fiscal by Program'!$B$8))),2)+0.01</f>
        <v>76.97</v>
      </c>
      <c r="Y103" s="81">
        <f t="shared" si="17"/>
        <v>200.28</v>
      </c>
      <c r="Z103" s="88">
        <v>96</v>
      </c>
      <c r="AA103" s="90">
        <f t="shared" si="14"/>
        <v>5.7187500000000002E-2</v>
      </c>
      <c r="AB103" s="75">
        <f>INDEX('[9]Service List'!$K:$K,MATCH(A103,'[9]Service List'!$F:$F,0))</f>
        <v>463</v>
      </c>
      <c r="AC103" s="73">
        <f>INDEX('[5]Combined Bill Code List'!$P:$P,MATCH(A103,'[5]Combined Bill Code List'!$F:$F,0))</f>
        <v>0</v>
      </c>
      <c r="AD103" s="67" t="s">
        <v>362</v>
      </c>
      <c r="AE103" s="79">
        <v>1</v>
      </c>
      <c r="AF103" s="66">
        <v>0</v>
      </c>
      <c r="AG103" s="70">
        <f>ROUND(INDEX('All Trends'!D:D,MATCH($AD103,'All Trends'!$C:$C,0)),4)</f>
        <v>0.91639999999999999</v>
      </c>
      <c r="AH103" s="70">
        <f>ROUND(INDEX('All Trends'!E:E,MATCH($AD103,'All Trends'!$C:$C,0)),4)</f>
        <v>0.92300000000000004</v>
      </c>
      <c r="AI103" s="70">
        <f>ROUND(INDEX('All Trends'!F:F,MATCH($AD103,'All Trends'!$C:$C,0)),4)</f>
        <v>0.98150000000000004</v>
      </c>
      <c r="AJ103" s="70">
        <f>ROUND(INDEX('All Trends'!G:G,MATCH($AD103,'All Trends'!$C:$C,0)),4)</f>
        <v>0.98929999999999996</v>
      </c>
      <c r="AK103" s="70">
        <f>ROUND(INDEX('All Trends'!H:H,MATCH($AD103,'All Trends'!$C:$C,0)),4)</f>
        <v>0.99219999999999997</v>
      </c>
      <c r="AL103" s="74" t="s">
        <v>148</v>
      </c>
      <c r="AM103" s="92">
        <f t="shared" si="18"/>
        <v>2435.5700000000002</v>
      </c>
      <c r="AN103" s="92">
        <f t="shared" si="19"/>
        <v>2454.9299999999998</v>
      </c>
      <c r="AO103" s="69">
        <f t="shared" si="20"/>
        <v>0</v>
      </c>
      <c r="AP103" s="69">
        <f t="shared" si="21"/>
        <v>0</v>
      </c>
      <c r="AQ103" s="69">
        <f t="shared" si="22"/>
        <v>0</v>
      </c>
      <c r="AR103" s="69">
        <f t="shared" si="23"/>
        <v>0</v>
      </c>
      <c r="AS103" s="409"/>
      <c r="AT103" s="409"/>
      <c r="AU103" s="409"/>
      <c r="AV103" s="65"/>
      <c r="AW103" s="65"/>
      <c r="AX103" s="65"/>
      <c r="AY103" s="65"/>
      <c r="AZ103" s="65"/>
      <c r="BD103" s="65"/>
    </row>
    <row r="104" spans="1:56" s="66" customFormat="1">
      <c r="A104" s="78" t="s">
        <v>371</v>
      </c>
      <c r="B104" s="78" t="s">
        <v>371</v>
      </c>
      <c r="C104" s="78" t="s">
        <v>147</v>
      </c>
      <c r="D104" s="78" t="s">
        <v>147</v>
      </c>
      <c r="E104" s="67" t="s">
        <v>362</v>
      </c>
      <c r="F104" s="67" t="s">
        <v>362</v>
      </c>
      <c r="G104" s="67" t="s">
        <v>372</v>
      </c>
      <c r="H104" s="65" t="s">
        <v>373</v>
      </c>
      <c r="I104" s="65"/>
      <c r="J104" s="65" t="s">
        <v>92</v>
      </c>
      <c r="K104" s="66" t="str">
        <f>INDEX('[5]Combined Bill Code List'!$A:$A,MATCH(A104,'[5]Combined Bill Code List'!$F:$F,0))</f>
        <v>State Plan (Title XIX)</v>
      </c>
      <c r="L104" s="66" t="str">
        <f>INDEX('[6]Rate History'!$P:$P,MATCH(A104,'[6]Rate History'!$F:$F,0))</f>
        <v>1 day</v>
      </c>
      <c r="M104" s="77">
        <f>INDEX('[7]PDF DB Service Pivot'!$C:$C,MATCH(B104,'[7]PDF DB Service Pivot'!$B:$B,0))</f>
        <v>5309</v>
      </c>
      <c r="N104" s="77">
        <f t="shared" si="15"/>
        <v>5309</v>
      </c>
      <c r="O104" s="76">
        <f>INDEX('[7]PDF DB Service Pivot'!$D:$D,MATCH(B104,'[7]PDF DB Service Pivot'!$B:$B,0))</f>
        <v>714558.06</v>
      </c>
      <c r="P104" s="91">
        <v>45170</v>
      </c>
      <c r="Q104" s="81">
        <v>148.36000000000001</v>
      </c>
      <c r="R104" s="81">
        <v>56.599999999999973</v>
      </c>
      <c r="S104" s="354">
        <f t="shared" si="25"/>
        <v>0.38150444863844679</v>
      </c>
      <c r="T104" s="339">
        <v>5.49</v>
      </c>
      <c r="U104" s="81">
        <f t="shared" si="13"/>
        <v>0</v>
      </c>
      <c r="V104" s="81" cm="1">
        <f t="array" ref="V104">_xlfn.IFS('Fiscal by Program'!$B$7&lt;10.61,0,'Fiscal by Program'!$B$7&gt;10.6,(ROUND('Fiscal by Program'!$B$7*(1+IF(D104="Yes",'Fiscal by Program'!$B$9,'Fiscal by Program'!$B$8))*T104,2)))</f>
        <v>0</v>
      </c>
      <c r="W104" s="81">
        <f t="shared" si="16"/>
        <v>0</v>
      </c>
      <c r="X104" s="81">
        <f>ROUND((R104/(1+IF(D104="Yes",'Fiscal by Program'!$B$9,'Fiscal by Program'!$B$8))),2)+0.01</f>
        <v>51.12</v>
      </c>
      <c r="Y104" s="81">
        <f t="shared" si="17"/>
        <v>148.36000000000001</v>
      </c>
      <c r="Z104" s="88">
        <v>96</v>
      </c>
      <c r="AA104" s="90">
        <f t="shared" si="14"/>
        <v>5.7187500000000002E-2</v>
      </c>
      <c r="AB104" s="75">
        <f>INDEX('[9]Service List'!$K:$K,MATCH(A104,'[9]Service List'!$F:$F,0))</f>
        <v>464</v>
      </c>
      <c r="AC104" s="73">
        <f>INDEX('[5]Combined Bill Code List'!$P:$P,MATCH(A104,'[5]Combined Bill Code List'!$F:$F,0))</f>
        <v>0</v>
      </c>
      <c r="AD104" s="67" t="s">
        <v>362</v>
      </c>
      <c r="AE104" s="79">
        <v>1</v>
      </c>
      <c r="AF104" s="66">
        <v>0</v>
      </c>
      <c r="AG104" s="70">
        <f>ROUND(INDEX('All Trends'!D:D,MATCH($AD104,'All Trends'!$C:$C,0)),4)</f>
        <v>0.91639999999999999</v>
      </c>
      <c r="AH104" s="70">
        <f>ROUND(INDEX('All Trends'!E:E,MATCH($AD104,'All Trends'!$C:$C,0)),4)</f>
        <v>0.92300000000000004</v>
      </c>
      <c r="AI104" s="70">
        <f>ROUND(INDEX('All Trends'!F:F,MATCH($AD104,'All Trends'!$C:$C,0)),4)</f>
        <v>0.98150000000000004</v>
      </c>
      <c r="AJ104" s="70">
        <f>ROUND(INDEX('All Trends'!G:G,MATCH($AD104,'All Trends'!$C:$C,0)),4)</f>
        <v>0.98929999999999996</v>
      </c>
      <c r="AK104" s="70">
        <f>ROUND(INDEX('All Trends'!H:H,MATCH($AD104,'All Trends'!$C:$C,0)),4)</f>
        <v>0.99219999999999997</v>
      </c>
      <c r="AL104" s="74" t="s">
        <v>148</v>
      </c>
      <c r="AM104" s="92">
        <f t="shared" si="18"/>
        <v>28607.200000000001</v>
      </c>
      <c r="AN104" s="92">
        <f t="shared" si="19"/>
        <v>28834.54</v>
      </c>
      <c r="AO104" s="69">
        <f t="shared" si="20"/>
        <v>0</v>
      </c>
      <c r="AP104" s="69">
        <f t="shared" si="21"/>
        <v>0</v>
      </c>
      <c r="AQ104" s="69">
        <f t="shared" si="22"/>
        <v>0</v>
      </c>
      <c r="AR104" s="69">
        <f t="shared" si="23"/>
        <v>0</v>
      </c>
      <c r="AS104" s="409"/>
      <c r="AT104" s="409"/>
      <c r="AU104" s="409"/>
      <c r="AV104" s="65"/>
      <c r="AW104" s="65"/>
      <c r="AX104" s="65"/>
      <c r="AY104" s="65"/>
      <c r="AZ104" s="65"/>
      <c r="BD104" s="65"/>
    </row>
    <row r="105" spans="1:56" s="66" customFormat="1">
      <c r="A105" s="78" t="s">
        <v>374</v>
      </c>
      <c r="B105" s="78" t="s">
        <v>374</v>
      </c>
      <c r="C105" s="78" t="s">
        <v>147</v>
      </c>
      <c r="D105" s="78" t="s">
        <v>147</v>
      </c>
      <c r="E105" s="67" t="s">
        <v>362</v>
      </c>
      <c r="F105" s="67" t="s">
        <v>362</v>
      </c>
      <c r="G105" s="67" t="s">
        <v>375</v>
      </c>
      <c r="H105" s="65" t="s">
        <v>376</v>
      </c>
      <c r="I105" s="65"/>
      <c r="J105" s="65" t="s">
        <v>92</v>
      </c>
      <c r="K105" s="66" t="str">
        <f>INDEX('[5]Combined Bill Code List'!$A:$A,MATCH(A105,'[5]Combined Bill Code List'!$F:$F,0))</f>
        <v>State Plan (Title XIX)</v>
      </c>
      <c r="L105" s="66" t="str">
        <f>INDEX('[6]Rate History'!$P:$P,MATCH(A105,'[6]Rate History'!$F:$F,0))</f>
        <v>1 day</v>
      </c>
      <c r="M105" s="77">
        <f>INDEX('[7]PDF DB Service Pivot'!$C:$C,MATCH(B105,'[7]PDF DB Service Pivot'!$B:$B,0))</f>
        <v>616</v>
      </c>
      <c r="N105" s="77">
        <f t="shared" si="15"/>
        <v>616</v>
      </c>
      <c r="O105" s="76">
        <f>INDEX('[7]PDF DB Service Pivot'!$D:$D,MATCH(B105,'[7]PDF DB Service Pivot'!$B:$B,0))</f>
        <v>230270.06</v>
      </c>
      <c r="P105" s="91">
        <v>45170</v>
      </c>
      <c r="Q105" s="81">
        <v>392.08</v>
      </c>
      <c r="R105" s="81">
        <v>212.36000000000004</v>
      </c>
      <c r="S105" s="354">
        <f t="shared" si="25"/>
        <v>0.54162415833503375</v>
      </c>
      <c r="T105" s="339">
        <v>5.49</v>
      </c>
      <c r="U105" s="81">
        <f t="shared" si="13"/>
        <v>0</v>
      </c>
      <c r="V105" s="81" cm="1">
        <f t="array" ref="V105">_xlfn.IFS('Fiscal by Program'!$B$7&lt;10.61,0,'Fiscal by Program'!$B$7&gt;10.6,(ROUND('Fiscal by Program'!$B$7*(1+IF(D105="Yes",'Fiscal by Program'!$B$9,'Fiscal by Program'!$B$8))*T105,2)))</f>
        <v>0</v>
      </c>
      <c r="W105" s="81">
        <f t="shared" si="16"/>
        <v>0</v>
      </c>
      <c r="X105" s="81">
        <f>ROUND((R105/(1+IF(D105="Yes",'Fiscal by Program'!$B$9,'Fiscal by Program'!$B$8))),2)+0.01</f>
        <v>191.76</v>
      </c>
      <c r="Y105" s="81">
        <f t="shared" si="17"/>
        <v>392.08</v>
      </c>
      <c r="Z105" s="88">
        <v>96</v>
      </c>
      <c r="AA105" s="90">
        <f t="shared" si="14"/>
        <v>5.7187500000000002E-2</v>
      </c>
      <c r="AB105" s="75">
        <f>INDEX('[9]Service List'!$K:$K,MATCH(A105,'[9]Service List'!$F:$F,0))</f>
        <v>465</v>
      </c>
      <c r="AC105" s="73">
        <f>INDEX('[5]Combined Bill Code List'!$P:$P,MATCH(A105,'[5]Combined Bill Code List'!$F:$F,0))</f>
        <v>0</v>
      </c>
      <c r="AD105" s="67" t="s">
        <v>362</v>
      </c>
      <c r="AE105" s="79">
        <v>1</v>
      </c>
      <c r="AF105" s="66">
        <v>0</v>
      </c>
      <c r="AG105" s="70">
        <f>ROUND(INDEX('All Trends'!D:D,MATCH($AD105,'All Trends'!$C:$C,0)),4)</f>
        <v>0.91639999999999999</v>
      </c>
      <c r="AH105" s="70">
        <f>ROUND(INDEX('All Trends'!E:E,MATCH($AD105,'All Trends'!$C:$C,0)),4)</f>
        <v>0.92300000000000004</v>
      </c>
      <c r="AI105" s="70">
        <f>ROUND(INDEX('All Trends'!F:F,MATCH($AD105,'All Trends'!$C:$C,0)),4)</f>
        <v>0.98150000000000004</v>
      </c>
      <c r="AJ105" s="70">
        <f>ROUND(INDEX('All Trends'!G:G,MATCH($AD105,'All Trends'!$C:$C,0)),4)</f>
        <v>0.98929999999999996</v>
      </c>
      <c r="AK105" s="70">
        <f>ROUND(INDEX('All Trends'!H:H,MATCH($AD105,'All Trends'!$C:$C,0)),4)</f>
        <v>0.99219999999999997</v>
      </c>
      <c r="AL105" s="74" t="s">
        <v>148</v>
      </c>
      <c r="AM105" s="92">
        <f t="shared" si="18"/>
        <v>3319.28</v>
      </c>
      <c r="AN105" s="92">
        <f t="shared" si="19"/>
        <v>3345.65</v>
      </c>
      <c r="AO105" s="69">
        <f t="shared" si="20"/>
        <v>0</v>
      </c>
      <c r="AP105" s="69">
        <f t="shared" si="21"/>
        <v>0</v>
      </c>
      <c r="AQ105" s="69">
        <f t="shared" si="22"/>
        <v>0</v>
      </c>
      <c r="AR105" s="69">
        <f t="shared" si="23"/>
        <v>0</v>
      </c>
      <c r="AS105" s="409"/>
      <c r="AT105" s="409"/>
      <c r="AU105" s="409"/>
      <c r="AV105" s="65"/>
      <c r="AW105" s="65"/>
      <c r="AX105" s="65"/>
      <c r="AY105" s="65"/>
      <c r="AZ105" s="65"/>
      <c r="BD105" s="65"/>
    </row>
    <row r="106" spans="1:56" s="66" customFormat="1">
      <c r="A106" s="78" t="s">
        <v>377</v>
      </c>
      <c r="B106" s="78" t="s">
        <v>377</v>
      </c>
      <c r="C106" s="78" t="s">
        <v>147</v>
      </c>
      <c r="D106" s="78" t="s">
        <v>147</v>
      </c>
      <c r="E106" s="67" t="s">
        <v>362</v>
      </c>
      <c r="F106" s="67" t="s">
        <v>362</v>
      </c>
      <c r="G106" s="67" t="s">
        <v>378</v>
      </c>
      <c r="H106" s="65" t="s">
        <v>379</v>
      </c>
      <c r="I106" s="65"/>
      <c r="J106" s="65" t="s">
        <v>92</v>
      </c>
      <c r="K106" s="66" t="str">
        <f>INDEX('[5]Combined Bill Code List'!$A:$A,MATCH(A106,'[5]Combined Bill Code List'!$F:$F,0))</f>
        <v>State Plan (Title XIX)</v>
      </c>
      <c r="L106" s="66" t="str">
        <f>INDEX('[6]Rate History'!$P:$P,MATCH(A106,'[6]Rate History'!$F:$F,0))</f>
        <v>1 day</v>
      </c>
      <c r="M106" s="77">
        <f>INDEX('[7]PDF DB Service Pivot'!$C:$C,MATCH(B106,'[7]PDF DB Service Pivot'!$B:$B,0))</f>
        <v>53215</v>
      </c>
      <c r="N106" s="77">
        <f t="shared" si="15"/>
        <v>53215</v>
      </c>
      <c r="O106" s="76">
        <f>INDEX('[7]PDF DB Service Pivot'!$D:$D,MATCH(B106,'[7]PDF DB Service Pivot'!$B:$B,0))</f>
        <v>6036070.1500000004</v>
      </c>
      <c r="P106" s="91">
        <v>45170</v>
      </c>
      <c r="Q106" s="81">
        <v>127.08</v>
      </c>
      <c r="R106" s="81">
        <v>48.730000000000018</v>
      </c>
      <c r="S106" s="354">
        <f t="shared" si="25"/>
        <v>0.38345923827510242</v>
      </c>
      <c r="T106" s="339">
        <v>5.49</v>
      </c>
      <c r="U106" s="81">
        <f t="shared" si="13"/>
        <v>0</v>
      </c>
      <c r="V106" s="81" cm="1">
        <f t="array" ref="V106">_xlfn.IFS('Fiscal by Program'!$B$7&lt;10.61,0,'Fiscal by Program'!$B$7&gt;10.6,(ROUND('Fiscal by Program'!$B$7*(1+IF(D106="Yes",'Fiscal by Program'!$B$9,'Fiscal by Program'!$B$8))*T106,2)))</f>
        <v>0</v>
      </c>
      <c r="W106" s="81">
        <f t="shared" si="16"/>
        <v>0</v>
      </c>
      <c r="X106" s="81">
        <f>ROUND((R106/(1+IF(D106="Yes",'Fiscal by Program'!$B$9,'Fiscal by Program'!$B$8))),2)+0.01</f>
        <v>44.01</v>
      </c>
      <c r="Y106" s="81">
        <f t="shared" si="17"/>
        <v>127.08</v>
      </c>
      <c r="Z106" s="88">
        <v>96</v>
      </c>
      <c r="AA106" s="90">
        <f t="shared" si="14"/>
        <v>5.7187500000000002E-2</v>
      </c>
      <c r="AB106" s="75">
        <f>INDEX('[9]Service List'!$K:$K,MATCH(A106,'[9]Service List'!$F:$F,0))</f>
        <v>466</v>
      </c>
      <c r="AC106" s="73">
        <f>INDEX('[5]Combined Bill Code List'!$P:$P,MATCH(A106,'[5]Combined Bill Code List'!$F:$F,0))</f>
        <v>0</v>
      </c>
      <c r="AD106" s="67" t="s">
        <v>362</v>
      </c>
      <c r="AE106" s="79">
        <v>1</v>
      </c>
      <c r="AF106" s="66">
        <v>0</v>
      </c>
      <c r="AG106" s="70">
        <f>ROUND(INDEX('All Trends'!D:D,MATCH($AD106,'All Trends'!$C:$C,0)),4)</f>
        <v>0.91639999999999999</v>
      </c>
      <c r="AH106" s="70">
        <f>ROUND(INDEX('All Trends'!E:E,MATCH($AD106,'All Trends'!$C:$C,0)),4)</f>
        <v>0.92300000000000004</v>
      </c>
      <c r="AI106" s="70">
        <f>ROUND(INDEX('All Trends'!F:F,MATCH($AD106,'All Trends'!$C:$C,0)),4)</f>
        <v>0.98150000000000004</v>
      </c>
      <c r="AJ106" s="70">
        <f>ROUND(INDEX('All Trends'!G:G,MATCH($AD106,'All Trends'!$C:$C,0)),4)</f>
        <v>0.98929999999999996</v>
      </c>
      <c r="AK106" s="70">
        <f>ROUND(INDEX('All Trends'!H:H,MATCH($AD106,'All Trends'!$C:$C,0)),4)</f>
        <v>0.99219999999999997</v>
      </c>
      <c r="AL106" s="74" t="s">
        <v>148</v>
      </c>
      <c r="AM106" s="92">
        <f t="shared" si="18"/>
        <v>286745.57</v>
      </c>
      <c r="AN106" s="92">
        <f t="shared" si="19"/>
        <v>289024.34000000003</v>
      </c>
      <c r="AO106" s="69">
        <f t="shared" si="20"/>
        <v>0</v>
      </c>
      <c r="AP106" s="69">
        <f t="shared" si="21"/>
        <v>0</v>
      </c>
      <c r="AQ106" s="69">
        <f t="shared" si="22"/>
        <v>0</v>
      </c>
      <c r="AR106" s="69">
        <f t="shared" si="23"/>
        <v>0</v>
      </c>
      <c r="AS106" s="409"/>
      <c r="AT106" s="409"/>
      <c r="AU106" s="409"/>
      <c r="AV106" s="65"/>
      <c r="AW106" s="65"/>
      <c r="AX106" s="65"/>
      <c r="AY106" s="65"/>
      <c r="AZ106" s="65"/>
      <c r="BD106" s="65"/>
    </row>
    <row r="107" spans="1:56" s="66" customFormat="1">
      <c r="A107" s="78" t="s">
        <v>380</v>
      </c>
      <c r="B107" s="78" t="s">
        <v>380</v>
      </c>
      <c r="C107" s="78" t="s">
        <v>147</v>
      </c>
      <c r="D107" s="78" t="s">
        <v>147</v>
      </c>
      <c r="E107" s="67" t="s">
        <v>362</v>
      </c>
      <c r="F107" s="67" t="s">
        <v>362</v>
      </c>
      <c r="G107" s="67" t="s">
        <v>381</v>
      </c>
      <c r="H107" s="65" t="s">
        <v>382</v>
      </c>
      <c r="I107" s="65"/>
      <c r="J107" s="65" t="s">
        <v>92</v>
      </c>
      <c r="K107" s="66" t="str">
        <f>INDEX('[5]Combined Bill Code List'!$A:$A,MATCH(A107,'[5]Combined Bill Code List'!$F:$F,0))</f>
        <v>State Plan (Title XIX)</v>
      </c>
      <c r="L107" s="66" t="str">
        <f>INDEX('[6]Rate History'!$P:$P,MATCH(A107,'[6]Rate History'!$F:$F,0))</f>
        <v>1 day</v>
      </c>
      <c r="M107" s="77">
        <f>INDEX('[7]PDF DB Service Pivot'!$C:$C,MATCH(B107,'[7]PDF DB Service Pivot'!$B:$B,0))</f>
        <v>82106</v>
      </c>
      <c r="N107" s="77">
        <f t="shared" si="15"/>
        <v>82106</v>
      </c>
      <c r="O107" s="76">
        <f>INDEX('[7]PDF DB Service Pivot'!$D:$D,MATCH(B107,'[7]PDF DB Service Pivot'!$B:$B,0))</f>
        <v>10860237.099999998</v>
      </c>
      <c r="P107" s="91">
        <v>45170</v>
      </c>
      <c r="Q107" s="81">
        <v>143.96</v>
      </c>
      <c r="R107" s="81">
        <v>57.689999999999976</v>
      </c>
      <c r="S107" s="354">
        <f t="shared" si="25"/>
        <v>0.40073631564323403</v>
      </c>
      <c r="T107" s="339">
        <v>5.49</v>
      </c>
      <c r="U107" s="81">
        <f t="shared" si="13"/>
        <v>0</v>
      </c>
      <c r="V107" s="81" cm="1">
        <f t="array" ref="V107">_xlfn.IFS('Fiscal by Program'!$B$7&lt;10.61,0,'Fiscal by Program'!$B$7&gt;10.6,(ROUND('Fiscal by Program'!$B$7*(1+IF(D107="Yes",'Fiscal by Program'!$B$9,'Fiscal by Program'!$B$8))*T107,2)))</f>
        <v>0</v>
      </c>
      <c r="W107" s="81">
        <f t="shared" si="16"/>
        <v>0</v>
      </c>
      <c r="X107" s="81">
        <f>ROUND((R107/(1+IF(D107="Yes",'Fiscal by Program'!$B$9,'Fiscal by Program'!$B$8))),2)+0.01</f>
        <v>52.1</v>
      </c>
      <c r="Y107" s="81">
        <f t="shared" si="17"/>
        <v>143.96</v>
      </c>
      <c r="Z107" s="88">
        <v>96</v>
      </c>
      <c r="AA107" s="90">
        <f t="shared" si="14"/>
        <v>5.7187500000000002E-2</v>
      </c>
      <c r="AB107" s="75">
        <f>INDEX('[9]Service List'!$K:$K,MATCH(A107,'[9]Service List'!$F:$F,0))</f>
        <v>467</v>
      </c>
      <c r="AC107" s="73">
        <f>INDEX('[5]Combined Bill Code List'!$P:$P,MATCH(A107,'[5]Combined Bill Code List'!$F:$F,0))</f>
        <v>0</v>
      </c>
      <c r="AD107" s="67" t="s">
        <v>362</v>
      </c>
      <c r="AE107" s="79">
        <v>1</v>
      </c>
      <c r="AF107" s="66">
        <v>0</v>
      </c>
      <c r="AG107" s="70">
        <f>ROUND(INDEX('All Trends'!D:D,MATCH($AD107,'All Trends'!$C:$C,0)),4)</f>
        <v>0.91639999999999999</v>
      </c>
      <c r="AH107" s="70">
        <f>ROUND(INDEX('All Trends'!E:E,MATCH($AD107,'All Trends'!$C:$C,0)),4)</f>
        <v>0.92300000000000004</v>
      </c>
      <c r="AI107" s="70">
        <f>ROUND(INDEX('All Trends'!F:F,MATCH($AD107,'All Trends'!$C:$C,0)),4)</f>
        <v>0.98150000000000004</v>
      </c>
      <c r="AJ107" s="70">
        <f>ROUND(INDEX('All Trends'!G:G,MATCH($AD107,'All Trends'!$C:$C,0)),4)</f>
        <v>0.98929999999999996</v>
      </c>
      <c r="AK107" s="70">
        <f>ROUND(INDEX('All Trends'!H:H,MATCH($AD107,'All Trends'!$C:$C,0)),4)</f>
        <v>0.99219999999999997</v>
      </c>
      <c r="AL107" s="74" t="s">
        <v>148</v>
      </c>
      <c r="AM107" s="92">
        <f t="shared" si="18"/>
        <v>442422.84</v>
      </c>
      <c r="AN107" s="92">
        <f t="shared" si="19"/>
        <v>445938.79</v>
      </c>
      <c r="AO107" s="69">
        <f t="shared" si="20"/>
        <v>0</v>
      </c>
      <c r="AP107" s="69">
        <f t="shared" si="21"/>
        <v>0</v>
      </c>
      <c r="AQ107" s="69">
        <f t="shared" si="22"/>
        <v>0</v>
      </c>
      <c r="AR107" s="69">
        <f t="shared" si="23"/>
        <v>0</v>
      </c>
      <c r="AS107" s="409"/>
      <c r="AT107" s="409"/>
      <c r="AU107" s="409"/>
      <c r="AV107" s="65"/>
      <c r="AW107" s="65"/>
      <c r="AX107" s="65"/>
      <c r="AY107" s="65"/>
      <c r="AZ107" s="65"/>
      <c r="BD107" s="65"/>
    </row>
    <row r="108" spans="1:56" s="66" customFormat="1">
      <c r="A108" s="78" t="s">
        <v>383</v>
      </c>
      <c r="B108" s="78" t="s">
        <v>383</v>
      </c>
      <c r="C108" s="78" t="s">
        <v>147</v>
      </c>
      <c r="D108" s="78" t="s">
        <v>147</v>
      </c>
      <c r="E108" s="67" t="s">
        <v>362</v>
      </c>
      <c r="F108" s="67" t="s">
        <v>362</v>
      </c>
      <c r="G108" s="67" t="s">
        <v>384</v>
      </c>
      <c r="H108" s="65" t="s">
        <v>385</v>
      </c>
      <c r="I108" s="65"/>
      <c r="J108" s="65" t="s">
        <v>92</v>
      </c>
      <c r="K108" s="66" t="str">
        <f>INDEX('[5]Combined Bill Code List'!$A:$A,MATCH(A108,'[5]Combined Bill Code List'!$F:$F,0))</f>
        <v>State Plan (Title XIX)</v>
      </c>
      <c r="L108" s="66" t="str">
        <f>INDEX('[6]Rate History'!$P:$P,MATCH(A108,'[6]Rate History'!$F:$F,0))</f>
        <v>1 day</v>
      </c>
      <c r="M108" s="77">
        <f>INDEX('[7]PDF DB Service Pivot'!$C:$C,MATCH(B108,'[7]PDF DB Service Pivot'!$B:$B,0))</f>
        <v>636</v>
      </c>
      <c r="N108" s="77">
        <f t="shared" si="15"/>
        <v>636</v>
      </c>
      <c r="O108" s="76">
        <f>INDEX('[7]PDF DB Service Pivot'!$D:$D,MATCH(B108,'[7]PDF DB Service Pivot'!$B:$B,0))</f>
        <v>121413.88999999998</v>
      </c>
      <c r="P108" s="91">
        <v>45170</v>
      </c>
      <c r="Q108" s="81">
        <v>204.12</v>
      </c>
      <c r="R108" s="81">
        <v>90.43</v>
      </c>
      <c r="S108" s="354">
        <f t="shared" si="25"/>
        <v>0.44302371154223008</v>
      </c>
      <c r="T108" s="339">
        <v>5.49</v>
      </c>
      <c r="U108" s="81">
        <f t="shared" si="13"/>
        <v>0</v>
      </c>
      <c r="V108" s="81" cm="1">
        <f t="array" ref="V108">_xlfn.IFS('Fiscal by Program'!$B$7&lt;10.61,0,'Fiscal by Program'!$B$7&gt;10.6,(ROUND('Fiscal by Program'!$B$7*(1+IF(D108="Yes",'Fiscal by Program'!$B$9,'Fiscal by Program'!$B$8))*T108,2)))</f>
        <v>0</v>
      </c>
      <c r="W108" s="81">
        <f t="shared" si="16"/>
        <v>0</v>
      </c>
      <c r="X108" s="81">
        <f>ROUND((R108/(1+IF(D108="Yes",'Fiscal by Program'!$B$9,'Fiscal by Program'!$B$8))),2)+0.01</f>
        <v>81.660000000000011</v>
      </c>
      <c r="Y108" s="81">
        <f t="shared" si="17"/>
        <v>204.12</v>
      </c>
      <c r="Z108" s="88">
        <v>96</v>
      </c>
      <c r="AA108" s="90">
        <f t="shared" si="14"/>
        <v>5.7187500000000002E-2</v>
      </c>
      <c r="AB108" s="75">
        <f>INDEX('[9]Service List'!$K:$K,MATCH(A108,'[9]Service List'!$F:$F,0))</f>
        <v>468</v>
      </c>
      <c r="AC108" s="73">
        <f>INDEX('[5]Combined Bill Code List'!$P:$P,MATCH(A108,'[5]Combined Bill Code List'!$F:$F,0))</f>
        <v>0</v>
      </c>
      <c r="AD108" s="67" t="s">
        <v>362</v>
      </c>
      <c r="AE108" s="79">
        <v>1</v>
      </c>
      <c r="AF108" s="66">
        <v>0</v>
      </c>
      <c r="AG108" s="70">
        <f>ROUND(INDEX('All Trends'!D:D,MATCH($AD108,'All Trends'!$C:$C,0)),4)</f>
        <v>0.91639999999999999</v>
      </c>
      <c r="AH108" s="70">
        <f>ROUND(INDEX('All Trends'!E:E,MATCH($AD108,'All Trends'!$C:$C,0)),4)</f>
        <v>0.92300000000000004</v>
      </c>
      <c r="AI108" s="70">
        <f>ROUND(INDEX('All Trends'!F:F,MATCH($AD108,'All Trends'!$C:$C,0)),4)</f>
        <v>0.98150000000000004</v>
      </c>
      <c r="AJ108" s="70">
        <f>ROUND(INDEX('All Trends'!G:G,MATCH($AD108,'All Trends'!$C:$C,0)),4)</f>
        <v>0.98929999999999996</v>
      </c>
      <c r="AK108" s="70">
        <f>ROUND(INDEX('All Trends'!H:H,MATCH($AD108,'All Trends'!$C:$C,0)),4)</f>
        <v>0.99219999999999997</v>
      </c>
      <c r="AL108" s="74" t="s">
        <v>148</v>
      </c>
      <c r="AM108" s="92">
        <f t="shared" si="18"/>
        <v>3427.04</v>
      </c>
      <c r="AN108" s="92">
        <f t="shared" si="19"/>
        <v>3454.28</v>
      </c>
      <c r="AO108" s="69">
        <f t="shared" si="20"/>
        <v>0</v>
      </c>
      <c r="AP108" s="69">
        <f t="shared" si="21"/>
        <v>0</v>
      </c>
      <c r="AQ108" s="69">
        <f t="shared" si="22"/>
        <v>0</v>
      </c>
      <c r="AR108" s="69">
        <f t="shared" si="23"/>
        <v>0</v>
      </c>
      <c r="AS108" s="409"/>
      <c r="AT108" s="409"/>
      <c r="AU108" s="409"/>
      <c r="AV108" s="65"/>
      <c r="AW108" s="65"/>
      <c r="AX108" s="65"/>
      <c r="AY108" s="65"/>
      <c r="AZ108" s="65"/>
      <c r="BD108" s="65"/>
    </row>
    <row r="109" spans="1:56" s="66" customFormat="1">
      <c r="A109" s="78" t="s">
        <v>386</v>
      </c>
      <c r="B109" s="78" t="s">
        <v>386</v>
      </c>
      <c r="C109" s="78" t="s">
        <v>147</v>
      </c>
      <c r="D109" s="78" t="s">
        <v>147</v>
      </c>
      <c r="E109" s="67" t="s">
        <v>362</v>
      </c>
      <c r="F109" s="67" t="s">
        <v>362</v>
      </c>
      <c r="G109" s="67" t="s">
        <v>387</v>
      </c>
      <c r="H109" s="65" t="s">
        <v>388</v>
      </c>
      <c r="I109" s="65"/>
      <c r="J109" s="65" t="s">
        <v>92</v>
      </c>
      <c r="K109" s="66" t="str">
        <f>INDEX('[5]Combined Bill Code List'!$A:$A,MATCH(A109,'[5]Combined Bill Code List'!$F:$F,0))</f>
        <v>State Plan (Title XIX)</v>
      </c>
      <c r="L109" s="66" t="str">
        <f>INDEX('[6]Rate History'!$P:$P,MATCH(A109,'[6]Rate History'!$F:$F,0))</f>
        <v>1 day</v>
      </c>
      <c r="M109" s="77">
        <f>INDEX('[7]PDF DB Service Pivot'!$C:$C,MATCH(B109,'[7]PDF DB Service Pivot'!$B:$B,0))</f>
        <v>9749</v>
      </c>
      <c r="N109" s="77">
        <f t="shared" si="15"/>
        <v>9749</v>
      </c>
      <c r="O109" s="76">
        <f>INDEX('[7]PDF DB Service Pivot'!$D:$D,MATCH(B109,'[7]PDF DB Service Pivot'!$B:$B,0))</f>
        <v>1518306.42</v>
      </c>
      <c r="P109" s="91">
        <v>45170</v>
      </c>
      <c r="Q109" s="81">
        <v>170.24</v>
      </c>
      <c r="R109" s="81">
        <v>72.62</v>
      </c>
      <c r="S109" s="354">
        <f t="shared" si="25"/>
        <v>0.42657424812030076</v>
      </c>
      <c r="T109" s="339">
        <v>5.49</v>
      </c>
      <c r="U109" s="81">
        <f t="shared" si="13"/>
        <v>0</v>
      </c>
      <c r="V109" s="81" cm="1">
        <f t="array" ref="V109">_xlfn.IFS('Fiscal by Program'!$B$7&lt;10.61,0,'Fiscal by Program'!$B$7&gt;10.6,(ROUND('Fiscal by Program'!$B$7*(1+IF(D109="Yes",'Fiscal by Program'!$B$9,'Fiscal by Program'!$B$8))*T109,2)))</f>
        <v>0</v>
      </c>
      <c r="W109" s="81">
        <f t="shared" si="16"/>
        <v>0</v>
      </c>
      <c r="X109" s="81">
        <f>ROUND((R109/(1+IF(D109="Yes",'Fiscal by Program'!$B$9,'Fiscal by Program'!$B$8))),2)+0.01</f>
        <v>65.58</v>
      </c>
      <c r="Y109" s="81">
        <f t="shared" si="17"/>
        <v>170.24</v>
      </c>
      <c r="Z109" s="88">
        <v>96</v>
      </c>
      <c r="AA109" s="90">
        <f t="shared" si="14"/>
        <v>5.7187500000000002E-2</v>
      </c>
      <c r="AB109" s="75">
        <f>INDEX('[9]Service List'!$K:$K,MATCH(A109,'[9]Service List'!$F:$F,0))</f>
        <v>469</v>
      </c>
      <c r="AC109" s="73">
        <f>INDEX('[5]Combined Bill Code List'!$P:$P,MATCH(A109,'[5]Combined Bill Code List'!$F:$F,0))</f>
        <v>0</v>
      </c>
      <c r="AD109" s="67" t="s">
        <v>362</v>
      </c>
      <c r="AE109" s="79">
        <v>1</v>
      </c>
      <c r="AF109" s="66">
        <v>0</v>
      </c>
      <c r="AG109" s="70">
        <f>ROUND(INDEX('All Trends'!D:D,MATCH($AD109,'All Trends'!$C:$C,0)),4)</f>
        <v>0.91639999999999999</v>
      </c>
      <c r="AH109" s="70">
        <f>ROUND(INDEX('All Trends'!E:E,MATCH($AD109,'All Trends'!$C:$C,0)),4)</f>
        <v>0.92300000000000004</v>
      </c>
      <c r="AI109" s="70">
        <f>ROUND(INDEX('All Trends'!F:F,MATCH($AD109,'All Trends'!$C:$C,0)),4)</f>
        <v>0.98150000000000004</v>
      </c>
      <c r="AJ109" s="70">
        <f>ROUND(INDEX('All Trends'!G:G,MATCH($AD109,'All Trends'!$C:$C,0)),4)</f>
        <v>0.98929999999999996</v>
      </c>
      <c r="AK109" s="70">
        <f>ROUND(INDEX('All Trends'!H:H,MATCH($AD109,'All Trends'!$C:$C,0)),4)</f>
        <v>0.99219999999999997</v>
      </c>
      <c r="AL109" s="74" t="s">
        <v>148</v>
      </c>
      <c r="AM109" s="92">
        <f t="shared" si="18"/>
        <v>52531.85</v>
      </c>
      <c r="AN109" s="92">
        <f t="shared" si="19"/>
        <v>52949.32</v>
      </c>
      <c r="AO109" s="69">
        <f t="shared" si="20"/>
        <v>0</v>
      </c>
      <c r="AP109" s="69">
        <f t="shared" si="21"/>
        <v>0</v>
      </c>
      <c r="AQ109" s="69">
        <f t="shared" si="22"/>
        <v>0</v>
      </c>
      <c r="AR109" s="69">
        <f t="shared" si="23"/>
        <v>0</v>
      </c>
      <c r="AS109" s="409"/>
      <c r="AT109" s="409"/>
      <c r="AU109" s="409"/>
      <c r="AV109" s="65"/>
      <c r="AW109" s="65"/>
      <c r="AX109" s="65"/>
      <c r="AY109" s="65"/>
      <c r="AZ109" s="65"/>
      <c r="BD109" s="65"/>
    </row>
    <row r="110" spans="1:56" s="66" customFormat="1">
      <c r="A110" s="78" t="s">
        <v>389</v>
      </c>
      <c r="B110" s="78" t="s">
        <v>389</v>
      </c>
      <c r="C110" s="78" t="s">
        <v>147</v>
      </c>
      <c r="D110" s="78" t="s">
        <v>147</v>
      </c>
      <c r="E110" s="67" t="s">
        <v>362</v>
      </c>
      <c r="F110" s="67" t="s">
        <v>362</v>
      </c>
      <c r="G110" s="67" t="s">
        <v>390</v>
      </c>
      <c r="H110" s="65" t="s">
        <v>391</v>
      </c>
      <c r="I110" s="65"/>
      <c r="J110" s="65" t="s">
        <v>92</v>
      </c>
      <c r="K110" s="66" t="str">
        <f>INDEX('[5]Combined Bill Code List'!$A:$A,MATCH(A110,'[5]Combined Bill Code List'!$F:$F,0))</f>
        <v>State Plan (Title XIX)</v>
      </c>
      <c r="L110" s="66" t="str">
        <f>INDEX('[6]Rate History'!$P:$P,MATCH(A110,'[6]Rate History'!$F:$F,0))</f>
        <v>1 day</v>
      </c>
      <c r="M110" s="77">
        <f>INDEX('[7]PDF DB Service Pivot'!$C:$C,MATCH(B110,'[7]PDF DB Service Pivot'!$B:$B,0))</f>
        <v>216</v>
      </c>
      <c r="N110" s="77">
        <f t="shared" si="15"/>
        <v>216</v>
      </c>
      <c r="O110" s="76">
        <f>INDEX('[7]PDF DB Service Pivot'!$D:$D,MATCH(B110,'[7]PDF DB Service Pivot'!$B:$B,0))</f>
        <v>84322.38</v>
      </c>
      <c r="P110" s="91">
        <v>45170</v>
      </c>
      <c r="Q110" s="81">
        <v>390.64</v>
      </c>
      <c r="R110" s="81">
        <v>224.61</v>
      </c>
      <c r="S110" s="354">
        <f t="shared" si="25"/>
        <v>0.57497952078640191</v>
      </c>
      <c r="T110" s="339">
        <v>5.49</v>
      </c>
      <c r="U110" s="81">
        <f t="shared" si="13"/>
        <v>0</v>
      </c>
      <c r="V110" s="81" cm="1">
        <f t="array" ref="V110">_xlfn.IFS('Fiscal by Program'!$B$7&lt;10.61,0,'Fiscal by Program'!$B$7&gt;10.6,(ROUND('Fiscal by Program'!$B$7*(1+IF(D110="Yes",'Fiscal by Program'!$B$9,'Fiscal by Program'!$B$8))*T110,2)))</f>
        <v>0</v>
      </c>
      <c r="W110" s="81">
        <f t="shared" si="16"/>
        <v>0</v>
      </c>
      <c r="X110" s="81">
        <f>ROUND((R110/(1+IF(D110="Yes",'Fiscal by Program'!$B$9,'Fiscal by Program'!$B$8))),2)+0.01</f>
        <v>202.82</v>
      </c>
      <c r="Y110" s="81">
        <f t="shared" si="17"/>
        <v>390.64</v>
      </c>
      <c r="Z110" s="88">
        <v>96</v>
      </c>
      <c r="AA110" s="90">
        <f t="shared" si="14"/>
        <v>5.7187500000000002E-2</v>
      </c>
      <c r="AB110" s="75">
        <f>INDEX('[9]Service List'!$K:$K,MATCH(A110,'[9]Service List'!$F:$F,0))</f>
        <v>470</v>
      </c>
      <c r="AC110" s="73">
        <f>INDEX('[5]Combined Bill Code List'!$P:$P,MATCH(A110,'[5]Combined Bill Code List'!$F:$F,0))</f>
        <v>0</v>
      </c>
      <c r="AD110" s="67" t="s">
        <v>362</v>
      </c>
      <c r="AE110" s="79">
        <v>1</v>
      </c>
      <c r="AF110" s="66">
        <v>0</v>
      </c>
      <c r="AG110" s="70">
        <f>ROUND(INDEX('All Trends'!D:D,MATCH($AD110,'All Trends'!$C:$C,0)),4)</f>
        <v>0.91639999999999999</v>
      </c>
      <c r="AH110" s="70">
        <f>ROUND(INDEX('All Trends'!E:E,MATCH($AD110,'All Trends'!$C:$C,0)),4)</f>
        <v>0.92300000000000004</v>
      </c>
      <c r="AI110" s="70">
        <f>ROUND(INDEX('All Trends'!F:F,MATCH($AD110,'All Trends'!$C:$C,0)),4)</f>
        <v>0.98150000000000004</v>
      </c>
      <c r="AJ110" s="70">
        <f>ROUND(INDEX('All Trends'!G:G,MATCH($AD110,'All Trends'!$C:$C,0)),4)</f>
        <v>0.98929999999999996</v>
      </c>
      <c r="AK110" s="70">
        <f>ROUND(INDEX('All Trends'!H:H,MATCH($AD110,'All Trends'!$C:$C,0)),4)</f>
        <v>0.99219999999999997</v>
      </c>
      <c r="AL110" s="74" t="s">
        <v>148</v>
      </c>
      <c r="AM110" s="92">
        <f t="shared" si="18"/>
        <v>1163.9000000000001</v>
      </c>
      <c r="AN110" s="92">
        <f t="shared" si="19"/>
        <v>1173.1500000000001</v>
      </c>
      <c r="AO110" s="69">
        <f t="shared" si="20"/>
        <v>0</v>
      </c>
      <c r="AP110" s="69">
        <f t="shared" si="21"/>
        <v>0</v>
      </c>
      <c r="AQ110" s="69">
        <f t="shared" si="22"/>
        <v>0</v>
      </c>
      <c r="AR110" s="69">
        <f t="shared" si="23"/>
        <v>0</v>
      </c>
      <c r="AS110" s="409"/>
      <c r="AT110" s="409"/>
      <c r="AU110" s="409"/>
      <c r="AV110" s="65"/>
      <c r="AW110" s="65"/>
      <c r="AX110" s="65"/>
      <c r="AY110" s="65"/>
      <c r="AZ110" s="65"/>
      <c r="BD110" s="65"/>
    </row>
    <row r="111" spans="1:56" s="66" customFormat="1">
      <c r="A111" s="78" t="s">
        <v>392</v>
      </c>
      <c r="B111" s="78" t="s">
        <v>392</v>
      </c>
      <c r="C111" s="78" t="s">
        <v>147</v>
      </c>
      <c r="D111" s="78" t="s">
        <v>147</v>
      </c>
      <c r="E111" s="67" t="s">
        <v>362</v>
      </c>
      <c r="F111" s="67" t="s">
        <v>362</v>
      </c>
      <c r="G111" s="67" t="s">
        <v>393</v>
      </c>
      <c r="H111" s="65" t="s">
        <v>394</v>
      </c>
      <c r="I111" s="65"/>
      <c r="J111" s="65" t="s">
        <v>92</v>
      </c>
      <c r="K111" s="66" t="str">
        <f>INDEX('[5]Combined Bill Code List'!$A:$A,MATCH(A111,'[5]Combined Bill Code List'!$F:$F,0))</f>
        <v>State Plan (Title XIX)</v>
      </c>
      <c r="L111" s="66" t="str">
        <f>INDEX('[6]Rate History'!$P:$P,MATCH(A111,'[6]Rate History'!$F:$F,0))</f>
        <v>1 day</v>
      </c>
      <c r="M111" s="77">
        <f>INDEX('[7]PDF DB Service Pivot'!$C:$C,MATCH(B111,'[7]PDF DB Service Pivot'!$B:$B,0))</f>
        <v>364342</v>
      </c>
      <c r="N111" s="77">
        <f t="shared" si="15"/>
        <v>364342</v>
      </c>
      <c r="O111" s="76">
        <f>INDEX('[7]PDF DB Service Pivot'!$D:$D,MATCH(B111,'[7]PDF DB Service Pivot'!$B:$B,0))</f>
        <v>50694762.949999973</v>
      </c>
      <c r="P111" s="91">
        <v>45170</v>
      </c>
      <c r="Q111" s="81">
        <v>155.04</v>
      </c>
      <c r="R111" s="81">
        <v>60.394399999997283</v>
      </c>
      <c r="S111" s="354">
        <f t="shared" si="25"/>
        <v>0.38954076367387308</v>
      </c>
      <c r="T111" s="339">
        <v>5.49</v>
      </c>
      <c r="U111" s="81">
        <f t="shared" si="13"/>
        <v>0</v>
      </c>
      <c r="V111" s="81" cm="1">
        <f t="array" ref="V111">_xlfn.IFS('Fiscal by Program'!$B$7&lt;10.61,0,'Fiscal by Program'!$B$7&gt;10.6,(ROUND('Fiscal by Program'!$B$7*(1+IF(D111="Yes",'Fiscal by Program'!$B$9,'Fiscal by Program'!$B$8))*T111,2)))</f>
        <v>0</v>
      </c>
      <c r="W111" s="81">
        <f t="shared" si="16"/>
        <v>0</v>
      </c>
      <c r="X111" s="81">
        <f>ROUND((R111/(1+IF(D111="Yes",'Fiscal by Program'!$B$9,'Fiscal by Program'!$B$8))),2)+0.01</f>
        <v>54.54</v>
      </c>
      <c r="Y111" s="81">
        <f t="shared" si="17"/>
        <v>155.04</v>
      </c>
      <c r="Z111" s="88">
        <v>96</v>
      </c>
      <c r="AA111" s="90">
        <f t="shared" si="14"/>
        <v>5.7187500000000002E-2</v>
      </c>
      <c r="AB111" s="75">
        <f>INDEX('[9]Service List'!$K:$K,MATCH(A111,'[9]Service List'!$F:$F,0))</f>
        <v>471</v>
      </c>
      <c r="AC111" s="73">
        <f>INDEX('[5]Combined Bill Code List'!$P:$P,MATCH(A111,'[5]Combined Bill Code List'!$F:$F,0))</f>
        <v>0</v>
      </c>
      <c r="AD111" s="67" t="s">
        <v>362</v>
      </c>
      <c r="AE111" s="79">
        <v>1</v>
      </c>
      <c r="AF111" s="66">
        <v>0</v>
      </c>
      <c r="AG111" s="70">
        <f>ROUND(INDEX('All Trends'!D:D,MATCH($AD111,'All Trends'!$C:$C,0)),4)</f>
        <v>0.91639999999999999</v>
      </c>
      <c r="AH111" s="70">
        <f>ROUND(INDEX('All Trends'!E:E,MATCH($AD111,'All Trends'!$C:$C,0)),4)</f>
        <v>0.92300000000000004</v>
      </c>
      <c r="AI111" s="70">
        <f>ROUND(INDEX('All Trends'!F:F,MATCH($AD111,'All Trends'!$C:$C,0)),4)</f>
        <v>0.98150000000000004</v>
      </c>
      <c r="AJ111" s="70">
        <f>ROUND(INDEX('All Trends'!G:G,MATCH($AD111,'All Trends'!$C:$C,0)),4)</f>
        <v>0.98929999999999996</v>
      </c>
      <c r="AK111" s="70">
        <f>ROUND(INDEX('All Trends'!H:H,MATCH($AD111,'All Trends'!$C:$C,0)),4)</f>
        <v>0.99219999999999997</v>
      </c>
      <c r="AL111" s="74" t="s">
        <v>148</v>
      </c>
      <c r="AM111" s="92">
        <f t="shared" si="18"/>
        <v>1963233.18</v>
      </c>
      <c r="AN111" s="92">
        <f t="shared" si="19"/>
        <v>1978835.04</v>
      </c>
      <c r="AO111" s="69">
        <f t="shared" si="20"/>
        <v>0</v>
      </c>
      <c r="AP111" s="69">
        <f t="shared" si="21"/>
        <v>0</v>
      </c>
      <c r="AQ111" s="69">
        <f t="shared" si="22"/>
        <v>0</v>
      </c>
      <c r="AR111" s="69">
        <f t="shared" si="23"/>
        <v>0</v>
      </c>
      <c r="AS111" s="409"/>
      <c r="AT111" s="409"/>
      <c r="AU111" s="409"/>
      <c r="AV111" s="65"/>
      <c r="AW111" s="65"/>
      <c r="AX111" s="65"/>
      <c r="AY111" s="65"/>
      <c r="AZ111" s="65"/>
      <c r="BA111" s="66" t="s">
        <v>350</v>
      </c>
      <c r="BD111" s="65"/>
    </row>
    <row r="112" spans="1:56" s="66" customFormat="1">
      <c r="A112" s="78" t="s">
        <v>395</v>
      </c>
      <c r="B112" s="78" t="s">
        <v>395</v>
      </c>
      <c r="C112" s="78" t="s">
        <v>147</v>
      </c>
      <c r="D112" s="78" t="s">
        <v>147</v>
      </c>
      <c r="E112" s="67" t="s">
        <v>362</v>
      </c>
      <c r="F112" s="67" t="s">
        <v>362</v>
      </c>
      <c r="G112" s="67" t="s">
        <v>396</v>
      </c>
      <c r="H112" s="65" t="s">
        <v>397</v>
      </c>
      <c r="I112" s="65"/>
      <c r="J112" s="65" t="s">
        <v>92</v>
      </c>
      <c r="K112" s="66" t="str">
        <f>INDEX('[5]Combined Bill Code List'!$A:$A,MATCH(A112,'[5]Combined Bill Code List'!$F:$F,0))</f>
        <v>State Plan (Title XIX)</v>
      </c>
      <c r="L112" s="66" t="str">
        <f>INDEX('[6]Rate History'!$P:$P,MATCH(A112,'[6]Rate History'!$F:$F,0))</f>
        <v>1 day</v>
      </c>
      <c r="M112" s="77">
        <f>INDEX('[7]PDF DB Service Pivot'!$C:$C,MATCH(B112,'[7]PDF DB Service Pivot'!$B:$B,0))</f>
        <v>767358</v>
      </c>
      <c r="N112" s="77">
        <f t="shared" si="15"/>
        <v>767358</v>
      </c>
      <c r="O112" s="76">
        <f>INDEX('[7]PDF DB Service Pivot'!$D:$D,MATCH(B112,'[7]PDF DB Service Pivot'!$B:$B,0))</f>
        <v>121603572.75000003</v>
      </c>
      <c r="P112" s="91">
        <v>45170</v>
      </c>
      <c r="Q112" s="81">
        <v>172.68</v>
      </c>
      <c r="R112" s="81">
        <v>69.85839999999132</v>
      </c>
      <c r="S112" s="354">
        <f t="shared" si="25"/>
        <v>0.40455408848732521</v>
      </c>
      <c r="T112" s="339">
        <v>5.49</v>
      </c>
      <c r="U112" s="81">
        <f t="shared" si="13"/>
        <v>0</v>
      </c>
      <c r="V112" s="81" cm="1">
        <f t="array" ref="V112">_xlfn.IFS('Fiscal by Program'!$B$7&lt;10.61,0,'Fiscal by Program'!$B$7&gt;10.6,(ROUND('Fiscal by Program'!$B$7*(1+IF(D112="Yes",'Fiscal by Program'!$B$9,'Fiscal by Program'!$B$8))*T112,2)))</f>
        <v>0</v>
      </c>
      <c r="W112" s="81">
        <f t="shared" si="16"/>
        <v>0</v>
      </c>
      <c r="X112" s="81">
        <f>ROUND((R112/(1+IF(D112="Yes",'Fiscal by Program'!$B$9,'Fiscal by Program'!$B$8))),2)+0.01</f>
        <v>63.089999999999996</v>
      </c>
      <c r="Y112" s="81">
        <f t="shared" si="17"/>
        <v>172.68</v>
      </c>
      <c r="Z112" s="88">
        <v>96</v>
      </c>
      <c r="AA112" s="90">
        <f t="shared" si="14"/>
        <v>5.7187500000000002E-2</v>
      </c>
      <c r="AB112" s="75">
        <f>INDEX('[9]Service List'!$K:$K,MATCH(A112,'[9]Service List'!$F:$F,0))</f>
        <v>472</v>
      </c>
      <c r="AC112" s="73">
        <f>INDEX('[5]Combined Bill Code List'!$P:$P,MATCH(A112,'[5]Combined Bill Code List'!$F:$F,0))</f>
        <v>0</v>
      </c>
      <c r="AD112" s="67" t="s">
        <v>362</v>
      </c>
      <c r="AE112" s="79">
        <v>1</v>
      </c>
      <c r="AF112" s="66">
        <v>0</v>
      </c>
      <c r="AG112" s="70">
        <f>ROUND(INDEX('All Trends'!D:D,MATCH($AD112,'All Trends'!$C:$C,0)),4)</f>
        <v>0.91639999999999999</v>
      </c>
      <c r="AH112" s="70">
        <f>ROUND(INDEX('All Trends'!E:E,MATCH($AD112,'All Trends'!$C:$C,0)),4)</f>
        <v>0.92300000000000004</v>
      </c>
      <c r="AI112" s="70">
        <f>ROUND(INDEX('All Trends'!F:F,MATCH($AD112,'All Trends'!$C:$C,0)),4)</f>
        <v>0.98150000000000004</v>
      </c>
      <c r="AJ112" s="70">
        <f>ROUND(INDEX('All Trends'!G:G,MATCH($AD112,'All Trends'!$C:$C,0)),4)</f>
        <v>0.98929999999999996</v>
      </c>
      <c r="AK112" s="70">
        <f>ROUND(INDEX('All Trends'!H:H,MATCH($AD112,'All Trends'!$C:$C,0)),4)</f>
        <v>0.99219999999999997</v>
      </c>
      <c r="AL112" s="74" t="s">
        <v>148</v>
      </c>
      <c r="AM112" s="92">
        <f t="shared" si="18"/>
        <v>4134858.7</v>
      </c>
      <c r="AN112" s="92">
        <f t="shared" si="19"/>
        <v>4167718.51</v>
      </c>
      <c r="AO112" s="69">
        <f t="shared" si="20"/>
        <v>0</v>
      </c>
      <c r="AP112" s="69">
        <f t="shared" si="21"/>
        <v>0</v>
      </c>
      <c r="AQ112" s="69">
        <f t="shared" si="22"/>
        <v>0</v>
      </c>
      <c r="AR112" s="69">
        <f t="shared" si="23"/>
        <v>0</v>
      </c>
      <c r="AS112" s="409"/>
      <c r="AT112" s="409"/>
      <c r="AU112" s="409"/>
      <c r="AV112" s="65"/>
      <c r="AW112" s="65"/>
      <c r="AX112" s="65"/>
      <c r="AY112" s="65"/>
      <c r="AZ112" s="65"/>
      <c r="BA112" s="66" t="s">
        <v>350</v>
      </c>
      <c r="BD112" s="65"/>
    </row>
    <row r="113" spans="1:56" s="66" customFormat="1">
      <c r="A113" s="78" t="s">
        <v>398</v>
      </c>
      <c r="B113" s="78" t="s">
        <v>398</v>
      </c>
      <c r="C113" s="78" t="s">
        <v>147</v>
      </c>
      <c r="D113" s="78" t="s">
        <v>147</v>
      </c>
      <c r="E113" s="67" t="s">
        <v>362</v>
      </c>
      <c r="F113" s="67" t="s">
        <v>362</v>
      </c>
      <c r="G113" s="67" t="s">
        <v>399</v>
      </c>
      <c r="H113" s="65" t="s">
        <v>400</v>
      </c>
      <c r="I113" s="65"/>
      <c r="J113" s="65" t="s">
        <v>92</v>
      </c>
      <c r="K113" s="66" t="str">
        <f>INDEX('[5]Combined Bill Code List'!$A:$A,MATCH(A113,'[5]Combined Bill Code List'!$F:$F,0))</f>
        <v>State Plan (Title XIX)</v>
      </c>
      <c r="L113" s="66" t="str">
        <f>INDEX('[6]Rate History'!$P:$P,MATCH(A113,'[6]Rate History'!$F:$F,0))</f>
        <v>1 day</v>
      </c>
      <c r="M113" s="77">
        <f>INDEX('[7]PDF DB Service Pivot'!$C:$C,MATCH(B113,'[7]PDF DB Service Pivot'!$B:$B,0))</f>
        <v>64130</v>
      </c>
      <c r="N113" s="77">
        <f t="shared" si="15"/>
        <v>64130</v>
      </c>
      <c r="O113" s="76">
        <f>INDEX('[7]PDF DB Service Pivot'!$D:$D,MATCH(B113,'[7]PDF DB Service Pivot'!$B:$B,0))</f>
        <v>14660419.959999999</v>
      </c>
      <c r="P113" s="91">
        <v>45170</v>
      </c>
      <c r="Q113" s="81">
        <v>241.76</v>
      </c>
      <c r="R113" s="81">
        <v>116.63640000004706</v>
      </c>
      <c r="S113" s="354">
        <f t="shared" si="25"/>
        <v>0.48244705493070428</v>
      </c>
      <c r="T113" s="339">
        <v>5.49</v>
      </c>
      <c r="U113" s="81">
        <f t="shared" si="13"/>
        <v>0</v>
      </c>
      <c r="V113" s="81" cm="1">
        <f t="array" ref="V113">_xlfn.IFS('Fiscal by Program'!$B$7&lt;10.61,0,'Fiscal by Program'!$B$7&gt;10.6,(ROUND('Fiscal by Program'!$B$7*(1+IF(D113="Yes",'Fiscal by Program'!$B$9,'Fiscal by Program'!$B$8))*T113,2)))</f>
        <v>0</v>
      </c>
      <c r="W113" s="81">
        <f t="shared" si="16"/>
        <v>0</v>
      </c>
      <c r="X113" s="81">
        <f>ROUND((R113/(1+IF(D113="Yes",'Fiscal by Program'!$B$9,'Fiscal by Program'!$B$8))),2)+0.01</f>
        <v>105.33</v>
      </c>
      <c r="Y113" s="81">
        <f t="shared" si="17"/>
        <v>241.76</v>
      </c>
      <c r="Z113" s="88">
        <v>96</v>
      </c>
      <c r="AA113" s="90">
        <f t="shared" si="14"/>
        <v>5.7187500000000002E-2</v>
      </c>
      <c r="AB113" s="75">
        <f>INDEX('[9]Service List'!$K:$K,MATCH(A113,'[9]Service List'!$F:$F,0))</f>
        <v>473</v>
      </c>
      <c r="AC113" s="73">
        <f>INDEX('[5]Combined Bill Code List'!$P:$P,MATCH(A113,'[5]Combined Bill Code List'!$F:$F,0))</f>
        <v>0</v>
      </c>
      <c r="AD113" s="67" t="s">
        <v>362</v>
      </c>
      <c r="AE113" s="79">
        <v>1</v>
      </c>
      <c r="AF113" s="66">
        <v>0</v>
      </c>
      <c r="AG113" s="70">
        <f>ROUND(INDEX('All Trends'!D:D,MATCH($AD113,'All Trends'!$C:$C,0)),4)</f>
        <v>0.91639999999999999</v>
      </c>
      <c r="AH113" s="70">
        <f>ROUND(INDEX('All Trends'!E:E,MATCH($AD113,'All Trends'!$C:$C,0)),4)</f>
        <v>0.92300000000000004</v>
      </c>
      <c r="AI113" s="70">
        <f>ROUND(INDEX('All Trends'!F:F,MATCH($AD113,'All Trends'!$C:$C,0)),4)</f>
        <v>0.98150000000000004</v>
      </c>
      <c r="AJ113" s="70">
        <f>ROUND(INDEX('All Trends'!G:G,MATCH($AD113,'All Trends'!$C:$C,0)),4)</f>
        <v>0.98929999999999996</v>
      </c>
      <c r="AK113" s="70">
        <f>ROUND(INDEX('All Trends'!H:H,MATCH($AD113,'All Trends'!$C:$C,0)),4)</f>
        <v>0.99219999999999997</v>
      </c>
      <c r="AL113" s="74" t="s">
        <v>148</v>
      </c>
      <c r="AM113" s="92">
        <f t="shared" si="18"/>
        <v>345560.34</v>
      </c>
      <c r="AN113" s="92">
        <f t="shared" si="19"/>
        <v>348306.51</v>
      </c>
      <c r="AO113" s="69">
        <f t="shared" si="20"/>
        <v>0</v>
      </c>
      <c r="AP113" s="69">
        <f t="shared" si="21"/>
        <v>0</v>
      </c>
      <c r="AQ113" s="69">
        <f t="shared" si="22"/>
        <v>0</v>
      </c>
      <c r="AR113" s="69">
        <f t="shared" si="23"/>
        <v>0</v>
      </c>
      <c r="AS113" s="409"/>
      <c r="AT113" s="409"/>
      <c r="AU113" s="409"/>
      <c r="AV113" s="65"/>
      <c r="AW113" s="65"/>
      <c r="AX113" s="65"/>
      <c r="AY113" s="65"/>
      <c r="AZ113" s="65"/>
      <c r="BA113" s="66" t="s">
        <v>350</v>
      </c>
      <c r="BD113" s="65"/>
    </row>
    <row r="114" spans="1:56" s="66" customFormat="1">
      <c r="A114" s="78" t="s">
        <v>401</v>
      </c>
      <c r="B114" s="78" t="s">
        <v>401</v>
      </c>
      <c r="C114" s="78" t="s">
        <v>147</v>
      </c>
      <c r="D114" s="78" t="s">
        <v>147</v>
      </c>
      <c r="E114" s="67" t="s">
        <v>362</v>
      </c>
      <c r="F114" s="67" t="s">
        <v>362</v>
      </c>
      <c r="G114" s="67" t="s">
        <v>402</v>
      </c>
      <c r="H114" s="65" t="s">
        <v>403</v>
      </c>
      <c r="I114" s="65"/>
      <c r="J114" s="65" t="s">
        <v>92</v>
      </c>
      <c r="K114" s="66" t="str">
        <f>INDEX('[5]Combined Bill Code List'!$A:$A,MATCH(A114,'[5]Combined Bill Code List'!$F:$F,0))</f>
        <v>State Plan (Title XIX)</v>
      </c>
      <c r="L114" s="66" t="str">
        <f>INDEX('[6]Rate History'!$P:$P,MATCH(A114,'[6]Rate History'!$F:$F,0))</f>
        <v>1 day</v>
      </c>
      <c r="M114" s="77">
        <f>INDEX('[7]PDF DB Service Pivot'!$C:$C,MATCH(B114,'[7]PDF DB Service Pivot'!$B:$B,0))</f>
        <v>183066</v>
      </c>
      <c r="N114" s="77">
        <f t="shared" si="15"/>
        <v>183066</v>
      </c>
      <c r="O114" s="76">
        <f>INDEX('[7]PDF DB Service Pivot'!$D:$D,MATCH(B114,'[7]PDF DB Service Pivot'!$B:$B,0))</f>
        <v>33393985.560000032</v>
      </c>
      <c r="P114" s="91">
        <v>45170</v>
      </c>
      <c r="Q114" s="81">
        <v>196.72</v>
      </c>
      <c r="R114" s="81">
        <v>85.590799999987581</v>
      </c>
      <c r="S114" s="354">
        <f t="shared" si="25"/>
        <v>0.43508946726305198</v>
      </c>
      <c r="T114" s="339">
        <v>5.49</v>
      </c>
      <c r="U114" s="81">
        <f t="shared" si="13"/>
        <v>0</v>
      </c>
      <c r="V114" s="81" cm="1">
        <f t="array" ref="V114">_xlfn.IFS('Fiscal by Program'!$B$7&lt;10.61,0,'Fiscal by Program'!$B$7&gt;10.6,(ROUND('Fiscal by Program'!$B$7*(1+IF(D114="Yes",'Fiscal by Program'!$B$9,'Fiscal by Program'!$B$8))*T114,2)))</f>
        <v>0</v>
      </c>
      <c r="W114" s="81">
        <f t="shared" si="16"/>
        <v>0</v>
      </c>
      <c r="X114" s="81">
        <f>ROUND((R114/(1+IF(D114="Yes",'Fiscal by Program'!$B$9,'Fiscal by Program'!$B$8))),2)+0.01</f>
        <v>77.290000000000006</v>
      </c>
      <c r="Y114" s="81">
        <f t="shared" si="17"/>
        <v>196.72</v>
      </c>
      <c r="Z114" s="88">
        <v>96</v>
      </c>
      <c r="AA114" s="90">
        <f t="shared" si="14"/>
        <v>5.7187500000000002E-2</v>
      </c>
      <c r="AB114" s="75">
        <f>INDEX('[9]Service List'!$K:$K,MATCH(A114,'[9]Service List'!$F:$F,0))</f>
        <v>474</v>
      </c>
      <c r="AC114" s="73">
        <f>INDEX('[5]Combined Bill Code List'!$P:$P,MATCH(A114,'[5]Combined Bill Code List'!$F:$F,0))</f>
        <v>0</v>
      </c>
      <c r="AD114" s="67" t="s">
        <v>362</v>
      </c>
      <c r="AE114" s="79">
        <v>1</v>
      </c>
      <c r="AF114" s="66">
        <v>0</v>
      </c>
      <c r="AG114" s="70">
        <f>ROUND(INDEX('All Trends'!D:D,MATCH($AD114,'All Trends'!$C:$C,0)),4)</f>
        <v>0.91639999999999999</v>
      </c>
      <c r="AH114" s="70">
        <f>ROUND(INDEX('All Trends'!E:E,MATCH($AD114,'All Trends'!$C:$C,0)),4)</f>
        <v>0.92300000000000004</v>
      </c>
      <c r="AI114" s="70">
        <f>ROUND(INDEX('All Trends'!F:F,MATCH($AD114,'All Trends'!$C:$C,0)),4)</f>
        <v>0.98150000000000004</v>
      </c>
      <c r="AJ114" s="70">
        <f>ROUND(INDEX('All Trends'!G:G,MATCH($AD114,'All Trends'!$C:$C,0)),4)</f>
        <v>0.98929999999999996</v>
      </c>
      <c r="AK114" s="70">
        <f>ROUND(INDEX('All Trends'!H:H,MATCH($AD114,'All Trends'!$C:$C,0)),4)</f>
        <v>0.99219999999999997</v>
      </c>
      <c r="AL114" s="74" t="s">
        <v>148</v>
      </c>
      <c r="AM114" s="92">
        <f t="shared" si="18"/>
        <v>986439.24</v>
      </c>
      <c r="AN114" s="92">
        <f t="shared" si="19"/>
        <v>994278.49</v>
      </c>
      <c r="AO114" s="69">
        <f t="shared" si="20"/>
        <v>0</v>
      </c>
      <c r="AP114" s="69">
        <f t="shared" si="21"/>
        <v>0</v>
      </c>
      <c r="AQ114" s="69">
        <f t="shared" si="22"/>
        <v>0</v>
      </c>
      <c r="AR114" s="69">
        <f t="shared" si="23"/>
        <v>0</v>
      </c>
      <c r="AS114" s="409"/>
      <c r="AT114" s="409"/>
      <c r="AU114" s="409"/>
      <c r="AV114" s="65"/>
      <c r="AW114" s="65"/>
      <c r="AX114" s="65"/>
      <c r="AY114" s="65"/>
      <c r="AZ114" s="65"/>
      <c r="BD114" s="65"/>
    </row>
    <row r="115" spans="1:56" s="66" customFormat="1">
      <c r="A115" s="78" t="s">
        <v>404</v>
      </c>
      <c r="B115" s="78" t="s">
        <v>404</v>
      </c>
      <c r="C115" s="78" t="s">
        <v>147</v>
      </c>
      <c r="D115" s="78" t="s">
        <v>147</v>
      </c>
      <c r="E115" s="67" t="s">
        <v>362</v>
      </c>
      <c r="F115" s="67" t="s">
        <v>362</v>
      </c>
      <c r="G115" s="67" t="s">
        <v>405</v>
      </c>
      <c r="H115" s="65" t="s">
        <v>406</v>
      </c>
      <c r="I115" s="65"/>
      <c r="J115" s="65" t="s">
        <v>92</v>
      </c>
      <c r="K115" s="66" t="str">
        <f>INDEX('[5]Combined Bill Code List'!$A:$A,MATCH(A115,'[5]Combined Bill Code List'!$F:$F,0))</f>
        <v>State Plan (Title XIX)</v>
      </c>
      <c r="L115" s="66" t="str">
        <f>INDEX('[6]Rate History'!$P:$P,MATCH(A115,'[6]Rate History'!$F:$F,0))</f>
        <v>1 day</v>
      </c>
      <c r="M115" s="77">
        <f>INDEX('[7]PDF DB Service Pivot'!$C:$C,MATCH(B115,'[7]PDF DB Service Pivot'!$B:$B,0))</f>
        <v>5644</v>
      </c>
      <c r="N115" s="77">
        <f t="shared" si="15"/>
        <v>5644</v>
      </c>
      <c r="O115" s="76">
        <f>INDEX('[7]PDF DB Service Pivot'!$D:$D,MATCH(B115,'[7]PDF DB Service Pivot'!$B:$B,0))</f>
        <v>2232857.4900000002</v>
      </c>
      <c r="P115" s="91">
        <v>45170</v>
      </c>
      <c r="Q115" s="81">
        <v>410.92</v>
      </c>
      <c r="R115" s="81">
        <v>226.57999999999998</v>
      </c>
      <c r="S115" s="354">
        <f t="shared" si="25"/>
        <v>0.55139686556994061</v>
      </c>
      <c r="T115" s="339">
        <v>5.49</v>
      </c>
      <c r="U115" s="81">
        <f t="shared" si="13"/>
        <v>0</v>
      </c>
      <c r="V115" s="81" cm="1">
        <f t="array" ref="V115">_xlfn.IFS('Fiscal by Program'!$B$7&lt;10.61,0,'Fiscal by Program'!$B$7&gt;10.6,(ROUND('Fiscal by Program'!$B$7*(1+IF(D115="Yes",'Fiscal by Program'!$B$9,'Fiscal by Program'!$B$8))*T115,2)))</f>
        <v>0</v>
      </c>
      <c r="W115" s="81">
        <f t="shared" si="16"/>
        <v>0</v>
      </c>
      <c r="X115" s="81">
        <f>ROUND((R115/(1+IF(D115="Yes",'Fiscal by Program'!$B$9,'Fiscal by Program'!$B$8))),2)+0.01</f>
        <v>204.6</v>
      </c>
      <c r="Y115" s="81">
        <f t="shared" si="17"/>
        <v>410.92</v>
      </c>
      <c r="Z115" s="88">
        <v>96</v>
      </c>
      <c r="AA115" s="90">
        <f t="shared" si="14"/>
        <v>5.7187500000000002E-2</v>
      </c>
      <c r="AB115" s="75">
        <f>INDEX('[9]Service List'!$K:$K,MATCH(A115,'[9]Service List'!$F:$F,0))</f>
        <v>475</v>
      </c>
      <c r="AC115" s="73">
        <f>INDEX('[5]Combined Bill Code List'!$P:$P,MATCH(A115,'[5]Combined Bill Code List'!$F:$F,0))</f>
        <v>0</v>
      </c>
      <c r="AD115" s="67" t="s">
        <v>362</v>
      </c>
      <c r="AE115" s="79">
        <v>1</v>
      </c>
      <c r="AF115" s="66">
        <v>0</v>
      </c>
      <c r="AG115" s="70">
        <f>ROUND(INDEX('All Trends'!D:D,MATCH($AD115,'All Trends'!$C:$C,0)),4)</f>
        <v>0.91639999999999999</v>
      </c>
      <c r="AH115" s="70">
        <f>ROUND(INDEX('All Trends'!E:E,MATCH($AD115,'All Trends'!$C:$C,0)),4)</f>
        <v>0.92300000000000004</v>
      </c>
      <c r="AI115" s="70">
        <f>ROUND(INDEX('All Trends'!F:F,MATCH($AD115,'All Trends'!$C:$C,0)),4)</f>
        <v>0.98150000000000004</v>
      </c>
      <c r="AJ115" s="70">
        <f>ROUND(INDEX('All Trends'!G:G,MATCH($AD115,'All Trends'!$C:$C,0)),4)</f>
        <v>0.98929999999999996</v>
      </c>
      <c r="AK115" s="70">
        <f>ROUND(INDEX('All Trends'!H:H,MATCH($AD115,'All Trends'!$C:$C,0)),4)</f>
        <v>0.99219999999999997</v>
      </c>
      <c r="AL115" s="74" t="s">
        <v>148</v>
      </c>
      <c r="AM115" s="92">
        <f t="shared" si="18"/>
        <v>30412.33</v>
      </c>
      <c r="AN115" s="92">
        <f t="shared" si="19"/>
        <v>30654.01</v>
      </c>
      <c r="AO115" s="69">
        <f t="shared" si="20"/>
        <v>0</v>
      </c>
      <c r="AP115" s="69">
        <f t="shared" si="21"/>
        <v>0</v>
      </c>
      <c r="AQ115" s="69">
        <f t="shared" si="22"/>
        <v>0</v>
      </c>
      <c r="AR115" s="69">
        <f t="shared" si="23"/>
        <v>0</v>
      </c>
      <c r="AS115" s="409"/>
      <c r="AT115" s="409"/>
      <c r="AU115" s="409"/>
      <c r="AV115" s="65"/>
      <c r="AW115" s="65"/>
      <c r="AX115" s="65"/>
      <c r="AY115" s="65"/>
      <c r="AZ115" s="65"/>
      <c r="BD115" s="65"/>
    </row>
    <row r="116" spans="1:56" s="66" customFormat="1">
      <c r="A116" s="67" t="s">
        <v>407</v>
      </c>
      <c r="B116" s="67" t="s">
        <v>407</v>
      </c>
      <c r="C116" s="78" t="s">
        <v>147</v>
      </c>
      <c r="D116" s="78" t="s">
        <v>148</v>
      </c>
      <c r="E116" s="67" t="s">
        <v>408</v>
      </c>
      <c r="F116" s="67" t="s">
        <v>408</v>
      </c>
      <c r="G116" s="67" t="str">
        <f>INDEX('[4]RT Description to Bill Matix'!$D:$D,MATCH(A116,'[4]RT Description to Bill Matix'!$M:$M,0))</f>
        <v>PCS (CFC and Non-CFC)</v>
      </c>
      <c r="H116" s="67" t="s">
        <v>409</v>
      </c>
      <c r="I116" s="67"/>
      <c r="J116" s="65" t="str" cm="1">
        <f t="array" ref="J116">INDEX('Rate Table Service Desc XWalk'!F:F,MATCH(1,(G116='Rate Table Service Desc XWalk'!B:B)*(E116='Rate Table Service Desc XWalk'!A:A),0))</f>
        <v>13-1-80</v>
      </c>
      <c r="K116" s="66" t="s">
        <v>410</v>
      </c>
      <c r="L116" s="66" t="s">
        <v>229</v>
      </c>
      <c r="M116" s="77">
        <f>INDEX('[7]PDF DB Service Pivot'!$C:$C,MATCH(B116,'[7]PDF DB Service Pivot'!$B:$B,0))</f>
        <v>126</v>
      </c>
      <c r="N116" s="77">
        <f t="shared" si="15"/>
        <v>126</v>
      </c>
      <c r="O116" s="76">
        <f>INDEX('[7]PDF DB Service Pivot'!$D:$D,MATCH(B116,'[7]PDF DB Service Pivot'!$B:$B,0))</f>
        <v>435.96</v>
      </c>
      <c r="P116" s="91">
        <v>45170</v>
      </c>
      <c r="Q116" s="355">
        <v>3.62</v>
      </c>
      <c r="R116" s="81">
        <v>2.9299999999999997</v>
      </c>
      <c r="S116" s="354">
        <f t="shared" si="25"/>
        <v>0.80939226519337004</v>
      </c>
      <c r="T116" s="339">
        <v>0.25</v>
      </c>
      <c r="U116" s="81">
        <f t="shared" si="13"/>
        <v>0</v>
      </c>
      <c r="V116" s="81" cm="1">
        <f t="array" ref="V116">_xlfn.IFS('Fiscal by Program'!$B$7&lt;10.61,0,'Fiscal by Program'!$B$7&gt;10.6,(ROUND('Fiscal by Program'!$B$7*(1+IF(D116="Yes",'Fiscal by Program'!$B$9,'Fiscal by Program'!$B$8))*T116,2)))</f>
        <v>0</v>
      </c>
      <c r="W116" s="81">
        <f t="shared" si="16"/>
        <v>0</v>
      </c>
      <c r="X116" s="81">
        <f>ROUND((R116/(1+IF(D116="Yes",'Fiscal by Program'!$B$9,'Fiscal by Program'!$B$8))),2)+0.01</f>
        <v>2.6599999999999997</v>
      </c>
      <c r="Y116" s="81">
        <f t="shared" si="17"/>
        <v>3.62</v>
      </c>
      <c r="Z116" s="88">
        <v>1</v>
      </c>
      <c r="AA116" s="90">
        <f t="shared" si="14"/>
        <v>0.25</v>
      </c>
      <c r="AB116" s="75">
        <f>INDEX('[9]Service List'!$K:$K,MATCH(A116,'[9]Service List'!$F:$F,0))</f>
        <v>1377</v>
      </c>
      <c r="AC116" s="73" t="s">
        <v>166</v>
      </c>
      <c r="AD116" s="67" t="s">
        <v>411</v>
      </c>
      <c r="AE116" s="66">
        <v>1</v>
      </c>
      <c r="AF116" s="66">
        <f t="shared" ref="AF116:AF124" si="26">IF(AC116=0,0,-0.06)</f>
        <v>-0.06</v>
      </c>
      <c r="AG116" s="70">
        <f>ROUND(INDEX('All Trends'!D:D,MATCH($AD116,'All Trends'!$C:$C,0)),4)</f>
        <v>1</v>
      </c>
      <c r="AH116" s="70">
        <f>ROUND(INDEX('All Trends'!E:E,MATCH($AD116,'All Trends'!$C:$C,0)),4)</f>
        <v>1</v>
      </c>
      <c r="AI116" s="70">
        <f>ROUND(INDEX('All Trends'!F:F,MATCH($AD116,'All Trends'!$C:$C,0)),4)</f>
        <v>1</v>
      </c>
      <c r="AJ116" s="70">
        <f>ROUND(INDEX('All Trends'!G:G,MATCH($AD116,'All Trends'!$C:$C,0)),4)</f>
        <v>1</v>
      </c>
      <c r="AK116" s="70">
        <f>ROUND(INDEX('All Trends'!H:H,MATCH($AD116,'All Trends'!$C:$C,0)),4)</f>
        <v>1</v>
      </c>
      <c r="AL116" s="74" t="s">
        <v>148</v>
      </c>
      <c r="AM116" s="92">
        <f t="shared" si="18"/>
        <v>31.5</v>
      </c>
      <c r="AN116" s="92">
        <f t="shared" si="19"/>
        <v>31.5</v>
      </c>
      <c r="AO116" s="69">
        <f t="shared" si="20"/>
        <v>0</v>
      </c>
      <c r="AP116" s="69">
        <f t="shared" si="21"/>
        <v>0</v>
      </c>
      <c r="AQ116" s="69">
        <f t="shared" si="22"/>
        <v>0</v>
      </c>
      <c r="AR116" s="69">
        <f t="shared" si="23"/>
        <v>0</v>
      </c>
      <c r="AS116" s="409"/>
      <c r="AT116" s="409"/>
      <c r="AU116" s="409"/>
      <c r="AV116" s="65"/>
      <c r="AW116" s="65"/>
      <c r="AX116" s="65"/>
      <c r="AY116" s="65"/>
      <c r="AZ116" s="65"/>
      <c r="BD116" s="65"/>
    </row>
    <row r="117" spans="1:56" s="66" customFormat="1">
      <c r="A117" s="67" t="s">
        <v>412</v>
      </c>
      <c r="B117" s="67" t="s">
        <v>412</v>
      </c>
      <c r="C117" s="78" t="s">
        <v>147</v>
      </c>
      <c r="D117" s="78" t="s">
        <v>148</v>
      </c>
      <c r="E117" s="67" t="s">
        <v>408</v>
      </c>
      <c r="F117" s="67" t="s">
        <v>408</v>
      </c>
      <c r="G117" s="67" t="str">
        <f>INDEX('[4]RT Description to Bill Matix'!$D:$D,MATCH(A117,'[4]RT Description to Bill Matix'!$M:$M,0))</f>
        <v>PCS (CFC and Non-CFC)</v>
      </c>
      <c r="H117" s="67" t="s">
        <v>409</v>
      </c>
      <c r="I117" s="67"/>
      <c r="J117" s="65" t="str" cm="1">
        <f t="array" ref="J117">INDEX('Rate Table Service Desc XWalk'!F:F,MATCH(1,(G117='Rate Table Service Desc XWalk'!B:B)*(E117='Rate Table Service Desc XWalk'!A:A),0))</f>
        <v>13-1-80</v>
      </c>
      <c r="K117" s="66" t="s">
        <v>410</v>
      </c>
      <c r="L117" s="66" t="s">
        <v>229</v>
      </c>
      <c r="M117" s="77">
        <f>INDEX('[7]PDF DB Service Pivot'!$C:$C,MATCH(B117,'[7]PDF DB Service Pivot'!$B:$B,0))</f>
        <v>228</v>
      </c>
      <c r="N117" s="77">
        <f t="shared" si="15"/>
        <v>228</v>
      </c>
      <c r="O117" s="76">
        <f>INDEX('[7]PDF DB Service Pivot'!$D:$D,MATCH(B117,'[7]PDF DB Service Pivot'!$B:$B,0))</f>
        <v>672.6</v>
      </c>
      <c r="P117" s="91">
        <v>45170</v>
      </c>
      <c r="Q117" s="355">
        <v>3.62</v>
      </c>
      <c r="R117" s="81">
        <v>2.9299999999999997</v>
      </c>
      <c r="S117" s="354">
        <f t="shared" si="25"/>
        <v>0.80939226519337004</v>
      </c>
      <c r="T117" s="339">
        <v>0.25</v>
      </c>
      <c r="U117" s="81">
        <f t="shared" si="13"/>
        <v>0</v>
      </c>
      <c r="V117" s="81" cm="1">
        <f t="array" ref="V117">_xlfn.IFS('Fiscal by Program'!$B$7&lt;10.61,0,'Fiscal by Program'!$B$7&gt;10.6,(ROUND('Fiscal by Program'!$B$7*(1+IF(D117="Yes",'Fiscal by Program'!$B$9,'Fiscal by Program'!$B$8))*T117,2)))</f>
        <v>0</v>
      </c>
      <c r="W117" s="81">
        <f t="shared" si="16"/>
        <v>0</v>
      </c>
      <c r="X117" s="81">
        <f>ROUND((R117/(1+IF(D117="Yes",'Fiscal by Program'!$B$9,'Fiscal by Program'!$B$8))),2)+0.01</f>
        <v>2.6599999999999997</v>
      </c>
      <c r="Y117" s="81">
        <f t="shared" si="17"/>
        <v>3.62</v>
      </c>
      <c r="Z117" s="88">
        <v>1</v>
      </c>
      <c r="AA117" s="90">
        <f t="shared" si="14"/>
        <v>0.25</v>
      </c>
      <c r="AB117" s="75">
        <f>INDEX('[9]Service List'!$K:$K,MATCH(A117,'[9]Service List'!$F:$F,0))</f>
        <v>1378</v>
      </c>
      <c r="AC117" s="73" t="s">
        <v>166</v>
      </c>
      <c r="AD117" s="67" t="s">
        <v>411</v>
      </c>
      <c r="AE117" s="66">
        <v>1</v>
      </c>
      <c r="AF117" s="66">
        <f t="shared" si="26"/>
        <v>-0.06</v>
      </c>
      <c r="AG117" s="70">
        <f>ROUND(INDEX('All Trends'!D:D,MATCH($AD117,'All Trends'!$C:$C,0)),4)</f>
        <v>1</v>
      </c>
      <c r="AH117" s="70">
        <f>ROUND(INDEX('All Trends'!E:E,MATCH($AD117,'All Trends'!$C:$C,0)),4)</f>
        <v>1</v>
      </c>
      <c r="AI117" s="70">
        <f>ROUND(INDEX('All Trends'!F:F,MATCH($AD117,'All Trends'!$C:$C,0)),4)</f>
        <v>1</v>
      </c>
      <c r="AJ117" s="70">
        <f>ROUND(INDEX('All Trends'!G:G,MATCH($AD117,'All Trends'!$C:$C,0)),4)</f>
        <v>1</v>
      </c>
      <c r="AK117" s="70">
        <f>ROUND(INDEX('All Trends'!H:H,MATCH($AD117,'All Trends'!$C:$C,0)),4)</f>
        <v>1</v>
      </c>
      <c r="AL117" s="74" t="s">
        <v>148</v>
      </c>
      <c r="AM117" s="92">
        <f t="shared" si="18"/>
        <v>57</v>
      </c>
      <c r="AN117" s="92">
        <f t="shared" si="19"/>
        <v>57</v>
      </c>
      <c r="AO117" s="69">
        <f t="shared" si="20"/>
        <v>0</v>
      </c>
      <c r="AP117" s="69">
        <f t="shared" si="21"/>
        <v>0</v>
      </c>
      <c r="AQ117" s="69">
        <f t="shared" si="22"/>
        <v>0</v>
      </c>
      <c r="AR117" s="69">
        <f t="shared" si="23"/>
        <v>0</v>
      </c>
      <c r="AS117" s="409"/>
      <c r="AT117" s="409"/>
      <c r="AU117" s="409"/>
      <c r="AV117" s="65"/>
      <c r="AW117" s="65"/>
      <c r="AX117" s="65"/>
      <c r="AY117" s="65"/>
      <c r="AZ117" s="65"/>
      <c r="BD117" s="65"/>
    </row>
    <row r="118" spans="1:56" s="66" customFormat="1">
      <c r="A118" s="67" t="s">
        <v>413</v>
      </c>
      <c r="B118" s="67" t="s">
        <v>413</v>
      </c>
      <c r="C118" s="78" t="s">
        <v>147</v>
      </c>
      <c r="D118" s="78" t="s">
        <v>148</v>
      </c>
      <c r="E118" s="67" t="s">
        <v>408</v>
      </c>
      <c r="F118" s="67" t="s">
        <v>408</v>
      </c>
      <c r="G118" s="67" t="str">
        <f>INDEX('[4]RT Description to Bill Matix'!$D:$D,MATCH(A118,'[4]RT Description to Bill Matix'!$M:$M,0))</f>
        <v>PCS (CFC and Non-CFC)</v>
      </c>
      <c r="H118" s="67" t="s">
        <v>409</v>
      </c>
      <c r="I118" s="67"/>
      <c r="J118" s="65" t="str" cm="1">
        <f t="array" ref="J118">INDEX('Rate Table Service Desc XWalk'!F:F,MATCH(1,(G118='Rate Table Service Desc XWalk'!B:B)*(E118='Rate Table Service Desc XWalk'!A:A),0))</f>
        <v>13-1-80</v>
      </c>
      <c r="K118" s="66" t="s">
        <v>410</v>
      </c>
      <c r="L118" s="66" t="s">
        <v>229</v>
      </c>
      <c r="M118" s="77">
        <f>INDEX('[7]PDF DB Service Pivot'!$C:$C,MATCH(B118,'[7]PDF DB Service Pivot'!$B:$B,0))</f>
        <v>12494</v>
      </c>
      <c r="N118" s="77">
        <f t="shared" si="15"/>
        <v>12494</v>
      </c>
      <c r="O118" s="76">
        <f>INDEX('[7]PDF DB Service Pivot'!$D:$D,MATCH(B118,'[7]PDF DB Service Pivot'!$B:$B,0))</f>
        <v>31931.73</v>
      </c>
      <c r="P118" s="91">
        <v>45170</v>
      </c>
      <c r="Q118" s="72">
        <v>3.62</v>
      </c>
      <c r="R118" s="81">
        <v>2.9299999999999997</v>
      </c>
      <c r="S118" s="354">
        <f t="shared" si="25"/>
        <v>0.80939226519337004</v>
      </c>
      <c r="T118" s="339">
        <v>0.25</v>
      </c>
      <c r="U118" s="81">
        <f t="shared" si="13"/>
        <v>0</v>
      </c>
      <c r="V118" s="81" cm="1">
        <f t="array" ref="V118">_xlfn.IFS('Fiscal by Program'!$B$7&lt;10.61,0,'Fiscal by Program'!$B$7&gt;10.6,(ROUND('Fiscal by Program'!$B$7*(1+IF(D118="Yes",'Fiscal by Program'!$B$9,'Fiscal by Program'!$B$8))*T118,2)))</f>
        <v>0</v>
      </c>
      <c r="W118" s="81">
        <f t="shared" si="16"/>
        <v>0</v>
      </c>
      <c r="X118" s="81">
        <f>ROUND((R118/(1+IF(D118="Yes",'Fiscal by Program'!$B$9,'Fiscal by Program'!$B$8))),2)+0.01</f>
        <v>2.6599999999999997</v>
      </c>
      <c r="Y118" s="81">
        <f t="shared" si="17"/>
        <v>3.62</v>
      </c>
      <c r="Z118" s="88">
        <v>1</v>
      </c>
      <c r="AA118" s="90">
        <f t="shared" si="14"/>
        <v>0.25</v>
      </c>
      <c r="AB118" s="75">
        <f>INDEX('[9]Service List'!$K:$K,MATCH(A118,'[9]Service List'!$F:$F,0))</f>
        <v>1379</v>
      </c>
      <c r="AC118" s="73" t="str">
        <f>INDEX('[5]Combined Bill Code List'!$P:$P,MATCH(A118,'[5]Combined Bill Code List'!$F:$F,0))</f>
        <v>CFC</v>
      </c>
      <c r="AD118" s="67" t="s">
        <v>411</v>
      </c>
      <c r="AE118" s="66">
        <v>1</v>
      </c>
      <c r="AF118" s="66">
        <f t="shared" si="26"/>
        <v>-0.06</v>
      </c>
      <c r="AG118" s="70">
        <f>ROUND(INDEX('All Trends'!D:D,MATCH($AD118,'All Trends'!$C:$C,0)),4)</f>
        <v>1</v>
      </c>
      <c r="AH118" s="70">
        <f>ROUND(INDEX('All Trends'!E:E,MATCH($AD118,'All Trends'!$C:$C,0)),4)</f>
        <v>1</v>
      </c>
      <c r="AI118" s="70">
        <f>ROUND(INDEX('All Trends'!F:F,MATCH($AD118,'All Trends'!$C:$C,0)),4)</f>
        <v>1</v>
      </c>
      <c r="AJ118" s="70">
        <f>ROUND(INDEX('All Trends'!G:G,MATCH($AD118,'All Trends'!$C:$C,0)),4)</f>
        <v>1</v>
      </c>
      <c r="AK118" s="70">
        <f>ROUND(INDEX('All Trends'!H:H,MATCH($AD118,'All Trends'!$C:$C,0)),4)</f>
        <v>1</v>
      </c>
      <c r="AL118" s="74" t="s">
        <v>148</v>
      </c>
      <c r="AM118" s="92">
        <f t="shared" si="18"/>
        <v>3123.5</v>
      </c>
      <c r="AN118" s="92">
        <f t="shared" si="19"/>
        <v>3123.5</v>
      </c>
      <c r="AO118" s="69">
        <f t="shared" si="20"/>
        <v>0</v>
      </c>
      <c r="AP118" s="69">
        <f t="shared" si="21"/>
        <v>0</v>
      </c>
      <c r="AQ118" s="69">
        <f t="shared" si="22"/>
        <v>0</v>
      </c>
      <c r="AR118" s="69">
        <f t="shared" si="23"/>
        <v>0</v>
      </c>
      <c r="AS118" s="409"/>
      <c r="AT118" s="409"/>
      <c r="AU118" s="409"/>
      <c r="AV118" s="65"/>
      <c r="AW118" s="65"/>
      <c r="AX118" s="65"/>
      <c r="AY118" s="65"/>
      <c r="AZ118" s="65"/>
      <c r="BD118" s="65"/>
    </row>
    <row r="119" spans="1:56" s="66" customFormat="1">
      <c r="A119" s="67" t="s">
        <v>414</v>
      </c>
      <c r="B119" s="67" t="s">
        <v>414</v>
      </c>
      <c r="C119" s="78" t="s">
        <v>147</v>
      </c>
      <c r="D119" s="78" t="s">
        <v>148</v>
      </c>
      <c r="E119" s="67" t="s">
        <v>408</v>
      </c>
      <c r="F119" s="67" t="s">
        <v>408</v>
      </c>
      <c r="G119" s="67" t="str">
        <f>INDEX('[4]RT Description to Bill Matix'!$D:$D,MATCH(A119,'[4]RT Description to Bill Matix'!$M:$M,0))</f>
        <v>CDS PCS (CFC and Non-CFC)</v>
      </c>
      <c r="H119" s="67" t="s">
        <v>415</v>
      </c>
      <c r="I119" s="65" t="s">
        <v>147</v>
      </c>
      <c r="J119" s="65" t="str" cm="1">
        <f t="array" ref="J119">INDEX('Rate Table Service Desc XWalk'!F:F,MATCH(1,(G119='Rate Table Service Desc XWalk'!B:B)*(E119='Rate Table Service Desc XWalk'!A:A),0))</f>
        <v>13-5-144</v>
      </c>
      <c r="K119" s="66" t="s">
        <v>410</v>
      </c>
      <c r="L119" s="66" t="s">
        <v>229</v>
      </c>
      <c r="M119" s="77">
        <f>INDEX('[7]PDF DB Service Pivot'!$C:$C,MATCH(B119,'[7]PDF DB Service Pivot'!$B:$B,0))</f>
        <v>665473.19999999995</v>
      </c>
      <c r="N119" s="77">
        <f t="shared" si="15"/>
        <v>665473.19999999995</v>
      </c>
      <c r="O119" s="76">
        <f>INDEX('[7]PDF DB Service Pivot'!$D:$D,MATCH(B119,'[7]PDF DB Service Pivot'!$B:$B,0))</f>
        <v>2142336.2000000002</v>
      </c>
      <c r="P119" s="91">
        <v>45170</v>
      </c>
      <c r="Q119" s="72">
        <v>3.53</v>
      </c>
      <c r="R119" s="81">
        <v>2.93</v>
      </c>
      <c r="S119" s="354">
        <f t="shared" si="25"/>
        <v>0.83002832861189813</v>
      </c>
      <c r="T119" s="339">
        <v>0.25</v>
      </c>
      <c r="U119" s="81">
        <f t="shared" si="13"/>
        <v>0</v>
      </c>
      <c r="V119" s="81" cm="1">
        <f t="array" ref="V119">_xlfn.IFS('Fiscal by Program'!$B$7&lt;10.61,0,'Fiscal by Program'!$B$7&gt;10.6,(ROUND('Fiscal by Program'!$B$7*(1+IF(D119="Yes",'Fiscal by Program'!$B$9,'Fiscal by Program'!$B$8))*T119,2)))</f>
        <v>0</v>
      </c>
      <c r="W119" s="81">
        <f t="shared" si="16"/>
        <v>0</v>
      </c>
      <c r="X119" s="81">
        <f>ROUND((R119/(1+IF(D119="Yes",'Fiscal by Program'!$B$9,'Fiscal by Program'!$B$8))),2)+0.01</f>
        <v>2.6599999999999997</v>
      </c>
      <c r="Y119" s="81">
        <f t="shared" si="17"/>
        <v>3.53</v>
      </c>
      <c r="Z119" s="88">
        <v>1</v>
      </c>
      <c r="AA119" s="90">
        <f t="shared" si="14"/>
        <v>0.25</v>
      </c>
      <c r="AB119" s="75">
        <f>INDEX('[9]Service List'!$K:$K,MATCH(A119,'[9]Service List'!$F:$F,0))</f>
        <v>1381</v>
      </c>
      <c r="AC119" s="73" t="s">
        <v>166</v>
      </c>
      <c r="AD119" s="67" t="s">
        <v>411</v>
      </c>
      <c r="AE119" s="66">
        <v>1</v>
      </c>
      <c r="AF119" s="66">
        <f t="shared" si="26"/>
        <v>-0.06</v>
      </c>
      <c r="AG119" s="70">
        <f>ROUND(INDEX('All Trends'!D:D,MATCH($AD119,'All Trends'!$C:$C,0)),4)</f>
        <v>1</v>
      </c>
      <c r="AH119" s="70">
        <f>ROUND(INDEX('All Trends'!E:E,MATCH($AD119,'All Trends'!$C:$C,0)),4)</f>
        <v>1</v>
      </c>
      <c r="AI119" s="70">
        <f>ROUND(INDEX('All Trends'!F:F,MATCH($AD119,'All Trends'!$C:$C,0)),4)</f>
        <v>1</v>
      </c>
      <c r="AJ119" s="70">
        <f>ROUND(INDEX('All Trends'!G:G,MATCH($AD119,'All Trends'!$C:$C,0)),4)</f>
        <v>1</v>
      </c>
      <c r="AK119" s="70">
        <f>ROUND(INDEX('All Trends'!H:H,MATCH($AD119,'All Trends'!$C:$C,0)),4)</f>
        <v>1</v>
      </c>
      <c r="AL119" s="74" t="s">
        <v>148</v>
      </c>
      <c r="AM119" s="92">
        <f t="shared" si="18"/>
        <v>166368.29999999999</v>
      </c>
      <c r="AN119" s="92">
        <f t="shared" si="19"/>
        <v>166368.29999999999</v>
      </c>
      <c r="AO119" s="69">
        <f t="shared" si="20"/>
        <v>0</v>
      </c>
      <c r="AP119" s="69">
        <f t="shared" si="21"/>
        <v>0</v>
      </c>
      <c r="AQ119" s="69">
        <f t="shared" si="22"/>
        <v>0</v>
      </c>
      <c r="AR119" s="69">
        <f t="shared" si="23"/>
        <v>0</v>
      </c>
      <c r="AS119" s="409"/>
      <c r="AT119" s="409"/>
      <c r="AU119" s="409"/>
      <c r="AV119" s="65"/>
      <c r="AW119" s="65"/>
      <c r="AX119" s="65"/>
      <c r="AY119" s="65"/>
      <c r="AZ119" s="65"/>
      <c r="BD119" s="65"/>
    </row>
    <row r="120" spans="1:56" s="66" customFormat="1">
      <c r="A120" s="67" t="s">
        <v>416</v>
      </c>
      <c r="B120" s="67" t="s">
        <v>416</v>
      </c>
      <c r="C120" s="78" t="s">
        <v>147</v>
      </c>
      <c r="D120" s="78" t="s">
        <v>148</v>
      </c>
      <c r="E120" s="67" t="s">
        <v>408</v>
      </c>
      <c r="F120" s="67" t="s">
        <v>408</v>
      </c>
      <c r="G120" s="67" t="str">
        <f>INDEX('[4]RT Description to Bill Matix'!$D:$D,MATCH(A120,'[4]RT Description to Bill Matix'!$M:$M,0))</f>
        <v>PCS (CFC and Non-CFC)</v>
      </c>
      <c r="H120" s="67" t="s">
        <v>417</v>
      </c>
      <c r="I120" s="67"/>
      <c r="J120" s="65" t="str" cm="1">
        <f t="array" ref="J120">INDEX('Rate Table Service Desc XWalk'!F:F,MATCH(1,(G120='Rate Table Service Desc XWalk'!B:B)*(E120='Rate Table Service Desc XWalk'!A:A),0))</f>
        <v>13-1-80</v>
      </c>
      <c r="K120" s="66" t="s">
        <v>410</v>
      </c>
      <c r="L120" s="66" t="s">
        <v>229</v>
      </c>
      <c r="M120" s="77">
        <f>INDEX('[7]PDF DB Service Pivot'!$C:$C,MATCH(B120,'[7]PDF DB Service Pivot'!$B:$B,0))</f>
        <v>238663.8</v>
      </c>
      <c r="N120" s="77">
        <f t="shared" si="15"/>
        <v>238663.8</v>
      </c>
      <c r="O120" s="76">
        <f>INDEX('[7]PDF DB Service Pivot'!$D:$D,MATCH(B120,'[7]PDF DB Service Pivot'!$B:$B,0))</f>
        <v>822707.76</v>
      </c>
      <c r="P120" s="91">
        <v>45170</v>
      </c>
      <c r="Q120" s="72">
        <v>3.73</v>
      </c>
      <c r="R120" s="81">
        <v>2.93</v>
      </c>
      <c r="S120" s="354">
        <f t="shared" si="25"/>
        <v>0.78552278820375343</v>
      </c>
      <c r="T120" s="339">
        <v>0.25</v>
      </c>
      <c r="U120" s="81">
        <f t="shared" si="13"/>
        <v>0</v>
      </c>
      <c r="V120" s="81" cm="1">
        <f t="array" ref="V120">_xlfn.IFS('Fiscal by Program'!$B$7&lt;10.61,0,'Fiscal by Program'!$B$7&gt;10.6,(ROUND('Fiscal by Program'!$B$7*(1+IF(D120="Yes",'Fiscal by Program'!$B$9,'Fiscal by Program'!$B$8))*T120,2)))</f>
        <v>0</v>
      </c>
      <c r="W120" s="81">
        <f t="shared" si="16"/>
        <v>0</v>
      </c>
      <c r="X120" s="81">
        <f>ROUND((R120/(1+IF(D120="Yes",'Fiscal by Program'!$B$9,'Fiscal by Program'!$B$8))),2)+0.01</f>
        <v>2.6599999999999997</v>
      </c>
      <c r="Y120" s="81">
        <f t="shared" si="17"/>
        <v>3.73</v>
      </c>
      <c r="Z120" s="88">
        <v>1</v>
      </c>
      <c r="AA120" s="90">
        <f t="shared" si="14"/>
        <v>0.25</v>
      </c>
      <c r="AB120" s="75">
        <f>INDEX('[9]Service List'!$K:$K,MATCH(A120,'[9]Service List'!$F:$F,0))</f>
        <v>1383</v>
      </c>
      <c r="AC120" s="73" t="str">
        <f>INDEX('[5]Combined Bill Code List'!$P:$P,MATCH(A120,'[5]Combined Bill Code List'!$F:$F,0))</f>
        <v>CFC</v>
      </c>
      <c r="AD120" s="67" t="s">
        <v>411</v>
      </c>
      <c r="AE120" s="66">
        <v>1</v>
      </c>
      <c r="AF120" s="66">
        <f t="shared" si="26"/>
        <v>-0.06</v>
      </c>
      <c r="AG120" s="70">
        <f>ROUND(INDEX('All Trends'!D:D,MATCH($AD120,'All Trends'!$C:$C,0)),4)</f>
        <v>1</v>
      </c>
      <c r="AH120" s="70">
        <f>ROUND(INDEX('All Trends'!E:E,MATCH($AD120,'All Trends'!$C:$C,0)),4)</f>
        <v>1</v>
      </c>
      <c r="AI120" s="70">
        <f>ROUND(INDEX('All Trends'!F:F,MATCH($AD120,'All Trends'!$C:$C,0)),4)</f>
        <v>1</v>
      </c>
      <c r="AJ120" s="70">
        <f>ROUND(INDEX('All Trends'!G:G,MATCH($AD120,'All Trends'!$C:$C,0)),4)</f>
        <v>1</v>
      </c>
      <c r="AK120" s="70">
        <f>ROUND(INDEX('All Trends'!H:H,MATCH($AD120,'All Trends'!$C:$C,0)),4)</f>
        <v>1</v>
      </c>
      <c r="AL120" s="74" t="s">
        <v>148</v>
      </c>
      <c r="AM120" s="92">
        <f t="shared" si="18"/>
        <v>59665.95</v>
      </c>
      <c r="AN120" s="92">
        <f t="shared" si="19"/>
        <v>59665.95</v>
      </c>
      <c r="AO120" s="69">
        <f t="shared" si="20"/>
        <v>0</v>
      </c>
      <c r="AP120" s="69">
        <f t="shared" si="21"/>
        <v>0</v>
      </c>
      <c r="AQ120" s="69">
        <f t="shared" si="22"/>
        <v>0</v>
      </c>
      <c r="AR120" s="69">
        <f t="shared" si="23"/>
        <v>0</v>
      </c>
      <c r="AS120" s="409"/>
      <c r="AT120" s="409"/>
      <c r="AU120" s="409"/>
      <c r="AV120" s="65"/>
      <c r="AW120" s="65"/>
      <c r="AX120" s="65"/>
      <c r="AY120" s="65"/>
      <c r="AZ120" s="65"/>
      <c r="BD120" s="65"/>
    </row>
    <row r="121" spans="1:56" s="66" customFormat="1">
      <c r="A121" s="67" t="s">
        <v>418</v>
      </c>
      <c r="B121" s="67" t="s">
        <v>418</v>
      </c>
      <c r="C121" s="78" t="s">
        <v>147</v>
      </c>
      <c r="D121" s="78" t="s">
        <v>148</v>
      </c>
      <c r="E121" s="67" t="s">
        <v>408</v>
      </c>
      <c r="F121" s="67" t="s">
        <v>408</v>
      </c>
      <c r="G121" s="67" t="str">
        <f>INDEX('[4]RT Description to Bill Matix'!$D:$D,MATCH(A121,'[4]RT Description to Bill Matix'!$M:$M,0))</f>
        <v>CDS PCS (CFC and Non-CFC)</v>
      </c>
      <c r="H121" s="67" t="s">
        <v>419</v>
      </c>
      <c r="I121" s="65" t="s">
        <v>147</v>
      </c>
      <c r="J121" s="65" t="str" cm="1">
        <f t="array" ref="J121">INDEX('Rate Table Service Desc XWalk'!F:F,MATCH(1,(G121='Rate Table Service Desc XWalk'!B:B)*(E121='Rate Table Service Desc XWalk'!A:A),0))</f>
        <v>13-5-144</v>
      </c>
      <c r="K121" s="66" t="s">
        <v>410</v>
      </c>
      <c r="L121" s="66" t="s">
        <v>229</v>
      </c>
      <c r="M121" s="77">
        <f>INDEX('[7]PDF DB Service Pivot'!$C:$C,MATCH(B121,'[7]PDF DB Service Pivot'!$B:$B,0))</f>
        <v>178756.2</v>
      </c>
      <c r="N121" s="77">
        <f t="shared" si="15"/>
        <v>178756.2</v>
      </c>
      <c r="O121" s="76">
        <f>INDEX('[7]PDF DB Service Pivot'!$D:$D,MATCH(B121,'[7]PDF DB Service Pivot'!$B:$B,0))</f>
        <v>489591.24</v>
      </c>
      <c r="P121" s="91">
        <v>45170</v>
      </c>
      <c r="Q121" s="72">
        <v>3.42</v>
      </c>
      <c r="R121" s="81">
        <v>2.9299999999999997</v>
      </c>
      <c r="S121" s="354">
        <f t="shared" si="25"/>
        <v>0.85672514619883033</v>
      </c>
      <c r="T121" s="339">
        <v>0.25</v>
      </c>
      <c r="U121" s="81">
        <f t="shared" si="13"/>
        <v>0</v>
      </c>
      <c r="V121" s="81" cm="1">
        <f t="array" ref="V121">_xlfn.IFS('Fiscal by Program'!$B$7&lt;10.61,0,'Fiscal by Program'!$B$7&gt;10.6,(ROUND('Fiscal by Program'!$B$7*(1+IF(D121="Yes",'Fiscal by Program'!$B$9,'Fiscal by Program'!$B$8))*T121,2)))</f>
        <v>0</v>
      </c>
      <c r="W121" s="81">
        <f t="shared" si="16"/>
        <v>0</v>
      </c>
      <c r="X121" s="81">
        <f>ROUND((R121/(1+IF(D121="Yes",'Fiscal by Program'!$B$9,'Fiscal by Program'!$B$8))),2)+0.01</f>
        <v>2.6599999999999997</v>
      </c>
      <c r="Y121" s="81">
        <f t="shared" si="17"/>
        <v>3.42</v>
      </c>
      <c r="Z121" s="88">
        <v>1</v>
      </c>
      <c r="AA121" s="90">
        <f t="shared" si="14"/>
        <v>0.25</v>
      </c>
      <c r="AB121" s="75">
        <f>INDEX('[9]Service List'!$K:$K,MATCH(A121,'[9]Service List'!$F:$F,0))</f>
        <v>1384</v>
      </c>
      <c r="AC121" s="73">
        <v>0</v>
      </c>
      <c r="AD121" s="67" t="s">
        <v>411</v>
      </c>
      <c r="AE121" s="66">
        <v>1</v>
      </c>
      <c r="AF121" s="66">
        <f t="shared" si="26"/>
        <v>0</v>
      </c>
      <c r="AG121" s="70">
        <f>ROUND(INDEX('All Trends'!D:D,MATCH($AD121,'All Trends'!$C:$C,0)),4)</f>
        <v>1</v>
      </c>
      <c r="AH121" s="70">
        <f>ROUND(INDEX('All Trends'!E:E,MATCH($AD121,'All Trends'!$C:$C,0)),4)</f>
        <v>1</v>
      </c>
      <c r="AI121" s="70">
        <f>ROUND(INDEX('All Trends'!F:F,MATCH($AD121,'All Trends'!$C:$C,0)),4)</f>
        <v>1</v>
      </c>
      <c r="AJ121" s="70">
        <f>ROUND(INDEX('All Trends'!G:G,MATCH($AD121,'All Trends'!$C:$C,0)),4)</f>
        <v>1</v>
      </c>
      <c r="AK121" s="70">
        <f>ROUND(INDEX('All Trends'!H:H,MATCH($AD121,'All Trends'!$C:$C,0)),4)</f>
        <v>1</v>
      </c>
      <c r="AL121" s="74" t="s">
        <v>148</v>
      </c>
      <c r="AM121" s="92">
        <f t="shared" si="18"/>
        <v>44689.05</v>
      </c>
      <c r="AN121" s="92">
        <f t="shared" si="19"/>
        <v>44689.05</v>
      </c>
      <c r="AO121" s="69">
        <f t="shared" si="20"/>
        <v>0</v>
      </c>
      <c r="AP121" s="69">
        <f t="shared" si="21"/>
        <v>0</v>
      </c>
      <c r="AQ121" s="69">
        <f t="shared" si="22"/>
        <v>0</v>
      </c>
      <c r="AR121" s="69">
        <f t="shared" si="23"/>
        <v>0</v>
      </c>
      <c r="AS121" s="409"/>
      <c r="AT121" s="409"/>
      <c r="AU121" s="409"/>
      <c r="AV121" s="65"/>
      <c r="AW121" s="65"/>
      <c r="AX121" s="65"/>
      <c r="AY121" s="65"/>
      <c r="AZ121" s="65"/>
      <c r="BD121" s="65"/>
    </row>
    <row r="122" spans="1:56" s="66" customFormat="1">
      <c r="A122" s="67" t="s">
        <v>420</v>
      </c>
      <c r="B122" s="67" t="s">
        <v>420</v>
      </c>
      <c r="C122" s="78" t="s">
        <v>147</v>
      </c>
      <c r="D122" s="78" t="s">
        <v>148</v>
      </c>
      <c r="E122" s="67" t="s">
        <v>408</v>
      </c>
      <c r="F122" s="67" t="s">
        <v>408</v>
      </c>
      <c r="G122" s="67" t="str">
        <f>INDEX('[4]RT Description to Bill Matix'!$D:$D,MATCH(A122,'[4]RT Description to Bill Matix'!$M:$M,0))</f>
        <v>CDS PCS (CFC and Non-CFC)</v>
      </c>
      <c r="H122" s="67" t="s">
        <v>421</v>
      </c>
      <c r="I122" s="65" t="s">
        <v>147</v>
      </c>
      <c r="J122" s="65" t="str" cm="1">
        <f t="array" ref="J122">INDEX('Rate Table Service Desc XWalk'!F:F,MATCH(1,(G122='Rate Table Service Desc XWalk'!B:B)*(E122='Rate Table Service Desc XWalk'!A:A),0))</f>
        <v>13-5-144</v>
      </c>
      <c r="K122" s="66" t="s">
        <v>410</v>
      </c>
      <c r="L122" s="66" t="s">
        <v>229</v>
      </c>
      <c r="M122" s="77">
        <f>INDEX('[7]PDF DB Service Pivot'!$C:$C,MATCH(B122,'[7]PDF DB Service Pivot'!$B:$B,0))</f>
        <v>1243018.8</v>
      </c>
      <c r="N122" s="77">
        <f t="shared" si="15"/>
        <v>1243018.8</v>
      </c>
      <c r="O122" s="76">
        <f>INDEX('[7]PDF DB Service Pivot'!$D:$D,MATCH(B122,'[7]PDF DB Service Pivot'!$B:$B,0))</f>
        <v>4039769.74</v>
      </c>
      <c r="P122" s="91">
        <v>45170</v>
      </c>
      <c r="Q122" s="72">
        <v>3.53</v>
      </c>
      <c r="R122" s="81">
        <v>2.93</v>
      </c>
      <c r="S122" s="354">
        <f t="shared" si="25"/>
        <v>0.83002832861189813</v>
      </c>
      <c r="T122" s="339">
        <v>0.25</v>
      </c>
      <c r="U122" s="81">
        <f t="shared" si="13"/>
        <v>0</v>
      </c>
      <c r="V122" s="81" cm="1">
        <f t="array" ref="V122">_xlfn.IFS('Fiscal by Program'!$B$7&lt;10.61,0,'Fiscal by Program'!$B$7&gt;10.6,(ROUND('Fiscal by Program'!$B$7*(1+IF(D122="Yes",'Fiscal by Program'!$B$9,'Fiscal by Program'!$B$8))*T122,2)))</f>
        <v>0</v>
      </c>
      <c r="W122" s="81">
        <f t="shared" si="16"/>
        <v>0</v>
      </c>
      <c r="X122" s="81">
        <f>ROUND((R122/(1+IF(D122="Yes",'Fiscal by Program'!$B$9,'Fiscal by Program'!$B$8))),2)+0.01</f>
        <v>2.6599999999999997</v>
      </c>
      <c r="Y122" s="81">
        <f t="shared" si="17"/>
        <v>3.53</v>
      </c>
      <c r="Z122" s="88">
        <v>1</v>
      </c>
      <c r="AA122" s="90">
        <f t="shared" si="14"/>
        <v>0.25</v>
      </c>
      <c r="AB122" s="75">
        <f>INDEX('[9]Service List'!$K:$K,MATCH(A122,'[9]Service List'!$F:$F,0))</f>
        <v>1385</v>
      </c>
      <c r="AC122" s="73">
        <v>0</v>
      </c>
      <c r="AD122" s="67" t="s">
        <v>411</v>
      </c>
      <c r="AE122" s="66">
        <v>1</v>
      </c>
      <c r="AF122" s="66">
        <f t="shared" si="26"/>
        <v>0</v>
      </c>
      <c r="AG122" s="70">
        <f>ROUND(INDEX('All Trends'!D:D,MATCH($AD122,'All Trends'!$C:$C,0)),4)</f>
        <v>1</v>
      </c>
      <c r="AH122" s="70">
        <f>ROUND(INDEX('All Trends'!E:E,MATCH($AD122,'All Trends'!$C:$C,0)),4)</f>
        <v>1</v>
      </c>
      <c r="AI122" s="70">
        <f>ROUND(INDEX('All Trends'!F:F,MATCH($AD122,'All Trends'!$C:$C,0)),4)</f>
        <v>1</v>
      </c>
      <c r="AJ122" s="70">
        <f>ROUND(INDEX('All Trends'!G:G,MATCH($AD122,'All Trends'!$C:$C,0)),4)</f>
        <v>1</v>
      </c>
      <c r="AK122" s="70">
        <f>ROUND(INDEX('All Trends'!H:H,MATCH($AD122,'All Trends'!$C:$C,0)),4)</f>
        <v>1</v>
      </c>
      <c r="AL122" s="74" t="s">
        <v>148</v>
      </c>
      <c r="AM122" s="92">
        <f t="shared" si="18"/>
        <v>310754.7</v>
      </c>
      <c r="AN122" s="92">
        <f t="shared" si="19"/>
        <v>310754.7</v>
      </c>
      <c r="AO122" s="69">
        <f t="shared" si="20"/>
        <v>0</v>
      </c>
      <c r="AP122" s="69">
        <f t="shared" si="21"/>
        <v>0</v>
      </c>
      <c r="AQ122" s="69">
        <f t="shared" si="22"/>
        <v>0</v>
      </c>
      <c r="AR122" s="69">
        <f t="shared" si="23"/>
        <v>0</v>
      </c>
      <c r="AS122" s="409"/>
      <c r="AT122" s="409"/>
      <c r="AU122" s="409"/>
      <c r="AV122" s="65"/>
      <c r="AW122" s="65"/>
      <c r="AX122" s="65"/>
      <c r="AY122" s="65"/>
      <c r="AZ122" s="65"/>
      <c r="BA122" s="66" t="s">
        <v>422</v>
      </c>
      <c r="BD122" s="65"/>
    </row>
    <row r="123" spans="1:56" s="66" customFormat="1">
      <c r="A123" s="67" t="s">
        <v>423</v>
      </c>
      <c r="B123" s="67" t="s">
        <v>423</v>
      </c>
      <c r="C123" s="78" t="s">
        <v>147</v>
      </c>
      <c r="D123" s="78" t="s">
        <v>148</v>
      </c>
      <c r="E123" s="67" t="s">
        <v>408</v>
      </c>
      <c r="F123" s="67" t="s">
        <v>408</v>
      </c>
      <c r="G123" s="67" t="str">
        <f>INDEX('[4]RT Description to Bill Matix'!$D:$D,MATCH(A123,'[4]RT Description to Bill Matix'!$M:$M,0))</f>
        <v>PCS (CFC and Non-CFC)</v>
      </c>
      <c r="H123" s="67" t="s">
        <v>424</v>
      </c>
      <c r="I123" s="67"/>
      <c r="J123" s="65" t="str" cm="1">
        <f t="array" ref="J123">INDEX('Rate Table Service Desc XWalk'!F:F,MATCH(1,(G123='Rate Table Service Desc XWalk'!B:B)*(E123='Rate Table Service Desc XWalk'!A:A),0))</f>
        <v>13-1-80</v>
      </c>
      <c r="K123" s="66" t="s">
        <v>410</v>
      </c>
      <c r="L123" s="66" t="s">
        <v>229</v>
      </c>
      <c r="M123" s="77">
        <f>INDEX('[7]PDF DB Service Pivot'!$C:$C,MATCH(B123,'[7]PDF DB Service Pivot'!$B:$B,0))</f>
        <v>421455.6</v>
      </c>
      <c r="N123" s="77">
        <f t="shared" si="15"/>
        <v>421455.6</v>
      </c>
      <c r="O123" s="76">
        <f>INDEX('[7]PDF DB Service Pivot'!$D:$D,MATCH(B123,'[7]PDF DB Service Pivot'!$B:$B,0))</f>
        <v>1237136.93</v>
      </c>
      <c r="P123" s="91">
        <v>45170</v>
      </c>
      <c r="Q123" s="72">
        <v>3.62</v>
      </c>
      <c r="R123" s="81">
        <v>2.9299999999999997</v>
      </c>
      <c r="S123" s="354">
        <f t="shared" si="25"/>
        <v>0.80939226519337004</v>
      </c>
      <c r="T123" s="339">
        <v>0.25</v>
      </c>
      <c r="U123" s="81">
        <f t="shared" si="13"/>
        <v>0</v>
      </c>
      <c r="V123" s="81" cm="1">
        <f t="array" ref="V123">_xlfn.IFS('Fiscal by Program'!$B$7&lt;10.61,0,'Fiscal by Program'!$B$7&gt;10.6,(ROUND('Fiscal by Program'!$B$7*(1+IF(D123="Yes",'Fiscal by Program'!$B$9,'Fiscal by Program'!$B$8))*T123,2)))</f>
        <v>0</v>
      </c>
      <c r="W123" s="81">
        <f t="shared" si="16"/>
        <v>0</v>
      </c>
      <c r="X123" s="81">
        <f>ROUND((R123/(1+IF(D123="Yes",'Fiscal by Program'!$B$9,'Fiscal by Program'!$B$8))),2)+0.01</f>
        <v>2.6599999999999997</v>
      </c>
      <c r="Y123" s="81">
        <f t="shared" si="17"/>
        <v>3.62</v>
      </c>
      <c r="Z123" s="88">
        <v>1</v>
      </c>
      <c r="AA123" s="90">
        <f t="shared" si="14"/>
        <v>0.25</v>
      </c>
      <c r="AB123" s="75">
        <f>INDEX('[9]Service List'!$K:$K,MATCH(A123,'[9]Service List'!$F:$F,0))</f>
        <v>1386</v>
      </c>
      <c r="AC123" s="73">
        <v>0</v>
      </c>
      <c r="AD123" s="67" t="s">
        <v>411</v>
      </c>
      <c r="AE123" s="66">
        <v>1</v>
      </c>
      <c r="AF123" s="66">
        <f t="shared" si="26"/>
        <v>0</v>
      </c>
      <c r="AG123" s="70">
        <f>ROUND(INDEX('All Trends'!D:D,MATCH($AD123,'All Trends'!$C:$C,0)),4)</f>
        <v>1</v>
      </c>
      <c r="AH123" s="70">
        <f>ROUND(INDEX('All Trends'!E:E,MATCH($AD123,'All Trends'!$C:$C,0)),4)</f>
        <v>1</v>
      </c>
      <c r="AI123" s="70">
        <f>ROUND(INDEX('All Trends'!F:F,MATCH($AD123,'All Trends'!$C:$C,0)),4)</f>
        <v>1</v>
      </c>
      <c r="AJ123" s="70">
        <f>ROUND(INDEX('All Trends'!G:G,MATCH($AD123,'All Trends'!$C:$C,0)),4)</f>
        <v>1</v>
      </c>
      <c r="AK123" s="70">
        <f>ROUND(INDEX('All Trends'!H:H,MATCH($AD123,'All Trends'!$C:$C,0)),4)</f>
        <v>1</v>
      </c>
      <c r="AL123" s="74" t="s">
        <v>148</v>
      </c>
      <c r="AM123" s="92">
        <f t="shared" si="18"/>
        <v>105363.9</v>
      </c>
      <c r="AN123" s="92">
        <f t="shared" si="19"/>
        <v>105363.9</v>
      </c>
      <c r="AO123" s="69">
        <f t="shared" si="20"/>
        <v>0</v>
      </c>
      <c r="AP123" s="69">
        <f t="shared" si="21"/>
        <v>0</v>
      </c>
      <c r="AQ123" s="69">
        <f t="shared" si="22"/>
        <v>0</v>
      </c>
      <c r="AR123" s="69">
        <f t="shared" si="23"/>
        <v>0</v>
      </c>
      <c r="AS123" s="409"/>
      <c r="AT123" s="409"/>
      <c r="AU123" s="409"/>
      <c r="AV123" s="65"/>
      <c r="AW123" s="65"/>
      <c r="AX123" s="65"/>
      <c r="AY123" s="65"/>
      <c r="AZ123" s="65"/>
      <c r="BD123" s="65"/>
    </row>
    <row r="124" spans="1:56" s="66" customFormat="1">
      <c r="A124" s="67" t="s">
        <v>425</v>
      </c>
      <c r="B124" s="67" t="s">
        <v>425</v>
      </c>
      <c r="C124" s="78" t="s">
        <v>147</v>
      </c>
      <c r="D124" s="78" t="s">
        <v>148</v>
      </c>
      <c r="E124" s="67" t="s">
        <v>408</v>
      </c>
      <c r="F124" s="67" t="s">
        <v>408</v>
      </c>
      <c r="G124" s="67" t="str">
        <f>INDEX('[4]RT Description to Bill Matix'!$D:$D,MATCH(A124,'[4]RT Description to Bill Matix'!$M:$M,0))</f>
        <v>PCS (CFC and Non-CFC)</v>
      </c>
      <c r="H124" s="67" t="s">
        <v>426</v>
      </c>
      <c r="I124" s="67"/>
      <c r="J124" s="65" t="str" cm="1">
        <f t="array" ref="J124">INDEX('Rate Table Service Desc XWalk'!F:F,MATCH(1,(G124='Rate Table Service Desc XWalk'!B:B)*(E124='Rate Table Service Desc XWalk'!A:A),0))</f>
        <v>13-1-80</v>
      </c>
      <c r="K124" s="66" t="s">
        <v>410</v>
      </c>
      <c r="L124" s="66" t="s">
        <v>229</v>
      </c>
      <c r="M124" s="77">
        <f>INDEX('[7]PDF DB Service Pivot'!$C:$C,MATCH(B124,'[7]PDF DB Service Pivot'!$B:$B,0))</f>
        <v>1242889.5</v>
      </c>
      <c r="N124" s="77">
        <f t="shared" si="15"/>
        <v>1242889.5</v>
      </c>
      <c r="O124" s="76">
        <f>INDEX('[7]PDF DB Service Pivot'!$D:$D,MATCH(B124,'[7]PDF DB Service Pivot'!$B:$B,0))</f>
        <v>4236412.62</v>
      </c>
      <c r="P124" s="91">
        <v>45170</v>
      </c>
      <c r="Q124" s="72">
        <v>3.73</v>
      </c>
      <c r="R124" s="81">
        <v>2.93</v>
      </c>
      <c r="S124" s="354">
        <f t="shared" si="25"/>
        <v>0.78552278820375343</v>
      </c>
      <c r="T124" s="339">
        <v>0.25</v>
      </c>
      <c r="U124" s="81">
        <f t="shared" si="13"/>
        <v>0</v>
      </c>
      <c r="V124" s="81" cm="1">
        <f t="array" ref="V124">_xlfn.IFS('Fiscal by Program'!$B$7&lt;10.61,0,'Fiscal by Program'!$B$7&gt;10.6,(ROUND('Fiscal by Program'!$B$7*(1+IF(D124="Yes",'Fiscal by Program'!$B$9,'Fiscal by Program'!$B$8))*T124,2)))</f>
        <v>0</v>
      </c>
      <c r="W124" s="81">
        <f t="shared" si="16"/>
        <v>0</v>
      </c>
      <c r="X124" s="81">
        <f>ROUND((R124/(1+IF(D124="Yes",'Fiscal by Program'!$B$9,'Fiscal by Program'!$B$8))),2)+0.01</f>
        <v>2.6599999999999997</v>
      </c>
      <c r="Y124" s="81">
        <f t="shared" si="17"/>
        <v>3.73</v>
      </c>
      <c r="Z124" s="88">
        <v>1</v>
      </c>
      <c r="AA124" s="90">
        <f t="shared" si="14"/>
        <v>0.25</v>
      </c>
      <c r="AB124" s="75">
        <f>INDEX('[9]Service List'!$K:$K,MATCH(A124,'[9]Service List'!$F:$F,0))</f>
        <v>1387</v>
      </c>
      <c r="AC124" s="73">
        <v>0</v>
      </c>
      <c r="AD124" s="67" t="s">
        <v>411</v>
      </c>
      <c r="AE124" s="66">
        <v>1</v>
      </c>
      <c r="AF124" s="66">
        <f t="shared" si="26"/>
        <v>0</v>
      </c>
      <c r="AG124" s="70">
        <f>ROUND(INDEX('All Trends'!D:D,MATCH($AD124,'All Trends'!$C:$C,0)),4)</f>
        <v>1</v>
      </c>
      <c r="AH124" s="70">
        <f>ROUND(INDEX('All Trends'!E:E,MATCH($AD124,'All Trends'!$C:$C,0)),4)</f>
        <v>1</v>
      </c>
      <c r="AI124" s="70">
        <f>ROUND(INDEX('All Trends'!F:F,MATCH($AD124,'All Trends'!$C:$C,0)),4)</f>
        <v>1</v>
      </c>
      <c r="AJ124" s="70">
        <f>ROUND(INDEX('All Trends'!G:G,MATCH($AD124,'All Trends'!$C:$C,0)),4)</f>
        <v>1</v>
      </c>
      <c r="AK124" s="70">
        <f>ROUND(INDEX('All Trends'!H:H,MATCH($AD124,'All Trends'!$C:$C,0)),4)</f>
        <v>1</v>
      </c>
      <c r="AL124" s="74" t="s">
        <v>148</v>
      </c>
      <c r="AM124" s="92">
        <f t="shared" si="18"/>
        <v>310722.38</v>
      </c>
      <c r="AN124" s="92">
        <f t="shared" si="19"/>
        <v>310722.38</v>
      </c>
      <c r="AO124" s="69">
        <f t="shared" si="20"/>
        <v>0</v>
      </c>
      <c r="AP124" s="69">
        <f t="shared" si="21"/>
        <v>0</v>
      </c>
      <c r="AQ124" s="69">
        <f t="shared" si="22"/>
        <v>0</v>
      </c>
      <c r="AR124" s="69">
        <f t="shared" si="23"/>
        <v>0</v>
      </c>
      <c r="AS124" s="409"/>
      <c r="AT124" s="409"/>
      <c r="AU124" s="409"/>
      <c r="AV124" s="65"/>
      <c r="AW124" s="65"/>
      <c r="AX124" s="65"/>
      <c r="AY124" s="65"/>
      <c r="AZ124" s="65"/>
      <c r="BD124" s="65"/>
    </row>
    <row r="125" spans="1:56" s="66" customFormat="1">
      <c r="A125" s="67" t="s">
        <v>427</v>
      </c>
      <c r="B125" s="67" t="s">
        <v>427</v>
      </c>
      <c r="C125" s="78" t="s">
        <v>147</v>
      </c>
      <c r="D125" s="78" t="s">
        <v>148</v>
      </c>
      <c r="E125" s="67" t="s">
        <v>428</v>
      </c>
      <c r="F125" s="67" t="s">
        <v>150</v>
      </c>
      <c r="G125" s="67" t="str">
        <f>INDEX('[4]RT Description to Bill Matix'!$D:$D,MATCH(A125,'[4]RT Description to Bill Matix'!$M:$M,0))</f>
        <v>CAS/FC/PAS/PHC PRIORITY</v>
      </c>
      <c r="H125" s="65" t="s">
        <v>429</v>
      </c>
      <c r="I125" s="65"/>
      <c r="J125" s="65" t="str" cm="1">
        <f t="array" ref="J125">INDEX('Rate Table Service Desc XWalk'!F:F,MATCH(1,(G125='Rate Table Service Desc XWalk'!B:B)*(E125='Rate Table Service Desc XWalk'!A:A),0))</f>
        <v>13-1-8</v>
      </c>
      <c r="K125" s="66" t="str">
        <f>INDEX('[5]Combined Bill Code List'!$A:$A,MATCH(A125,'[5]Combined Bill Code List'!$F:$F,0))</f>
        <v>State Plan (Title XIX)</v>
      </c>
      <c r="L125" s="66" t="str">
        <f>INDEX('[6]Rate History'!$P:$P,MATCH(A125,'[6]Rate History'!$F:$F,0))</f>
        <v>1 hour</v>
      </c>
      <c r="M125" s="77">
        <f>INDEX('[7]PDF DB Service Pivot'!$C:$C,MATCH(B125,'[7]PDF DB Service Pivot'!$B:$B,0))</f>
        <v>17006.5</v>
      </c>
      <c r="N125" s="77">
        <f t="shared" si="15"/>
        <v>17006.5</v>
      </c>
      <c r="O125" s="76">
        <f>INDEX('[7]PDF DB Service Pivot'!$D:$D,MATCH(B125,'[7]PDF DB Service Pivot'!$B:$B,0))</f>
        <v>221108.54</v>
      </c>
      <c r="P125" s="91">
        <v>45170</v>
      </c>
      <c r="Q125" s="81">
        <v>14</v>
      </c>
      <c r="R125" s="81">
        <v>11.75</v>
      </c>
      <c r="S125" s="354">
        <f t="shared" si="25"/>
        <v>0.8392857142857143</v>
      </c>
      <c r="T125" s="339">
        <f>INDEX('[8]Billable Services'!$P:$P,MATCH(B125,'[8]Billable Services'!$S:$S,0))</f>
        <v>1</v>
      </c>
      <c r="U125" s="81">
        <f t="shared" ref="U125:U188" si="27">ROUND(V125/Z125,2)</f>
        <v>0</v>
      </c>
      <c r="V125" s="81" cm="1">
        <f t="array" ref="V125">_xlfn.IFS('Fiscal by Program'!$B$7&lt;10.61,0,'Fiscal by Program'!$B$7&gt;10.6,(ROUND('Fiscal by Program'!$B$7*(1+IF(D125="Yes",'Fiscal by Program'!$B$9,'Fiscal by Program'!$B$8))*T125,2)))</f>
        <v>0</v>
      </c>
      <c r="W125" s="81">
        <f t="shared" si="16"/>
        <v>0</v>
      </c>
      <c r="X125" s="81">
        <f>ROUND((R125/(1+IF(D125="Yes",'Fiscal by Program'!$B$9,'Fiscal by Program'!$B$8))),2)+0.01</f>
        <v>10.62</v>
      </c>
      <c r="Y125" s="81">
        <f t="shared" si="17"/>
        <v>14</v>
      </c>
      <c r="Z125" s="88">
        <v>4</v>
      </c>
      <c r="AA125" s="90">
        <f t="shared" ref="AA125:AA188" si="28">T125/Z125</f>
        <v>0.25</v>
      </c>
      <c r="AB125" s="75">
        <f>INDEX('[9]Service List'!$K:$K,MATCH(A125,'[9]Service List'!$F:$F,0))</f>
        <v>556</v>
      </c>
      <c r="AC125" s="73">
        <f>INDEX('[5]Combined Bill Code List'!$P:$P,MATCH(A125,'[5]Combined Bill Code List'!$F:$F,0))</f>
        <v>0</v>
      </c>
      <c r="AD125" s="80" t="s">
        <v>428</v>
      </c>
      <c r="AE125" s="79">
        <v>1</v>
      </c>
      <c r="AF125" s="66">
        <v>0</v>
      </c>
      <c r="AG125" s="70">
        <f>ROUND(INDEX('All Trends'!D:D,MATCH($AD125,'All Trends'!$C:$C,0)),4)</f>
        <v>0.68740000000000001</v>
      </c>
      <c r="AH125" s="70">
        <f>ROUND(INDEX('All Trends'!E:E,MATCH($AD125,'All Trends'!$C:$C,0)),4)</f>
        <v>0.74260000000000004</v>
      </c>
      <c r="AI125" s="70">
        <f>ROUND(INDEX('All Trends'!F:F,MATCH($AD125,'All Trends'!$C:$C,0)),4)</f>
        <v>0.75890000000000002</v>
      </c>
      <c r="AJ125" s="70">
        <f>ROUND(INDEX('All Trends'!G:G,MATCH($AD125,'All Trends'!$C:$C,0)),4)</f>
        <v>0.76870000000000005</v>
      </c>
      <c r="AK125" s="70">
        <f>ROUND(INDEX('All Trends'!H:H,MATCH($AD125,'All Trends'!$C:$C,0)),4)</f>
        <v>0.77859999999999996</v>
      </c>
      <c r="AL125" s="74" t="s">
        <v>148</v>
      </c>
      <c r="AM125" s="92">
        <f t="shared" si="18"/>
        <v>12906.23</v>
      </c>
      <c r="AN125" s="92">
        <f t="shared" si="19"/>
        <v>13072.9</v>
      </c>
      <c r="AO125" s="69">
        <f t="shared" si="20"/>
        <v>0</v>
      </c>
      <c r="AP125" s="69">
        <f t="shared" si="21"/>
        <v>0</v>
      </c>
      <c r="AQ125" s="69">
        <f t="shared" si="22"/>
        <v>0</v>
      </c>
      <c r="AR125" s="69">
        <f t="shared" si="23"/>
        <v>0</v>
      </c>
      <c r="AS125" s="409"/>
      <c r="AT125" s="409"/>
      <c r="AU125" s="409"/>
      <c r="AV125" s="65"/>
      <c r="AW125" s="65"/>
      <c r="AX125" s="65"/>
      <c r="AY125" s="65"/>
      <c r="AZ125" s="65"/>
      <c r="BD125" s="65"/>
    </row>
    <row r="126" spans="1:56" s="66" customFormat="1">
      <c r="A126" s="67" t="s">
        <v>430</v>
      </c>
      <c r="B126" s="67" t="s">
        <v>430</v>
      </c>
      <c r="C126" s="78" t="s">
        <v>147</v>
      </c>
      <c r="D126" s="78" t="s">
        <v>148</v>
      </c>
      <c r="E126" s="67" t="s">
        <v>428</v>
      </c>
      <c r="F126" s="67" t="s">
        <v>150</v>
      </c>
      <c r="G126" s="67" t="str">
        <f>INDEX('[4]RT Description to Bill Matix'!$D:$D,MATCH(A126,'[4]RT Description to Bill Matix'!$M:$M,0))</f>
        <v>CAS/FC/PAS/PHC NON-PRIORITY</v>
      </c>
      <c r="H126" s="65" t="s">
        <v>431</v>
      </c>
      <c r="I126" s="65"/>
      <c r="J126" s="65" t="str" cm="1">
        <f t="array" ref="J126">INDEX('Rate Table Service Desc XWalk'!F:F,MATCH(1,(G126='Rate Table Service Desc XWalk'!B:B)*(E126='Rate Table Service Desc XWalk'!A:A),0))</f>
        <v>13-1-7</v>
      </c>
      <c r="K126" s="66" t="str">
        <f>INDEX('[5]Combined Bill Code List'!$A:$A,MATCH(A126,'[5]Combined Bill Code List'!$F:$F,0))</f>
        <v>State Plan (Title XIX)</v>
      </c>
      <c r="L126" s="66" t="str">
        <f>INDEX('[6]Rate History'!$P:$P,MATCH(A126,'[6]Rate History'!$F:$F,0))</f>
        <v>1 hour</v>
      </c>
      <c r="M126" s="77">
        <f>INDEX('[7]PDF DB Service Pivot'!$C:$C,MATCH(B126,'[7]PDF DB Service Pivot'!$B:$B,0))</f>
        <v>1681927.28</v>
      </c>
      <c r="N126" s="77">
        <f t="shared" si="15"/>
        <v>1681927.28</v>
      </c>
      <c r="O126" s="76">
        <f>INDEX('[7]PDF DB Service Pivot'!$D:$D,MATCH(B126,'[7]PDF DB Service Pivot'!$B:$B,0))</f>
        <v>21869017.18</v>
      </c>
      <c r="P126" s="91">
        <v>45170</v>
      </c>
      <c r="Q126" s="81">
        <v>13.84</v>
      </c>
      <c r="R126" s="81">
        <v>11.77</v>
      </c>
      <c r="S126" s="354">
        <f t="shared" si="25"/>
        <v>0.85043352601156064</v>
      </c>
      <c r="T126" s="339">
        <f>INDEX('[8]Billable Services'!$P:$P,MATCH(B126,'[8]Billable Services'!$S:$S,0))</f>
        <v>1</v>
      </c>
      <c r="U126" s="81">
        <f t="shared" si="27"/>
        <v>0</v>
      </c>
      <c r="V126" s="81" cm="1">
        <f t="array" ref="V126">_xlfn.IFS('Fiscal by Program'!$B$7&lt;10.61,0,'Fiscal by Program'!$B$7&gt;10.6,(ROUND('Fiscal by Program'!$B$7*(1+IF(D126="Yes",'Fiscal by Program'!$B$9,'Fiscal by Program'!$B$8))*T126,2)))</f>
        <v>0</v>
      </c>
      <c r="W126" s="81">
        <f t="shared" si="16"/>
        <v>0</v>
      </c>
      <c r="X126" s="81">
        <f>ROUND((R126/(1+IF(D126="Yes",'Fiscal by Program'!$B$9,'Fiscal by Program'!$B$8))),2)+0.01</f>
        <v>10.64</v>
      </c>
      <c r="Y126" s="81">
        <f t="shared" si="17"/>
        <v>13.84</v>
      </c>
      <c r="Z126" s="88">
        <v>4</v>
      </c>
      <c r="AA126" s="90">
        <f t="shared" si="28"/>
        <v>0.25</v>
      </c>
      <c r="AB126" s="75">
        <f>INDEX('[9]Service List'!$K:$K,MATCH(A126,'[9]Service List'!$F:$F,0))</f>
        <v>555</v>
      </c>
      <c r="AC126" s="73">
        <f>INDEX('[5]Combined Bill Code List'!$P:$P,MATCH(A126,'[5]Combined Bill Code List'!$F:$F,0))</f>
        <v>0</v>
      </c>
      <c r="AD126" s="80" t="s">
        <v>428</v>
      </c>
      <c r="AE126" s="79">
        <v>1</v>
      </c>
      <c r="AF126" s="66">
        <v>0</v>
      </c>
      <c r="AG126" s="70">
        <f>ROUND(INDEX('All Trends'!D:D,MATCH($AD126,'All Trends'!$C:$C,0)),4)</f>
        <v>0.68740000000000001</v>
      </c>
      <c r="AH126" s="70">
        <f>ROUND(INDEX('All Trends'!E:E,MATCH($AD126,'All Trends'!$C:$C,0)),4)</f>
        <v>0.74260000000000004</v>
      </c>
      <c r="AI126" s="70">
        <f>ROUND(INDEX('All Trends'!F:F,MATCH($AD126,'All Trends'!$C:$C,0)),4)</f>
        <v>0.75890000000000002</v>
      </c>
      <c r="AJ126" s="70">
        <f>ROUND(INDEX('All Trends'!G:G,MATCH($AD126,'All Trends'!$C:$C,0)),4)</f>
        <v>0.76870000000000005</v>
      </c>
      <c r="AK126" s="70">
        <f>ROUND(INDEX('All Trends'!H:H,MATCH($AD126,'All Trends'!$C:$C,0)),4)</f>
        <v>0.77859999999999996</v>
      </c>
      <c r="AL126" s="74" t="s">
        <v>148</v>
      </c>
      <c r="AM126" s="92">
        <f t="shared" si="18"/>
        <v>1276414.6100000001</v>
      </c>
      <c r="AN126" s="92">
        <f t="shared" si="19"/>
        <v>1292897.5</v>
      </c>
      <c r="AO126" s="69">
        <f t="shared" si="20"/>
        <v>0</v>
      </c>
      <c r="AP126" s="69">
        <f t="shared" si="21"/>
        <v>0</v>
      </c>
      <c r="AQ126" s="69">
        <f t="shared" si="22"/>
        <v>0</v>
      </c>
      <c r="AR126" s="69">
        <f t="shared" si="23"/>
        <v>0</v>
      </c>
      <c r="AS126" s="409"/>
      <c r="AT126" s="409"/>
      <c r="AU126" s="409"/>
      <c r="AV126" s="65"/>
      <c r="AW126" s="65"/>
      <c r="AX126" s="65"/>
      <c r="AY126" s="65"/>
      <c r="AZ126" s="65"/>
      <c r="BD126" s="65"/>
    </row>
    <row r="127" spans="1:56" s="66" customFormat="1">
      <c r="A127" s="67" t="s">
        <v>432</v>
      </c>
      <c r="B127" s="67" t="s">
        <v>432</v>
      </c>
      <c r="C127" s="78" t="s">
        <v>147</v>
      </c>
      <c r="D127" s="78" t="s">
        <v>148</v>
      </c>
      <c r="E127" s="67" t="s">
        <v>428</v>
      </c>
      <c r="F127" s="67" t="s">
        <v>150</v>
      </c>
      <c r="G127" s="67" t="str">
        <f>INDEX('[4]RT Description to Bill Matix'!$D:$D,MATCH(A127,'[4]RT Description to Bill Matix'!$M:$M,0))</f>
        <v>CDS CAS/FC/PAS/PHC PRIORITY</v>
      </c>
      <c r="H127" s="65" t="s">
        <v>433</v>
      </c>
      <c r="I127" s="65" t="s">
        <v>147</v>
      </c>
      <c r="J127" s="65" t="str" cm="1">
        <f t="array" ref="J127">INDEX('Rate Table Service Desc XWalk'!F:F,MATCH(1,(G127='Rate Table Service Desc XWalk'!B:B)*(E127='Rate Table Service Desc XWalk'!A:A),0))</f>
        <v>13-5-117</v>
      </c>
      <c r="K127" s="66" t="str">
        <f>INDEX('[5]Combined Bill Code List'!$A:$A,MATCH(A127,'[5]Combined Bill Code List'!$F:$F,0))</f>
        <v>State Plan (Title XIX)</v>
      </c>
      <c r="L127" s="66" t="str">
        <f>INDEX('[6]Rate History'!$P:$P,MATCH(A127,'[6]Rate History'!$F:$F,0))</f>
        <v>1 hour</v>
      </c>
      <c r="M127" s="77">
        <f>INDEX('[7]PDF DB Service Pivot'!$C:$C,MATCH(B127,'[7]PDF DB Service Pivot'!$B:$B,0))</f>
        <v>1953.99</v>
      </c>
      <c r="N127" s="77">
        <f t="shared" si="15"/>
        <v>148.02954545454546</v>
      </c>
      <c r="O127" s="76">
        <f>INDEX('[7]PDF DB Service Pivot'!$D:$D,MATCH(B127,'[7]PDF DB Service Pivot'!$B:$B,0))</f>
        <v>1953.99</v>
      </c>
      <c r="P127" s="91">
        <v>45170</v>
      </c>
      <c r="Q127" s="81">
        <v>13.2</v>
      </c>
      <c r="R127" s="81">
        <v>11.75</v>
      </c>
      <c r="S127" s="354">
        <f t="shared" si="25"/>
        <v>0.89015151515151525</v>
      </c>
      <c r="T127" s="339">
        <v>1</v>
      </c>
      <c r="U127" s="81">
        <f t="shared" si="27"/>
        <v>0</v>
      </c>
      <c r="V127" s="81" cm="1">
        <f t="array" ref="V127">_xlfn.IFS('Fiscal by Program'!$B$7&lt;10.61,0,'Fiscal by Program'!$B$7&gt;10.6,(ROUND('Fiscal by Program'!$B$7*(1+IF(D127="Yes",'Fiscal by Program'!$B$9,'Fiscal by Program'!$B$8))*T127,2)))</f>
        <v>0</v>
      </c>
      <c r="W127" s="81">
        <f t="shared" si="16"/>
        <v>0</v>
      </c>
      <c r="X127" s="81">
        <f>ROUND((R127/(1+IF(D127="Yes",'Fiscal by Program'!$B$9,'Fiscal by Program'!$B$8))),2)+0.01</f>
        <v>10.62</v>
      </c>
      <c r="Y127" s="81">
        <f t="shared" si="17"/>
        <v>13.2</v>
      </c>
      <c r="Z127" s="88">
        <v>4</v>
      </c>
      <c r="AA127" s="90">
        <f t="shared" si="28"/>
        <v>0.25</v>
      </c>
      <c r="AB127" s="75">
        <f>INDEX('[9]Service List'!$K:$K,MATCH(A127,'[9]Service List'!$F:$F,0))</f>
        <v>558</v>
      </c>
      <c r="AC127" s="73">
        <f>INDEX('[5]Combined Bill Code List'!$P:$P,MATCH(A127,'[5]Combined Bill Code List'!$F:$F,0))</f>
        <v>0</v>
      </c>
      <c r="AD127" s="80" t="s">
        <v>428</v>
      </c>
      <c r="AE127" s="79">
        <v>1</v>
      </c>
      <c r="AF127" s="66">
        <v>0</v>
      </c>
      <c r="AG127" s="70">
        <f>ROUND(INDEX('All Trends'!D:D,MATCH($AD127,'All Trends'!$C:$C,0)),4)</f>
        <v>0.68740000000000001</v>
      </c>
      <c r="AH127" s="70">
        <f>ROUND(INDEX('All Trends'!E:E,MATCH($AD127,'All Trends'!$C:$C,0)),4)</f>
        <v>0.74260000000000004</v>
      </c>
      <c r="AI127" s="70">
        <f>ROUND(INDEX('All Trends'!F:F,MATCH($AD127,'All Trends'!$C:$C,0)),4)</f>
        <v>0.75890000000000002</v>
      </c>
      <c r="AJ127" s="70">
        <f>ROUND(INDEX('All Trends'!G:G,MATCH($AD127,'All Trends'!$C:$C,0)),4)</f>
        <v>0.76870000000000005</v>
      </c>
      <c r="AK127" s="70">
        <f>ROUND(INDEX('All Trends'!H:H,MATCH($AD127,'All Trends'!$C:$C,0)),4)</f>
        <v>0.77859999999999996</v>
      </c>
      <c r="AL127" s="74" t="s">
        <v>148</v>
      </c>
      <c r="AM127" s="92">
        <f t="shared" si="18"/>
        <v>112.34</v>
      </c>
      <c r="AN127" s="92">
        <f t="shared" si="19"/>
        <v>113.79</v>
      </c>
      <c r="AO127" s="69">
        <f t="shared" si="20"/>
        <v>0</v>
      </c>
      <c r="AP127" s="69">
        <f t="shared" si="21"/>
        <v>0</v>
      </c>
      <c r="AQ127" s="69">
        <f t="shared" si="22"/>
        <v>0</v>
      </c>
      <c r="AR127" s="69">
        <f t="shared" si="23"/>
        <v>0</v>
      </c>
      <c r="AS127" s="409"/>
      <c r="AT127" s="409"/>
      <c r="AU127" s="409"/>
      <c r="AV127" s="65"/>
      <c r="AW127" s="65"/>
      <c r="AX127" s="65"/>
      <c r="AY127" s="65"/>
      <c r="AZ127" s="65"/>
      <c r="BD127" s="65"/>
    </row>
    <row r="128" spans="1:56" s="66" customFormat="1">
      <c r="A128" s="67" t="s">
        <v>434</v>
      </c>
      <c r="B128" s="67" t="s">
        <v>434</v>
      </c>
      <c r="C128" s="78" t="s">
        <v>147</v>
      </c>
      <c r="D128" s="78" t="s">
        <v>148</v>
      </c>
      <c r="E128" s="67" t="s">
        <v>428</v>
      </c>
      <c r="F128" s="67" t="s">
        <v>150</v>
      </c>
      <c r="G128" s="67" t="str">
        <f>INDEX('[4]RT Description to Bill Matix'!$D:$D,MATCH(A128,'[4]RT Description to Bill Matix'!$M:$M,0))</f>
        <v>CDS CAS/FC/PAS/PHC NON-PRIORITY</v>
      </c>
      <c r="H128" s="65" t="s">
        <v>435</v>
      </c>
      <c r="I128" s="65" t="s">
        <v>147</v>
      </c>
      <c r="J128" s="65" t="str" cm="1">
        <f t="array" ref="J128">INDEX('Rate Table Service Desc XWalk'!F:F,MATCH(1,(G128='Rate Table Service Desc XWalk'!B:B)*(E128='Rate Table Service Desc XWalk'!A:A),0))</f>
        <v>13-5-116</v>
      </c>
      <c r="K128" s="66" t="str">
        <f>INDEX('[5]Combined Bill Code List'!$A:$A,MATCH(A128,'[5]Combined Bill Code List'!$F:$F,0))</f>
        <v>State Plan (Title XIX)</v>
      </c>
      <c r="L128" s="66" t="str">
        <f>INDEX('[6]Rate History'!$P:$P,MATCH(A128,'[6]Rate History'!$F:$F,0))</f>
        <v>1 hour</v>
      </c>
      <c r="M128" s="77">
        <f>INDEX('[7]PDF DB Service Pivot'!$C:$C,MATCH(B128,'[7]PDF DB Service Pivot'!$B:$B,0))</f>
        <v>225967.88</v>
      </c>
      <c r="N128" s="77">
        <f t="shared" si="15"/>
        <v>17328.825153374233</v>
      </c>
      <c r="O128" s="76">
        <f>INDEX('[7]PDF DB Service Pivot'!$D:$D,MATCH(B128,'[7]PDF DB Service Pivot'!$B:$B,0))</f>
        <v>225967.88</v>
      </c>
      <c r="P128" s="91">
        <v>45170</v>
      </c>
      <c r="Q128" s="81">
        <v>13.04</v>
      </c>
      <c r="R128" s="81">
        <v>11.769999999999998</v>
      </c>
      <c r="S128" s="354">
        <f t="shared" si="25"/>
        <v>0.90260736196319002</v>
      </c>
      <c r="T128" s="339">
        <v>1</v>
      </c>
      <c r="U128" s="81">
        <f t="shared" si="27"/>
        <v>0</v>
      </c>
      <c r="V128" s="81" cm="1">
        <f t="array" ref="V128">_xlfn.IFS('Fiscal by Program'!$B$7&lt;10.61,0,'Fiscal by Program'!$B$7&gt;10.6,(ROUND('Fiscal by Program'!$B$7*(1+IF(D128="Yes",'Fiscal by Program'!$B$9,'Fiscal by Program'!$B$8))*T128,2)))</f>
        <v>0</v>
      </c>
      <c r="W128" s="81">
        <f t="shared" si="16"/>
        <v>0</v>
      </c>
      <c r="X128" s="81">
        <f>ROUND((R128/(1+IF(D128="Yes",'Fiscal by Program'!$B$9,'Fiscal by Program'!$B$8))),2)+0.01</f>
        <v>10.64</v>
      </c>
      <c r="Y128" s="81">
        <f t="shared" si="17"/>
        <v>13.04</v>
      </c>
      <c r="Z128" s="88">
        <v>4</v>
      </c>
      <c r="AA128" s="90">
        <f t="shared" si="28"/>
        <v>0.25</v>
      </c>
      <c r="AB128" s="75">
        <f>INDEX('[9]Service List'!$K:$K,MATCH(A128,'[9]Service List'!$F:$F,0))</f>
        <v>557</v>
      </c>
      <c r="AC128" s="73">
        <f>INDEX('[5]Combined Bill Code List'!$P:$P,MATCH(A128,'[5]Combined Bill Code List'!$F:$F,0))</f>
        <v>0</v>
      </c>
      <c r="AD128" s="80" t="s">
        <v>428</v>
      </c>
      <c r="AE128" s="79">
        <v>1</v>
      </c>
      <c r="AF128" s="66">
        <v>0</v>
      </c>
      <c r="AG128" s="70">
        <f>ROUND(INDEX('All Trends'!D:D,MATCH($AD128,'All Trends'!$C:$C,0)),4)</f>
        <v>0.68740000000000001</v>
      </c>
      <c r="AH128" s="70">
        <f>ROUND(INDEX('All Trends'!E:E,MATCH($AD128,'All Trends'!$C:$C,0)),4)</f>
        <v>0.74260000000000004</v>
      </c>
      <c r="AI128" s="70">
        <f>ROUND(INDEX('All Trends'!F:F,MATCH($AD128,'All Trends'!$C:$C,0)),4)</f>
        <v>0.75890000000000002</v>
      </c>
      <c r="AJ128" s="70">
        <f>ROUND(INDEX('All Trends'!G:G,MATCH($AD128,'All Trends'!$C:$C,0)),4)</f>
        <v>0.76870000000000005</v>
      </c>
      <c r="AK128" s="70">
        <f>ROUND(INDEX('All Trends'!H:H,MATCH($AD128,'All Trends'!$C:$C,0)),4)</f>
        <v>0.77859999999999996</v>
      </c>
      <c r="AL128" s="66" t="s">
        <v>148</v>
      </c>
      <c r="AM128" s="92">
        <f t="shared" si="18"/>
        <v>13150.85</v>
      </c>
      <c r="AN128" s="92">
        <f t="shared" si="19"/>
        <v>13320.67</v>
      </c>
      <c r="AO128" s="69">
        <f t="shared" si="20"/>
        <v>0</v>
      </c>
      <c r="AP128" s="69">
        <f t="shared" si="21"/>
        <v>0</v>
      </c>
      <c r="AQ128" s="69">
        <f t="shared" si="22"/>
        <v>0</v>
      </c>
      <c r="AR128" s="69">
        <f t="shared" si="23"/>
        <v>0</v>
      </c>
      <c r="AS128" s="409"/>
      <c r="AT128" s="409"/>
      <c r="AU128" s="409"/>
      <c r="AV128" s="65"/>
      <c r="AW128" s="65"/>
      <c r="AX128" s="65"/>
      <c r="AY128" s="65"/>
      <c r="AZ128" s="65"/>
      <c r="BD128" s="65"/>
    </row>
    <row r="129" spans="1:56" s="66" customFormat="1">
      <c r="A129" s="67" t="s">
        <v>436</v>
      </c>
      <c r="B129" s="67" t="s">
        <v>436</v>
      </c>
      <c r="C129" s="78" t="s">
        <v>147</v>
      </c>
      <c r="D129" s="78" t="s">
        <v>147</v>
      </c>
      <c r="E129" s="67" t="s">
        <v>437</v>
      </c>
      <c r="F129" s="67" t="s">
        <v>437</v>
      </c>
      <c r="G129" s="67" t="str">
        <f>INDEX('[4]RT Description to Bill Matix'!$D:$D,MATCH(A129,'[4]RT Description to Bill Matix'!$M:$M,0))</f>
        <v>Residential Care Title XX</v>
      </c>
      <c r="H129" s="65" t="s">
        <v>438</v>
      </c>
      <c r="I129" s="65"/>
      <c r="J129" s="65" t="str" cm="1">
        <f t="array" ref="J129">INDEX('Rate Table Service Desc XWalk'!F:F,MATCH(1,(G129='Rate Table Service Desc XWalk'!B:B)*(E129='Rate Table Service Desc XWalk'!A:A),0))</f>
        <v>10-1-88</v>
      </c>
      <c r="K129" s="66" t="str">
        <f>INDEX('[5]Combined Bill Code List'!$A:$A,MATCH(A129,'[5]Combined Bill Code List'!$F:$F,0))</f>
        <v>Title XX</v>
      </c>
      <c r="L129" s="66" t="str">
        <f>INDEX('[6]Rate History'!$P:$P,MATCH(A129,'[6]Rate History'!$F:$F,0))</f>
        <v>1 day</v>
      </c>
      <c r="M129" s="77">
        <f>INDEX('[7]PDF DB Service Pivot'!$C:$C,MATCH(B129,'[7]PDF DB Service Pivot'!$B:$B,0))</f>
        <v>5757</v>
      </c>
      <c r="N129" s="77">
        <f t="shared" si="15"/>
        <v>5757</v>
      </c>
      <c r="O129" s="76">
        <f>INDEX('[7]PDF DB Service Pivot'!$D:$D,MATCH(B129,'[7]PDF DB Service Pivot'!$B:$B,0))</f>
        <v>156058.65</v>
      </c>
      <c r="P129" s="91">
        <v>45170</v>
      </c>
      <c r="Q129" s="81">
        <v>43.17</v>
      </c>
      <c r="R129" s="81">
        <v>16.079999999999998</v>
      </c>
      <c r="S129" s="354">
        <f t="shared" si="25"/>
        <v>0.37248088950660174</v>
      </c>
      <c r="T129" s="339">
        <v>2.5099999999999998</v>
      </c>
      <c r="U129" s="81">
        <f t="shared" si="27"/>
        <v>0</v>
      </c>
      <c r="V129" s="81" cm="1">
        <f t="array" ref="V129">_xlfn.IFS('Fiscal by Program'!$B$7&lt;10.61,0,'Fiscal by Program'!$B$7&gt;10.6,(ROUND('Fiscal by Program'!$B$7*(1+IF(D129="Yes",'Fiscal by Program'!$B$9,'Fiscal by Program'!$B$8))*T129,2)))</f>
        <v>0</v>
      </c>
      <c r="W129" s="81">
        <f t="shared" si="16"/>
        <v>0</v>
      </c>
      <c r="X129" s="81">
        <f>ROUND((R129/(1+IF(D129="Yes",'Fiscal by Program'!$B$9,'Fiscal by Program'!$B$8))),2)+0.01</f>
        <v>14.53</v>
      </c>
      <c r="Y129" s="81">
        <f t="shared" si="17"/>
        <v>43.17</v>
      </c>
      <c r="Z129" s="88">
        <v>96</v>
      </c>
      <c r="AA129" s="90">
        <f t="shared" si="28"/>
        <v>2.614583333333333E-2</v>
      </c>
      <c r="AB129" s="75">
        <f>INDEX('[9]Service List'!$K:$K,MATCH(A129,'[9]Service List'!$F:$F,0))</f>
        <v>559</v>
      </c>
      <c r="AC129" s="73">
        <f>INDEX('[5]Combined Bill Code List'!$P:$P,MATCH(A129,'[5]Combined Bill Code List'!$F:$F,0))</f>
        <v>0</v>
      </c>
      <c r="AD129" s="80" t="s">
        <v>185</v>
      </c>
      <c r="AE129" s="79">
        <v>1</v>
      </c>
      <c r="AF129" s="66">
        <v>0</v>
      </c>
      <c r="AG129" s="70">
        <f>ROUND(INDEX('All Trends'!D:D,MATCH($AD129,'All Trends'!$C:$C,0)),4)</f>
        <v>1</v>
      </c>
      <c r="AH129" s="70">
        <f>ROUND(INDEX('All Trends'!E:E,MATCH($AD129,'All Trends'!$C:$C,0)),4)</f>
        <v>1</v>
      </c>
      <c r="AI129" s="70">
        <f>ROUND(INDEX('All Trends'!F:F,MATCH($AD129,'All Trends'!$C:$C,0)),4)</f>
        <v>1</v>
      </c>
      <c r="AJ129" s="70">
        <f>ROUND(INDEX('All Trends'!G:G,MATCH($AD129,'All Trends'!$C:$C,0)),4)</f>
        <v>1</v>
      </c>
      <c r="AK129" s="70">
        <f>ROUND(INDEX('All Trends'!H:H,MATCH($AD129,'All Trends'!$C:$C,0)),4)</f>
        <v>1</v>
      </c>
      <c r="AL129" s="66" t="s">
        <v>147</v>
      </c>
      <c r="AM129" s="92">
        <f t="shared" si="18"/>
        <v>14450.07</v>
      </c>
      <c r="AN129" s="92">
        <f t="shared" si="19"/>
        <v>14450.07</v>
      </c>
      <c r="AO129" s="69">
        <f t="shared" si="20"/>
        <v>0</v>
      </c>
      <c r="AP129" s="69">
        <f t="shared" si="21"/>
        <v>0</v>
      </c>
      <c r="AQ129" s="69">
        <f t="shared" si="22"/>
        <v>0</v>
      </c>
      <c r="AR129" s="69">
        <f t="shared" si="23"/>
        <v>0</v>
      </c>
      <c r="AS129" s="409"/>
      <c r="AT129" s="409"/>
      <c r="AU129" s="409"/>
      <c r="AV129" s="65"/>
      <c r="AW129" s="65"/>
      <c r="AX129" s="65"/>
      <c r="AY129" s="65"/>
      <c r="AZ129" s="65"/>
      <c r="BD129" s="65"/>
    </row>
    <row r="130" spans="1:56" s="66" customFormat="1">
      <c r="A130" s="78" t="s">
        <v>439</v>
      </c>
      <c r="B130" s="78" t="s">
        <v>439</v>
      </c>
      <c r="C130" s="78" t="s">
        <v>147</v>
      </c>
      <c r="D130" s="78" t="s">
        <v>147</v>
      </c>
      <c r="E130" s="67" t="s">
        <v>437</v>
      </c>
      <c r="F130" s="67" t="s">
        <v>437</v>
      </c>
      <c r="G130" s="67" t="str">
        <f>INDEX('[4]RT Description to Bill Matix'!$D:$D,MATCH(A130,'[4]RT Description to Bill Matix'!$M:$M,0))</f>
        <v>Residential Care Title XX</v>
      </c>
      <c r="H130" s="65" t="s">
        <v>440</v>
      </c>
      <c r="I130" s="65"/>
      <c r="J130" s="65" t="str" cm="1">
        <f t="array" ref="J130">INDEX('Rate Table Service Desc XWalk'!F:F,MATCH(1,(G130='Rate Table Service Desc XWalk'!B:B)*(E130='Rate Table Service Desc XWalk'!A:A),0))</f>
        <v>10-1-88</v>
      </c>
      <c r="K130" s="66" t="str">
        <f>INDEX('[5]Combined Bill Code List'!$A:$A,MATCH(A130,'[5]Combined Bill Code List'!$F:$F,0))</f>
        <v>Title XX</v>
      </c>
      <c r="L130" s="66" t="str">
        <f>INDEX('[6]Rate History'!$P:$P,MATCH(A130,'[6]Rate History'!$F:$F,0))</f>
        <v>1 day</v>
      </c>
      <c r="M130" s="77">
        <f>INDEX('[7]PDF DB Service Pivot'!$C:$C,MATCH(B130,'[7]PDF DB Service Pivot'!$B:$B,0))</f>
        <v>47846</v>
      </c>
      <c r="N130" s="77">
        <f t="shared" si="15"/>
        <v>47846</v>
      </c>
      <c r="O130" s="76">
        <f>INDEX('[7]PDF DB Service Pivot'!$D:$D,MATCH(B130,'[7]PDF DB Service Pivot'!$B:$B,0))</f>
        <v>789731.16</v>
      </c>
      <c r="P130" s="91">
        <v>45170</v>
      </c>
      <c r="Q130" s="81">
        <v>34.51</v>
      </c>
      <c r="R130" s="81">
        <v>16.079999999999998</v>
      </c>
      <c r="S130" s="354">
        <f t="shared" si="25"/>
        <v>0.46595189800057951</v>
      </c>
      <c r="T130" s="339">
        <v>2.5099999999999998</v>
      </c>
      <c r="U130" s="81">
        <f t="shared" si="27"/>
        <v>0</v>
      </c>
      <c r="V130" s="81" cm="1">
        <f t="array" ref="V130">_xlfn.IFS('Fiscal by Program'!$B$7&lt;10.61,0,'Fiscal by Program'!$B$7&gt;10.6,(ROUND('Fiscal by Program'!$B$7*(1+IF(D130="Yes",'Fiscal by Program'!$B$9,'Fiscal by Program'!$B$8))*T130,2)))</f>
        <v>0</v>
      </c>
      <c r="W130" s="81">
        <f t="shared" si="16"/>
        <v>0</v>
      </c>
      <c r="X130" s="81">
        <f>ROUND((R130/(1+IF(D130="Yes",'Fiscal by Program'!$B$9,'Fiscal by Program'!$B$8))),2)+0.01</f>
        <v>14.53</v>
      </c>
      <c r="Y130" s="81">
        <f t="shared" si="17"/>
        <v>34.51</v>
      </c>
      <c r="Z130" s="88">
        <v>96</v>
      </c>
      <c r="AA130" s="90">
        <f t="shared" si="28"/>
        <v>2.614583333333333E-2</v>
      </c>
      <c r="AB130" s="75">
        <f>INDEX('[9]Service List'!$K:$K,MATCH(A130,'[9]Service List'!$F:$F,0))</f>
        <v>560</v>
      </c>
      <c r="AC130" s="73">
        <f>INDEX('[5]Combined Bill Code List'!$P:$P,MATCH(A130,'[5]Combined Bill Code List'!$F:$F,0))</f>
        <v>0</v>
      </c>
      <c r="AD130" s="80" t="s">
        <v>185</v>
      </c>
      <c r="AE130" s="79">
        <v>1</v>
      </c>
      <c r="AF130" s="66">
        <v>0</v>
      </c>
      <c r="AG130" s="70">
        <f>ROUND(INDEX('All Trends'!D:D,MATCH($AD130,'All Trends'!$C:$C,0)),4)</f>
        <v>1</v>
      </c>
      <c r="AH130" s="70">
        <f>ROUND(INDEX('All Trends'!E:E,MATCH($AD130,'All Trends'!$C:$C,0)),4)</f>
        <v>1</v>
      </c>
      <c r="AI130" s="70">
        <f>ROUND(INDEX('All Trends'!F:F,MATCH($AD130,'All Trends'!$C:$C,0)),4)</f>
        <v>1</v>
      </c>
      <c r="AJ130" s="70">
        <f>ROUND(INDEX('All Trends'!G:G,MATCH($AD130,'All Trends'!$C:$C,0)),4)</f>
        <v>1</v>
      </c>
      <c r="AK130" s="70">
        <f>ROUND(INDEX('All Trends'!H:H,MATCH($AD130,'All Trends'!$C:$C,0)),4)</f>
        <v>1</v>
      </c>
      <c r="AL130" s="66" t="s">
        <v>147</v>
      </c>
      <c r="AM130" s="92">
        <f t="shared" si="18"/>
        <v>120093.46</v>
      </c>
      <c r="AN130" s="92">
        <f t="shared" si="19"/>
        <v>120093.46</v>
      </c>
      <c r="AO130" s="69">
        <f t="shared" si="20"/>
        <v>0</v>
      </c>
      <c r="AP130" s="69">
        <f t="shared" si="21"/>
        <v>0</v>
      </c>
      <c r="AQ130" s="69">
        <f t="shared" si="22"/>
        <v>0</v>
      </c>
      <c r="AR130" s="69">
        <f t="shared" si="23"/>
        <v>0</v>
      </c>
      <c r="AS130" s="409"/>
      <c r="AT130" s="409"/>
      <c r="AU130" s="409"/>
      <c r="AV130" s="65"/>
      <c r="AW130" s="65"/>
      <c r="AX130" s="65"/>
      <c r="AY130" s="65"/>
      <c r="AZ130" s="65"/>
      <c r="BD130" s="65"/>
    </row>
    <row r="131" spans="1:56" s="66" customFormat="1">
      <c r="A131" s="67" t="s">
        <v>441</v>
      </c>
      <c r="B131" s="67" t="s">
        <v>441</v>
      </c>
      <c r="C131" s="78" t="s">
        <v>147</v>
      </c>
      <c r="D131" s="78" t="s">
        <v>148</v>
      </c>
      <c r="E131" s="67" t="s">
        <v>442</v>
      </c>
      <c r="F131" s="67" t="s">
        <v>408</v>
      </c>
      <c r="G131" s="67" t="str">
        <f>INDEX('[4]RT Description to Bill Matix'!$D:$D,MATCH(A131,'[4]RT Description to Bill Matix'!$M:$M,0))</f>
        <v>PCS (CFC and Non-CFC)</v>
      </c>
      <c r="H131" s="67" t="s">
        <v>443</v>
      </c>
      <c r="I131" s="67"/>
      <c r="J131" s="65" t="str" cm="1">
        <f t="array" ref="J131">INDEX('Rate Table Service Desc XWalk'!F:F,MATCH(1,(G131='Rate Table Service Desc XWalk'!B:B)*(E131='Rate Table Service Desc XWalk'!A:A),0))</f>
        <v>9-1-80</v>
      </c>
      <c r="K131" s="66" t="s">
        <v>410</v>
      </c>
      <c r="L131" s="66" t="str">
        <f>INDEX('[6]Rate History'!$P:$P,MATCH(A131,'[6]Rate History'!$F:$F,0))</f>
        <v>15 minutes</v>
      </c>
      <c r="M131" s="77">
        <f>INDEX('[7]PDF DB Service Pivot'!$C:$C,MATCH(B131,'[7]PDF DB Service Pivot'!$B:$B,0))</f>
        <v>371839</v>
      </c>
      <c r="N131" s="77">
        <f t="shared" ref="N131:N194" si="29">IF(ISNUMBER(FIND("ISS",F131)),IF(I131="Yes",((M131/Q131)/6)*12,(M131/6)*12),IF(AND(I131="Yes",M131=O131),M131/Q131,M131))</f>
        <v>371839</v>
      </c>
      <c r="O131" s="76">
        <f>INDEX('[7]PDF DB Service Pivot'!$D:$D,MATCH(B131,'[7]PDF DB Service Pivot'!$B:$B,0))</f>
        <v>1057142.8799999999</v>
      </c>
      <c r="P131" s="91">
        <v>45170</v>
      </c>
      <c r="Q131" s="72">
        <v>3.64</v>
      </c>
      <c r="R131" s="81">
        <v>2.9499999999999997</v>
      </c>
      <c r="S131" s="354">
        <f t="shared" si="25"/>
        <v>0.81043956043956034</v>
      </c>
      <c r="T131" s="339">
        <v>0.25</v>
      </c>
      <c r="U131" s="81">
        <f t="shared" si="27"/>
        <v>0</v>
      </c>
      <c r="V131" s="81" cm="1">
        <f t="array" ref="V131">_xlfn.IFS('Fiscal by Program'!$B$7&lt;10.61,0,'Fiscal by Program'!$B$7&gt;10.6,(ROUND('Fiscal by Program'!$B$7*(1+IF(D131="Yes",'Fiscal by Program'!$B$9,'Fiscal by Program'!$B$8))*T131,2)))</f>
        <v>0</v>
      </c>
      <c r="W131" s="81">
        <f t="shared" ref="W131:W194" si="30">IF(V131-R131&lt;0,0,V131-R131)</f>
        <v>0</v>
      </c>
      <c r="X131" s="81">
        <f>ROUND((R131/(1+IF(D131="Yes",'Fiscal by Program'!$B$9,'Fiscal by Program'!$B$8))),2)+0.01</f>
        <v>2.67</v>
      </c>
      <c r="Y131" s="81">
        <f t="shared" ref="Y131:Y194" si="31">Q131+W131</f>
        <v>3.64</v>
      </c>
      <c r="Z131" s="88">
        <v>1</v>
      </c>
      <c r="AA131" s="90">
        <f t="shared" si="28"/>
        <v>0.25</v>
      </c>
      <c r="AB131" s="75">
        <f>INDEX('[9]Service List'!$K:$K,MATCH(A131,'[9]Service List'!$F:$F,0))</f>
        <v>1370</v>
      </c>
      <c r="AC131" s="73">
        <v>0</v>
      </c>
      <c r="AD131" s="67" t="s">
        <v>411</v>
      </c>
      <c r="AE131" s="66">
        <f t="shared" ref="AE131:AE139" si="32">$AE$1</f>
        <v>1.095890410958904</v>
      </c>
      <c r="AF131" s="66">
        <f t="shared" ref="AF131:AF139" si="33">IF(AC131=0,0,-0.06)</f>
        <v>0</v>
      </c>
      <c r="AG131" s="70">
        <f>ROUND(INDEX('All Trends'!D:D,MATCH($AD131,'All Trends'!$C:$C,0)),4)</f>
        <v>1</v>
      </c>
      <c r="AH131" s="70">
        <f>ROUND(INDEX('All Trends'!E:E,MATCH($AD131,'All Trends'!$C:$C,0)),4)</f>
        <v>1</v>
      </c>
      <c r="AI131" s="70">
        <f>ROUND(INDEX('All Trends'!F:F,MATCH($AD131,'All Trends'!$C:$C,0)),4)</f>
        <v>1</v>
      </c>
      <c r="AJ131" s="70">
        <f>ROUND(INDEX('All Trends'!G:G,MATCH($AD131,'All Trends'!$C:$C,0)),4)</f>
        <v>1</v>
      </c>
      <c r="AK131" s="70">
        <f>ROUND(INDEX('All Trends'!H:H,MATCH($AD131,'All Trends'!$C:$C,0)),4)</f>
        <v>1</v>
      </c>
      <c r="AL131" s="74" t="s">
        <v>148</v>
      </c>
      <c r="AM131" s="92">
        <f t="shared" ref="AM131:AM194" si="34">IF(C131="Yes",ROUND(T131*N131*AI131,2),0)</f>
        <v>92959.75</v>
      </c>
      <c r="AN131" s="92">
        <f t="shared" ref="AN131:AN194" si="35">IF(C131="Yes",ROUND(T131*N131*AJ131,2),0)</f>
        <v>92959.75</v>
      </c>
      <c r="AO131" s="69">
        <f t="shared" ref="AO131:AO194" si="36">IF(C131="Yes",ROUND((W131*N131*AI131),2),0)</f>
        <v>0</v>
      </c>
      <c r="AP131" s="69">
        <f t="shared" ref="AP131:AP194" si="37">IF(C131="Yes",IF($AL131="No",ROUND(($AO131*($AY$2+$AF131)),2),ROUND($AO131,2)),0)</f>
        <v>0</v>
      </c>
      <c r="AQ131" s="69">
        <f t="shared" ref="AQ131:AQ194" si="38">IF(C131="Yes",ROUND((W131*N131*AJ131),2),0)</f>
        <v>0</v>
      </c>
      <c r="AR131" s="69">
        <f t="shared" ref="AR131:AR194" si="39">IF(C131="Yes",IF($AL131="No",ROUND(($AQ131*($AZ$2+$AF131)),2),ROUND($AQ131,2)),0)</f>
        <v>0</v>
      </c>
      <c r="AS131" s="409"/>
      <c r="AT131" s="409"/>
      <c r="AU131" s="409"/>
      <c r="AV131" s="65"/>
      <c r="AW131" s="65"/>
      <c r="AX131" s="65"/>
      <c r="AY131" s="65"/>
      <c r="AZ131" s="65"/>
      <c r="BD131" s="65"/>
    </row>
    <row r="132" spans="1:56" s="66" customFormat="1">
      <c r="A132" s="67" t="s">
        <v>444</v>
      </c>
      <c r="B132" s="67" t="s">
        <v>444</v>
      </c>
      <c r="C132" s="78" t="s">
        <v>147</v>
      </c>
      <c r="D132" s="78" t="s">
        <v>148</v>
      </c>
      <c r="E132" s="67" t="s">
        <v>442</v>
      </c>
      <c r="F132" s="67" t="s">
        <v>408</v>
      </c>
      <c r="G132" s="67" t="str">
        <f>INDEX('[4]RT Description to Bill Matix'!$D:$D,MATCH(A132,'[4]RT Description to Bill Matix'!$M:$M,0))</f>
        <v>PCS (CFC and Non-CFC)</v>
      </c>
      <c r="H132" s="67" t="s">
        <v>445</v>
      </c>
      <c r="I132" s="67"/>
      <c r="J132" s="65" t="str" cm="1">
        <f t="array" ref="J132">INDEX('Rate Table Service Desc XWalk'!F:F,MATCH(1,(G132='Rate Table Service Desc XWalk'!B:B)*(E132='Rate Table Service Desc XWalk'!A:A),0))</f>
        <v>9-1-80</v>
      </c>
      <c r="K132" s="66" t="s">
        <v>410</v>
      </c>
      <c r="L132" s="66" t="str">
        <f>INDEX('[6]Rate History'!$P:$P,MATCH(A132,'[6]Rate History'!$F:$F,0))</f>
        <v>15 minutes</v>
      </c>
      <c r="M132" s="77">
        <f>INDEX('[7]PDF DB Service Pivot'!$C:$C,MATCH(B132,'[7]PDF DB Service Pivot'!$B:$B,0))</f>
        <v>520</v>
      </c>
      <c r="N132" s="77">
        <f t="shared" si="29"/>
        <v>520</v>
      </c>
      <c r="O132" s="76">
        <f>INDEX('[7]PDF DB Service Pivot'!$D:$D,MATCH(B132,'[7]PDF DB Service Pivot'!$B:$B,0))</f>
        <v>1518.4</v>
      </c>
      <c r="P132" s="91">
        <v>45170</v>
      </c>
      <c r="Q132" s="72">
        <v>3.64</v>
      </c>
      <c r="R132" s="81">
        <v>2.9499999999999997</v>
      </c>
      <c r="S132" s="354">
        <f t="shared" ref="S132:S142" si="40">_xlfn.IFNA(R132/Q132,"")</f>
        <v>0.81043956043956034</v>
      </c>
      <c r="T132" s="339">
        <v>0.25</v>
      </c>
      <c r="U132" s="81">
        <f t="shared" si="27"/>
        <v>0</v>
      </c>
      <c r="V132" s="81" cm="1">
        <f t="array" ref="V132">_xlfn.IFS('Fiscal by Program'!$B$7&lt;10.61,0,'Fiscal by Program'!$B$7&gt;10.6,(ROUND('Fiscal by Program'!$B$7*(1+IF(D132="Yes",'Fiscal by Program'!$B$9,'Fiscal by Program'!$B$8))*T132,2)))</f>
        <v>0</v>
      </c>
      <c r="W132" s="81">
        <f t="shared" si="30"/>
        <v>0</v>
      </c>
      <c r="X132" s="81">
        <f>ROUND((R132/(1+IF(D132="Yes",'Fiscal by Program'!$B$9,'Fiscal by Program'!$B$8))),2)+0.01</f>
        <v>2.67</v>
      </c>
      <c r="Y132" s="81">
        <f t="shared" si="31"/>
        <v>3.64</v>
      </c>
      <c r="Z132" s="88">
        <v>1</v>
      </c>
      <c r="AA132" s="90">
        <f t="shared" si="28"/>
        <v>0.25</v>
      </c>
      <c r="AB132" s="75">
        <f>INDEX('[9]Service List'!$K:$K,MATCH(A132,'[9]Service List'!$F:$F,0))</f>
        <v>1367</v>
      </c>
      <c r="AC132" s="73">
        <v>0</v>
      </c>
      <c r="AD132" s="67" t="s">
        <v>411</v>
      </c>
      <c r="AE132" s="66">
        <f t="shared" si="32"/>
        <v>1.095890410958904</v>
      </c>
      <c r="AF132" s="66">
        <f t="shared" si="33"/>
        <v>0</v>
      </c>
      <c r="AG132" s="70">
        <f>ROUND(INDEX('All Trends'!D:D,MATCH($AD132,'All Trends'!$C:$C,0)),4)</f>
        <v>1</v>
      </c>
      <c r="AH132" s="70">
        <f>ROUND(INDEX('All Trends'!E:E,MATCH($AD132,'All Trends'!$C:$C,0)),4)</f>
        <v>1</v>
      </c>
      <c r="AI132" s="70">
        <f>ROUND(INDEX('All Trends'!F:F,MATCH($AD132,'All Trends'!$C:$C,0)),4)</f>
        <v>1</v>
      </c>
      <c r="AJ132" s="70">
        <f>ROUND(INDEX('All Trends'!G:G,MATCH($AD132,'All Trends'!$C:$C,0)),4)</f>
        <v>1</v>
      </c>
      <c r="AK132" s="70">
        <f>ROUND(INDEX('All Trends'!H:H,MATCH($AD132,'All Trends'!$C:$C,0)),4)</f>
        <v>1</v>
      </c>
      <c r="AL132" s="74" t="s">
        <v>148</v>
      </c>
      <c r="AM132" s="92">
        <f t="shared" si="34"/>
        <v>130</v>
      </c>
      <c r="AN132" s="92">
        <f t="shared" si="35"/>
        <v>130</v>
      </c>
      <c r="AO132" s="69">
        <f t="shared" si="36"/>
        <v>0</v>
      </c>
      <c r="AP132" s="69">
        <f t="shared" si="37"/>
        <v>0</v>
      </c>
      <c r="AQ132" s="69">
        <f t="shared" si="38"/>
        <v>0</v>
      </c>
      <c r="AR132" s="69">
        <f t="shared" si="39"/>
        <v>0</v>
      </c>
      <c r="AS132" s="409"/>
      <c r="AT132" s="409"/>
      <c r="AU132" s="409"/>
      <c r="AV132" s="65"/>
      <c r="AW132" s="65"/>
      <c r="AX132" s="65"/>
      <c r="AY132" s="65"/>
      <c r="AZ132" s="65"/>
      <c r="BD132" s="65"/>
    </row>
    <row r="133" spans="1:56" s="66" customFormat="1">
      <c r="A133" s="67" t="s">
        <v>446</v>
      </c>
      <c r="B133" s="67" t="s">
        <v>446</v>
      </c>
      <c r="C133" s="78" t="s">
        <v>147</v>
      </c>
      <c r="D133" s="78" t="s">
        <v>148</v>
      </c>
      <c r="E133" s="67" t="s">
        <v>442</v>
      </c>
      <c r="F133" s="67" t="s">
        <v>408</v>
      </c>
      <c r="G133" s="67" t="str">
        <f>INDEX('[4]RT Description to Bill Matix'!$D:$D,MATCH(A133,'[4]RT Description to Bill Matix'!$M:$M,0))</f>
        <v>CDS PCS (CFC and Non-CFC)</v>
      </c>
      <c r="H133" s="67" t="s">
        <v>447</v>
      </c>
      <c r="I133" s="65" t="s">
        <v>147</v>
      </c>
      <c r="J133" s="65" t="str" cm="1">
        <f t="array" ref="J133">INDEX('Rate Table Service Desc XWalk'!F:F,MATCH(1,(G133='Rate Table Service Desc XWalk'!B:B)*(E133='Rate Table Service Desc XWalk'!A:A),0))</f>
        <v>9-5-144</v>
      </c>
      <c r="K133" s="66" t="s">
        <v>410</v>
      </c>
      <c r="L133" s="66" t="str">
        <f>INDEX('[6]Rate History'!$P:$P,MATCH(A133,'[6]Rate History'!$F:$F,0))</f>
        <v>15 minutes</v>
      </c>
      <c r="M133" s="77">
        <f>INDEX('[7]PDF DB Service Pivot'!$C:$C,MATCH(B133,'[7]PDF DB Service Pivot'!$B:$B,0))</f>
        <v>167899.4</v>
      </c>
      <c r="N133" s="77">
        <f t="shared" si="29"/>
        <v>167899.4</v>
      </c>
      <c r="O133" s="76">
        <f>INDEX('[7]PDF DB Service Pivot'!$D:$D,MATCH(B133,'[7]PDF DB Service Pivot'!$B:$B,0))</f>
        <v>439579.78</v>
      </c>
      <c r="P133" s="91">
        <v>45170</v>
      </c>
      <c r="Q133" s="72">
        <v>3.44</v>
      </c>
      <c r="R133" s="81">
        <v>2.9499999999999997</v>
      </c>
      <c r="S133" s="354">
        <f t="shared" si="40"/>
        <v>0.85755813953488369</v>
      </c>
      <c r="T133" s="339">
        <v>0.25</v>
      </c>
      <c r="U133" s="81">
        <f t="shared" si="27"/>
        <v>0</v>
      </c>
      <c r="V133" s="81" cm="1">
        <f t="array" ref="V133">_xlfn.IFS('Fiscal by Program'!$B$7&lt;10.61,0,'Fiscal by Program'!$B$7&gt;10.6,(ROUND('Fiscal by Program'!$B$7*(1+IF(D133="Yes",'Fiscal by Program'!$B$9,'Fiscal by Program'!$B$8))*T133,2)))</f>
        <v>0</v>
      </c>
      <c r="W133" s="81">
        <f t="shared" si="30"/>
        <v>0</v>
      </c>
      <c r="X133" s="81">
        <f>ROUND((R133/(1+IF(D133="Yes",'Fiscal by Program'!$B$9,'Fiscal by Program'!$B$8))),2)+0.01</f>
        <v>2.67</v>
      </c>
      <c r="Y133" s="81">
        <f t="shared" si="31"/>
        <v>3.44</v>
      </c>
      <c r="Z133" s="88">
        <v>1</v>
      </c>
      <c r="AA133" s="90">
        <f t="shared" si="28"/>
        <v>0.25</v>
      </c>
      <c r="AB133" s="75">
        <f>INDEX('[9]Service List'!$K:$K,MATCH(A133,'[9]Service List'!$F:$F,0))</f>
        <v>1371</v>
      </c>
      <c r="AC133" s="73">
        <v>0</v>
      </c>
      <c r="AD133" s="67" t="s">
        <v>411</v>
      </c>
      <c r="AE133" s="66">
        <f t="shared" si="32"/>
        <v>1.095890410958904</v>
      </c>
      <c r="AF133" s="66">
        <f t="shared" si="33"/>
        <v>0</v>
      </c>
      <c r="AG133" s="70">
        <f>ROUND(INDEX('All Trends'!D:D,MATCH($AD133,'All Trends'!$C:$C,0)),4)</f>
        <v>1</v>
      </c>
      <c r="AH133" s="70">
        <f>ROUND(INDEX('All Trends'!E:E,MATCH($AD133,'All Trends'!$C:$C,0)),4)</f>
        <v>1</v>
      </c>
      <c r="AI133" s="70">
        <f>ROUND(INDEX('All Trends'!F:F,MATCH($AD133,'All Trends'!$C:$C,0)),4)</f>
        <v>1</v>
      </c>
      <c r="AJ133" s="70">
        <f>ROUND(INDEX('All Trends'!G:G,MATCH($AD133,'All Trends'!$C:$C,0)),4)</f>
        <v>1</v>
      </c>
      <c r="AK133" s="70">
        <f>ROUND(INDEX('All Trends'!H:H,MATCH($AD133,'All Trends'!$C:$C,0)),4)</f>
        <v>1</v>
      </c>
      <c r="AL133" s="74" t="s">
        <v>148</v>
      </c>
      <c r="AM133" s="92">
        <f t="shared" si="34"/>
        <v>41974.85</v>
      </c>
      <c r="AN133" s="92">
        <f t="shared" si="35"/>
        <v>41974.85</v>
      </c>
      <c r="AO133" s="69">
        <f t="shared" si="36"/>
        <v>0</v>
      </c>
      <c r="AP133" s="69">
        <f t="shared" si="37"/>
        <v>0</v>
      </c>
      <c r="AQ133" s="69">
        <f t="shared" si="38"/>
        <v>0</v>
      </c>
      <c r="AR133" s="69">
        <f t="shared" si="39"/>
        <v>0</v>
      </c>
      <c r="AS133" s="409"/>
      <c r="AT133" s="409"/>
      <c r="AU133" s="409"/>
      <c r="AV133" s="65"/>
      <c r="AW133" s="65"/>
      <c r="AX133" s="65"/>
      <c r="AY133" s="65"/>
      <c r="AZ133" s="65"/>
      <c r="BD133" s="65"/>
    </row>
    <row r="134" spans="1:56" s="66" customFormat="1">
      <c r="A134" s="67" t="s">
        <v>448</v>
      </c>
      <c r="B134" s="67" t="s">
        <v>448</v>
      </c>
      <c r="C134" s="78" t="s">
        <v>147</v>
      </c>
      <c r="D134" s="78" t="s">
        <v>148</v>
      </c>
      <c r="E134" s="67" t="s">
        <v>442</v>
      </c>
      <c r="F134" s="67" t="s">
        <v>449</v>
      </c>
      <c r="G134" s="67" t="str">
        <f>INDEX('[4]RT Description to Bill Matix'!$D:$D,MATCH(A134,'[4]RT Description to Bill Matix'!$M:$M,0))</f>
        <v>PCS (CFC and Non-CFC)</v>
      </c>
      <c r="H134" s="67" t="s">
        <v>450</v>
      </c>
      <c r="I134" s="65" t="s">
        <v>147</v>
      </c>
      <c r="J134" s="65" t="str" cm="1">
        <f t="array" ref="J134">INDEX('Rate Table Service Desc XWalk'!F:F,MATCH(1,(G134='Rate Table Service Desc XWalk'!B:B)*(E134='Rate Table Service Desc XWalk'!A:A),0))</f>
        <v>9-1-80</v>
      </c>
      <c r="K134" s="66" t="s">
        <v>410</v>
      </c>
      <c r="L134" s="66" t="str">
        <f>INDEX('[6]Rate History'!$P:$P,MATCH(A134,'[6]Rate History'!$F:$F,0))</f>
        <v>15 minutes</v>
      </c>
      <c r="M134" s="77">
        <f>INDEX('[7]PDF DB Service Pivot'!$C:$C,MATCH(B134,'[7]PDF DB Service Pivot'!$B:$B,0))</f>
        <v>102550.9</v>
      </c>
      <c r="N134" s="77">
        <f t="shared" si="29"/>
        <v>102550.9</v>
      </c>
      <c r="O134" s="76">
        <f>INDEX('[7]PDF DB Service Pivot'!$D:$D,MATCH(B134,'[7]PDF DB Service Pivot'!$B:$B,0))</f>
        <v>314027.27</v>
      </c>
      <c r="P134" s="91">
        <v>45078</v>
      </c>
      <c r="Q134" s="72">
        <v>13.04</v>
      </c>
      <c r="R134" s="81">
        <v>11.77</v>
      </c>
      <c r="S134" s="354">
        <f t="shared" si="40"/>
        <v>0.90260736196319025</v>
      </c>
      <c r="T134" s="339">
        <v>0.25</v>
      </c>
      <c r="U134" s="81">
        <f t="shared" si="27"/>
        <v>0</v>
      </c>
      <c r="V134" s="81" cm="1">
        <f t="array" ref="V134">_xlfn.IFS('Fiscal by Program'!$B$7&lt;10.61,0,'Fiscal by Program'!$B$7&gt;10.6,(ROUND('Fiscal by Program'!$B$7*(1+IF(D134="Yes",'Fiscal by Program'!$B$9,'Fiscal by Program'!$B$8))*T134,2)))</f>
        <v>0</v>
      </c>
      <c r="W134" s="81">
        <f t="shared" si="30"/>
        <v>0</v>
      </c>
      <c r="X134" s="81">
        <f>ROUND((R134/(1+IF(D134="Yes",'Fiscal by Program'!$B$9,'Fiscal by Program'!$B$8))),2)+0.01</f>
        <v>10.64</v>
      </c>
      <c r="Y134" s="81">
        <f t="shared" si="31"/>
        <v>13.04</v>
      </c>
      <c r="Z134" s="88">
        <v>1</v>
      </c>
      <c r="AA134" s="90">
        <f t="shared" si="28"/>
        <v>0.25</v>
      </c>
      <c r="AB134" s="75">
        <f>INDEX('[9]Service List'!$K:$K,MATCH(A134,'[9]Service List'!$F:$F,0))</f>
        <v>571</v>
      </c>
      <c r="AC134" s="73" t="str">
        <f>INDEX('[5]Combined Bill Code List'!$P:$P,MATCH(A134,'[5]Combined Bill Code List'!$F:$F,0))</f>
        <v>CFC</v>
      </c>
      <c r="AD134" s="67" t="s">
        <v>411</v>
      </c>
      <c r="AE134" s="66">
        <f t="shared" si="32"/>
        <v>1.095890410958904</v>
      </c>
      <c r="AF134" s="66">
        <f t="shared" si="33"/>
        <v>-0.06</v>
      </c>
      <c r="AG134" s="70">
        <f>ROUND(INDEX('All Trends'!D:D,MATCH($AD134,'All Trends'!$C:$C,0)),4)</f>
        <v>1</v>
      </c>
      <c r="AH134" s="70">
        <f>ROUND(INDEX('All Trends'!E:E,MATCH($AD134,'All Trends'!$C:$C,0)),4)</f>
        <v>1</v>
      </c>
      <c r="AI134" s="70">
        <f>ROUND(INDEX('All Trends'!F:F,MATCH($AD134,'All Trends'!$C:$C,0)),4)</f>
        <v>1</v>
      </c>
      <c r="AJ134" s="70">
        <f>ROUND(INDEX('All Trends'!G:G,MATCH($AD134,'All Trends'!$C:$C,0)),4)</f>
        <v>1</v>
      </c>
      <c r="AK134" s="70">
        <f>ROUND(INDEX('All Trends'!H:H,MATCH($AD134,'All Trends'!$C:$C,0)),4)</f>
        <v>1</v>
      </c>
      <c r="AL134" s="74" t="s">
        <v>148</v>
      </c>
      <c r="AM134" s="92">
        <f t="shared" si="34"/>
        <v>25637.73</v>
      </c>
      <c r="AN134" s="92">
        <f t="shared" si="35"/>
        <v>25637.73</v>
      </c>
      <c r="AO134" s="69">
        <f t="shared" si="36"/>
        <v>0</v>
      </c>
      <c r="AP134" s="69">
        <f t="shared" si="37"/>
        <v>0</v>
      </c>
      <c r="AQ134" s="69">
        <f t="shared" si="38"/>
        <v>0</v>
      </c>
      <c r="AR134" s="69">
        <f t="shared" si="39"/>
        <v>0</v>
      </c>
      <c r="AS134" s="409"/>
      <c r="AT134" s="409"/>
      <c r="AU134" s="409"/>
      <c r="AV134" s="65"/>
      <c r="AW134" s="65"/>
      <c r="AX134" s="65"/>
      <c r="AY134" s="65"/>
      <c r="AZ134" s="65"/>
      <c r="BD134" s="65"/>
    </row>
    <row r="135" spans="1:56" s="66" customFormat="1">
      <c r="A135" s="67" t="s">
        <v>451</v>
      </c>
      <c r="B135" s="67" t="s">
        <v>451</v>
      </c>
      <c r="C135" s="78" t="s">
        <v>147</v>
      </c>
      <c r="D135" s="78" t="s">
        <v>148</v>
      </c>
      <c r="E135" s="67" t="s">
        <v>442</v>
      </c>
      <c r="F135" s="67" t="s">
        <v>408</v>
      </c>
      <c r="G135" s="67" t="str">
        <f>INDEX('[4]RT Description to Bill Matix'!$D:$D,MATCH(A135,'[4]RT Description to Bill Matix'!$M:$M,0))</f>
        <v>CDS PCS (CFC and Non-CFC)</v>
      </c>
      <c r="H135" s="67" t="s">
        <v>452</v>
      </c>
      <c r="I135" s="65" t="s">
        <v>147</v>
      </c>
      <c r="J135" s="65" t="str" cm="1">
        <f t="array" ref="J135">INDEX('Rate Table Service Desc XWalk'!F:F,MATCH(1,(G135='Rate Table Service Desc XWalk'!B:B)*(E135='Rate Table Service Desc XWalk'!A:A),0))</f>
        <v>9-5-144</v>
      </c>
      <c r="K135" s="66" t="s">
        <v>410</v>
      </c>
      <c r="L135" s="66" t="str">
        <f>INDEX('[6]Rate History'!$P:$P,MATCH(A135,'[6]Rate History'!$F:$F,0))</f>
        <v>15 minutes</v>
      </c>
      <c r="M135" s="77">
        <f>INDEX('[7]PDF DB Service Pivot'!$C:$C,MATCH(B135,'[7]PDF DB Service Pivot'!$B:$B,0))</f>
        <v>104521.7</v>
      </c>
      <c r="N135" s="77">
        <f t="shared" si="29"/>
        <v>104521.7</v>
      </c>
      <c r="O135" s="76">
        <f>INDEX('[7]PDF DB Service Pivot'!$D:$D,MATCH(B135,'[7]PDF DB Service Pivot'!$B:$B,0))</f>
        <v>276791.53999999998</v>
      </c>
      <c r="P135" s="91">
        <v>45170</v>
      </c>
      <c r="Q135" s="72">
        <v>3.44</v>
      </c>
      <c r="R135" s="81">
        <v>2.9499999999999997</v>
      </c>
      <c r="S135" s="354">
        <f t="shared" si="40"/>
        <v>0.85755813953488369</v>
      </c>
      <c r="T135" s="339">
        <v>0.25</v>
      </c>
      <c r="U135" s="81">
        <f t="shared" si="27"/>
        <v>0</v>
      </c>
      <c r="V135" s="81" cm="1">
        <f t="array" ref="V135">_xlfn.IFS('Fiscal by Program'!$B$7&lt;10.61,0,'Fiscal by Program'!$B$7&gt;10.6,(ROUND('Fiscal by Program'!$B$7*(1+IF(D135="Yes",'Fiscal by Program'!$B$9,'Fiscal by Program'!$B$8))*T135,2)))</f>
        <v>0</v>
      </c>
      <c r="W135" s="81">
        <f t="shared" si="30"/>
        <v>0</v>
      </c>
      <c r="X135" s="81">
        <f>ROUND((R135/(1+IF(D135="Yes",'Fiscal by Program'!$B$9,'Fiscal by Program'!$B$8))),2)+0.01</f>
        <v>2.67</v>
      </c>
      <c r="Y135" s="81">
        <f t="shared" si="31"/>
        <v>3.44</v>
      </c>
      <c r="Z135" s="88">
        <v>1</v>
      </c>
      <c r="AA135" s="90">
        <f t="shared" si="28"/>
        <v>0.25</v>
      </c>
      <c r="AB135" s="75">
        <f>INDEX('[9]Service List'!$K:$K,MATCH(A135,'[9]Service List'!$F:$F,0))</f>
        <v>1372</v>
      </c>
      <c r="AC135" s="73" t="str">
        <f>INDEX('[5]Combined Bill Code List'!$P:$P,MATCH(A135,'[5]Combined Bill Code List'!$F:$F,0))</f>
        <v>CFC</v>
      </c>
      <c r="AD135" s="67" t="s">
        <v>411</v>
      </c>
      <c r="AE135" s="66">
        <f t="shared" si="32"/>
        <v>1.095890410958904</v>
      </c>
      <c r="AF135" s="66">
        <f t="shared" si="33"/>
        <v>-0.06</v>
      </c>
      <c r="AG135" s="70">
        <f>ROUND(INDEX('All Trends'!D:D,MATCH($AD135,'All Trends'!$C:$C,0)),4)</f>
        <v>1</v>
      </c>
      <c r="AH135" s="70">
        <f>ROUND(INDEX('All Trends'!E:E,MATCH($AD135,'All Trends'!$C:$C,0)),4)</f>
        <v>1</v>
      </c>
      <c r="AI135" s="70">
        <f>ROUND(INDEX('All Trends'!F:F,MATCH($AD135,'All Trends'!$C:$C,0)),4)</f>
        <v>1</v>
      </c>
      <c r="AJ135" s="70">
        <f>ROUND(INDEX('All Trends'!G:G,MATCH($AD135,'All Trends'!$C:$C,0)),4)</f>
        <v>1</v>
      </c>
      <c r="AK135" s="70">
        <f>ROUND(INDEX('All Trends'!H:H,MATCH($AD135,'All Trends'!$C:$C,0)),4)</f>
        <v>1</v>
      </c>
      <c r="AL135" s="74" t="s">
        <v>148</v>
      </c>
      <c r="AM135" s="92">
        <f t="shared" si="34"/>
        <v>26130.43</v>
      </c>
      <c r="AN135" s="92">
        <f t="shared" si="35"/>
        <v>26130.43</v>
      </c>
      <c r="AO135" s="69">
        <f t="shared" si="36"/>
        <v>0</v>
      </c>
      <c r="AP135" s="69">
        <f t="shared" si="37"/>
        <v>0</v>
      </c>
      <c r="AQ135" s="69">
        <f t="shared" si="38"/>
        <v>0</v>
      </c>
      <c r="AR135" s="69">
        <f t="shared" si="39"/>
        <v>0</v>
      </c>
      <c r="AS135" s="409"/>
      <c r="AT135" s="409"/>
      <c r="AU135" s="409"/>
      <c r="AV135" s="65"/>
      <c r="AW135" s="65"/>
      <c r="AX135" s="65"/>
      <c r="AY135" s="65"/>
      <c r="AZ135" s="65"/>
      <c r="BD135" s="65"/>
    </row>
    <row r="136" spans="1:56" s="66" customFormat="1">
      <c r="A136" s="67" t="s">
        <v>453</v>
      </c>
      <c r="B136" s="67" t="s">
        <v>453</v>
      </c>
      <c r="C136" s="78" t="s">
        <v>147</v>
      </c>
      <c r="D136" s="78" t="s">
        <v>148</v>
      </c>
      <c r="E136" s="67" t="s">
        <v>442</v>
      </c>
      <c r="F136" s="67" t="s">
        <v>408</v>
      </c>
      <c r="G136" s="67" t="str">
        <f>INDEX('[4]RT Description to Bill Matix'!$D:$D,MATCH(A136,'[4]RT Description to Bill Matix'!$M:$M,0))</f>
        <v>PCS (CFC and Non-CFC)</v>
      </c>
      <c r="H136" s="67" t="s">
        <v>454</v>
      </c>
      <c r="I136" s="67"/>
      <c r="J136" s="65" t="str" cm="1">
        <f t="array" ref="J136">INDEX('Rate Table Service Desc XWalk'!F:F,MATCH(1,(G136='Rate Table Service Desc XWalk'!B:B)*(E136='Rate Table Service Desc XWalk'!A:A),0))</f>
        <v>9-1-80</v>
      </c>
      <c r="K136" s="66" t="s">
        <v>410</v>
      </c>
      <c r="L136" s="66" t="str">
        <f>INDEX('[6]Rate History'!$P:$P,MATCH(A136,'[6]Rate History'!$F:$F,0))</f>
        <v>15 minutes</v>
      </c>
      <c r="M136" s="77">
        <f>INDEX('[7]PDF DB Service Pivot'!$C:$C,MATCH(B136,'[7]PDF DB Service Pivot'!$B:$B,0))</f>
        <v>50127</v>
      </c>
      <c r="N136" s="77">
        <f t="shared" si="29"/>
        <v>50127</v>
      </c>
      <c r="O136" s="76">
        <f>INDEX('[7]PDF DB Service Pivot'!$D:$D,MATCH(B136,'[7]PDF DB Service Pivot'!$B:$B,0))</f>
        <v>168994.38999999998</v>
      </c>
      <c r="P136" s="91">
        <v>45170</v>
      </c>
      <c r="Q136" s="72">
        <v>3.76</v>
      </c>
      <c r="R136" s="81">
        <v>2.9600000000000004</v>
      </c>
      <c r="S136" s="354">
        <f t="shared" si="40"/>
        <v>0.78723404255319163</v>
      </c>
      <c r="T136" s="339">
        <v>0.25</v>
      </c>
      <c r="U136" s="81">
        <f t="shared" si="27"/>
        <v>0</v>
      </c>
      <c r="V136" s="81" cm="1">
        <f t="array" ref="V136">_xlfn.IFS('Fiscal by Program'!$B$7&lt;10.61,0,'Fiscal by Program'!$B$7&gt;10.6,(ROUND('Fiscal by Program'!$B$7*(1+IF(D136="Yes",'Fiscal by Program'!$B$9,'Fiscal by Program'!$B$8))*T136,2)))</f>
        <v>0</v>
      </c>
      <c r="W136" s="81">
        <f t="shared" si="30"/>
        <v>0</v>
      </c>
      <c r="X136" s="81">
        <f>ROUND((R136/(1+IF(D136="Yes",'Fiscal by Program'!$B$9,'Fiscal by Program'!$B$8))),2)+0.01</f>
        <v>2.6799999999999997</v>
      </c>
      <c r="Y136" s="81">
        <f t="shared" si="31"/>
        <v>3.76</v>
      </c>
      <c r="Z136" s="88">
        <v>1</v>
      </c>
      <c r="AA136" s="90">
        <f t="shared" si="28"/>
        <v>0.25</v>
      </c>
      <c r="AB136" s="75">
        <f>INDEX('[9]Service List'!$K:$K,MATCH(A136,'[9]Service List'!$F:$F,0))</f>
        <v>1373</v>
      </c>
      <c r="AC136" s="73">
        <v>0</v>
      </c>
      <c r="AD136" s="67" t="s">
        <v>411</v>
      </c>
      <c r="AE136" s="66">
        <f t="shared" si="32"/>
        <v>1.095890410958904</v>
      </c>
      <c r="AF136" s="66">
        <f t="shared" si="33"/>
        <v>0</v>
      </c>
      <c r="AG136" s="70">
        <f>ROUND(INDEX('All Trends'!D:D,MATCH($AD136,'All Trends'!$C:$C,0)),4)</f>
        <v>1</v>
      </c>
      <c r="AH136" s="70">
        <f>ROUND(INDEX('All Trends'!E:E,MATCH($AD136,'All Trends'!$C:$C,0)),4)</f>
        <v>1</v>
      </c>
      <c r="AI136" s="70">
        <f>ROUND(INDEX('All Trends'!F:F,MATCH($AD136,'All Trends'!$C:$C,0)),4)</f>
        <v>1</v>
      </c>
      <c r="AJ136" s="70">
        <f>ROUND(INDEX('All Trends'!G:G,MATCH($AD136,'All Trends'!$C:$C,0)),4)</f>
        <v>1</v>
      </c>
      <c r="AK136" s="70">
        <f>ROUND(INDEX('All Trends'!H:H,MATCH($AD136,'All Trends'!$C:$C,0)),4)</f>
        <v>1</v>
      </c>
      <c r="AL136" s="74" t="s">
        <v>148</v>
      </c>
      <c r="AM136" s="92">
        <f t="shared" si="34"/>
        <v>12531.75</v>
      </c>
      <c r="AN136" s="92">
        <f t="shared" si="35"/>
        <v>12531.75</v>
      </c>
      <c r="AO136" s="69">
        <f t="shared" si="36"/>
        <v>0</v>
      </c>
      <c r="AP136" s="69">
        <f t="shared" si="37"/>
        <v>0</v>
      </c>
      <c r="AQ136" s="69">
        <f t="shared" si="38"/>
        <v>0</v>
      </c>
      <c r="AR136" s="69">
        <f t="shared" si="39"/>
        <v>0</v>
      </c>
      <c r="AS136" s="409"/>
      <c r="AT136" s="409"/>
      <c r="AU136" s="409"/>
      <c r="AV136" s="65"/>
      <c r="AW136" s="65"/>
      <c r="AX136" s="65"/>
      <c r="AY136" s="65"/>
      <c r="AZ136" s="65"/>
      <c r="BD136" s="65"/>
    </row>
    <row r="137" spans="1:56" s="66" customFormat="1">
      <c r="A137" s="67" t="s">
        <v>455</v>
      </c>
      <c r="B137" s="67" t="s">
        <v>455</v>
      </c>
      <c r="C137" s="78" t="s">
        <v>147</v>
      </c>
      <c r="D137" s="78" t="s">
        <v>148</v>
      </c>
      <c r="E137" s="67" t="s">
        <v>442</v>
      </c>
      <c r="F137" s="67" t="s">
        <v>408</v>
      </c>
      <c r="G137" s="67" t="str">
        <f>INDEX('[4]RT Description to Bill Matix'!$D:$D,MATCH(A137,'[4]RT Description to Bill Matix'!$M:$M,0))</f>
        <v>CDS PCS (CFC and Non-CFC)</v>
      </c>
      <c r="H137" s="67" t="s">
        <v>456</v>
      </c>
      <c r="I137" s="65" t="s">
        <v>147</v>
      </c>
      <c r="J137" s="65" t="str" cm="1">
        <f t="array" ref="J137">INDEX('Rate Table Service Desc XWalk'!F:F,MATCH(1,(G137='Rate Table Service Desc XWalk'!B:B)*(E137='Rate Table Service Desc XWalk'!A:A),0))</f>
        <v>9-5-144</v>
      </c>
      <c r="K137" s="66" t="s">
        <v>410</v>
      </c>
      <c r="L137" s="66" t="str">
        <f>INDEX('[6]Rate History'!$P:$P,MATCH(A137,'[6]Rate History'!$F:$F,0))</f>
        <v>15 minutes</v>
      </c>
      <c r="M137" s="77">
        <f>INDEX('[7]PDF DB Service Pivot'!$C:$C,MATCH(B137,'[7]PDF DB Service Pivot'!$B:$B,0))</f>
        <v>347150.4</v>
      </c>
      <c r="N137" s="77">
        <f t="shared" si="29"/>
        <v>347150.4</v>
      </c>
      <c r="O137" s="76">
        <f>INDEX('[7]PDF DB Service Pivot'!$D:$D,MATCH(B137,'[7]PDF DB Service Pivot'!$B:$B,0))</f>
        <v>1058633.81</v>
      </c>
      <c r="P137" s="91">
        <v>45170</v>
      </c>
      <c r="Q137" s="72">
        <v>3.56</v>
      </c>
      <c r="R137" s="81">
        <v>2.9600000000000004</v>
      </c>
      <c r="S137" s="354">
        <f t="shared" si="40"/>
        <v>0.83146067415730351</v>
      </c>
      <c r="T137" s="339">
        <v>0.25</v>
      </c>
      <c r="U137" s="81">
        <f t="shared" si="27"/>
        <v>0</v>
      </c>
      <c r="V137" s="81" cm="1">
        <f t="array" ref="V137">_xlfn.IFS('Fiscal by Program'!$B$7&lt;10.61,0,'Fiscal by Program'!$B$7&gt;10.6,(ROUND('Fiscal by Program'!$B$7*(1+IF(D137="Yes",'Fiscal by Program'!$B$9,'Fiscal by Program'!$B$8))*T137,2)))</f>
        <v>0</v>
      </c>
      <c r="W137" s="81">
        <f t="shared" si="30"/>
        <v>0</v>
      </c>
      <c r="X137" s="81">
        <f>ROUND((R137/(1+IF(D137="Yes",'Fiscal by Program'!$B$9,'Fiscal by Program'!$B$8))),2)+0.01</f>
        <v>2.6799999999999997</v>
      </c>
      <c r="Y137" s="81">
        <f t="shared" si="31"/>
        <v>3.56</v>
      </c>
      <c r="Z137" s="88">
        <v>1</v>
      </c>
      <c r="AA137" s="90">
        <f t="shared" si="28"/>
        <v>0.25</v>
      </c>
      <c r="AB137" s="75">
        <f>INDEX('[9]Service List'!$K:$K,MATCH(A137,'[9]Service List'!$F:$F,0))</f>
        <v>1374</v>
      </c>
      <c r="AC137" s="73">
        <v>0</v>
      </c>
      <c r="AD137" s="67" t="s">
        <v>411</v>
      </c>
      <c r="AE137" s="66">
        <f t="shared" si="32"/>
        <v>1.095890410958904</v>
      </c>
      <c r="AF137" s="66">
        <f t="shared" si="33"/>
        <v>0</v>
      </c>
      <c r="AG137" s="70">
        <f>ROUND(INDEX('All Trends'!D:D,MATCH($AD137,'All Trends'!$C:$C,0)),4)</f>
        <v>1</v>
      </c>
      <c r="AH137" s="70">
        <f>ROUND(INDEX('All Trends'!E:E,MATCH($AD137,'All Trends'!$C:$C,0)),4)</f>
        <v>1</v>
      </c>
      <c r="AI137" s="70">
        <f>ROUND(INDEX('All Trends'!F:F,MATCH($AD137,'All Trends'!$C:$C,0)),4)</f>
        <v>1</v>
      </c>
      <c r="AJ137" s="70">
        <f>ROUND(INDEX('All Trends'!G:G,MATCH($AD137,'All Trends'!$C:$C,0)),4)</f>
        <v>1</v>
      </c>
      <c r="AK137" s="70">
        <f>ROUND(INDEX('All Trends'!H:H,MATCH($AD137,'All Trends'!$C:$C,0)),4)</f>
        <v>1</v>
      </c>
      <c r="AL137" s="74" t="s">
        <v>148</v>
      </c>
      <c r="AM137" s="92">
        <f t="shared" si="34"/>
        <v>86787.6</v>
      </c>
      <c r="AN137" s="92">
        <f t="shared" si="35"/>
        <v>86787.6</v>
      </c>
      <c r="AO137" s="69">
        <f t="shared" si="36"/>
        <v>0</v>
      </c>
      <c r="AP137" s="69">
        <f t="shared" si="37"/>
        <v>0</v>
      </c>
      <c r="AQ137" s="69">
        <f t="shared" si="38"/>
        <v>0</v>
      </c>
      <c r="AR137" s="69">
        <f t="shared" si="39"/>
        <v>0</v>
      </c>
      <c r="AS137" s="409"/>
      <c r="AT137" s="409"/>
      <c r="AU137" s="409"/>
      <c r="AV137" s="65"/>
      <c r="AW137" s="65"/>
      <c r="AX137" s="65"/>
      <c r="AY137" s="65"/>
      <c r="AZ137" s="65"/>
      <c r="BD137" s="65"/>
    </row>
    <row r="138" spans="1:56" s="66" customFormat="1">
      <c r="A138" s="67" t="s">
        <v>457</v>
      </c>
      <c r="B138" s="67" t="s">
        <v>457</v>
      </c>
      <c r="C138" s="78" t="s">
        <v>147</v>
      </c>
      <c r="D138" s="78" t="s">
        <v>148</v>
      </c>
      <c r="E138" s="67" t="s">
        <v>442</v>
      </c>
      <c r="F138" s="67" t="s">
        <v>449</v>
      </c>
      <c r="G138" s="67" t="str">
        <f>INDEX('[4]RT Description to Bill Matix'!$D:$D,MATCH(A138,'[4]RT Description to Bill Matix'!$M:$M,0))</f>
        <v>PCS (CFC and Non-CFC)</v>
      </c>
      <c r="H138" s="67" t="s">
        <v>458</v>
      </c>
      <c r="I138" s="67"/>
      <c r="J138" s="65" t="str" cm="1">
        <f t="array" ref="J138">INDEX('Rate Table Service Desc XWalk'!F:F,MATCH(1,(G138='Rate Table Service Desc XWalk'!B:B)*(E138='Rate Table Service Desc XWalk'!A:A),0))</f>
        <v>9-1-80</v>
      </c>
      <c r="K138" s="66" t="s">
        <v>410</v>
      </c>
      <c r="L138" s="66" t="s">
        <v>229</v>
      </c>
      <c r="M138" s="77">
        <f>INDEX('[7]PDF DB Service Pivot'!$C:$C,MATCH(B138,'[7]PDF DB Service Pivot'!$B:$B,0))</f>
        <v>14721</v>
      </c>
      <c r="N138" s="77">
        <f t="shared" si="29"/>
        <v>14721</v>
      </c>
      <c r="O138" s="76">
        <f>INDEX('[7]PDF DB Service Pivot'!$D:$D,MATCH(B138,'[7]PDF DB Service Pivot'!$B:$B,0))</f>
        <v>46251.17</v>
      </c>
      <c r="P138" s="91">
        <v>43709</v>
      </c>
      <c r="Q138" s="72">
        <v>12.8</v>
      </c>
      <c r="R138" s="81">
        <v>11.759999999999998</v>
      </c>
      <c r="S138" s="354">
        <f t="shared" si="40"/>
        <v>0.91874999999999984</v>
      </c>
      <c r="T138" s="339">
        <v>0.25</v>
      </c>
      <c r="U138" s="81">
        <f t="shared" si="27"/>
        <v>0</v>
      </c>
      <c r="V138" s="81" cm="1">
        <f t="array" ref="V138">_xlfn.IFS('Fiscal by Program'!$B$7&lt;10.61,0,'Fiscal by Program'!$B$7&gt;10.6,(ROUND('Fiscal by Program'!$B$7*(1+IF(D138="Yes",'Fiscal by Program'!$B$9,'Fiscal by Program'!$B$8))*T138,2)))</f>
        <v>0</v>
      </c>
      <c r="W138" s="81">
        <f t="shared" si="30"/>
        <v>0</v>
      </c>
      <c r="X138" s="81">
        <f>ROUND((R138/(1+IF(D138="Yes",'Fiscal by Program'!$B$9,'Fiscal by Program'!$B$8))),2)+0.01</f>
        <v>10.629999999999999</v>
      </c>
      <c r="Y138" s="81">
        <f t="shared" si="31"/>
        <v>12.8</v>
      </c>
      <c r="Z138" s="88">
        <v>1</v>
      </c>
      <c r="AA138" s="90">
        <f t="shared" si="28"/>
        <v>0.25</v>
      </c>
      <c r="AB138" s="75">
        <f>INDEX('[9]Service List'!$K:$K,MATCH(A138,'[9]Service List'!$F:$F,0))</f>
        <v>567</v>
      </c>
      <c r="AC138" s="73" t="str">
        <f>INDEX('[5]Combined Bill Code List'!$P:$P,MATCH(A138,'[5]Combined Bill Code List'!$F:$F,0))</f>
        <v>CFC</v>
      </c>
      <c r="AD138" s="67" t="s">
        <v>411</v>
      </c>
      <c r="AE138" s="66">
        <f t="shared" si="32"/>
        <v>1.095890410958904</v>
      </c>
      <c r="AF138" s="66">
        <f t="shared" si="33"/>
        <v>-0.06</v>
      </c>
      <c r="AG138" s="70">
        <f>ROUND(INDEX('All Trends'!D:D,MATCH($AD138,'All Trends'!$C:$C,0)),4)</f>
        <v>1</v>
      </c>
      <c r="AH138" s="70">
        <f>ROUND(INDEX('All Trends'!E:E,MATCH($AD138,'All Trends'!$C:$C,0)),4)</f>
        <v>1</v>
      </c>
      <c r="AI138" s="70">
        <f>ROUND(INDEX('All Trends'!F:F,MATCH($AD138,'All Trends'!$C:$C,0)),4)</f>
        <v>1</v>
      </c>
      <c r="AJ138" s="70">
        <f>ROUND(INDEX('All Trends'!G:G,MATCH($AD138,'All Trends'!$C:$C,0)),4)</f>
        <v>1</v>
      </c>
      <c r="AK138" s="70">
        <f>ROUND(INDEX('All Trends'!H:H,MATCH($AD138,'All Trends'!$C:$C,0)),4)</f>
        <v>1</v>
      </c>
      <c r="AL138" s="74" t="s">
        <v>148</v>
      </c>
      <c r="AM138" s="92">
        <f t="shared" si="34"/>
        <v>3680.25</v>
      </c>
      <c r="AN138" s="92">
        <f t="shared" si="35"/>
        <v>3680.25</v>
      </c>
      <c r="AO138" s="69">
        <f t="shared" si="36"/>
        <v>0</v>
      </c>
      <c r="AP138" s="69">
        <f t="shared" si="37"/>
        <v>0</v>
      </c>
      <c r="AQ138" s="69">
        <f t="shared" si="38"/>
        <v>0</v>
      </c>
      <c r="AR138" s="69">
        <f t="shared" si="39"/>
        <v>0</v>
      </c>
      <c r="AS138" s="409"/>
      <c r="AT138" s="409"/>
      <c r="AU138" s="409"/>
      <c r="AV138" s="65"/>
      <c r="AW138" s="65"/>
      <c r="AX138" s="65"/>
      <c r="AY138" s="65"/>
      <c r="AZ138" s="65"/>
      <c r="BD138" s="65"/>
    </row>
    <row r="139" spans="1:56" s="66" customFormat="1">
      <c r="A139" s="67" t="s">
        <v>459</v>
      </c>
      <c r="B139" s="67" t="s">
        <v>459</v>
      </c>
      <c r="C139" s="78" t="s">
        <v>147</v>
      </c>
      <c r="D139" s="78" t="s">
        <v>148</v>
      </c>
      <c r="E139" s="67" t="s">
        <v>442</v>
      </c>
      <c r="F139" s="67" t="str">
        <f>INDEX('[11]6 - PCS MCO'!$C:$C,MATCH(B139,'[11]6 - PCS MCO'!$F:$F,0))</f>
        <v>PCS</v>
      </c>
      <c r="G139" s="67" t="str">
        <f>INDEX('[4]RT Description to Bill Matix'!$D:$D,MATCH(A139,'[4]RT Description to Bill Matix'!$M:$M,0))</f>
        <v>PCS (CFC and Non-CFC)</v>
      </c>
      <c r="H139" s="67" t="s">
        <v>460</v>
      </c>
      <c r="I139" s="67"/>
      <c r="J139" s="65" t="str" cm="1">
        <f t="array" ref="J139">INDEX('Rate Table Service Desc XWalk'!F:F,MATCH(1,(G139='Rate Table Service Desc XWalk'!B:B)*(E139='Rate Table Service Desc XWalk'!A:A),0))</f>
        <v>9-1-80</v>
      </c>
      <c r="K139" s="66" t="s">
        <v>410</v>
      </c>
      <c r="L139" s="66" t="str">
        <f>INDEX('[6]Rate History'!$P:$P,MATCH(A139,'[6]Rate History'!$F:$F,0))</f>
        <v>15 minutes</v>
      </c>
      <c r="M139" s="77">
        <f>INDEX('[7]PDF DB Service Pivot'!$C:$C,MATCH(B139,'[7]PDF DB Service Pivot'!$B:$B,0))</f>
        <v>33336</v>
      </c>
      <c r="N139" s="77">
        <f t="shared" si="29"/>
        <v>33336</v>
      </c>
      <c r="O139" s="76">
        <f>INDEX('[7]PDF DB Service Pivot'!$D:$D,MATCH(B139,'[7]PDF DB Service Pivot'!$B:$B,0))</f>
        <v>93862.85</v>
      </c>
      <c r="P139" s="91">
        <v>45170</v>
      </c>
      <c r="Q139" s="72">
        <v>3.64</v>
      </c>
      <c r="R139" s="81">
        <v>2.9499999999999997</v>
      </c>
      <c r="S139" s="354">
        <f t="shared" si="40"/>
        <v>0.81043956043956034</v>
      </c>
      <c r="T139" s="339">
        <v>0.25</v>
      </c>
      <c r="U139" s="81">
        <f t="shared" si="27"/>
        <v>0</v>
      </c>
      <c r="V139" s="81" cm="1">
        <f t="array" ref="V139">_xlfn.IFS('Fiscal by Program'!$B$7&lt;10.61,0,'Fiscal by Program'!$B$7&gt;10.6,(ROUND('Fiscal by Program'!$B$7*(1+IF(D139="Yes",'Fiscal by Program'!$B$9,'Fiscal by Program'!$B$8))*T139,2)))</f>
        <v>0</v>
      </c>
      <c r="W139" s="81">
        <f t="shared" si="30"/>
        <v>0</v>
      </c>
      <c r="X139" s="81">
        <f>ROUND((R139/(1+IF(D139="Yes",'Fiscal by Program'!$B$9,'Fiscal by Program'!$B$8))),2)+0.01</f>
        <v>2.67</v>
      </c>
      <c r="Y139" s="81">
        <f t="shared" si="31"/>
        <v>3.64</v>
      </c>
      <c r="Z139" s="88">
        <v>1</v>
      </c>
      <c r="AA139" s="90">
        <f t="shared" si="28"/>
        <v>0.25</v>
      </c>
      <c r="AB139" s="75">
        <f>INDEX('[9]Service List'!$K:$K,MATCH(A139,'[9]Service List'!$F:$F,0))</f>
        <v>1375</v>
      </c>
      <c r="AC139" s="73" t="str">
        <f>INDEX('[5]Combined Bill Code List'!$P:$P,MATCH(A139,'[5]Combined Bill Code List'!$F:$F,0))</f>
        <v>CFC</v>
      </c>
      <c r="AD139" s="67" t="s">
        <v>411</v>
      </c>
      <c r="AE139" s="66">
        <f t="shared" si="32"/>
        <v>1.095890410958904</v>
      </c>
      <c r="AF139" s="66">
        <f t="shared" si="33"/>
        <v>-0.06</v>
      </c>
      <c r="AG139" s="70">
        <f>ROUND(INDEX('All Trends'!D:D,MATCH($AD139,'All Trends'!$C:$C,0)),4)</f>
        <v>1</v>
      </c>
      <c r="AH139" s="70">
        <f>ROUND(INDEX('All Trends'!E:E,MATCH($AD139,'All Trends'!$C:$C,0)),4)</f>
        <v>1</v>
      </c>
      <c r="AI139" s="70">
        <f>ROUND(INDEX('All Trends'!F:F,MATCH($AD139,'All Trends'!$C:$C,0)),4)</f>
        <v>1</v>
      </c>
      <c r="AJ139" s="70">
        <f>ROUND(INDEX('All Trends'!G:G,MATCH($AD139,'All Trends'!$C:$C,0)),4)</f>
        <v>1</v>
      </c>
      <c r="AK139" s="70">
        <f>ROUND(INDEX('All Trends'!H:H,MATCH($AD139,'All Trends'!$C:$C,0)),4)</f>
        <v>1</v>
      </c>
      <c r="AL139" s="74" t="s">
        <v>148</v>
      </c>
      <c r="AM139" s="92">
        <f t="shared" si="34"/>
        <v>8334</v>
      </c>
      <c r="AN139" s="92">
        <f t="shared" si="35"/>
        <v>8334</v>
      </c>
      <c r="AO139" s="69">
        <f t="shared" si="36"/>
        <v>0</v>
      </c>
      <c r="AP139" s="69">
        <f t="shared" si="37"/>
        <v>0</v>
      </c>
      <c r="AQ139" s="69">
        <f t="shared" si="38"/>
        <v>0</v>
      </c>
      <c r="AR139" s="69">
        <f t="shared" si="39"/>
        <v>0</v>
      </c>
      <c r="AS139" s="409"/>
      <c r="AT139" s="409"/>
      <c r="AU139" s="409"/>
      <c r="AV139" s="65"/>
      <c r="AW139" s="65"/>
      <c r="AX139" s="65"/>
      <c r="AY139" s="65"/>
      <c r="AZ139" s="65"/>
      <c r="BD139" s="65"/>
    </row>
    <row r="140" spans="1:56" s="66" customFormat="1">
      <c r="A140" s="67" t="s">
        <v>461</v>
      </c>
      <c r="B140" s="67" t="s">
        <v>461</v>
      </c>
      <c r="C140" s="78" t="s">
        <v>147</v>
      </c>
      <c r="D140" s="78" t="s">
        <v>148</v>
      </c>
      <c r="E140" s="67" t="s">
        <v>462</v>
      </c>
      <c r="F140" s="67" t="s">
        <v>26</v>
      </c>
      <c r="G140" s="67" t="str">
        <f>INDEX('[4]RT Description to Bill Matix'!$D:$D,MATCH(A140,'[4]RT Description to Bill Matix'!$M:$M,0))</f>
        <v>In Home Respite and Flexible Family Support</v>
      </c>
      <c r="H140" s="65" t="s">
        <v>463</v>
      </c>
      <c r="I140" s="65"/>
      <c r="J140" s="358" t="str" cm="1">
        <f t="array" ref="J140">INDEX('Rate Table Service Desc XWalk'!F:F,MATCH(1,(G140='Rate Table Service Desc XWalk'!B:B)*(E140='Rate Table Service Desc XWalk'!A:A),0))</f>
        <v>12-1-41</v>
      </c>
      <c r="K140" s="66" t="str">
        <f>INDEX('[5]Combined Bill Code List'!$A:$A,MATCH(A140,'[5]Combined Bill Code List'!$F:$F,0))</f>
        <v>1915(c) waiver</v>
      </c>
      <c r="L140" s="66" t="str">
        <f>INDEX('[6]Rate History'!$P:$P,MATCH(A140,'[6]Rate History'!$F:$F,0))</f>
        <v>15 minutes</v>
      </c>
      <c r="M140" s="77">
        <f>INDEX('[7]PDF DB Service Pivot'!$C:$C,MATCH(B140,'[7]PDF DB Service Pivot'!$B:$B,0))</f>
        <v>98446</v>
      </c>
      <c r="N140" s="77">
        <f t="shared" si="29"/>
        <v>98446</v>
      </c>
      <c r="O140" s="76">
        <f>INDEX('[7]PDF DB Service Pivot'!$D:$D,MATCH(B140,'[7]PDF DB Service Pivot'!$B:$B,0))</f>
        <v>293730.52</v>
      </c>
      <c r="P140" s="91">
        <v>45170</v>
      </c>
      <c r="Q140" s="81">
        <v>3.33</v>
      </c>
      <c r="R140" s="81">
        <f>11.75/4</f>
        <v>2.9375</v>
      </c>
      <c r="S140" s="354">
        <f t="shared" si="40"/>
        <v>0.88213213213213215</v>
      </c>
      <c r="T140" s="339">
        <v>0.25</v>
      </c>
      <c r="U140" s="81">
        <f t="shared" si="27"/>
        <v>0</v>
      </c>
      <c r="V140" s="81" cm="1">
        <f t="array" ref="V140">_xlfn.IFS('Fiscal by Program'!$B$7&lt;10.61,0,'Fiscal by Program'!$B$7&gt;10.6,(ROUND('Fiscal by Program'!$B$7*(1+IF(D140="Yes",'Fiscal by Program'!$B$9,'Fiscal by Program'!$B$8))*T140,2)))</f>
        <v>0</v>
      </c>
      <c r="W140" s="81">
        <f t="shared" si="30"/>
        <v>0</v>
      </c>
      <c r="X140" s="81">
        <f>ROUND((R140/(1+IF(D140="Yes",'Fiscal by Program'!$B$9,'Fiscal by Program'!$B$8))),2)+0.01</f>
        <v>2.6599999999999997</v>
      </c>
      <c r="Y140" s="81">
        <f t="shared" si="31"/>
        <v>3.33</v>
      </c>
      <c r="Z140" s="88">
        <v>1</v>
      </c>
      <c r="AA140" s="90">
        <f t="shared" si="28"/>
        <v>0.25</v>
      </c>
      <c r="AB140" s="75">
        <f>INDEX('[9]Service List'!$K:$K,MATCH(A140,'[9]Service List'!$F:$F,0))</f>
        <v>615</v>
      </c>
      <c r="AC140" s="73">
        <f>INDEX('[5]Combined Bill Code List'!$P:$P,MATCH(A140,'[5]Combined Bill Code List'!$F:$F,0))</f>
        <v>0</v>
      </c>
      <c r="AD140" s="67" t="s">
        <v>442</v>
      </c>
      <c r="AE140" s="79">
        <f xml:space="preserve"> 1 / (1-0.0875)</f>
        <v>1.095890410958904</v>
      </c>
      <c r="AF140" s="66">
        <v>0</v>
      </c>
      <c r="AG140" s="70">
        <f>ROUND(INDEX('All Trends'!D:D,MATCH($AD140,'All Trends'!$C:$C,0)),4)</f>
        <v>1.6952</v>
      </c>
      <c r="AH140" s="70">
        <f>ROUND(INDEX('All Trends'!E:E,MATCH($AD140,'All Trends'!$C:$C,0)),4)</f>
        <v>1.5558000000000001</v>
      </c>
      <c r="AI140" s="70">
        <f>ROUND(INDEX('All Trends'!F:F,MATCH($AD140,'All Trends'!$C:$C,0)),4)</f>
        <v>1.4191</v>
      </c>
      <c r="AJ140" s="70">
        <f>ROUND(INDEX('All Trends'!G:G,MATCH($AD140,'All Trends'!$C:$C,0)),4)</f>
        <v>1.5178</v>
      </c>
      <c r="AK140" s="70">
        <f>ROUND(INDEX('All Trends'!H:H,MATCH($AD140,'All Trends'!$C:$C,0)),4)</f>
        <v>1</v>
      </c>
      <c r="AL140" s="74" t="s">
        <v>148</v>
      </c>
      <c r="AM140" s="92">
        <f t="shared" si="34"/>
        <v>34926.18</v>
      </c>
      <c r="AN140" s="92">
        <f t="shared" si="35"/>
        <v>37355.33</v>
      </c>
      <c r="AO140" s="69">
        <f t="shared" si="36"/>
        <v>0</v>
      </c>
      <c r="AP140" s="69">
        <f t="shared" si="37"/>
        <v>0</v>
      </c>
      <c r="AQ140" s="69">
        <f t="shared" si="38"/>
        <v>0</v>
      </c>
      <c r="AR140" s="69">
        <f t="shared" si="39"/>
        <v>0</v>
      </c>
      <c r="AS140" s="409"/>
      <c r="AT140" s="409"/>
      <c r="AU140" s="409"/>
      <c r="AV140" s="65"/>
      <c r="AW140" s="65"/>
      <c r="AX140" s="65"/>
      <c r="AY140" s="65"/>
      <c r="AZ140" s="65"/>
      <c r="BD140" s="65"/>
    </row>
    <row r="141" spans="1:56" s="66" customFormat="1">
      <c r="A141" s="67" t="s">
        <v>464</v>
      </c>
      <c r="B141" s="67" t="s">
        <v>464</v>
      </c>
      <c r="C141" s="78" t="s">
        <v>147</v>
      </c>
      <c r="D141" s="78" t="s">
        <v>148</v>
      </c>
      <c r="E141" s="67" t="s">
        <v>462</v>
      </c>
      <c r="F141" s="67" t="s">
        <v>26</v>
      </c>
      <c r="G141" s="67" t="str">
        <f>INDEX('[4]RT Description to Bill Matix'!$D:$D,MATCH(A141,'[4]RT Description to Bill Matix'!$M:$M,0))</f>
        <v>CDS In Home Respite and Flexible Family Support</v>
      </c>
      <c r="H141" s="65" t="s">
        <v>465</v>
      </c>
      <c r="I141" s="65" t="s">
        <v>147</v>
      </c>
      <c r="J141" s="358" t="str" cm="1">
        <f t="array" ref="J141">INDEX('Rate Table Service Desc XWalk'!F:F,MATCH(1,(G141='Rate Table Service Desc XWalk'!B:B)*(E141='Rate Table Service Desc XWalk'!A:A),0))</f>
        <v>12-5-125</v>
      </c>
      <c r="K141" s="66" t="str">
        <f>INDEX('[5]Combined Bill Code List'!$A:$A,MATCH(A141,'[5]Combined Bill Code List'!$F:$F,0))</f>
        <v>1915(c) waiver</v>
      </c>
      <c r="L141" s="66" t="str">
        <f>INDEX('[6]Rate History'!$P:$P,MATCH(A141,'[6]Rate History'!$F:$F,0))</f>
        <v>15 minutes</v>
      </c>
      <c r="M141" s="77">
        <f>INDEX('[7]PDF DB Service Pivot'!$C:$C,MATCH(B141,'[7]PDF DB Service Pivot'!$B:$B,0))</f>
        <v>330972.79999999999</v>
      </c>
      <c r="N141" s="77">
        <f t="shared" si="29"/>
        <v>330972.79999999999</v>
      </c>
      <c r="O141" s="76">
        <f>INDEX('[7]PDF DB Service Pivot'!$D:$D,MATCH(B141,'[7]PDF DB Service Pivot'!$B:$B,0))</f>
        <v>924609.92999999993</v>
      </c>
      <c r="P141" s="91">
        <v>45170</v>
      </c>
      <c r="Q141" s="81">
        <v>3.13</v>
      </c>
      <c r="R141" s="81">
        <f>11.75/4</f>
        <v>2.9375</v>
      </c>
      <c r="S141" s="354">
        <f t="shared" si="40"/>
        <v>0.93849840255591055</v>
      </c>
      <c r="T141" s="339">
        <v>0.25</v>
      </c>
      <c r="U141" s="81">
        <f t="shared" si="27"/>
        <v>0</v>
      </c>
      <c r="V141" s="81" cm="1">
        <f t="array" ref="V141">_xlfn.IFS('Fiscal by Program'!$B$7&lt;10.61,0,'Fiscal by Program'!$B$7&gt;10.6,(ROUND('Fiscal by Program'!$B$7*(1+IF(D141="Yes",'Fiscal by Program'!$B$9,'Fiscal by Program'!$B$8))*T141,2)))</f>
        <v>0</v>
      </c>
      <c r="W141" s="81">
        <f t="shared" si="30"/>
        <v>0</v>
      </c>
      <c r="X141" s="81">
        <f>ROUND((R141/(1+IF(D141="Yes",'Fiscal by Program'!$B$9,'Fiscal by Program'!$B$8))),2)+0.01</f>
        <v>2.6599999999999997</v>
      </c>
      <c r="Y141" s="81">
        <f t="shared" si="31"/>
        <v>3.13</v>
      </c>
      <c r="Z141" s="88">
        <v>1</v>
      </c>
      <c r="AA141" s="90">
        <f t="shared" si="28"/>
        <v>0.25</v>
      </c>
      <c r="AB141" s="75">
        <f>INDEX('[9]Service List'!$K:$K,MATCH(A141,'[9]Service List'!$F:$F,0))</f>
        <v>613</v>
      </c>
      <c r="AC141" s="73">
        <f>INDEX('[5]Combined Bill Code List'!$P:$P,MATCH(A141,'[5]Combined Bill Code List'!$F:$F,0))</f>
        <v>0</v>
      </c>
      <c r="AD141" s="67" t="s">
        <v>442</v>
      </c>
      <c r="AE141" s="79">
        <f xml:space="preserve"> 1 / (1-0.0875)</f>
        <v>1.095890410958904</v>
      </c>
      <c r="AF141" s="66">
        <v>0</v>
      </c>
      <c r="AG141" s="70">
        <f>ROUND(INDEX('All Trends'!D:D,MATCH($AD141,'All Trends'!$C:$C,0)),4)</f>
        <v>1.6952</v>
      </c>
      <c r="AH141" s="70">
        <f>ROUND(INDEX('All Trends'!E:E,MATCH($AD141,'All Trends'!$C:$C,0)),4)</f>
        <v>1.5558000000000001</v>
      </c>
      <c r="AI141" s="70">
        <f>ROUND(INDEX('All Trends'!F:F,MATCH($AD141,'All Trends'!$C:$C,0)),4)</f>
        <v>1.4191</v>
      </c>
      <c r="AJ141" s="70">
        <f>ROUND(INDEX('All Trends'!G:G,MATCH($AD141,'All Trends'!$C:$C,0)),4)</f>
        <v>1.5178</v>
      </c>
      <c r="AK141" s="70">
        <f>ROUND(INDEX('All Trends'!H:H,MATCH($AD141,'All Trends'!$C:$C,0)),4)</f>
        <v>1</v>
      </c>
      <c r="AL141" s="74" t="s">
        <v>148</v>
      </c>
      <c r="AM141" s="92">
        <f t="shared" si="34"/>
        <v>117420.88</v>
      </c>
      <c r="AN141" s="92">
        <f t="shared" si="35"/>
        <v>125587.63</v>
      </c>
      <c r="AO141" s="69">
        <f t="shared" si="36"/>
        <v>0</v>
      </c>
      <c r="AP141" s="69">
        <f t="shared" si="37"/>
        <v>0</v>
      </c>
      <c r="AQ141" s="69">
        <f t="shared" si="38"/>
        <v>0</v>
      </c>
      <c r="AR141" s="69">
        <f t="shared" si="39"/>
        <v>0</v>
      </c>
      <c r="AS141" s="409"/>
      <c r="AT141" s="409"/>
      <c r="AU141" s="409"/>
      <c r="AV141" s="65"/>
      <c r="AW141" s="65"/>
      <c r="AX141" s="65"/>
      <c r="AY141" s="65"/>
      <c r="AZ141" s="65"/>
      <c r="BD141" s="65"/>
    </row>
    <row r="142" spans="1:56" s="66" customFormat="1">
      <c r="A142" s="67" t="s">
        <v>466</v>
      </c>
      <c r="B142" s="67" t="s">
        <v>466</v>
      </c>
      <c r="C142" s="78" t="s">
        <v>147</v>
      </c>
      <c r="D142" s="78" t="s">
        <v>148</v>
      </c>
      <c r="E142" s="67" t="s">
        <v>462</v>
      </c>
      <c r="F142" s="67" t="s">
        <v>449</v>
      </c>
      <c r="G142" s="67" t="str">
        <f>INDEX('[4]RT Description to Bill Matix'!$D:$D,MATCH(A142,'[4]RT Description to Bill Matix'!$M:$M,0))</f>
        <v>PCS (CFC and Non-CFC)</v>
      </c>
      <c r="H142" s="67" t="s">
        <v>467</v>
      </c>
      <c r="I142" s="65" t="s">
        <v>147</v>
      </c>
      <c r="J142" s="65" t="str" cm="1">
        <f t="array" ref="J142">INDEX('Rate Table Service Desc XWalk'!F:F,MATCH(1,(G142='Rate Table Service Desc XWalk'!B:B)*(E142='Rate Table Service Desc XWalk'!A:A),0))</f>
        <v>12-1-80</v>
      </c>
      <c r="K142" s="66" t="s">
        <v>410</v>
      </c>
      <c r="L142" s="66" t="str">
        <f>INDEX('[6]Rate History'!$P:$P,MATCH(A142,'[6]Rate History'!$F:$F,0))</f>
        <v>15 minutes</v>
      </c>
      <c r="M142" s="77">
        <f>INDEX('[7]PDF DB Service Pivot'!$C:$C,MATCH(B142,'[7]PDF DB Service Pivot'!$B:$B,0))</f>
        <v>15</v>
      </c>
      <c r="N142" s="77">
        <f t="shared" si="29"/>
        <v>15</v>
      </c>
      <c r="O142" s="76">
        <f>INDEX('[7]PDF DB Service Pivot'!$D:$D,MATCH(B142,'[7]PDF DB Service Pivot'!$B:$B,0))</f>
        <v>48.9</v>
      </c>
      <c r="P142" s="91">
        <v>45078</v>
      </c>
      <c r="Q142" s="72">
        <v>13.04</v>
      </c>
      <c r="R142" s="81">
        <v>11.77</v>
      </c>
      <c r="S142" s="354">
        <f t="shared" si="40"/>
        <v>0.90260736196319025</v>
      </c>
      <c r="T142" s="339">
        <v>0.25</v>
      </c>
      <c r="U142" s="81">
        <f t="shared" si="27"/>
        <v>0</v>
      </c>
      <c r="V142" s="81" cm="1">
        <f t="array" ref="V142">_xlfn.IFS('Fiscal by Program'!$B$7&lt;10.61,0,'Fiscal by Program'!$B$7&gt;10.6,(ROUND('Fiscal by Program'!$B$7*(1+IF(D142="Yes",'Fiscal by Program'!$B$9,'Fiscal by Program'!$B$8))*T142,2)))</f>
        <v>0</v>
      </c>
      <c r="W142" s="81">
        <f t="shared" si="30"/>
        <v>0</v>
      </c>
      <c r="X142" s="81">
        <f>ROUND((R142/(1+IF(D142="Yes",'Fiscal by Program'!$B$9,'Fiscal by Program'!$B$8))),2)+0.01</f>
        <v>10.64</v>
      </c>
      <c r="Y142" s="81">
        <f t="shared" si="31"/>
        <v>13.04</v>
      </c>
      <c r="Z142" s="88">
        <v>1</v>
      </c>
      <c r="AA142" s="90">
        <f t="shared" si="28"/>
        <v>0.25</v>
      </c>
      <c r="AB142" s="75">
        <f>INDEX('[9]Service List'!$K:$K,MATCH(A142,'[9]Service List'!$F:$F,0))</f>
        <v>572</v>
      </c>
      <c r="AC142" s="73" t="str">
        <f>INDEX('[5]Combined Bill Code List'!$P:$P,MATCH(A142,'[5]Combined Bill Code List'!$F:$F,0))</f>
        <v>CFC</v>
      </c>
      <c r="AD142" s="67" t="s">
        <v>411</v>
      </c>
      <c r="AE142" s="66">
        <f>$AE$1</f>
        <v>1.095890410958904</v>
      </c>
      <c r="AF142" s="66">
        <f>IF(AC142=0,0,-0.06)</f>
        <v>-0.06</v>
      </c>
      <c r="AG142" s="70">
        <f>ROUND(INDEX('All Trends'!D:D,MATCH($AD142,'All Trends'!$C:$C,0)),4)</f>
        <v>1</v>
      </c>
      <c r="AH142" s="70">
        <f>ROUND(INDEX('All Trends'!E:E,MATCH($AD142,'All Trends'!$C:$C,0)),4)</f>
        <v>1</v>
      </c>
      <c r="AI142" s="70">
        <f>ROUND(INDEX('All Trends'!F:F,MATCH($AD142,'All Trends'!$C:$C,0)),4)</f>
        <v>1</v>
      </c>
      <c r="AJ142" s="70">
        <f>ROUND(INDEX('All Trends'!G:G,MATCH($AD142,'All Trends'!$C:$C,0)),4)</f>
        <v>1</v>
      </c>
      <c r="AK142" s="70">
        <f>ROUND(INDEX('All Trends'!H:H,MATCH($AD142,'All Trends'!$C:$C,0)),4)</f>
        <v>1</v>
      </c>
      <c r="AL142" s="74" t="s">
        <v>148</v>
      </c>
      <c r="AM142" s="92">
        <f t="shared" si="34"/>
        <v>3.75</v>
      </c>
      <c r="AN142" s="92">
        <f t="shared" si="35"/>
        <v>3.75</v>
      </c>
      <c r="AO142" s="69">
        <f t="shared" si="36"/>
        <v>0</v>
      </c>
      <c r="AP142" s="69">
        <f t="shared" si="37"/>
        <v>0</v>
      </c>
      <c r="AQ142" s="69">
        <f t="shared" si="38"/>
        <v>0</v>
      </c>
      <c r="AR142" s="69">
        <f t="shared" si="39"/>
        <v>0</v>
      </c>
      <c r="AS142" s="409"/>
      <c r="AT142" s="409"/>
      <c r="AU142" s="409"/>
      <c r="AV142" s="65"/>
      <c r="AW142" s="65"/>
      <c r="AX142" s="65"/>
      <c r="AY142" s="65"/>
      <c r="AZ142" s="65"/>
      <c r="BD142" s="65"/>
    </row>
    <row r="143" spans="1:56">
      <c r="A143" s="67" t="s">
        <v>468</v>
      </c>
      <c r="B143" s="67" t="s">
        <v>469</v>
      </c>
      <c r="C143" s="78" t="s">
        <v>147</v>
      </c>
      <c r="D143" s="78" t="s">
        <v>147</v>
      </c>
      <c r="E143" s="67" t="str">
        <f>INDEX('[5]Combined Bill Code List'!C:C,MATCH($A143,'[5]Combined Bill Code List'!$F:$F,0))</f>
        <v>STAR Kids</v>
      </c>
      <c r="F143" s="67" t="str">
        <f>INDEX('[5]Combined Bill Code List'!D:D,MATCH($A143,'[5]Combined Bill Code List'!$F:$F,0))</f>
        <v>DAHS</v>
      </c>
      <c r="G143" s="67" t="str">
        <f>INDEX('[4]RT Description to Bill Matix'!$D:$D,MATCH(A143,'[4]RT Description to Bill Matix'!$M:$M,0))</f>
        <v>Day Activity and Health Services (DAHS)</v>
      </c>
      <c r="H143" s="65" t="str">
        <f>INDEX('[5]Combined Bill Code List'!E:E,MATCH($A143,'[5]Combined Bill Code List'!$F:$F,0))</f>
        <v xml:space="preserve">Day Activities &amp; Health Services (3-6 hours) </v>
      </c>
      <c r="I143" s="65"/>
      <c r="J143" s="65" t="str" cm="1">
        <f t="array" ref="J143">INDEX('Rate Table Service Desc XWalk'!F:F,MATCH(1,(G143='Rate Table Service Desc XWalk'!B:B)*(E143='Rate Table Service Desc XWalk'!A:A),0))</f>
        <v>9-1-17</v>
      </c>
      <c r="K143" s="66" t="str">
        <f>INDEX('[5]Combined Bill Code List'!$A:$A,MATCH(A143,'[5]Combined Bill Code List'!$F:$F,0))</f>
        <v>State Plan (Title XIX)</v>
      </c>
      <c r="L143" s="66" t="str">
        <f>INDEX('[6]Rate History'!$P:$P,MATCH(A143,'[6]Rate History'!$F:$F,0))</f>
        <v>3-5 hours = 1 unit; 6+ hours = 2 units</v>
      </c>
      <c r="M143" s="77">
        <f>INDEX('[7]PDF DB Service Pivot'!$C:$C,MATCH(B143,'[7]PDF DB Service Pivot'!$B:$B,0))</f>
        <v>25635</v>
      </c>
      <c r="N143" s="77">
        <f t="shared" si="29"/>
        <v>25635</v>
      </c>
      <c r="O143" s="76">
        <f>INDEX('[7]PDF DB Service Pivot'!$D:$D,MATCH(B143,'[7]PDF DB Service Pivot'!$B:$B,0))</f>
        <v>394778.86</v>
      </c>
      <c r="P143" s="91" t="e">
        <v>#N/A</v>
      </c>
      <c r="Q143" s="81">
        <v>16.72</v>
      </c>
      <c r="R143" s="81">
        <v>5.8699999999999992</v>
      </c>
      <c r="S143" s="354">
        <v>0.45859253499222385</v>
      </c>
      <c r="T143" s="339">
        <v>0.5</v>
      </c>
      <c r="U143" s="81">
        <f t="shared" si="27"/>
        <v>0</v>
      </c>
      <c r="V143" s="81" cm="1">
        <f t="array" ref="V143">_xlfn.IFS('Fiscal by Program'!$B$7&lt;10.61,0,'Fiscal by Program'!$B$7&gt;10.6,(ROUND('Fiscal by Program'!$B$7*(1+IF(D143="Yes",'Fiscal by Program'!$B$9,'Fiscal by Program'!$B$8))*T143,2)))</f>
        <v>0</v>
      </c>
      <c r="W143" s="81">
        <f t="shared" si="30"/>
        <v>0</v>
      </c>
      <c r="X143" s="81">
        <f>ROUND((R143/(1+IF(D143="Yes",'Fiscal by Program'!$B$9,'Fiscal by Program'!$B$8))),2)+0.01</f>
        <v>5.31</v>
      </c>
      <c r="Y143" s="81">
        <f t="shared" si="31"/>
        <v>16.72</v>
      </c>
      <c r="Z143" s="88">
        <v>16</v>
      </c>
      <c r="AA143" s="90">
        <f t="shared" si="28"/>
        <v>3.125E-2</v>
      </c>
      <c r="AB143" s="75" t="e">
        <f>INDEX('[9]Service List'!$K:$K,MATCH(A143,'[9]Service List'!$F:$F,0))</f>
        <v>#REF!</v>
      </c>
      <c r="AC143" s="73">
        <f>INDEX('[5]Combined Bill Code List'!$P:$P,MATCH(A143,'[5]Combined Bill Code List'!$F:$F,0))</f>
        <v>0</v>
      </c>
      <c r="AD143" s="80" t="s">
        <v>470</v>
      </c>
      <c r="AE143" s="79">
        <f xml:space="preserve"> 1 / (1-0.0875)</f>
        <v>1.095890410958904</v>
      </c>
      <c r="AF143" s="66">
        <v>0</v>
      </c>
      <c r="AG143" s="70">
        <f>ROUND(INDEX('All Trends'!D:D,MATCH($AD143,'All Trends'!$C:$C,0)),4)</f>
        <v>0.83509999999999995</v>
      </c>
      <c r="AH143" s="70">
        <f>ROUND(INDEX('All Trends'!E:E,MATCH($AD143,'All Trends'!$C:$C,0)),4)</f>
        <v>0.84360000000000002</v>
      </c>
      <c r="AI143" s="70">
        <f>ROUND(INDEX('All Trends'!F:F,MATCH($AD143,'All Trends'!$C:$C,0)),4)</f>
        <v>0.90849999999999997</v>
      </c>
      <c r="AJ143" s="70">
        <f>ROUND(INDEX('All Trends'!G:G,MATCH($AD143,'All Trends'!$C:$C,0)),4)</f>
        <v>0.96619999999999995</v>
      </c>
      <c r="AK143" s="70">
        <f>ROUND(INDEX('All Trends'!H:H,MATCH($AD143,'All Trends'!$C:$C,0)),4)</f>
        <v>1.0237000000000001</v>
      </c>
      <c r="AL143" s="74" t="s">
        <v>148</v>
      </c>
      <c r="AM143" s="92">
        <f t="shared" si="34"/>
        <v>11644.7</v>
      </c>
      <c r="AN143" s="92">
        <f t="shared" si="35"/>
        <v>12384.27</v>
      </c>
      <c r="AO143" s="69">
        <f t="shared" si="36"/>
        <v>0</v>
      </c>
      <c r="AP143" s="69">
        <f t="shared" si="37"/>
        <v>0</v>
      </c>
      <c r="AQ143" s="69">
        <f t="shared" si="38"/>
        <v>0</v>
      </c>
      <c r="AR143" s="69">
        <f t="shared" si="39"/>
        <v>0</v>
      </c>
      <c r="AS143" s="409"/>
      <c r="AT143" s="409"/>
      <c r="AU143" s="409"/>
      <c r="BA143" s="66"/>
      <c r="BB143" s="66"/>
    </row>
    <row r="144" spans="1:56">
      <c r="A144" s="67" t="s">
        <v>468</v>
      </c>
      <c r="B144" s="67" t="s">
        <v>471</v>
      </c>
      <c r="C144" s="78" t="s">
        <v>147</v>
      </c>
      <c r="D144" s="78" t="s">
        <v>147</v>
      </c>
      <c r="E144" s="67" t="str">
        <f>INDEX('[5]Combined Bill Code List'!C:C,MATCH($A144,'[5]Combined Bill Code List'!$F:$F,0))</f>
        <v>STAR Kids</v>
      </c>
      <c r="F144" s="67" t="str">
        <f>INDEX('[5]Combined Bill Code List'!D:D,MATCH($A144,'[5]Combined Bill Code List'!$F:$F,0))</f>
        <v>DAHS</v>
      </c>
      <c r="G144" s="67" t="str">
        <f>INDEX('[4]RT Description to Bill Matix'!$D:$D,MATCH(A144,'[4]RT Description to Bill Matix'!$M:$M,0))</f>
        <v>Day Activity and Health Services (DAHS)</v>
      </c>
      <c r="H144" s="65" t="str">
        <f>INDEX('[5]Combined Bill Code List'!E:E,MATCH($A144,'[5]Combined Bill Code List'!$F:$F,0))</f>
        <v xml:space="preserve">Day Activities &amp; Health Services (3-6 hours) </v>
      </c>
      <c r="I144" s="65"/>
      <c r="J144" s="65" t="str" cm="1">
        <f t="array" ref="J144">INDEX('Rate Table Service Desc XWalk'!F:F,MATCH(1,(G144='Rate Table Service Desc XWalk'!B:B)*(E144='Rate Table Service Desc XWalk'!A:A),0))</f>
        <v>9-1-17</v>
      </c>
      <c r="K144" s="66" t="str">
        <f>INDEX('[5]Combined Bill Code List'!$A:$A,MATCH(A144,'[5]Combined Bill Code List'!$F:$F,0))</f>
        <v>State Plan (Title XIX)</v>
      </c>
      <c r="L144" s="66" t="str">
        <f>INDEX('[6]Rate History'!$P:$P,MATCH(A144,'[6]Rate History'!$F:$F,0))</f>
        <v>3-5 hours = 1 unit; 6+ hours = 2 units</v>
      </c>
      <c r="M144" s="77">
        <f>INDEX('[7]PDF DB Service Pivot'!$C:$C,MATCH(B144,'[7]PDF DB Service Pivot'!$B:$B,0))</f>
        <v>425</v>
      </c>
      <c r="N144" s="77">
        <f t="shared" si="29"/>
        <v>425</v>
      </c>
      <c r="O144" s="76">
        <f>INDEX('[7]PDF DB Service Pivot'!$D:$D,MATCH(B144,'[7]PDF DB Service Pivot'!$B:$B,0))</f>
        <v>6495.19</v>
      </c>
      <c r="P144" s="91" t="e">
        <v>#N/A</v>
      </c>
      <c r="Q144" s="81">
        <v>16.72</v>
      </c>
      <c r="R144" s="81">
        <v>5.8699999999999992</v>
      </c>
      <c r="S144" s="354">
        <v>0.38969938107869145</v>
      </c>
      <c r="T144" s="339">
        <v>0.5</v>
      </c>
      <c r="U144" s="81">
        <f t="shared" si="27"/>
        <v>0</v>
      </c>
      <c r="V144" s="81" cm="1">
        <f t="array" ref="V144">_xlfn.IFS('Fiscal by Program'!$B$7&lt;10.61,0,'Fiscal by Program'!$B$7&gt;10.6,(ROUND('Fiscal by Program'!$B$7*(1+IF(D144="Yes",'Fiscal by Program'!$B$9,'Fiscal by Program'!$B$8))*T144,2)))</f>
        <v>0</v>
      </c>
      <c r="W144" s="81">
        <f t="shared" si="30"/>
        <v>0</v>
      </c>
      <c r="X144" s="81">
        <f>ROUND((R144/(1+IF(D144="Yes",'Fiscal by Program'!$B$9,'Fiscal by Program'!$B$8))),2)+0.01</f>
        <v>5.31</v>
      </c>
      <c r="Y144" s="81">
        <f t="shared" si="31"/>
        <v>16.72</v>
      </c>
      <c r="Z144" s="88">
        <v>16</v>
      </c>
      <c r="AA144" s="90">
        <f t="shared" si="28"/>
        <v>3.125E-2</v>
      </c>
      <c r="AB144" s="75" t="e">
        <f>INDEX('[9]Service List'!$K:$K,MATCH(A144,'[9]Service List'!$F:$F,0))</f>
        <v>#REF!</v>
      </c>
      <c r="AC144" s="73">
        <f>INDEX('[5]Combined Bill Code List'!$P:$P,MATCH(A144,'[5]Combined Bill Code List'!$F:$F,0))</f>
        <v>0</v>
      </c>
      <c r="AD144" s="67" t="s">
        <v>472</v>
      </c>
      <c r="AE144" s="79">
        <f xml:space="preserve"> 1 / (1-0.0875)</f>
        <v>1.095890410958904</v>
      </c>
      <c r="AF144" s="66">
        <v>0</v>
      </c>
      <c r="AG144" s="70">
        <f>ROUND(INDEX('All Trends'!D:D,MATCH($AD144,'All Trends'!$C:$C,0)),4)</f>
        <v>0.73470000000000002</v>
      </c>
      <c r="AH144" s="70">
        <f>ROUND(INDEX('All Trends'!E:E,MATCH($AD144,'All Trends'!$C:$C,0)),4)</f>
        <v>0.92020000000000002</v>
      </c>
      <c r="AI144" s="70">
        <f>ROUND(INDEX('All Trends'!F:F,MATCH($AD144,'All Trends'!$C:$C,0)),4)</f>
        <v>1.0097</v>
      </c>
      <c r="AJ144" s="70">
        <f>ROUND(INDEX('All Trends'!G:G,MATCH($AD144,'All Trends'!$C:$C,0)),4)</f>
        <v>1.0851</v>
      </c>
      <c r="AK144" s="70">
        <f>ROUND(INDEX('All Trends'!H:H,MATCH($AD144,'All Trends'!$C:$C,0)),4)</f>
        <v>1.1571</v>
      </c>
      <c r="AL144" s="74" t="s">
        <v>148</v>
      </c>
      <c r="AM144" s="92">
        <f t="shared" si="34"/>
        <v>214.56</v>
      </c>
      <c r="AN144" s="92">
        <f t="shared" si="35"/>
        <v>230.58</v>
      </c>
      <c r="AO144" s="69">
        <f t="shared" si="36"/>
        <v>0</v>
      </c>
      <c r="AP144" s="69">
        <f t="shared" si="37"/>
        <v>0</v>
      </c>
      <c r="AQ144" s="69">
        <f t="shared" si="38"/>
        <v>0</v>
      </c>
      <c r="AR144" s="69">
        <f t="shared" si="39"/>
        <v>0</v>
      </c>
      <c r="AS144" s="409"/>
      <c r="AT144" s="409"/>
      <c r="AU144" s="409"/>
      <c r="BA144" s="66"/>
      <c r="BB144" s="66"/>
    </row>
    <row r="145" spans="1:56">
      <c r="A145" s="67" t="s">
        <v>473</v>
      </c>
      <c r="B145" s="67" t="s">
        <v>474</v>
      </c>
      <c r="C145" s="78" t="s">
        <v>147</v>
      </c>
      <c r="D145" s="78" t="s">
        <v>148</v>
      </c>
      <c r="E145" s="67" t="s">
        <v>475</v>
      </c>
      <c r="F145" s="67" t="s">
        <v>408</v>
      </c>
      <c r="G145" s="67" t="str">
        <f>INDEX('[4]RT Description to Bill Matix'!$D:$D,MATCH(A145,'[4]RT Description to Bill Matix'!$M:$M,0))</f>
        <v>PCS (CFC and Non-CFC)</v>
      </c>
      <c r="H145" s="67" t="s">
        <v>443</v>
      </c>
      <c r="J145" s="65" t="str" cm="1">
        <f t="array" ref="J145">INDEX('Rate Table Service Desc XWalk'!F:F,MATCH(1,(G145='Rate Table Service Desc XWalk'!B:B)*(E145='Rate Table Service Desc XWalk'!A:A),0))</f>
        <v>9-1-80</v>
      </c>
      <c r="K145" s="66" t="s">
        <v>410</v>
      </c>
      <c r="L145" s="66" t="str">
        <f>INDEX('[6]Rate History'!$P:$P,MATCH(A145,'[6]Rate History'!$F:$F,0))</f>
        <v>15 minutes</v>
      </c>
      <c r="M145" s="77">
        <f>INDEX('[7]PDF DB Service Pivot'!$C:$C,MATCH(B145,'[7]PDF DB Service Pivot'!$B:$B,0))</f>
        <v>1141</v>
      </c>
      <c r="N145" s="77">
        <f t="shared" si="29"/>
        <v>1141</v>
      </c>
      <c r="O145" s="76">
        <f>INDEX('[7]PDF DB Service Pivot'!$D:$D,MATCH(B145,'[7]PDF DB Service Pivot'!$B:$B,0))</f>
        <v>3365.95</v>
      </c>
      <c r="P145" s="91">
        <v>45170</v>
      </c>
      <c r="Q145" s="72">
        <v>3.64</v>
      </c>
      <c r="R145" s="81">
        <v>2.9499999999999997</v>
      </c>
      <c r="S145" s="354">
        <f t="shared" ref="S145:S176" si="41">_xlfn.IFNA(R145/Q145,"")</f>
        <v>0.81043956043956034</v>
      </c>
      <c r="T145" s="339">
        <v>0.25</v>
      </c>
      <c r="U145" s="81">
        <f t="shared" si="27"/>
        <v>0</v>
      </c>
      <c r="V145" s="81" cm="1">
        <f t="array" ref="V145">_xlfn.IFS('Fiscal by Program'!$B$7&lt;10.61,0,'Fiscal by Program'!$B$7&gt;10.6,(ROUND('Fiscal by Program'!$B$7*(1+IF(D145="Yes",'Fiscal by Program'!$B$9,'Fiscal by Program'!$B$8))*T145,2)))</f>
        <v>0</v>
      </c>
      <c r="W145" s="81">
        <f t="shared" si="30"/>
        <v>0</v>
      </c>
      <c r="X145" s="81">
        <f>ROUND((R145/(1+IF(D145="Yes",'Fiscal by Program'!$B$9,'Fiscal by Program'!$B$8))),2)+0.01</f>
        <v>2.67</v>
      </c>
      <c r="Y145" s="81">
        <f t="shared" si="31"/>
        <v>3.64</v>
      </c>
      <c r="Z145" s="88">
        <v>1</v>
      </c>
      <c r="AA145" s="90">
        <f t="shared" si="28"/>
        <v>0.25</v>
      </c>
      <c r="AB145" s="75">
        <f>INDEX('[9]Service List'!$K:$K,MATCH(A145,'[9]Service List'!$F:$F,0))</f>
        <v>1362</v>
      </c>
      <c r="AC145" s="73">
        <v>0</v>
      </c>
      <c r="AD145" s="67" t="s">
        <v>411</v>
      </c>
      <c r="AE145" s="66">
        <f t="shared" ref="AE145:AE176" si="42">$AE$1</f>
        <v>1.095890410958904</v>
      </c>
      <c r="AF145" s="66">
        <f t="shared" ref="AF145:AF176" si="43">IF(AC145=0,0,-0.06)</f>
        <v>0</v>
      </c>
      <c r="AG145" s="70">
        <f>ROUND(INDEX('All Trends'!D:D,MATCH($AD145,'All Trends'!$C:$C,0)),4)</f>
        <v>1</v>
      </c>
      <c r="AH145" s="70">
        <f>ROUND(INDEX('All Trends'!E:E,MATCH($AD145,'All Trends'!$C:$C,0)),4)</f>
        <v>1</v>
      </c>
      <c r="AI145" s="70">
        <f>ROUND(INDEX('All Trends'!F:F,MATCH($AD145,'All Trends'!$C:$C,0)),4)</f>
        <v>1</v>
      </c>
      <c r="AJ145" s="70">
        <f>ROUND(INDEX('All Trends'!G:G,MATCH($AD145,'All Trends'!$C:$C,0)),4)</f>
        <v>1</v>
      </c>
      <c r="AK145" s="70">
        <f>ROUND(INDEX('All Trends'!H:H,MATCH($AD145,'All Trends'!$C:$C,0)),4)</f>
        <v>1</v>
      </c>
      <c r="AL145" s="74" t="s">
        <v>148</v>
      </c>
      <c r="AM145" s="92">
        <f t="shared" si="34"/>
        <v>285.25</v>
      </c>
      <c r="AN145" s="92">
        <f t="shared" si="35"/>
        <v>285.25</v>
      </c>
      <c r="AO145" s="69">
        <f t="shared" si="36"/>
        <v>0</v>
      </c>
      <c r="AP145" s="69">
        <f t="shared" si="37"/>
        <v>0</v>
      </c>
      <c r="AQ145" s="69">
        <f t="shared" si="38"/>
        <v>0</v>
      </c>
      <c r="AR145" s="69">
        <f t="shared" si="39"/>
        <v>0</v>
      </c>
      <c r="AS145" s="409"/>
      <c r="AT145" s="409"/>
      <c r="AU145" s="409"/>
      <c r="BA145" s="66"/>
      <c r="BB145" s="66"/>
    </row>
    <row r="146" spans="1:56">
      <c r="A146" s="67" t="s">
        <v>473</v>
      </c>
      <c r="B146" s="67" t="s">
        <v>476</v>
      </c>
      <c r="C146" s="78" t="s">
        <v>147</v>
      </c>
      <c r="D146" s="78" t="s">
        <v>148</v>
      </c>
      <c r="E146" s="67" t="s">
        <v>475</v>
      </c>
      <c r="F146" s="67" t="s">
        <v>408</v>
      </c>
      <c r="G146" s="67" t="str">
        <f>INDEX('[4]RT Description to Bill Matix'!$D:$D,MATCH(A146,'[4]RT Description to Bill Matix'!$M:$M,0))</f>
        <v>PCS (CFC and Non-CFC)</v>
      </c>
      <c r="H146" s="67" t="s">
        <v>443</v>
      </c>
      <c r="J146" s="65" t="str" cm="1">
        <f t="array" ref="J146">INDEX('Rate Table Service Desc XWalk'!F:F,MATCH(1,(G146='Rate Table Service Desc XWalk'!B:B)*(E146='Rate Table Service Desc XWalk'!A:A),0))</f>
        <v>9-1-80</v>
      </c>
      <c r="K146" s="66" t="s">
        <v>410</v>
      </c>
      <c r="L146" s="66" t="str">
        <f>INDEX('[6]Rate History'!$P:$P,MATCH(A146,'[6]Rate History'!$F:$F,0))</f>
        <v>15 minutes</v>
      </c>
      <c r="M146" s="77">
        <f>INDEX('[7]PDF DB Service Pivot'!$C:$C,MATCH(B146,'[7]PDF DB Service Pivot'!$B:$B,0))</f>
        <v>134722</v>
      </c>
      <c r="N146" s="77">
        <f t="shared" si="29"/>
        <v>134722</v>
      </c>
      <c r="O146" s="76">
        <f>INDEX('[7]PDF DB Service Pivot'!$D:$D,MATCH(B146,'[7]PDF DB Service Pivot'!$B:$B,0))</f>
        <v>393927.51</v>
      </c>
      <c r="P146" s="91">
        <v>45170</v>
      </c>
      <c r="Q146" s="72">
        <v>3.64</v>
      </c>
      <c r="R146" s="81">
        <v>2.9499999999999997</v>
      </c>
      <c r="S146" s="354">
        <f t="shared" si="41"/>
        <v>0.81043956043956034</v>
      </c>
      <c r="T146" s="339">
        <v>0.25</v>
      </c>
      <c r="U146" s="81">
        <f t="shared" si="27"/>
        <v>0</v>
      </c>
      <c r="V146" s="81" cm="1">
        <f t="array" ref="V146">_xlfn.IFS('Fiscal by Program'!$B$7&lt;10.61,0,'Fiscal by Program'!$B$7&gt;10.6,(ROUND('Fiscal by Program'!$B$7*(1+IF(D146="Yes",'Fiscal by Program'!$B$9,'Fiscal by Program'!$B$8))*T146,2)))</f>
        <v>0</v>
      </c>
      <c r="W146" s="81">
        <f t="shared" si="30"/>
        <v>0</v>
      </c>
      <c r="X146" s="81">
        <f>ROUND((R146/(1+IF(D146="Yes",'Fiscal by Program'!$B$9,'Fiscal by Program'!$B$8))),2)+0.01</f>
        <v>2.67</v>
      </c>
      <c r="Y146" s="81">
        <f t="shared" si="31"/>
        <v>3.64</v>
      </c>
      <c r="Z146" s="88">
        <v>1</v>
      </c>
      <c r="AA146" s="90">
        <f t="shared" si="28"/>
        <v>0.25</v>
      </c>
      <c r="AB146" s="75">
        <f>INDEX('[9]Service List'!$K:$K,MATCH(A146,'[9]Service List'!$F:$F,0))</f>
        <v>1362</v>
      </c>
      <c r="AC146" s="73">
        <v>0</v>
      </c>
      <c r="AD146" s="67" t="s">
        <v>411</v>
      </c>
      <c r="AE146" s="66">
        <f t="shared" si="42"/>
        <v>1.095890410958904</v>
      </c>
      <c r="AF146" s="66">
        <f t="shared" si="43"/>
        <v>0</v>
      </c>
      <c r="AG146" s="70">
        <f>ROUND(INDEX('All Trends'!D:D,MATCH($AD146,'All Trends'!$C:$C,0)),4)</f>
        <v>1</v>
      </c>
      <c r="AH146" s="70">
        <f>ROUND(INDEX('All Trends'!E:E,MATCH($AD146,'All Trends'!$C:$C,0)),4)</f>
        <v>1</v>
      </c>
      <c r="AI146" s="70">
        <f>ROUND(INDEX('All Trends'!F:F,MATCH($AD146,'All Trends'!$C:$C,0)),4)</f>
        <v>1</v>
      </c>
      <c r="AJ146" s="70">
        <f>ROUND(INDEX('All Trends'!G:G,MATCH($AD146,'All Trends'!$C:$C,0)),4)</f>
        <v>1</v>
      </c>
      <c r="AK146" s="70">
        <f>ROUND(INDEX('All Trends'!H:H,MATCH($AD146,'All Trends'!$C:$C,0)),4)</f>
        <v>1</v>
      </c>
      <c r="AL146" s="74" t="s">
        <v>148</v>
      </c>
      <c r="AM146" s="92">
        <f t="shared" si="34"/>
        <v>33680.5</v>
      </c>
      <c r="AN146" s="92">
        <f t="shared" si="35"/>
        <v>33680.5</v>
      </c>
      <c r="AO146" s="69">
        <f t="shared" si="36"/>
        <v>0</v>
      </c>
      <c r="AP146" s="69">
        <f t="shared" si="37"/>
        <v>0</v>
      </c>
      <c r="AQ146" s="69">
        <f t="shared" si="38"/>
        <v>0</v>
      </c>
      <c r="AR146" s="69">
        <f t="shared" si="39"/>
        <v>0</v>
      </c>
      <c r="AS146" s="409"/>
      <c r="AT146" s="409"/>
      <c r="AU146" s="409"/>
      <c r="BA146" s="66"/>
      <c r="BB146" s="66"/>
    </row>
    <row r="147" spans="1:56">
      <c r="A147" s="67" t="s">
        <v>473</v>
      </c>
      <c r="B147" s="67" t="s">
        <v>477</v>
      </c>
      <c r="C147" s="78" t="s">
        <v>147</v>
      </c>
      <c r="D147" s="78" t="s">
        <v>148</v>
      </c>
      <c r="E147" s="67" t="s">
        <v>475</v>
      </c>
      <c r="F147" s="67" t="s">
        <v>408</v>
      </c>
      <c r="G147" s="67" t="str">
        <f>INDEX('[4]RT Description to Bill Matix'!$D:$D,MATCH(A147,'[4]RT Description to Bill Matix'!$M:$M,0))</f>
        <v>PCS (CFC and Non-CFC)</v>
      </c>
      <c r="H147" s="67" t="s">
        <v>443</v>
      </c>
      <c r="J147" s="65" t="str" cm="1">
        <f t="array" ref="J147">INDEX('Rate Table Service Desc XWalk'!F:F,MATCH(1,(G147='Rate Table Service Desc XWalk'!B:B)*(E147='Rate Table Service Desc XWalk'!A:A),0))</f>
        <v>9-1-80</v>
      </c>
      <c r="K147" s="66" t="s">
        <v>410</v>
      </c>
      <c r="L147" s="66" t="str">
        <f>INDEX('[6]Rate History'!$P:$P,MATCH(A147,'[6]Rate History'!$F:$F,0))</f>
        <v>15 minutes</v>
      </c>
      <c r="M147" s="77">
        <f>INDEX('[7]PDF DB Service Pivot'!$C:$C,MATCH(B147,'[7]PDF DB Service Pivot'!$B:$B,0))</f>
        <v>2601310</v>
      </c>
      <c r="N147" s="77">
        <f t="shared" si="29"/>
        <v>2601310</v>
      </c>
      <c r="O147" s="76">
        <f>INDEX('[7]PDF DB Service Pivot'!$D:$D,MATCH(B147,'[7]PDF DB Service Pivot'!$B:$B,0))</f>
        <v>7613814.0500000007</v>
      </c>
      <c r="P147" s="91">
        <v>45170</v>
      </c>
      <c r="Q147" s="72">
        <v>3.64</v>
      </c>
      <c r="R147" s="81">
        <v>2.9499999999999997</v>
      </c>
      <c r="S147" s="354">
        <f t="shared" si="41"/>
        <v>0.81043956043956034</v>
      </c>
      <c r="T147" s="339">
        <v>0.25</v>
      </c>
      <c r="U147" s="81">
        <f t="shared" si="27"/>
        <v>0</v>
      </c>
      <c r="V147" s="81" cm="1">
        <f t="array" ref="V147">_xlfn.IFS('Fiscal by Program'!$B$7&lt;10.61,0,'Fiscal by Program'!$B$7&gt;10.6,(ROUND('Fiscal by Program'!$B$7*(1+IF(D147="Yes",'Fiscal by Program'!$B$9,'Fiscal by Program'!$B$8))*T147,2)))</f>
        <v>0</v>
      </c>
      <c r="W147" s="81">
        <f t="shared" si="30"/>
        <v>0</v>
      </c>
      <c r="X147" s="81">
        <f>ROUND((R147/(1+IF(D147="Yes",'Fiscal by Program'!$B$9,'Fiscal by Program'!$B$8))),2)+0.01</f>
        <v>2.67</v>
      </c>
      <c r="Y147" s="81">
        <f t="shared" si="31"/>
        <v>3.64</v>
      </c>
      <c r="Z147" s="88">
        <v>1</v>
      </c>
      <c r="AA147" s="90">
        <f t="shared" si="28"/>
        <v>0.25</v>
      </c>
      <c r="AB147" s="75">
        <f>INDEX('[9]Service List'!$K:$K,MATCH(A147,'[9]Service List'!$F:$F,0))</f>
        <v>1362</v>
      </c>
      <c r="AC147" s="73">
        <v>0</v>
      </c>
      <c r="AD147" s="67" t="s">
        <v>411</v>
      </c>
      <c r="AE147" s="66">
        <f t="shared" si="42"/>
        <v>1.095890410958904</v>
      </c>
      <c r="AF147" s="66">
        <f t="shared" si="43"/>
        <v>0</v>
      </c>
      <c r="AG147" s="70">
        <f>ROUND(INDEX('All Trends'!D:D,MATCH($AD147,'All Trends'!$C:$C,0)),4)</f>
        <v>1</v>
      </c>
      <c r="AH147" s="70">
        <f>ROUND(INDEX('All Trends'!E:E,MATCH($AD147,'All Trends'!$C:$C,0)),4)</f>
        <v>1</v>
      </c>
      <c r="AI147" s="70">
        <f>ROUND(INDEX('All Trends'!F:F,MATCH($AD147,'All Trends'!$C:$C,0)),4)</f>
        <v>1</v>
      </c>
      <c r="AJ147" s="70">
        <f>ROUND(INDEX('All Trends'!G:G,MATCH($AD147,'All Trends'!$C:$C,0)),4)</f>
        <v>1</v>
      </c>
      <c r="AK147" s="70">
        <f>ROUND(INDEX('All Trends'!H:H,MATCH($AD147,'All Trends'!$C:$C,0)),4)</f>
        <v>1</v>
      </c>
      <c r="AL147" s="74" t="s">
        <v>148</v>
      </c>
      <c r="AM147" s="92">
        <f t="shared" si="34"/>
        <v>650327.5</v>
      </c>
      <c r="AN147" s="92">
        <f t="shared" si="35"/>
        <v>650327.5</v>
      </c>
      <c r="AO147" s="69">
        <f t="shared" si="36"/>
        <v>0</v>
      </c>
      <c r="AP147" s="69">
        <f t="shared" si="37"/>
        <v>0</v>
      </c>
      <c r="AQ147" s="69">
        <f t="shared" si="38"/>
        <v>0</v>
      </c>
      <c r="AR147" s="69">
        <f t="shared" si="39"/>
        <v>0</v>
      </c>
      <c r="AS147" s="409"/>
      <c r="AT147" s="409"/>
      <c r="AU147" s="409"/>
      <c r="BA147" s="66"/>
      <c r="BB147" s="66"/>
    </row>
    <row r="148" spans="1:56">
      <c r="A148" s="67" t="s">
        <v>473</v>
      </c>
      <c r="B148" s="67" t="s">
        <v>478</v>
      </c>
      <c r="C148" s="78" t="s">
        <v>147</v>
      </c>
      <c r="D148" s="78" t="s">
        <v>148</v>
      </c>
      <c r="E148" s="67" t="s">
        <v>475</v>
      </c>
      <c r="F148" s="67" t="s">
        <v>408</v>
      </c>
      <c r="G148" s="67" t="str">
        <f>INDEX('[4]RT Description to Bill Matix'!$D:$D,MATCH(A148,'[4]RT Description to Bill Matix'!$M:$M,0))</f>
        <v>PCS (CFC and Non-CFC)</v>
      </c>
      <c r="H148" s="67" t="s">
        <v>443</v>
      </c>
      <c r="J148" s="65" t="str" cm="1">
        <f t="array" ref="J148">INDEX('Rate Table Service Desc XWalk'!F:F,MATCH(1,(G148='Rate Table Service Desc XWalk'!B:B)*(E148='Rate Table Service Desc XWalk'!A:A),0))</f>
        <v>9-1-80</v>
      </c>
      <c r="K148" s="66" t="s">
        <v>410</v>
      </c>
      <c r="L148" s="66" t="str">
        <f>INDEX('[6]Rate History'!$P:$P,MATCH(A148,'[6]Rate History'!$F:$F,0))</f>
        <v>15 minutes</v>
      </c>
      <c r="M148" s="77">
        <f>INDEX('[7]PDF DB Service Pivot'!$C:$C,MATCH(B148,'[7]PDF DB Service Pivot'!$B:$B,0))</f>
        <v>2447949</v>
      </c>
      <c r="N148" s="77">
        <f t="shared" si="29"/>
        <v>2447949</v>
      </c>
      <c r="O148" s="76">
        <f>INDEX('[7]PDF DB Service Pivot'!$D:$D,MATCH(B148,'[7]PDF DB Service Pivot'!$B:$B,0))</f>
        <v>7178785.7999999998</v>
      </c>
      <c r="P148" s="91">
        <v>45170</v>
      </c>
      <c r="Q148" s="72">
        <v>3.64</v>
      </c>
      <c r="R148" s="81">
        <v>2.9499999999999997</v>
      </c>
      <c r="S148" s="354">
        <f t="shared" si="41"/>
        <v>0.81043956043956034</v>
      </c>
      <c r="T148" s="339">
        <v>0.25</v>
      </c>
      <c r="U148" s="81">
        <f t="shared" si="27"/>
        <v>0</v>
      </c>
      <c r="V148" s="81" cm="1">
        <f t="array" ref="V148">_xlfn.IFS('Fiscal by Program'!$B$7&lt;10.61,0,'Fiscal by Program'!$B$7&gt;10.6,(ROUND('Fiscal by Program'!$B$7*(1+IF(D148="Yes",'Fiscal by Program'!$B$9,'Fiscal by Program'!$B$8))*T148,2)))</f>
        <v>0</v>
      </c>
      <c r="W148" s="81">
        <f t="shared" si="30"/>
        <v>0</v>
      </c>
      <c r="X148" s="81">
        <f>ROUND((R148/(1+IF(D148="Yes",'Fiscal by Program'!$B$9,'Fiscal by Program'!$B$8))),2)+0.01</f>
        <v>2.67</v>
      </c>
      <c r="Y148" s="81">
        <f t="shared" si="31"/>
        <v>3.64</v>
      </c>
      <c r="Z148" s="88">
        <v>1</v>
      </c>
      <c r="AA148" s="90">
        <f t="shared" si="28"/>
        <v>0.25</v>
      </c>
      <c r="AB148" s="75">
        <f>INDEX('[9]Service List'!$K:$K,MATCH(A148,'[9]Service List'!$F:$F,0))</f>
        <v>1362</v>
      </c>
      <c r="AC148" s="73">
        <v>0</v>
      </c>
      <c r="AD148" s="67" t="s">
        <v>411</v>
      </c>
      <c r="AE148" s="66">
        <f t="shared" si="42"/>
        <v>1.095890410958904</v>
      </c>
      <c r="AF148" s="66">
        <f t="shared" si="43"/>
        <v>0</v>
      </c>
      <c r="AG148" s="70">
        <f>ROUND(INDEX('All Trends'!D:D,MATCH($AD148,'All Trends'!$C:$C,0)),4)</f>
        <v>1</v>
      </c>
      <c r="AH148" s="70">
        <f>ROUND(INDEX('All Trends'!E:E,MATCH($AD148,'All Trends'!$C:$C,0)),4)</f>
        <v>1</v>
      </c>
      <c r="AI148" s="70">
        <f>ROUND(INDEX('All Trends'!F:F,MATCH($AD148,'All Trends'!$C:$C,0)),4)</f>
        <v>1</v>
      </c>
      <c r="AJ148" s="70">
        <f>ROUND(INDEX('All Trends'!G:G,MATCH($AD148,'All Trends'!$C:$C,0)),4)</f>
        <v>1</v>
      </c>
      <c r="AK148" s="70">
        <f>ROUND(INDEX('All Trends'!H:H,MATCH($AD148,'All Trends'!$C:$C,0)),4)</f>
        <v>1</v>
      </c>
      <c r="AL148" s="74" t="s">
        <v>148</v>
      </c>
      <c r="AM148" s="92">
        <f t="shared" si="34"/>
        <v>611987.25</v>
      </c>
      <c r="AN148" s="92">
        <f t="shared" si="35"/>
        <v>611987.25</v>
      </c>
      <c r="AO148" s="69">
        <f t="shared" si="36"/>
        <v>0</v>
      </c>
      <c r="AP148" s="69">
        <f t="shared" si="37"/>
        <v>0</v>
      </c>
      <c r="AQ148" s="69">
        <f t="shared" si="38"/>
        <v>0</v>
      </c>
      <c r="AR148" s="69">
        <f t="shared" si="39"/>
        <v>0</v>
      </c>
      <c r="AS148" s="409"/>
      <c r="AT148" s="409"/>
      <c r="AU148" s="409"/>
      <c r="BA148" s="66"/>
      <c r="BB148" s="66"/>
    </row>
    <row r="149" spans="1:56">
      <c r="A149" s="67" t="s">
        <v>473</v>
      </c>
      <c r="B149" s="67" t="s">
        <v>479</v>
      </c>
      <c r="C149" s="78" t="s">
        <v>147</v>
      </c>
      <c r="D149" s="78" t="s">
        <v>148</v>
      </c>
      <c r="E149" s="67" t="s">
        <v>475</v>
      </c>
      <c r="F149" s="67" t="s">
        <v>408</v>
      </c>
      <c r="G149" s="67" t="str">
        <f>INDEX('[4]RT Description to Bill Matix'!$D:$D,MATCH(A149,'[4]RT Description to Bill Matix'!$M:$M,0))</f>
        <v>PCS (CFC and Non-CFC)</v>
      </c>
      <c r="H149" s="67" t="s">
        <v>443</v>
      </c>
      <c r="J149" s="65" t="str" cm="1">
        <f t="array" ref="J149">INDEX('Rate Table Service Desc XWalk'!F:F,MATCH(1,(G149='Rate Table Service Desc XWalk'!B:B)*(E149='Rate Table Service Desc XWalk'!A:A),0))</f>
        <v>9-1-80</v>
      </c>
      <c r="K149" s="66" t="s">
        <v>410</v>
      </c>
      <c r="L149" s="66" t="str">
        <f>INDEX('[6]Rate History'!$P:$P,MATCH(A149,'[6]Rate History'!$F:$F,0))</f>
        <v>15 minutes</v>
      </c>
      <c r="M149" s="77">
        <f>INDEX('[7]PDF DB Service Pivot'!$C:$C,MATCH(B149,'[7]PDF DB Service Pivot'!$B:$B,0))</f>
        <v>2139</v>
      </c>
      <c r="N149" s="77">
        <f t="shared" si="29"/>
        <v>2139</v>
      </c>
      <c r="O149" s="76">
        <f>INDEX('[7]PDF DB Service Pivot'!$D:$D,MATCH(B149,'[7]PDF DB Service Pivot'!$B:$B,0))</f>
        <v>6309.57</v>
      </c>
      <c r="P149" s="91">
        <v>45170</v>
      </c>
      <c r="Q149" s="72">
        <v>3.64</v>
      </c>
      <c r="R149" s="81">
        <v>2.9499999999999997</v>
      </c>
      <c r="S149" s="354">
        <f t="shared" si="41"/>
        <v>0.81043956043956034</v>
      </c>
      <c r="T149" s="339">
        <v>0.25</v>
      </c>
      <c r="U149" s="81">
        <f t="shared" si="27"/>
        <v>0</v>
      </c>
      <c r="V149" s="81" cm="1">
        <f t="array" ref="V149">_xlfn.IFS('Fiscal by Program'!$B$7&lt;10.61,0,'Fiscal by Program'!$B$7&gt;10.6,(ROUND('Fiscal by Program'!$B$7*(1+IF(D149="Yes",'Fiscal by Program'!$B$9,'Fiscal by Program'!$B$8))*T149,2)))</f>
        <v>0</v>
      </c>
      <c r="W149" s="81">
        <f t="shared" si="30"/>
        <v>0</v>
      </c>
      <c r="X149" s="81">
        <f>ROUND((R149/(1+IF(D149="Yes",'Fiscal by Program'!$B$9,'Fiscal by Program'!$B$8))),2)+0.01</f>
        <v>2.67</v>
      </c>
      <c r="Y149" s="81">
        <f t="shared" si="31"/>
        <v>3.64</v>
      </c>
      <c r="Z149" s="88">
        <v>1</v>
      </c>
      <c r="AA149" s="90">
        <f t="shared" si="28"/>
        <v>0.25</v>
      </c>
      <c r="AB149" s="75">
        <f>INDEX('[9]Service List'!$K:$K,MATCH(A149,'[9]Service List'!$F:$F,0))</f>
        <v>1362</v>
      </c>
      <c r="AC149" s="73">
        <v>0</v>
      </c>
      <c r="AD149" s="67" t="s">
        <v>411</v>
      </c>
      <c r="AE149" s="66">
        <f t="shared" si="42"/>
        <v>1.095890410958904</v>
      </c>
      <c r="AF149" s="66">
        <f t="shared" si="43"/>
        <v>0</v>
      </c>
      <c r="AG149" s="70">
        <f>ROUND(INDEX('All Trends'!D:D,MATCH($AD149,'All Trends'!$C:$C,0)),4)</f>
        <v>1</v>
      </c>
      <c r="AH149" s="70">
        <f>ROUND(INDEX('All Trends'!E:E,MATCH($AD149,'All Trends'!$C:$C,0)),4)</f>
        <v>1</v>
      </c>
      <c r="AI149" s="70">
        <f>ROUND(INDEX('All Trends'!F:F,MATCH($AD149,'All Trends'!$C:$C,0)),4)</f>
        <v>1</v>
      </c>
      <c r="AJ149" s="70">
        <f>ROUND(INDEX('All Trends'!G:G,MATCH($AD149,'All Trends'!$C:$C,0)),4)</f>
        <v>1</v>
      </c>
      <c r="AK149" s="70">
        <f>ROUND(INDEX('All Trends'!H:H,MATCH($AD149,'All Trends'!$C:$C,0)),4)</f>
        <v>1</v>
      </c>
      <c r="AL149" s="74" t="s">
        <v>148</v>
      </c>
      <c r="AM149" s="92">
        <f t="shared" si="34"/>
        <v>534.75</v>
      </c>
      <c r="AN149" s="92">
        <f t="shared" si="35"/>
        <v>534.75</v>
      </c>
      <c r="AO149" s="69">
        <f t="shared" si="36"/>
        <v>0</v>
      </c>
      <c r="AP149" s="69">
        <f t="shared" si="37"/>
        <v>0</v>
      </c>
      <c r="AQ149" s="69">
        <f t="shared" si="38"/>
        <v>0</v>
      </c>
      <c r="AR149" s="69">
        <f t="shared" si="39"/>
        <v>0</v>
      </c>
      <c r="AS149" s="409"/>
      <c r="AT149" s="409"/>
      <c r="AU149" s="409"/>
      <c r="BA149" s="66"/>
      <c r="BB149" s="66"/>
    </row>
    <row r="150" spans="1:56">
      <c r="A150" s="67" t="s">
        <v>473</v>
      </c>
      <c r="B150" s="67" t="s">
        <v>480</v>
      </c>
      <c r="C150" s="78" t="s">
        <v>147</v>
      </c>
      <c r="D150" s="78" t="s">
        <v>148</v>
      </c>
      <c r="E150" s="67" t="s">
        <v>475</v>
      </c>
      <c r="F150" s="67" t="s">
        <v>408</v>
      </c>
      <c r="G150" s="67" t="str">
        <f>INDEX('[4]RT Description to Bill Matix'!$D:$D,MATCH(A150,'[4]RT Description to Bill Matix'!$M:$M,0))</f>
        <v>PCS (CFC and Non-CFC)</v>
      </c>
      <c r="H150" s="67" t="s">
        <v>443</v>
      </c>
      <c r="J150" s="65" t="str" cm="1">
        <f t="array" ref="J150">INDEX('Rate Table Service Desc XWalk'!F:F,MATCH(1,(G150='Rate Table Service Desc XWalk'!B:B)*(E150='Rate Table Service Desc XWalk'!A:A),0))</f>
        <v>9-1-80</v>
      </c>
      <c r="K150" s="66" t="s">
        <v>410</v>
      </c>
      <c r="L150" s="66" t="str">
        <f>INDEX('[6]Rate History'!$P:$P,MATCH(A150,'[6]Rate History'!$F:$F,0))</f>
        <v>15 minutes</v>
      </c>
      <c r="M150" s="77">
        <f>INDEX('[7]PDF DB Service Pivot'!$C:$C,MATCH(B150,'[7]PDF DB Service Pivot'!$B:$B,0))</f>
        <v>6068</v>
      </c>
      <c r="N150" s="77">
        <f t="shared" si="29"/>
        <v>6068</v>
      </c>
      <c r="O150" s="76">
        <f>INDEX('[7]PDF DB Service Pivot'!$D:$D,MATCH(B150,'[7]PDF DB Service Pivot'!$B:$B,0))</f>
        <v>17811.230000000003</v>
      </c>
      <c r="P150" s="91">
        <v>45170</v>
      </c>
      <c r="Q150" s="72">
        <v>3.64</v>
      </c>
      <c r="R150" s="81">
        <v>2.9499999999999997</v>
      </c>
      <c r="S150" s="354">
        <f t="shared" si="41"/>
        <v>0.81043956043956034</v>
      </c>
      <c r="T150" s="339">
        <v>0.25</v>
      </c>
      <c r="U150" s="81">
        <f t="shared" si="27"/>
        <v>0</v>
      </c>
      <c r="V150" s="81" cm="1">
        <f t="array" ref="V150">_xlfn.IFS('Fiscal by Program'!$B$7&lt;10.61,0,'Fiscal by Program'!$B$7&gt;10.6,(ROUND('Fiscal by Program'!$B$7*(1+IF(D150="Yes",'Fiscal by Program'!$B$9,'Fiscal by Program'!$B$8))*T150,2)))</f>
        <v>0</v>
      </c>
      <c r="W150" s="81">
        <f t="shared" si="30"/>
        <v>0</v>
      </c>
      <c r="X150" s="81">
        <f>ROUND((R150/(1+IF(D150="Yes",'Fiscal by Program'!$B$9,'Fiscal by Program'!$B$8))),2)+0.01</f>
        <v>2.67</v>
      </c>
      <c r="Y150" s="81">
        <f t="shared" si="31"/>
        <v>3.64</v>
      </c>
      <c r="Z150" s="88">
        <v>1</v>
      </c>
      <c r="AA150" s="90">
        <f t="shared" si="28"/>
        <v>0.25</v>
      </c>
      <c r="AB150" s="75">
        <f>INDEX('[9]Service List'!$K:$K,MATCH(A150,'[9]Service List'!$F:$F,0))</f>
        <v>1362</v>
      </c>
      <c r="AC150" s="73">
        <v>0</v>
      </c>
      <c r="AD150" s="67" t="s">
        <v>411</v>
      </c>
      <c r="AE150" s="66">
        <f t="shared" si="42"/>
        <v>1.095890410958904</v>
      </c>
      <c r="AF150" s="66">
        <f t="shared" si="43"/>
        <v>0</v>
      </c>
      <c r="AG150" s="70">
        <f>ROUND(INDEX('All Trends'!D:D,MATCH($AD150,'All Trends'!$C:$C,0)),4)</f>
        <v>1</v>
      </c>
      <c r="AH150" s="70">
        <f>ROUND(INDEX('All Trends'!E:E,MATCH($AD150,'All Trends'!$C:$C,0)),4)</f>
        <v>1</v>
      </c>
      <c r="AI150" s="70">
        <f>ROUND(INDEX('All Trends'!F:F,MATCH($AD150,'All Trends'!$C:$C,0)),4)</f>
        <v>1</v>
      </c>
      <c r="AJ150" s="70">
        <f>ROUND(INDEX('All Trends'!G:G,MATCH($AD150,'All Trends'!$C:$C,0)),4)</f>
        <v>1</v>
      </c>
      <c r="AK150" s="70">
        <f>ROUND(INDEX('All Trends'!H:H,MATCH($AD150,'All Trends'!$C:$C,0)),4)</f>
        <v>1</v>
      </c>
      <c r="AL150" s="74" t="s">
        <v>148</v>
      </c>
      <c r="AM150" s="92">
        <f t="shared" si="34"/>
        <v>1517</v>
      </c>
      <c r="AN150" s="92">
        <f t="shared" si="35"/>
        <v>1517</v>
      </c>
      <c r="AO150" s="69">
        <f t="shared" si="36"/>
        <v>0</v>
      </c>
      <c r="AP150" s="69">
        <f t="shared" si="37"/>
        <v>0</v>
      </c>
      <c r="AQ150" s="69">
        <f t="shared" si="38"/>
        <v>0</v>
      </c>
      <c r="AR150" s="69">
        <f t="shared" si="39"/>
        <v>0</v>
      </c>
      <c r="AS150" s="409"/>
      <c r="AT150" s="409"/>
      <c r="AU150" s="409"/>
      <c r="BA150" s="66"/>
      <c r="BB150" s="66"/>
    </row>
    <row r="151" spans="1:56">
      <c r="A151" s="67" t="s">
        <v>473</v>
      </c>
      <c r="B151" s="67" t="s">
        <v>481</v>
      </c>
      <c r="C151" s="78" t="s">
        <v>147</v>
      </c>
      <c r="D151" s="78" t="s">
        <v>148</v>
      </c>
      <c r="E151" s="67" t="s">
        <v>475</v>
      </c>
      <c r="F151" s="67" t="s">
        <v>408</v>
      </c>
      <c r="G151" s="67" t="str">
        <f>INDEX('[4]RT Description to Bill Matix'!$D:$D,MATCH(A151,'[4]RT Description to Bill Matix'!$M:$M,0))</f>
        <v>PCS (CFC and Non-CFC)</v>
      </c>
      <c r="H151" s="67" t="s">
        <v>443</v>
      </c>
      <c r="J151" s="65" t="str" cm="1">
        <f t="array" ref="J151">INDEX('Rate Table Service Desc XWalk'!F:F,MATCH(1,(G151='Rate Table Service Desc XWalk'!B:B)*(E151='Rate Table Service Desc XWalk'!A:A),0))</f>
        <v>9-1-80</v>
      </c>
      <c r="K151" s="66" t="s">
        <v>410</v>
      </c>
      <c r="L151" s="66" t="str">
        <f>INDEX('[6]Rate History'!$P:$P,MATCH(A151,'[6]Rate History'!$F:$F,0))</f>
        <v>15 minutes</v>
      </c>
      <c r="M151" s="77">
        <f>INDEX('[7]PDF DB Service Pivot'!$C:$C,MATCH(B151,'[7]PDF DB Service Pivot'!$B:$B,0))</f>
        <v>14786</v>
      </c>
      <c r="N151" s="77">
        <f t="shared" si="29"/>
        <v>14786</v>
      </c>
      <c r="O151" s="76">
        <f>INDEX('[7]PDF DB Service Pivot'!$D:$D,MATCH(B151,'[7]PDF DB Service Pivot'!$B:$B,0))</f>
        <v>43552.42</v>
      </c>
      <c r="P151" s="91">
        <v>45170</v>
      </c>
      <c r="Q151" s="72">
        <v>3.64</v>
      </c>
      <c r="R151" s="81">
        <v>2.9499999999999997</v>
      </c>
      <c r="S151" s="354">
        <f t="shared" si="41"/>
        <v>0.81043956043956034</v>
      </c>
      <c r="T151" s="339">
        <v>0.25</v>
      </c>
      <c r="U151" s="81">
        <f t="shared" si="27"/>
        <v>0</v>
      </c>
      <c r="V151" s="81" cm="1">
        <f t="array" ref="V151">_xlfn.IFS('Fiscal by Program'!$B$7&lt;10.61,0,'Fiscal by Program'!$B$7&gt;10.6,(ROUND('Fiscal by Program'!$B$7*(1+IF(D151="Yes",'Fiscal by Program'!$B$9,'Fiscal by Program'!$B$8))*T151,2)))</f>
        <v>0</v>
      </c>
      <c r="W151" s="81">
        <f t="shared" si="30"/>
        <v>0</v>
      </c>
      <c r="X151" s="81">
        <f>ROUND((R151/(1+IF(D151="Yes",'Fiscal by Program'!$B$9,'Fiscal by Program'!$B$8))),2)+0.01</f>
        <v>2.67</v>
      </c>
      <c r="Y151" s="81">
        <f t="shared" si="31"/>
        <v>3.64</v>
      </c>
      <c r="Z151" s="88">
        <v>1</v>
      </c>
      <c r="AA151" s="90">
        <f t="shared" si="28"/>
        <v>0.25</v>
      </c>
      <c r="AB151" s="75">
        <f>INDEX('[9]Service List'!$K:$K,MATCH(A151,'[9]Service List'!$F:$F,0))</f>
        <v>1362</v>
      </c>
      <c r="AC151" s="73">
        <v>0</v>
      </c>
      <c r="AD151" s="67" t="s">
        <v>411</v>
      </c>
      <c r="AE151" s="66">
        <f t="shared" si="42"/>
        <v>1.095890410958904</v>
      </c>
      <c r="AF151" s="66">
        <f t="shared" si="43"/>
        <v>0</v>
      </c>
      <c r="AG151" s="70">
        <f>ROUND(INDEX('All Trends'!D:D,MATCH($AD151,'All Trends'!$C:$C,0)),4)</f>
        <v>1</v>
      </c>
      <c r="AH151" s="70">
        <f>ROUND(INDEX('All Trends'!E:E,MATCH($AD151,'All Trends'!$C:$C,0)),4)</f>
        <v>1</v>
      </c>
      <c r="AI151" s="70">
        <f>ROUND(INDEX('All Trends'!F:F,MATCH($AD151,'All Trends'!$C:$C,0)),4)</f>
        <v>1</v>
      </c>
      <c r="AJ151" s="70">
        <f>ROUND(INDEX('All Trends'!G:G,MATCH($AD151,'All Trends'!$C:$C,0)),4)</f>
        <v>1</v>
      </c>
      <c r="AK151" s="70">
        <f>ROUND(INDEX('All Trends'!H:H,MATCH($AD151,'All Trends'!$C:$C,0)),4)</f>
        <v>1</v>
      </c>
      <c r="AL151" s="74" t="s">
        <v>148</v>
      </c>
      <c r="AM151" s="92">
        <f t="shared" si="34"/>
        <v>3696.5</v>
      </c>
      <c r="AN151" s="92">
        <f t="shared" si="35"/>
        <v>3696.5</v>
      </c>
      <c r="AO151" s="69">
        <f t="shared" si="36"/>
        <v>0</v>
      </c>
      <c r="AP151" s="69">
        <f t="shared" si="37"/>
        <v>0</v>
      </c>
      <c r="AQ151" s="69">
        <f t="shared" si="38"/>
        <v>0</v>
      </c>
      <c r="AR151" s="69">
        <f t="shared" si="39"/>
        <v>0</v>
      </c>
      <c r="AS151" s="409"/>
      <c r="AT151" s="409"/>
      <c r="AU151" s="409"/>
      <c r="BA151" s="66"/>
      <c r="BB151" s="66"/>
    </row>
    <row r="152" spans="1:56">
      <c r="A152" s="67" t="s">
        <v>444</v>
      </c>
      <c r="B152" s="67" t="s">
        <v>482</v>
      </c>
      <c r="C152" s="78" t="s">
        <v>147</v>
      </c>
      <c r="D152" s="78" t="s">
        <v>148</v>
      </c>
      <c r="E152" s="67" t="s">
        <v>475</v>
      </c>
      <c r="F152" s="67" t="s">
        <v>408</v>
      </c>
      <c r="G152" s="67" t="str">
        <f>INDEX('[4]RT Description to Bill Matix'!$D:$D,MATCH(A152,'[4]RT Description to Bill Matix'!$M:$M,0))</f>
        <v>PCS (CFC and Non-CFC)</v>
      </c>
      <c r="H152" s="67" t="s">
        <v>445</v>
      </c>
      <c r="J152" s="65" t="str" cm="1">
        <f t="array" ref="J152">INDEX('Rate Table Service Desc XWalk'!F:F,MATCH(1,(G152='Rate Table Service Desc XWalk'!B:B)*(E152='Rate Table Service Desc XWalk'!A:A),0))</f>
        <v>9-1-80</v>
      </c>
      <c r="K152" s="66" t="s">
        <v>410</v>
      </c>
      <c r="L152" s="66" t="str">
        <f>INDEX('[6]Rate History'!$P:$P,MATCH(A152,'[6]Rate History'!$F:$F,0))</f>
        <v>15 minutes</v>
      </c>
      <c r="M152" s="77">
        <f>INDEX('[7]PDF DB Service Pivot'!$C:$C,MATCH(B152,'[7]PDF DB Service Pivot'!$B:$B,0))</f>
        <v>5477</v>
      </c>
      <c r="N152" s="77">
        <f t="shared" si="29"/>
        <v>5477</v>
      </c>
      <c r="O152" s="76">
        <f>INDEX('[7]PDF DB Service Pivot'!$D:$D,MATCH(B152,'[7]PDF DB Service Pivot'!$B:$B,0))</f>
        <v>16157.15</v>
      </c>
      <c r="P152" s="91">
        <v>45170</v>
      </c>
      <c r="Q152" s="72">
        <v>3.64</v>
      </c>
      <c r="R152" s="81">
        <v>2.9499999999999997</v>
      </c>
      <c r="S152" s="354">
        <f t="shared" si="41"/>
        <v>0.81043956043956034</v>
      </c>
      <c r="T152" s="339">
        <v>0.25</v>
      </c>
      <c r="U152" s="81">
        <f t="shared" si="27"/>
        <v>0</v>
      </c>
      <c r="V152" s="81" cm="1">
        <f t="array" ref="V152">_xlfn.IFS('Fiscal by Program'!$B$7&lt;10.61,0,'Fiscal by Program'!$B$7&gt;10.6,(ROUND('Fiscal by Program'!$B$7*(1+IF(D152="Yes",'Fiscal by Program'!$B$9,'Fiscal by Program'!$B$8))*T152,2)))</f>
        <v>0</v>
      </c>
      <c r="W152" s="81">
        <f t="shared" si="30"/>
        <v>0</v>
      </c>
      <c r="X152" s="81">
        <f>ROUND((R152/(1+IF(D152="Yes",'Fiscal by Program'!$B$9,'Fiscal by Program'!$B$8))),2)+0.01</f>
        <v>2.67</v>
      </c>
      <c r="Y152" s="81">
        <f t="shared" si="31"/>
        <v>3.64</v>
      </c>
      <c r="Z152" s="88">
        <v>1</v>
      </c>
      <c r="AA152" s="90">
        <f t="shared" si="28"/>
        <v>0.25</v>
      </c>
      <c r="AB152" s="75">
        <f>INDEX('[9]Service List'!$K:$K,MATCH(A152,'[9]Service List'!$F:$F,0))</f>
        <v>1367</v>
      </c>
      <c r="AC152" s="73">
        <v>0</v>
      </c>
      <c r="AD152" s="67" t="s">
        <v>411</v>
      </c>
      <c r="AE152" s="66">
        <f t="shared" si="42"/>
        <v>1.095890410958904</v>
      </c>
      <c r="AF152" s="66">
        <f t="shared" si="43"/>
        <v>0</v>
      </c>
      <c r="AG152" s="70">
        <f>ROUND(INDEX('All Trends'!D:D,MATCH($AD152,'All Trends'!$C:$C,0)),4)</f>
        <v>1</v>
      </c>
      <c r="AH152" s="70">
        <f>ROUND(INDEX('All Trends'!E:E,MATCH($AD152,'All Trends'!$C:$C,0)),4)</f>
        <v>1</v>
      </c>
      <c r="AI152" s="70">
        <f>ROUND(INDEX('All Trends'!F:F,MATCH($AD152,'All Trends'!$C:$C,0)),4)</f>
        <v>1</v>
      </c>
      <c r="AJ152" s="70">
        <f>ROUND(INDEX('All Trends'!G:G,MATCH($AD152,'All Trends'!$C:$C,0)),4)</f>
        <v>1</v>
      </c>
      <c r="AK152" s="70">
        <f>ROUND(INDEX('All Trends'!H:H,MATCH($AD152,'All Trends'!$C:$C,0)),4)</f>
        <v>1</v>
      </c>
      <c r="AL152" s="74" t="s">
        <v>148</v>
      </c>
      <c r="AM152" s="92">
        <f t="shared" si="34"/>
        <v>1369.25</v>
      </c>
      <c r="AN152" s="92">
        <f t="shared" si="35"/>
        <v>1369.25</v>
      </c>
      <c r="AO152" s="69">
        <f t="shared" si="36"/>
        <v>0</v>
      </c>
      <c r="AP152" s="69">
        <f t="shared" si="37"/>
        <v>0</v>
      </c>
      <c r="AQ152" s="69">
        <f t="shared" si="38"/>
        <v>0</v>
      </c>
      <c r="AR152" s="69">
        <f t="shared" si="39"/>
        <v>0</v>
      </c>
      <c r="AS152" s="409"/>
      <c r="AT152" s="409"/>
      <c r="AU152" s="409"/>
      <c r="BA152" s="66"/>
      <c r="BB152" s="66"/>
    </row>
    <row r="153" spans="1:56">
      <c r="A153" s="67" t="s">
        <v>483</v>
      </c>
      <c r="B153" s="67" t="s">
        <v>484</v>
      </c>
      <c r="C153" s="78" t="s">
        <v>147</v>
      </c>
      <c r="D153" s="78" t="s">
        <v>148</v>
      </c>
      <c r="E153" s="67" t="s">
        <v>475</v>
      </c>
      <c r="F153" s="67" t="s">
        <v>449</v>
      </c>
      <c r="G153" s="67" t="str">
        <f>INDEX('[4]RT Description to Bill Matix'!$D:$D,MATCH(A153,'[4]RT Description to Bill Matix'!$M:$M,0))</f>
        <v>CFC Habilitation and Attendant Care</v>
      </c>
      <c r="H153" s="67" t="s">
        <v>458</v>
      </c>
      <c r="J153" s="65" t="str" cm="1">
        <f t="array" ref="J153">INDEX('Rate Table Service Desc XWalk'!F:F,MATCH(1,(G153='Rate Table Service Desc XWalk'!B:B)*(E153='Rate Table Service Desc XWalk'!A:A),0))</f>
        <v>9-1-11</v>
      </c>
      <c r="K153" s="66" t="s">
        <v>410</v>
      </c>
      <c r="L153" s="66" t="str">
        <f>INDEX('[6]Rate History'!$P:$P,MATCH(A153,'[6]Rate History'!$F:$F,0))</f>
        <v>15 minutes</v>
      </c>
      <c r="M153" s="77">
        <f>INDEX('[7]PDF DB Service Pivot'!$C:$C,MATCH(B153,'[7]PDF DB Service Pivot'!$B:$B,0))</f>
        <v>2598</v>
      </c>
      <c r="N153" s="77">
        <f t="shared" si="29"/>
        <v>2598</v>
      </c>
      <c r="O153" s="76">
        <f>INDEX('[7]PDF DB Service Pivot'!$D:$D,MATCH(B153,'[7]PDF DB Service Pivot'!$B:$B,0))</f>
        <v>8984.2199999999993</v>
      </c>
      <c r="P153" s="91">
        <v>45170</v>
      </c>
      <c r="Q153" s="72">
        <v>3.63</v>
      </c>
      <c r="R153" s="81">
        <f t="shared" ref="R153:R161" si="44">11.76/4</f>
        <v>2.94</v>
      </c>
      <c r="S153" s="354">
        <f t="shared" si="41"/>
        <v>0.80991735537190079</v>
      </c>
      <c r="T153" s="339">
        <v>0.25</v>
      </c>
      <c r="U153" s="81">
        <f t="shared" si="27"/>
        <v>0</v>
      </c>
      <c r="V153" s="81" cm="1">
        <f t="array" ref="V153">_xlfn.IFS('Fiscal by Program'!$B$7&lt;10.61,0,'Fiscal by Program'!$B$7&gt;10.6,(ROUND('Fiscal by Program'!$B$7*(1+IF(D153="Yes",'Fiscal by Program'!$B$9,'Fiscal by Program'!$B$8))*T153,2)))</f>
        <v>0</v>
      </c>
      <c r="W153" s="81">
        <f t="shared" si="30"/>
        <v>0</v>
      </c>
      <c r="X153" s="81">
        <f>ROUND((R153/(1+IF(D153="Yes",'Fiscal by Program'!$B$9,'Fiscal by Program'!$B$8))),2)+0.01</f>
        <v>2.6599999999999997</v>
      </c>
      <c r="Y153" s="81">
        <f t="shared" si="31"/>
        <v>3.63</v>
      </c>
      <c r="Z153" s="88">
        <v>1</v>
      </c>
      <c r="AA153" s="90">
        <f t="shared" si="28"/>
        <v>0.25</v>
      </c>
      <c r="AB153" s="75">
        <f>INDEX('[9]Service List'!$K:$K,MATCH(A153,'[9]Service List'!$F:$F,0))</f>
        <v>561</v>
      </c>
      <c r="AC153" s="73" t="str">
        <f>INDEX('[5]Combined Bill Code List'!$P:$P,MATCH(A153,'[5]Combined Bill Code List'!$F:$F,0))</f>
        <v>CFC</v>
      </c>
      <c r="AD153" s="67" t="s">
        <v>411</v>
      </c>
      <c r="AE153" s="66">
        <f t="shared" si="42"/>
        <v>1.095890410958904</v>
      </c>
      <c r="AF153" s="66">
        <f t="shared" si="43"/>
        <v>-0.06</v>
      </c>
      <c r="AG153" s="70">
        <f>ROUND(INDEX('All Trends'!D:D,MATCH($AD153,'All Trends'!$C:$C,0)),4)</f>
        <v>1</v>
      </c>
      <c r="AH153" s="70">
        <f>ROUND(INDEX('All Trends'!E:E,MATCH($AD153,'All Trends'!$C:$C,0)),4)</f>
        <v>1</v>
      </c>
      <c r="AI153" s="70">
        <f>ROUND(INDEX('All Trends'!F:F,MATCH($AD153,'All Trends'!$C:$C,0)),4)</f>
        <v>1</v>
      </c>
      <c r="AJ153" s="70">
        <f>ROUND(INDEX('All Trends'!G:G,MATCH($AD153,'All Trends'!$C:$C,0)),4)</f>
        <v>1</v>
      </c>
      <c r="AK153" s="70">
        <f>ROUND(INDEX('All Trends'!H:H,MATCH($AD153,'All Trends'!$C:$C,0)),4)</f>
        <v>1</v>
      </c>
      <c r="AL153" s="74" t="s">
        <v>148</v>
      </c>
      <c r="AM153" s="92">
        <f t="shared" si="34"/>
        <v>649.5</v>
      </c>
      <c r="AN153" s="92">
        <f t="shared" si="35"/>
        <v>649.5</v>
      </c>
      <c r="AO153" s="69">
        <f t="shared" si="36"/>
        <v>0</v>
      </c>
      <c r="AP153" s="69">
        <f t="shared" si="37"/>
        <v>0</v>
      </c>
      <c r="AQ153" s="69">
        <f t="shared" si="38"/>
        <v>0</v>
      </c>
      <c r="AR153" s="69">
        <f t="shared" si="39"/>
        <v>0</v>
      </c>
      <c r="AS153" s="409"/>
      <c r="AT153" s="409"/>
      <c r="AU153" s="409"/>
      <c r="BA153" s="66"/>
      <c r="BB153" s="66"/>
    </row>
    <row r="154" spans="1:56">
      <c r="A154" s="67" t="s">
        <v>483</v>
      </c>
      <c r="B154" s="67" t="s">
        <v>485</v>
      </c>
      <c r="C154" s="78" t="s">
        <v>147</v>
      </c>
      <c r="D154" s="78" t="s">
        <v>148</v>
      </c>
      <c r="E154" s="67" t="s">
        <v>475</v>
      </c>
      <c r="F154" s="67" t="s">
        <v>449</v>
      </c>
      <c r="G154" s="67" t="str">
        <f>INDEX('[4]RT Description to Bill Matix'!$D:$D,MATCH(A154,'[4]RT Description to Bill Matix'!$M:$M,0))</f>
        <v>CFC Habilitation and Attendant Care</v>
      </c>
      <c r="H154" s="67" t="s">
        <v>458</v>
      </c>
      <c r="J154" s="65" t="str" cm="1">
        <f t="array" ref="J154">INDEX('Rate Table Service Desc XWalk'!F:F,MATCH(1,(G154='Rate Table Service Desc XWalk'!B:B)*(E154='Rate Table Service Desc XWalk'!A:A),0))</f>
        <v>9-1-11</v>
      </c>
      <c r="K154" s="66" t="s">
        <v>410</v>
      </c>
      <c r="L154" s="66" t="str">
        <f>INDEX('[6]Rate History'!$P:$P,MATCH(A154,'[6]Rate History'!$F:$F,0))</f>
        <v>15 minutes</v>
      </c>
      <c r="M154" s="77">
        <f>INDEX('[7]PDF DB Service Pivot'!$C:$C,MATCH(B154,'[7]PDF DB Service Pivot'!$B:$B,0))</f>
        <v>35500</v>
      </c>
      <c r="N154" s="77">
        <f t="shared" si="29"/>
        <v>35500</v>
      </c>
      <c r="O154" s="76">
        <f>INDEX('[7]PDF DB Service Pivot'!$D:$D,MATCH(B154,'[7]PDF DB Service Pivot'!$B:$B,0))</f>
        <v>121170.04</v>
      </c>
      <c r="P154" s="91">
        <v>45170</v>
      </c>
      <c r="Q154" s="72">
        <v>3.63</v>
      </c>
      <c r="R154" s="81">
        <f t="shared" si="44"/>
        <v>2.94</v>
      </c>
      <c r="S154" s="354">
        <f t="shared" si="41"/>
        <v>0.80991735537190079</v>
      </c>
      <c r="T154" s="339">
        <v>0.25</v>
      </c>
      <c r="U154" s="81">
        <f t="shared" si="27"/>
        <v>0</v>
      </c>
      <c r="V154" s="81" cm="1">
        <f t="array" ref="V154">_xlfn.IFS('Fiscal by Program'!$B$7&lt;10.61,0,'Fiscal by Program'!$B$7&gt;10.6,(ROUND('Fiscal by Program'!$B$7*(1+IF(D154="Yes",'Fiscal by Program'!$B$9,'Fiscal by Program'!$B$8))*T154,2)))</f>
        <v>0</v>
      </c>
      <c r="W154" s="81">
        <f t="shared" si="30"/>
        <v>0</v>
      </c>
      <c r="X154" s="81">
        <f>ROUND((R154/(1+IF(D154="Yes",'Fiscal by Program'!$B$9,'Fiscal by Program'!$B$8))),2)+0.01</f>
        <v>2.6599999999999997</v>
      </c>
      <c r="Y154" s="81">
        <f t="shared" si="31"/>
        <v>3.63</v>
      </c>
      <c r="Z154" s="88">
        <v>1</v>
      </c>
      <c r="AA154" s="90">
        <f t="shared" si="28"/>
        <v>0.25</v>
      </c>
      <c r="AB154" s="75">
        <f>INDEX('[9]Service List'!$K:$K,MATCH(A154,'[9]Service List'!$F:$F,0))</f>
        <v>561</v>
      </c>
      <c r="AC154" s="73" t="str">
        <f>INDEX('[5]Combined Bill Code List'!$P:$P,MATCH(A154,'[5]Combined Bill Code List'!$F:$F,0))</f>
        <v>CFC</v>
      </c>
      <c r="AD154" s="67" t="s">
        <v>411</v>
      </c>
      <c r="AE154" s="66">
        <f t="shared" si="42"/>
        <v>1.095890410958904</v>
      </c>
      <c r="AF154" s="66">
        <f t="shared" si="43"/>
        <v>-0.06</v>
      </c>
      <c r="AG154" s="70">
        <f>ROUND(INDEX('All Trends'!D:D,MATCH($AD154,'All Trends'!$C:$C,0)),4)</f>
        <v>1</v>
      </c>
      <c r="AH154" s="70">
        <f>ROUND(INDEX('All Trends'!E:E,MATCH($AD154,'All Trends'!$C:$C,0)),4)</f>
        <v>1</v>
      </c>
      <c r="AI154" s="70">
        <f>ROUND(INDEX('All Trends'!F:F,MATCH($AD154,'All Trends'!$C:$C,0)),4)</f>
        <v>1</v>
      </c>
      <c r="AJ154" s="70">
        <f>ROUND(INDEX('All Trends'!G:G,MATCH($AD154,'All Trends'!$C:$C,0)),4)</f>
        <v>1</v>
      </c>
      <c r="AK154" s="70">
        <f>ROUND(INDEX('All Trends'!H:H,MATCH($AD154,'All Trends'!$C:$C,0)),4)</f>
        <v>1</v>
      </c>
      <c r="AL154" s="74" t="s">
        <v>148</v>
      </c>
      <c r="AM154" s="92">
        <f t="shared" si="34"/>
        <v>8875</v>
      </c>
      <c r="AN154" s="92">
        <f t="shared" si="35"/>
        <v>8875</v>
      </c>
      <c r="AO154" s="69">
        <f t="shared" si="36"/>
        <v>0</v>
      </c>
      <c r="AP154" s="69">
        <f t="shared" si="37"/>
        <v>0</v>
      </c>
      <c r="AQ154" s="69">
        <f t="shared" si="38"/>
        <v>0</v>
      </c>
      <c r="AR154" s="69">
        <f t="shared" si="39"/>
        <v>0</v>
      </c>
      <c r="AS154" s="409"/>
      <c r="AT154" s="409"/>
      <c r="AU154" s="409"/>
      <c r="BA154" s="66"/>
      <c r="BB154" s="66"/>
      <c r="BC154" s="406">
        <f>M154*AI154</f>
        <v>35500</v>
      </c>
    </row>
    <row r="155" spans="1:56">
      <c r="A155" s="67" t="s">
        <v>483</v>
      </c>
      <c r="B155" s="67" t="s">
        <v>486</v>
      </c>
      <c r="C155" s="78" t="s">
        <v>147</v>
      </c>
      <c r="D155" s="78" t="s">
        <v>148</v>
      </c>
      <c r="E155" s="67" t="s">
        <v>475</v>
      </c>
      <c r="F155" s="67" t="s">
        <v>449</v>
      </c>
      <c r="G155" s="67" t="str">
        <f>INDEX('[4]RT Description to Bill Matix'!$D:$D,MATCH(A155,'[4]RT Description to Bill Matix'!$M:$M,0))</f>
        <v>CFC Habilitation and Attendant Care</v>
      </c>
      <c r="H155" s="67" t="s">
        <v>458</v>
      </c>
      <c r="J155" s="65" t="str" cm="1">
        <f t="array" ref="J155">INDEX('Rate Table Service Desc XWalk'!F:F,MATCH(1,(G155='Rate Table Service Desc XWalk'!B:B)*(E155='Rate Table Service Desc XWalk'!A:A),0))</f>
        <v>9-1-11</v>
      </c>
      <c r="K155" s="66" t="s">
        <v>410</v>
      </c>
      <c r="L155" s="66" t="str">
        <f>INDEX('[6]Rate History'!$P:$P,MATCH(A155,'[6]Rate History'!$F:$F,0))</f>
        <v>15 minutes</v>
      </c>
      <c r="M155" s="77">
        <f>INDEX('[7]PDF DB Service Pivot'!$C:$C,MATCH(B155,'[7]PDF DB Service Pivot'!$B:$B,0))</f>
        <v>1047560</v>
      </c>
      <c r="N155" s="77">
        <f t="shared" si="29"/>
        <v>1047560</v>
      </c>
      <c r="O155" s="76">
        <f>INDEX('[7]PDF DB Service Pivot'!$D:$D,MATCH(B155,'[7]PDF DB Service Pivot'!$B:$B,0))</f>
        <v>3575415.85</v>
      </c>
      <c r="P155" s="91">
        <v>45170</v>
      </c>
      <c r="Q155" s="72">
        <v>3.63</v>
      </c>
      <c r="R155" s="81">
        <f t="shared" si="44"/>
        <v>2.94</v>
      </c>
      <c r="S155" s="354">
        <f t="shared" si="41"/>
        <v>0.80991735537190079</v>
      </c>
      <c r="T155" s="339">
        <v>0.25</v>
      </c>
      <c r="U155" s="81">
        <f t="shared" si="27"/>
        <v>0</v>
      </c>
      <c r="V155" s="81" cm="1">
        <f t="array" ref="V155">_xlfn.IFS('Fiscal by Program'!$B$7&lt;10.61,0,'Fiscal by Program'!$B$7&gt;10.6,(ROUND('Fiscal by Program'!$B$7*(1+IF(D155="Yes",'Fiscal by Program'!$B$9,'Fiscal by Program'!$B$8))*T155,2)))</f>
        <v>0</v>
      </c>
      <c r="W155" s="81">
        <f t="shared" si="30"/>
        <v>0</v>
      </c>
      <c r="X155" s="81">
        <f>ROUND((R155/(1+IF(D155="Yes",'Fiscal by Program'!$B$9,'Fiscal by Program'!$B$8))),2)+0.01</f>
        <v>2.6599999999999997</v>
      </c>
      <c r="Y155" s="81">
        <f t="shared" si="31"/>
        <v>3.63</v>
      </c>
      <c r="Z155" s="88">
        <v>1</v>
      </c>
      <c r="AA155" s="90">
        <f t="shared" si="28"/>
        <v>0.25</v>
      </c>
      <c r="AB155" s="75">
        <f>INDEX('[9]Service List'!$K:$K,MATCH(A155,'[9]Service List'!$F:$F,0))</f>
        <v>561</v>
      </c>
      <c r="AC155" s="73" t="str">
        <f>INDEX('[5]Combined Bill Code List'!$P:$P,MATCH(A155,'[5]Combined Bill Code List'!$F:$F,0))</f>
        <v>CFC</v>
      </c>
      <c r="AD155" s="67" t="s">
        <v>411</v>
      </c>
      <c r="AE155" s="66">
        <f t="shared" si="42"/>
        <v>1.095890410958904</v>
      </c>
      <c r="AF155" s="66">
        <f t="shared" si="43"/>
        <v>-0.06</v>
      </c>
      <c r="AG155" s="70">
        <f>ROUND(INDEX('All Trends'!D:D,MATCH($AD155,'All Trends'!$C:$C,0)),4)</f>
        <v>1</v>
      </c>
      <c r="AH155" s="70">
        <f>ROUND(INDEX('All Trends'!E:E,MATCH($AD155,'All Trends'!$C:$C,0)),4)</f>
        <v>1</v>
      </c>
      <c r="AI155" s="70">
        <f>ROUND(INDEX('All Trends'!F:F,MATCH($AD155,'All Trends'!$C:$C,0)),4)</f>
        <v>1</v>
      </c>
      <c r="AJ155" s="70">
        <f>ROUND(INDEX('All Trends'!G:G,MATCH($AD155,'All Trends'!$C:$C,0)),4)</f>
        <v>1</v>
      </c>
      <c r="AK155" s="70">
        <f>ROUND(INDEX('All Trends'!H:H,MATCH($AD155,'All Trends'!$C:$C,0)),4)</f>
        <v>1</v>
      </c>
      <c r="AL155" s="74" t="s">
        <v>148</v>
      </c>
      <c r="AM155" s="92">
        <f t="shared" si="34"/>
        <v>261890</v>
      </c>
      <c r="AN155" s="92">
        <f t="shared" si="35"/>
        <v>261890</v>
      </c>
      <c r="AO155" s="69">
        <f t="shared" si="36"/>
        <v>0</v>
      </c>
      <c r="AP155" s="69">
        <f t="shared" si="37"/>
        <v>0</v>
      </c>
      <c r="AQ155" s="69">
        <f t="shared" si="38"/>
        <v>0</v>
      </c>
      <c r="AR155" s="69">
        <f t="shared" si="39"/>
        <v>0</v>
      </c>
      <c r="AS155" s="409"/>
      <c r="AT155" s="409"/>
      <c r="AU155" s="409"/>
      <c r="BA155" s="66"/>
      <c r="BB155" s="66"/>
      <c r="BC155" s="406">
        <f>M155*AI155</f>
        <v>1047560</v>
      </c>
    </row>
    <row r="156" spans="1:56" s="66" customFormat="1">
      <c r="A156" s="67" t="s">
        <v>483</v>
      </c>
      <c r="B156" s="67" t="s">
        <v>487</v>
      </c>
      <c r="C156" s="78" t="s">
        <v>147</v>
      </c>
      <c r="D156" s="78" t="s">
        <v>148</v>
      </c>
      <c r="E156" s="67" t="s">
        <v>475</v>
      </c>
      <c r="F156" s="67" t="s">
        <v>449</v>
      </c>
      <c r="G156" s="67" t="str">
        <f>INDEX('[4]RT Description to Bill Matix'!$D:$D,MATCH(A156,'[4]RT Description to Bill Matix'!$M:$M,0))</f>
        <v>CFC Habilitation and Attendant Care</v>
      </c>
      <c r="H156" s="67" t="s">
        <v>458</v>
      </c>
      <c r="I156" s="67"/>
      <c r="J156" s="65" t="str" cm="1">
        <f t="array" ref="J156">INDEX('Rate Table Service Desc XWalk'!F:F,MATCH(1,(G156='Rate Table Service Desc XWalk'!B:B)*(E156='Rate Table Service Desc XWalk'!A:A),0))</f>
        <v>9-1-11</v>
      </c>
      <c r="K156" s="66" t="s">
        <v>410</v>
      </c>
      <c r="L156" s="66" t="str">
        <f>INDEX('[6]Rate History'!$P:$P,MATCH(A156,'[6]Rate History'!$F:$F,0))</f>
        <v>15 minutes</v>
      </c>
      <c r="M156" s="77">
        <f>INDEX('[7]PDF DB Service Pivot'!$C:$C,MATCH(B156,'[7]PDF DB Service Pivot'!$B:$B,0))</f>
        <v>820579</v>
      </c>
      <c r="N156" s="77">
        <f t="shared" si="29"/>
        <v>820579</v>
      </c>
      <c r="O156" s="76">
        <f>INDEX('[7]PDF DB Service Pivot'!$D:$D,MATCH(B156,'[7]PDF DB Service Pivot'!$B:$B,0))</f>
        <v>2802938.3499999992</v>
      </c>
      <c r="P156" s="91">
        <v>45170</v>
      </c>
      <c r="Q156" s="72">
        <v>3.63</v>
      </c>
      <c r="R156" s="81">
        <f t="shared" si="44"/>
        <v>2.94</v>
      </c>
      <c r="S156" s="354">
        <f t="shared" si="41"/>
        <v>0.80991735537190079</v>
      </c>
      <c r="T156" s="339">
        <v>0.25</v>
      </c>
      <c r="U156" s="81">
        <f t="shared" si="27"/>
        <v>0</v>
      </c>
      <c r="V156" s="81" cm="1">
        <f t="array" ref="V156">_xlfn.IFS('Fiscal by Program'!$B$7&lt;10.61,0,'Fiscal by Program'!$B$7&gt;10.6,(ROUND('Fiscal by Program'!$B$7*(1+IF(D156="Yes",'Fiscal by Program'!$B$9,'Fiscal by Program'!$B$8))*T156,2)))</f>
        <v>0</v>
      </c>
      <c r="W156" s="81">
        <f t="shared" si="30"/>
        <v>0</v>
      </c>
      <c r="X156" s="81">
        <f>ROUND((R156/(1+IF(D156="Yes",'Fiscal by Program'!$B$9,'Fiscal by Program'!$B$8))),2)+0.01</f>
        <v>2.6599999999999997</v>
      </c>
      <c r="Y156" s="81">
        <f t="shared" si="31"/>
        <v>3.63</v>
      </c>
      <c r="Z156" s="88">
        <v>1</v>
      </c>
      <c r="AA156" s="90">
        <f t="shared" si="28"/>
        <v>0.25</v>
      </c>
      <c r="AB156" s="75">
        <f>INDEX('[9]Service List'!$K:$K,MATCH(A156,'[9]Service List'!$F:$F,0))</f>
        <v>561</v>
      </c>
      <c r="AC156" s="73" t="str">
        <f>INDEX('[5]Combined Bill Code List'!$P:$P,MATCH(A156,'[5]Combined Bill Code List'!$F:$F,0))</f>
        <v>CFC</v>
      </c>
      <c r="AD156" s="67" t="s">
        <v>411</v>
      </c>
      <c r="AE156" s="66">
        <f t="shared" si="42"/>
        <v>1.095890410958904</v>
      </c>
      <c r="AF156" s="66">
        <f t="shared" si="43"/>
        <v>-0.06</v>
      </c>
      <c r="AG156" s="70">
        <f>ROUND(INDEX('All Trends'!D:D,MATCH($AD156,'All Trends'!$C:$C,0)),4)</f>
        <v>1</v>
      </c>
      <c r="AH156" s="70">
        <f>ROUND(INDEX('All Trends'!E:E,MATCH($AD156,'All Trends'!$C:$C,0)),4)</f>
        <v>1</v>
      </c>
      <c r="AI156" s="70">
        <f>ROUND(INDEX('All Trends'!F:F,MATCH($AD156,'All Trends'!$C:$C,0)),4)</f>
        <v>1</v>
      </c>
      <c r="AJ156" s="70">
        <f>ROUND(INDEX('All Trends'!G:G,MATCH($AD156,'All Trends'!$C:$C,0)),4)</f>
        <v>1</v>
      </c>
      <c r="AK156" s="70">
        <f>ROUND(INDEX('All Trends'!H:H,MATCH($AD156,'All Trends'!$C:$C,0)),4)</f>
        <v>1</v>
      </c>
      <c r="AL156" s="74" t="s">
        <v>148</v>
      </c>
      <c r="AM156" s="92">
        <f t="shared" si="34"/>
        <v>205144.75</v>
      </c>
      <c r="AN156" s="92">
        <f t="shared" si="35"/>
        <v>205144.75</v>
      </c>
      <c r="AO156" s="69">
        <f t="shared" si="36"/>
        <v>0</v>
      </c>
      <c r="AP156" s="69">
        <f t="shared" si="37"/>
        <v>0</v>
      </c>
      <c r="AQ156" s="69">
        <f t="shared" si="38"/>
        <v>0</v>
      </c>
      <c r="AR156" s="69">
        <f t="shared" si="39"/>
        <v>0</v>
      </c>
      <c r="AS156" s="409"/>
      <c r="AT156" s="409"/>
      <c r="AU156" s="409"/>
      <c r="AV156" s="65"/>
      <c r="AW156" s="65"/>
      <c r="AX156" s="65"/>
      <c r="AY156" s="65"/>
      <c r="AZ156" s="65"/>
      <c r="BD156" s="65"/>
    </row>
    <row r="157" spans="1:56" s="66" customFormat="1">
      <c r="A157" s="67" t="s">
        <v>483</v>
      </c>
      <c r="B157" s="67" t="s">
        <v>488</v>
      </c>
      <c r="C157" s="78" t="s">
        <v>147</v>
      </c>
      <c r="D157" s="78" t="s">
        <v>148</v>
      </c>
      <c r="E157" s="67" t="s">
        <v>475</v>
      </c>
      <c r="F157" s="67" t="s">
        <v>449</v>
      </c>
      <c r="G157" s="67" t="str">
        <f>INDEX('[4]RT Description to Bill Matix'!$D:$D,MATCH(A157,'[4]RT Description to Bill Matix'!$M:$M,0))</f>
        <v>CFC Habilitation and Attendant Care</v>
      </c>
      <c r="H157" s="67" t="s">
        <v>458</v>
      </c>
      <c r="I157" s="67"/>
      <c r="J157" s="65" t="str" cm="1">
        <f t="array" ref="J157">INDEX('Rate Table Service Desc XWalk'!F:F,MATCH(1,(G157='Rate Table Service Desc XWalk'!B:B)*(E157='Rate Table Service Desc XWalk'!A:A),0))</f>
        <v>9-1-11</v>
      </c>
      <c r="K157" s="66" t="s">
        <v>410</v>
      </c>
      <c r="L157" s="66" t="str">
        <f>INDEX('[6]Rate History'!$P:$P,MATCH(A157,'[6]Rate History'!$F:$F,0))</f>
        <v>15 minutes</v>
      </c>
      <c r="M157" s="77">
        <f>INDEX('[7]PDF DB Service Pivot'!$C:$C,MATCH(B157,'[7]PDF DB Service Pivot'!$B:$B,0))</f>
        <v>316</v>
      </c>
      <c r="N157" s="77">
        <f t="shared" si="29"/>
        <v>316</v>
      </c>
      <c r="O157" s="76">
        <f>INDEX('[7]PDF DB Service Pivot'!$D:$D,MATCH(B157,'[7]PDF DB Service Pivot'!$B:$B,0))</f>
        <v>1089.3400000000001</v>
      </c>
      <c r="P157" s="91">
        <v>45170</v>
      </c>
      <c r="Q157" s="72">
        <v>3.63</v>
      </c>
      <c r="R157" s="81">
        <f t="shared" si="44"/>
        <v>2.94</v>
      </c>
      <c r="S157" s="354">
        <f t="shared" si="41"/>
        <v>0.80991735537190079</v>
      </c>
      <c r="T157" s="339">
        <v>0.25</v>
      </c>
      <c r="U157" s="81">
        <f t="shared" si="27"/>
        <v>0</v>
      </c>
      <c r="V157" s="81" cm="1">
        <f t="array" ref="V157">_xlfn.IFS('Fiscal by Program'!$B$7&lt;10.61,0,'Fiscal by Program'!$B$7&gt;10.6,(ROUND('Fiscal by Program'!$B$7*(1+IF(D157="Yes",'Fiscal by Program'!$B$9,'Fiscal by Program'!$B$8))*T157,2)))</f>
        <v>0</v>
      </c>
      <c r="W157" s="81">
        <f t="shared" si="30"/>
        <v>0</v>
      </c>
      <c r="X157" s="81">
        <f>ROUND((R157/(1+IF(D157="Yes",'Fiscal by Program'!$B$9,'Fiscal by Program'!$B$8))),2)+0.01</f>
        <v>2.6599999999999997</v>
      </c>
      <c r="Y157" s="81">
        <f t="shared" si="31"/>
        <v>3.63</v>
      </c>
      <c r="Z157" s="88">
        <v>1</v>
      </c>
      <c r="AA157" s="90">
        <f t="shared" si="28"/>
        <v>0.25</v>
      </c>
      <c r="AB157" s="75">
        <f>INDEX('[9]Service List'!$K:$K,MATCH(A157,'[9]Service List'!$F:$F,0))</f>
        <v>561</v>
      </c>
      <c r="AC157" s="73" t="str">
        <f>INDEX('[5]Combined Bill Code List'!$P:$P,MATCH(A157,'[5]Combined Bill Code List'!$F:$F,0))</f>
        <v>CFC</v>
      </c>
      <c r="AD157" s="67" t="s">
        <v>411</v>
      </c>
      <c r="AE157" s="66">
        <f t="shared" si="42"/>
        <v>1.095890410958904</v>
      </c>
      <c r="AF157" s="66">
        <f t="shared" si="43"/>
        <v>-0.06</v>
      </c>
      <c r="AG157" s="70">
        <f>ROUND(INDEX('All Trends'!D:D,MATCH($AD157,'All Trends'!$C:$C,0)),4)</f>
        <v>1</v>
      </c>
      <c r="AH157" s="70">
        <f>ROUND(INDEX('All Trends'!E:E,MATCH($AD157,'All Trends'!$C:$C,0)),4)</f>
        <v>1</v>
      </c>
      <c r="AI157" s="70">
        <f>ROUND(INDEX('All Trends'!F:F,MATCH($AD157,'All Trends'!$C:$C,0)),4)</f>
        <v>1</v>
      </c>
      <c r="AJ157" s="70">
        <f>ROUND(INDEX('All Trends'!G:G,MATCH($AD157,'All Trends'!$C:$C,0)),4)</f>
        <v>1</v>
      </c>
      <c r="AK157" s="70">
        <f>ROUND(INDEX('All Trends'!H:H,MATCH($AD157,'All Trends'!$C:$C,0)),4)</f>
        <v>1</v>
      </c>
      <c r="AL157" s="74" t="s">
        <v>148</v>
      </c>
      <c r="AM157" s="92">
        <f t="shared" si="34"/>
        <v>79</v>
      </c>
      <c r="AN157" s="92">
        <f t="shared" si="35"/>
        <v>79</v>
      </c>
      <c r="AO157" s="69">
        <f t="shared" si="36"/>
        <v>0</v>
      </c>
      <c r="AP157" s="69">
        <f t="shared" si="37"/>
        <v>0</v>
      </c>
      <c r="AQ157" s="69">
        <f t="shared" si="38"/>
        <v>0</v>
      </c>
      <c r="AR157" s="69">
        <f t="shared" si="39"/>
        <v>0</v>
      </c>
      <c r="AS157" s="409"/>
      <c r="AT157" s="409"/>
      <c r="AU157" s="409"/>
      <c r="AV157" s="65"/>
      <c r="AW157" s="65"/>
      <c r="AX157" s="65"/>
      <c r="AY157" s="65"/>
      <c r="AZ157" s="65"/>
      <c r="BC157" s="406">
        <f>M157*AI157</f>
        <v>316</v>
      </c>
      <c r="BD157" s="65"/>
    </row>
    <row r="158" spans="1:56" s="66" customFormat="1">
      <c r="A158" s="67" t="s">
        <v>483</v>
      </c>
      <c r="B158" s="67" t="s">
        <v>489</v>
      </c>
      <c r="C158" s="78" t="s">
        <v>147</v>
      </c>
      <c r="D158" s="78" t="s">
        <v>148</v>
      </c>
      <c r="E158" s="67" t="s">
        <v>475</v>
      </c>
      <c r="F158" s="67" t="s">
        <v>449</v>
      </c>
      <c r="G158" s="67" t="str">
        <f>INDEX('[4]RT Description to Bill Matix'!$D:$D,MATCH(A158,'[4]RT Description to Bill Matix'!$M:$M,0))</f>
        <v>CFC Habilitation and Attendant Care</v>
      </c>
      <c r="H158" s="67" t="s">
        <v>458</v>
      </c>
      <c r="I158" s="67"/>
      <c r="J158" s="65" t="str" cm="1">
        <f t="array" ref="J158">INDEX('Rate Table Service Desc XWalk'!F:F,MATCH(1,(G158='Rate Table Service Desc XWalk'!B:B)*(E158='Rate Table Service Desc XWalk'!A:A),0))</f>
        <v>9-1-11</v>
      </c>
      <c r="K158" s="66" t="s">
        <v>410</v>
      </c>
      <c r="L158" s="66" t="str">
        <f>INDEX('[6]Rate History'!$P:$P,MATCH(A158,'[6]Rate History'!$F:$F,0))</f>
        <v>15 minutes</v>
      </c>
      <c r="M158" s="77">
        <f>INDEX('[7]PDF DB Service Pivot'!$C:$C,MATCH(B158,'[7]PDF DB Service Pivot'!$B:$B,0))</f>
        <v>262996</v>
      </c>
      <c r="N158" s="77">
        <f t="shared" si="29"/>
        <v>262996</v>
      </c>
      <c r="O158" s="76">
        <f>INDEX('[7]PDF DB Service Pivot'!$D:$D,MATCH(B158,'[7]PDF DB Service Pivot'!$B:$B,0))</f>
        <v>893482.02</v>
      </c>
      <c r="P158" s="91">
        <v>45170</v>
      </c>
      <c r="Q158" s="72">
        <v>3.63</v>
      </c>
      <c r="R158" s="81">
        <f t="shared" si="44"/>
        <v>2.94</v>
      </c>
      <c r="S158" s="354">
        <f t="shared" si="41"/>
        <v>0.80991735537190079</v>
      </c>
      <c r="T158" s="339">
        <v>0.25</v>
      </c>
      <c r="U158" s="81">
        <f t="shared" si="27"/>
        <v>0</v>
      </c>
      <c r="V158" s="81" cm="1">
        <f t="array" ref="V158">_xlfn.IFS('Fiscal by Program'!$B$7&lt;10.61,0,'Fiscal by Program'!$B$7&gt;10.6,(ROUND('Fiscal by Program'!$B$7*(1+IF(D158="Yes",'Fiscal by Program'!$B$9,'Fiscal by Program'!$B$8))*T158,2)))</f>
        <v>0</v>
      </c>
      <c r="W158" s="81">
        <f t="shared" si="30"/>
        <v>0</v>
      </c>
      <c r="X158" s="81">
        <f>ROUND((R158/(1+IF(D158="Yes",'Fiscal by Program'!$B$9,'Fiscal by Program'!$B$8))),2)+0.01</f>
        <v>2.6599999999999997</v>
      </c>
      <c r="Y158" s="81">
        <f t="shared" si="31"/>
        <v>3.63</v>
      </c>
      <c r="Z158" s="88">
        <v>1</v>
      </c>
      <c r="AA158" s="90">
        <f t="shared" si="28"/>
        <v>0.25</v>
      </c>
      <c r="AB158" s="75">
        <f>INDEX('[9]Service List'!$K:$K,MATCH(A158,'[9]Service List'!$F:$F,0))</f>
        <v>561</v>
      </c>
      <c r="AC158" s="73" t="str">
        <f>INDEX('[5]Combined Bill Code List'!$P:$P,MATCH(A158,'[5]Combined Bill Code List'!$F:$F,0))</f>
        <v>CFC</v>
      </c>
      <c r="AD158" s="67" t="s">
        <v>411</v>
      </c>
      <c r="AE158" s="66">
        <f t="shared" si="42"/>
        <v>1.095890410958904</v>
      </c>
      <c r="AF158" s="66">
        <f t="shared" si="43"/>
        <v>-0.06</v>
      </c>
      <c r="AG158" s="70">
        <f>ROUND(INDEX('All Trends'!D:D,MATCH($AD158,'All Trends'!$C:$C,0)),4)</f>
        <v>1</v>
      </c>
      <c r="AH158" s="70">
        <f>ROUND(INDEX('All Trends'!E:E,MATCH($AD158,'All Trends'!$C:$C,0)),4)</f>
        <v>1</v>
      </c>
      <c r="AI158" s="70">
        <f>ROUND(INDEX('All Trends'!F:F,MATCH($AD158,'All Trends'!$C:$C,0)),4)</f>
        <v>1</v>
      </c>
      <c r="AJ158" s="70">
        <f>ROUND(INDEX('All Trends'!G:G,MATCH($AD158,'All Trends'!$C:$C,0)),4)</f>
        <v>1</v>
      </c>
      <c r="AK158" s="70">
        <f>ROUND(INDEX('All Trends'!H:H,MATCH($AD158,'All Trends'!$C:$C,0)),4)</f>
        <v>1</v>
      </c>
      <c r="AL158" s="74" t="s">
        <v>148</v>
      </c>
      <c r="AM158" s="92">
        <f t="shared" si="34"/>
        <v>65749</v>
      </c>
      <c r="AN158" s="92">
        <f t="shared" si="35"/>
        <v>65749</v>
      </c>
      <c r="AO158" s="69">
        <f t="shared" si="36"/>
        <v>0</v>
      </c>
      <c r="AP158" s="69">
        <f t="shared" si="37"/>
        <v>0</v>
      </c>
      <c r="AQ158" s="69">
        <f t="shared" si="38"/>
        <v>0</v>
      </c>
      <c r="AR158" s="69">
        <f t="shared" si="39"/>
        <v>0</v>
      </c>
      <c r="AS158" s="409"/>
      <c r="AT158" s="409"/>
      <c r="AU158" s="409"/>
      <c r="AV158" s="65"/>
      <c r="AW158" s="65"/>
      <c r="AX158" s="65"/>
      <c r="AY158" s="65"/>
      <c r="AZ158" s="65"/>
      <c r="BC158" s="406">
        <f>M158*AI158</f>
        <v>262996</v>
      </c>
      <c r="BD158" s="65"/>
    </row>
    <row r="159" spans="1:56" s="66" customFormat="1">
      <c r="A159" s="67" t="s">
        <v>483</v>
      </c>
      <c r="B159" s="67" t="s">
        <v>490</v>
      </c>
      <c r="C159" s="78" t="s">
        <v>147</v>
      </c>
      <c r="D159" s="78" t="s">
        <v>148</v>
      </c>
      <c r="E159" s="67" t="s">
        <v>475</v>
      </c>
      <c r="F159" s="67" t="s">
        <v>449</v>
      </c>
      <c r="G159" s="67" t="str">
        <f>INDEX('[4]RT Description to Bill Matix'!$D:$D,MATCH(A159,'[4]RT Description to Bill Matix'!$M:$M,0))</f>
        <v>CFC Habilitation and Attendant Care</v>
      </c>
      <c r="H159" s="67" t="s">
        <v>458</v>
      </c>
      <c r="I159" s="67"/>
      <c r="J159" s="65" t="str" cm="1">
        <f t="array" ref="J159">INDEX('Rate Table Service Desc XWalk'!F:F,MATCH(1,(G159='Rate Table Service Desc XWalk'!B:B)*(E159='Rate Table Service Desc XWalk'!A:A),0))</f>
        <v>9-1-11</v>
      </c>
      <c r="K159" s="66" t="s">
        <v>410</v>
      </c>
      <c r="L159" s="66" t="str">
        <f>INDEX('[6]Rate History'!$P:$P,MATCH(A159,'[6]Rate History'!$F:$F,0))</f>
        <v>15 minutes</v>
      </c>
      <c r="M159" s="77">
        <f>INDEX('[7]PDF DB Service Pivot'!$C:$C,MATCH(B159,'[7]PDF DB Service Pivot'!$B:$B,0))</f>
        <v>22649</v>
      </c>
      <c r="N159" s="77">
        <f t="shared" si="29"/>
        <v>22649</v>
      </c>
      <c r="O159" s="76">
        <f>INDEX('[7]PDF DB Service Pivot'!$D:$D,MATCH(B159,'[7]PDF DB Service Pivot'!$B:$B,0))</f>
        <v>78298.16</v>
      </c>
      <c r="P159" s="91">
        <v>45170</v>
      </c>
      <c r="Q159" s="72">
        <v>3.63</v>
      </c>
      <c r="R159" s="81">
        <f t="shared" si="44"/>
        <v>2.94</v>
      </c>
      <c r="S159" s="354">
        <f t="shared" si="41"/>
        <v>0.80991735537190079</v>
      </c>
      <c r="T159" s="339">
        <v>0.25</v>
      </c>
      <c r="U159" s="81">
        <f t="shared" si="27"/>
        <v>0</v>
      </c>
      <c r="V159" s="81" cm="1">
        <f t="array" ref="V159">_xlfn.IFS('Fiscal by Program'!$B$7&lt;10.61,0,'Fiscal by Program'!$B$7&gt;10.6,(ROUND('Fiscal by Program'!$B$7*(1+IF(D159="Yes",'Fiscal by Program'!$B$9,'Fiscal by Program'!$B$8))*T159,2)))</f>
        <v>0</v>
      </c>
      <c r="W159" s="81">
        <f t="shared" si="30"/>
        <v>0</v>
      </c>
      <c r="X159" s="81">
        <f>ROUND((R159/(1+IF(D159="Yes",'Fiscal by Program'!$B$9,'Fiscal by Program'!$B$8))),2)+0.01</f>
        <v>2.6599999999999997</v>
      </c>
      <c r="Y159" s="81">
        <f t="shared" si="31"/>
        <v>3.63</v>
      </c>
      <c r="Z159" s="88">
        <v>1</v>
      </c>
      <c r="AA159" s="90">
        <f t="shared" si="28"/>
        <v>0.25</v>
      </c>
      <c r="AB159" s="75">
        <f>INDEX('[9]Service List'!$K:$K,MATCH(A159,'[9]Service List'!$F:$F,0))</f>
        <v>561</v>
      </c>
      <c r="AC159" s="73" t="str">
        <f>INDEX('[5]Combined Bill Code List'!$P:$P,MATCH(A159,'[5]Combined Bill Code List'!$F:$F,0))</f>
        <v>CFC</v>
      </c>
      <c r="AD159" s="67" t="s">
        <v>411</v>
      </c>
      <c r="AE159" s="66">
        <f t="shared" si="42"/>
        <v>1.095890410958904</v>
      </c>
      <c r="AF159" s="66">
        <f t="shared" si="43"/>
        <v>-0.06</v>
      </c>
      <c r="AG159" s="70">
        <f>ROUND(INDEX('All Trends'!D:D,MATCH($AD159,'All Trends'!$C:$C,0)),4)</f>
        <v>1</v>
      </c>
      <c r="AH159" s="70">
        <f>ROUND(INDEX('All Trends'!E:E,MATCH($AD159,'All Trends'!$C:$C,0)),4)</f>
        <v>1</v>
      </c>
      <c r="AI159" s="70">
        <f>ROUND(INDEX('All Trends'!F:F,MATCH($AD159,'All Trends'!$C:$C,0)),4)</f>
        <v>1</v>
      </c>
      <c r="AJ159" s="70">
        <f>ROUND(INDEX('All Trends'!G:G,MATCH($AD159,'All Trends'!$C:$C,0)),4)</f>
        <v>1</v>
      </c>
      <c r="AK159" s="70">
        <f>ROUND(INDEX('All Trends'!H:H,MATCH($AD159,'All Trends'!$C:$C,0)),4)</f>
        <v>1</v>
      </c>
      <c r="AL159" s="74" t="s">
        <v>148</v>
      </c>
      <c r="AM159" s="92">
        <f t="shared" si="34"/>
        <v>5662.25</v>
      </c>
      <c r="AN159" s="92">
        <f t="shared" si="35"/>
        <v>5662.25</v>
      </c>
      <c r="AO159" s="69">
        <f t="shared" si="36"/>
        <v>0</v>
      </c>
      <c r="AP159" s="69">
        <f t="shared" si="37"/>
        <v>0</v>
      </c>
      <c r="AQ159" s="69">
        <f t="shared" si="38"/>
        <v>0</v>
      </c>
      <c r="AR159" s="69">
        <f t="shared" si="39"/>
        <v>0</v>
      </c>
      <c r="AS159" s="409"/>
      <c r="AT159" s="409"/>
      <c r="AU159" s="409"/>
      <c r="AV159" s="65"/>
      <c r="AW159" s="65"/>
      <c r="AX159" s="65"/>
      <c r="AY159" s="65"/>
      <c r="AZ159" s="65"/>
      <c r="BD159" s="65"/>
    </row>
    <row r="160" spans="1:56" s="66" customFormat="1">
      <c r="A160" s="67" t="s">
        <v>491</v>
      </c>
      <c r="B160" s="67" t="s">
        <v>492</v>
      </c>
      <c r="C160" s="78" t="s">
        <v>147</v>
      </c>
      <c r="D160" s="78" t="s">
        <v>148</v>
      </c>
      <c r="E160" s="67" t="s">
        <v>475</v>
      </c>
      <c r="F160" s="67" t="s">
        <v>449</v>
      </c>
      <c r="G160" s="67" t="str">
        <f>INDEX('[4]RT Description to Bill Matix'!$D:$D,MATCH(A160,'[4]RT Description to Bill Matix'!$M:$M,0))</f>
        <v>CFC Habilitation and Attendant Care</v>
      </c>
      <c r="H160" s="67" t="s">
        <v>493</v>
      </c>
      <c r="I160" s="67"/>
      <c r="J160" s="65" t="str" cm="1">
        <f t="array" ref="J160">INDEX('Rate Table Service Desc XWalk'!F:F,MATCH(1,(G160='Rate Table Service Desc XWalk'!B:B)*(E160='Rate Table Service Desc XWalk'!A:A),0))</f>
        <v>9-1-11</v>
      </c>
      <c r="K160" s="66" t="s">
        <v>410</v>
      </c>
      <c r="L160" s="66" t="str">
        <f>INDEX('[6]Rate History'!$P:$P,MATCH(A160,'[6]Rate History'!$F:$F,0))</f>
        <v>15 minutes</v>
      </c>
      <c r="M160" s="77">
        <f>INDEX('[7]PDF DB Service Pivot'!$C:$C,MATCH(B160,'[7]PDF DB Service Pivot'!$B:$B,0))</f>
        <v>8426</v>
      </c>
      <c r="N160" s="77">
        <f t="shared" si="29"/>
        <v>8426</v>
      </c>
      <c r="O160" s="76">
        <f>INDEX('[7]PDF DB Service Pivot'!$D:$D,MATCH(B160,'[7]PDF DB Service Pivot'!$B:$B,0))</f>
        <v>29139.109999999997</v>
      </c>
      <c r="P160" s="91">
        <v>45170</v>
      </c>
      <c r="Q160" s="72">
        <v>3.63</v>
      </c>
      <c r="R160" s="81">
        <f t="shared" si="44"/>
        <v>2.94</v>
      </c>
      <c r="S160" s="354">
        <f t="shared" si="41"/>
        <v>0.80991735537190079</v>
      </c>
      <c r="T160" s="339">
        <v>0.25</v>
      </c>
      <c r="U160" s="81">
        <f t="shared" si="27"/>
        <v>0</v>
      </c>
      <c r="V160" s="81" cm="1">
        <f t="array" ref="V160">_xlfn.IFS('Fiscal by Program'!$B$7&lt;10.61,0,'Fiscal by Program'!$B$7&gt;10.6,(ROUND('Fiscal by Program'!$B$7*(1+IF(D160="Yes",'Fiscal by Program'!$B$9,'Fiscal by Program'!$B$8))*T160,2)))</f>
        <v>0</v>
      </c>
      <c r="W160" s="81">
        <f t="shared" si="30"/>
        <v>0</v>
      </c>
      <c r="X160" s="81">
        <f>ROUND((R160/(1+IF(D160="Yes",'Fiscal by Program'!$B$9,'Fiscal by Program'!$B$8))),2)+0.01</f>
        <v>2.6599999999999997</v>
      </c>
      <c r="Y160" s="81">
        <f t="shared" si="31"/>
        <v>3.63</v>
      </c>
      <c r="Z160" s="88">
        <v>1</v>
      </c>
      <c r="AA160" s="90">
        <f t="shared" si="28"/>
        <v>0.25</v>
      </c>
      <c r="AB160" s="75">
        <f>INDEX('[9]Service List'!$K:$K,MATCH(A160,'[9]Service List'!$F:$F,0))</f>
        <v>563</v>
      </c>
      <c r="AC160" s="73" t="str">
        <f>INDEX('[5]Combined Bill Code List'!$P:$P,MATCH(A160,'[5]Combined Bill Code List'!$F:$F,0))</f>
        <v>CFC</v>
      </c>
      <c r="AD160" s="67" t="s">
        <v>411</v>
      </c>
      <c r="AE160" s="66">
        <f t="shared" si="42"/>
        <v>1.095890410958904</v>
      </c>
      <c r="AF160" s="66">
        <f t="shared" si="43"/>
        <v>-0.06</v>
      </c>
      <c r="AG160" s="70">
        <f>ROUND(INDEX('All Trends'!D:D,MATCH($AD160,'All Trends'!$C:$C,0)),4)</f>
        <v>1</v>
      </c>
      <c r="AH160" s="70">
        <f>ROUND(INDEX('All Trends'!E:E,MATCH($AD160,'All Trends'!$C:$C,0)),4)</f>
        <v>1</v>
      </c>
      <c r="AI160" s="70">
        <f>ROUND(INDEX('All Trends'!F:F,MATCH($AD160,'All Trends'!$C:$C,0)),4)</f>
        <v>1</v>
      </c>
      <c r="AJ160" s="70">
        <f>ROUND(INDEX('All Trends'!G:G,MATCH($AD160,'All Trends'!$C:$C,0)),4)</f>
        <v>1</v>
      </c>
      <c r="AK160" s="70">
        <f>ROUND(INDEX('All Trends'!H:H,MATCH($AD160,'All Trends'!$C:$C,0)),4)</f>
        <v>1</v>
      </c>
      <c r="AL160" s="74" t="s">
        <v>148</v>
      </c>
      <c r="AM160" s="92">
        <f t="shared" si="34"/>
        <v>2106.5</v>
      </c>
      <c r="AN160" s="92">
        <f t="shared" si="35"/>
        <v>2106.5</v>
      </c>
      <c r="AO160" s="69">
        <f t="shared" si="36"/>
        <v>0</v>
      </c>
      <c r="AP160" s="69">
        <f t="shared" si="37"/>
        <v>0</v>
      </c>
      <c r="AQ160" s="69">
        <f t="shared" si="38"/>
        <v>0</v>
      </c>
      <c r="AR160" s="69">
        <f t="shared" si="39"/>
        <v>0</v>
      </c>
      <c r="AS160" s="409"/>
      <c r="AT160" s="409"/>
      <c r="AU160" s="409"/>
      <c r="AV160" s="65"/>
      <c r="AW160" s="65"/>
      <c r="AX160" s="65"/>
      <c r="AY160" s="65"/>
      <c r="AZ160" s="65"/>
      <c r="BD160" s="65"/>
    </row>
    <row r="161" spans="1:56" s="66" customFormat="1">
      <c r="A161" s="67" t="s">
        <v>491</v>
      </c>
      <c r="B161" s="67" t="s">
        <v>494</v>
      </c>
      <c r="C161" s="78" t="s">
        <v>147</v>
      </c>
      <c r="D161" s="78" t="s">
        <v>148</v>
      </c>
      <c r="E161" s="67" t="s">
        <v>475</v>
      </c>
      <c r="F161" s="67" t="s">
        <v>449</v>
      </c>
      <c r="G161" s="67" t="str">
        <f>INDEX('[4]RT Description to Bill Matix'!$D:$D,MATCH(A161,'[4]RT Description to Bill Matix'!$M:$M,0))</f>
        <v>CFC Habilitation and Attendant Care</v>
      </c>
      <c r="H161" s="67" t="s">
        <v>493</v>
      </c>
      <c r="I161" s="67"/>
      <c r="J161" s="65" t="str" cm="1">
        <f t="array" ref="J161">INDEX('Rate Table Service Desc XWalk'!F:F,MATCH(1,(G161='Rate Table Service Desc XWalk'!B:B)*(E161='Rate Table Service Desc XWalk'!A:A),0))</f>
        <v>9-1-11</v>
      </c>
      <c r="K161" s="66" t="s">
        <v>410</v>
      </c>
      <c r="L161" s="66" t="str">
        <f>INDEX('[6]Rate History'!$P:$P,MATCH(A161,'[6]Rate History'!$F:$F,0))</f>
        <v>15 minutes</v>
      </c>
      <c r="M161" s="77">
        <f>INDEX('[7]PDF DB Service Pivot'!$C:$C,MATCH(B161,'[7]PDF DB Service Pivot'!$B:$B,0))</f>
        <v>2763</v>
      </c>
      <c r="N161" s="77">
        <f t="shared" si="29"/>
        <v>2763</v>
      </c>
      <c r="O161" s="76">
        <f>INDEX('[7]PDF DB Service Pivot'!$D:$D,MATCH(B161,'[7]PDF DB Service Pivot'!$B:$B,0))</f>
        <v>9559.98</v>
      </c>
      <c r="P161" s="91">
        <v>45170</v>
      </c>
      <c r="Q161" s="72">
        <v>3.63</v>
      </c>
      <c r="R161" s="81">
        <f t="shared" si="44"/>
        <v>2.94</v>
      </c>
      <c r="S161" s="354">
        <f t="shared" si="41"/>
        <v>0.80991735537190079</v>
      </c>
      <c r="T161" s="339">
        <v>0.25</v>
      </c>
      <c r="U161" s="81">
        <f t="shared" si="27"/>
        <v>0</v>
      </c>
      <c r="V161" s="81" cm="1">
        <f t="array" ref="V161">_xlfn.IFS('Fiscal by Program'!$B$7&lt;10.61,0,'Fiscal by Program'!$B$7&gt;10.6,(ROUND('Fiscal by Program'!$B$7*(1+IF(D161="Yes",'Fiscal by Program'!$B$9,'Fiscal by Program'!$B$8))*T161,2)))</f>
        <v>0</v>
      </c>
      <c r="W161" s="81">
        <f t="shared" si="30"/>
        <v>0</v>
      </c>
      <c r="X161" s="81">
        <f>ROUND((R161/(1+IF(D161="Yes",'Fiscal by Program'!$B$9,'Fiscal by Program'!$B$8))),2)+0.01</f>
        <v>2.6599999999999997</v>
      </c>
      <c r="Y161" s="81">
        <f t="shared" si="31"/>
        <v>3.63</v>
      </c>
      <c r="Z161" s="88">
        <v>1</v>
      </c>
      <c r="AA161" s="90">
        <f t="shared" si="28"/>
        <v>0.25</v>
      </c>
      <c r="AB161" s="75">
        <f>INDEX('[9]Service List'!$K:$K,MATCH(A161,'[9]Service List'!$F:$F,0))</f>
        <v>563</v>
      </c>
      <c r="AC161" s="73" t="str">
        <f>INDEX('[5]Combined Bill Code List'!$P:$P,MATCH(A161,'[5]Combined Bill Code List'!$F:$F,0))</f>
        <v>CFC</v>
      </c>
      <c r="AD161" s="67" t="s">
        <v>411</v>
      </c>
      <c r="AE161" s="66">
        <f t="shared" si="42"/>
        <v>1.095890410958904</v>
      </c>
      <c r="AF161" s="66">
        <f t="shared" si="43"/>
        <v>-0.06</v>
      </c>
      <c r="AG161" s="70">
        <f>ROUND(INDEX('All Trends'!D:D,MATCH($AD161,'All Trends'!$C:$C,0)),4)</f>
        <v>1</v>
      </c>
      <c r="AH161" s="70">
        <f>ROUND(INDEX('All Trends'!E:E,MATCH($AD161,'All Trends'!$C:$C,0)),4)</f>
        <v>1</v>
      </c>
      <c r="AI161" s="70">
        <f>ROUND(INDEX('All Trends'!F:F,MATCH($AD161,'All Trends'!$C:$C,0)),4)</f>
        <v>1</v>
      </c>
      <c r="AJ161" s="70">
        <f>ROUND(INDEX('All Trends'!G:G,MATCH($AD161,'All Trends'!$C:$C,0)),4)</f>
        <v>1</v>
      </c>
      <c r="AK161" s="70">
        <f>ROUND(INDEX('All Trends'!H:H,MATCH($AD161,'All Trends'!$C:$C,0)),4)</f>
        <v>1</v>
      </c>
      <c r="AL161" s="74" t="s">
        <v>148</v>
      </c>
      <c r="AM161" s="92">
        <f t="shared" si="34"/>
        <v>690.75</v>
      </c>
      <c r="AN161" s="92">
        <f t="shared" si="35"/>
        <v>690.75</v>
      </c>
      <c r="AO161" s="69">
        <f t="shared" si="36"/>
        <v>0</v>
      </c>
      <c r="AP161" s="69">
        <f t="shared" si="37"/>
        <v>0</v>
      </c>
      <c r="AQ161" s="69">
        <f t="shared" si="38"/>
        <v>0</v>
      </c>
      <c r="AR161" s="69">
        <f t="shared" si="39"/>
        <v>0</v>
      </c>
      <c r="AS161" s="409"/>
      <c r="AT161" s="409"/>
      <c r="AU161" s="409"/>
      <c r="AV161" s="65"/>
      <c r="AW161" s="65"/>
      <c r="AX161" s="65"/>
      <c r="AY161" s="65"/>
      <c r="AZ161" s="65"/>
      <c r="BD161" s="65"/>
    </row>
    <row r="162" spans="1:56" s="66" customFormat="1">
      <c r="A162" s="67" t="s">
        <v>495</v>
      </c>
      <c r="B162" s="67" t="s">
        <v>496</v>
      </c>
      <c r="C162" s="78" t="s">
        <v>147</v>
      </c>
      <c r="D162" s="78" t="s">
        <v>148</v>
      </c>
      <c r="E162" s="67" t="s">
        <v>475</v>
      </c>
      <c r="F162" s="67" t="s">
        <v>449</v>
      </c>
      <c r="G162" s="67" t="str">
        <f>INDEX('[4]RT Description to Bill Matix'!$D:$D,MATCH(A162,'[4]RT Description to Bill Matix'!$M:$M,0))</f>
        <v>CDS CFC Habilitation and Attendant Care</v>
      </c>
      <c r="H162" s="67" t="s">
        <v>450</v>
      </c>
      <c r="I162" s="65" t="s">
        <v>147</v>
      </c>
      <c r="J162" s="65" t="str" cm="1">
        <f t="array" ref="J162">INDEX('Rate Table Service Desc XWalk'!F:F,MATCH(1,(G162='Rate Table Service Desc XWalk'!B:B)*(E162='Rate Table Service Desc XWalk'!A:A),0))</f>
        <v>9-5-118</v>
      </c>
      <c r="K162" s="66" t="s">
        <v>410</v>
      </c>
      <c r="L162" s="66" t="str">
        <f>INDEX('[6]Rate History'!$P:$P,MATCH(A162,'[6]Rate History'!$F:$F,0))</f>
        <v>15 minutes</v>
      </c>
      <c r="M162" s="77">
        <f>INDEX('[7]PDF DB Service Pivot'!$C:$C,MATCH(B162,'[7]PDF DB Service Pivot'!$B:$B,0))</f>
        <v>1583</v>
      </c>
      <c r="N162" s="77">
        <f t="shared" si="29"/>
        <v>1583</v>
      </c>
      <c r="O162" s="76">
        <f>INDEX('[7]PDF DB Service Pivot'!$D:$D,MATCH(B162,'[7]PDF DB Service Pivot'!$B:$B,0))</f>
        <v>5165.2</v>
      </c>
      <c r="P162" s="91">
        <v>45170</v>
      </c>
      <c r="Q162" s="72">
        <v>3.59</v>
      </c>
      <c r="R162" s="81">
        <f t="shared" ref="R162:R167" si="45">11.77/4</f>
        <v>2.9424999999999999</v>
      </c>
      <c r="S162" s="354">
        <f t="shared" si="41"/>
        <v>0.81963788300835649</v>
      </c>
      <c r="T162" s="339">
        <v>0.25</v>
      </c>
      <c r="U162" s="81">
        <f t="shared" si="27"/>
        <v>0</v>
      </c>
      <c r="V162" s="81" cm="1">
        <f t="array" ref="V162">_xlfn.IFS('Fiscal by Program'!$B$7&lt;10.61,0,'Fiscal by Program'!$B$7&gt;10.6,(ROUND('Fiscal by Program'!$B$7*(1+IF(D162="Yes",'Fiscal by Program'!$B$9,'Fiscal by Program'!$B$8))*T162,2)))</f>
        <v>0</v>
      </c>
      <c r="W162" s="81">
        <f t="shared" si="30"/>
        <v>0</v>
      </c>
      <c r="X162" s="81">
        <f>ROUND((R162/(1+IF(D162="Yes",'Fiscal by Program'!$B$9,'Fiscal by Program'!$B$8))),2)+0.01</f>
        <v>2.67</v>
      </c>
      <c r="Y162" s="81">
        <f t="shared" si="31"/>
        <v>3.59</v>
      </c>
      <c r="Z162" s="88">
        <v>1</v>
      </c>
      <c r="AA162" s="90">
        <f t="shared" si="28"/>
        <v>0.25</v>
      </c>
      <c r="AB162" s="75">
        <f>INDEX('[9]Service List'!$K:$K,MATCH(A162,'[9]Service List'!$F:$F,0))</f>
        <v>565</v>
      </c>
      <c r="AC162" s="73" t="str">
        <f>INDEX('[5]Combined Bill Code List'!$P:$P,MATCH(A162,'[5]Combined Bill Code List'!$F:$F,0))</f>
        <v>CFC</v>
      </c>
      <c r="AD162" s="67" t="s">
        <v>411</v>
      </c>
      <c r="AE162" s="66">
        <f t="shared" si="42"/>
        <v>1.095890410958904</v>
      </c>
      <c r="AF162" s="66">
        <f t="shared" si="43"/>
        <v>-0.06</v>
      </c>
      <c r="AG162" s="70">
        <f>ROUND(INDEX('All Trends'!D:D,MATCH($AD162,'All Trends'!$C:$C,0)),4)</f>
        <v>1</v>
      </c>
      <c r="AH162" s="70">
        <f>ROUND(INDEX('All Trends'!E:E,MATCH($AD162,'All Trends'!$C:$C,0)),4)</f>
        <v>1</v>
      </c>
      <c r="AI162" s="70">
        <f>ROUND(INDEX('All Trends'!F:F,MATCH($AD162,'All Trends'!$C:$C,0)),4)</f>
        <v>1</v>
      </c>
      <c r="AJ162" s="70">
        <f>ROUND(INDEX('All Trends'!G:G,MATCH($AD162,'All Trends'!$C:$C,0)),4)</f>
        <v>1</v>
      </c>
      <c r="AK162" s="70">
        <f>ROUND(INDEX('All Trends'!H:H,MATCH($AD162,'All Trends'!$C:$C,0)),4)</f>
        <v>1</v>
      </c>
      <c r="AL162" s="74" t="s">
        <v>148</v>
      </c>
      <c r="AM162" s="92">
        <f t="shared" si="34"/>
        <v>395.75</v>
      </c>
      <c r="AN162" s="92">
        <f t="shared" si="35"/>
        <v>395.75</v>
      </c>
      <c r="AO162" s="69">
        <f t="shared" si="36"/>
        <v>0</v>
      </c>
      <c r="AP162" s="69">
        <f t="shared" si="37"/>
        <v>0</v>
      </c>
      <c r="AQ162" s="69">
        <f t="shared" si="38"/>
        <v>0</v>
      </c>
      <c r="AR162" s="69">
        <f t="shared" si="39"/>
        <v>0</v>
      </c>
      <c r="AS162" s="409"/>
      <c r="AT162" s="409"/>
      <c r="AU162" s="409"/>
      <c r="AV162" s="65"/>
      <c r="AW162" s="65"/>
      <c r="AX162" s="65"/>
      <c r="AY162" s="65"/>
      <c r="AZ162" s="65"/>
      <c r="BD162" s="65"/>
    </row>
    <row r="163" spans="1:56" s="66" customFormat="1">
      <c r="A163" s="67" t="s">
        <v>495</v>
      </c>
      <c r="B163" s="67" t="s">
        <v>497</v>
      </c>
      <c r="C163" s="78" t="s">
        <v>147</v>
      </c>
      <c r="D163" s="78" t="s">
        <v>148</v>
      </c>
      <c r="E163" s="67" t="s">
        <v>475</v>
      </c>
      <c r="F163" s="67" t="s">
        <v>449</v>
      </c>
      <c r="G163" s="67" t="str">
        <f>INDEX('[4]RT Description to Bill Matix'!$D:$D,MATCH(A163,'[4]RT Description to Bill Matix'!$M:$M,0))</f>
        <v>CDS CFC Habilitation and Attendant Care</v>
      </c>
      <c r="H163" s="67" t="s">
        <v>450</v>
      </c>
      <c r="I163" s="65" t="s">
        <v>147</v>
      </c>
      <c r="J163" s="65" t="str" cm="1">
        <f t="array" ref="J163">INDEX('Rate Table Service Desc XWalk'!F:F,MATCH(1,(G163='Rate Table Service Desc XWalk'!B:B)*(E163='Rate Table Service Desc XWalk'!A:A),0))</f>
        <v>9-5-118</v>
      </c>
      <c r="K163" s="66" t="s">
        <v>410</v>
      </c>
      <c r="L163" s="66" t="str">
        <f>INDEX('[6]Rate History'!$P:$P,MATCH(A163,'[6]Rate History'!$F:$F,0))</f>
        <v>15 minutes</v>
      </c>
      <c r="M163" s="77">
        <f>INDEX('[7]PDF DB Service Pivot'!$C:$C,MATCH(B163,'[7]PDF DB Service Pivot'!$B:$B,0))</f>
        <v>31300</v>
      </c>
      <c r="N163" s="77">
        <f t="shared" si="29"/>
        <v>31300</v>
      </c>
      <c r="O163" s="76">
        <f>INDEX('[7]PDF DB Service Pivot'!$D:$D,MATCH(B163,'[7]PDF DB Service Pivot'!$B:$B,0))</f>
        <v>101985.81999999999</v>
      </c>
      <c r="P163" s="91">
        <v>45170</v>
      </c>
      <c r="Q163" s="72">
        <v>3.59</v>
      </c>
      <c r="R163" s="81">
        <f t="shared" si="45"/>
        <v>2.9424999999999999</v>
      </c>
      <c r="S163" s="354">
        <f t="shared" si="41"/>
        <v>0.81963788300835649</v>
      </c>
      <c r="T163" s="339">
        <v>0.25</v>
      </c>
      <c r="U163" s="81">
        <f t="shared" si="27"/>
        <v>0</v>
      </c>
      <c r="V163" s="81" cm="1">
        <f t="array" ref="V163">_xlfn.IFS('Fiscal by Program'!$B$7&lt;10.61,0,'Fiscal by Program'!$B$7&gt;10.6,(ROUND('Fiscal by Program'!$B$7*(1+IF(D163="Yes",'Fiscal by Program'!$B$9,'Fiscal by Program'!$B$8))*T163,2)))</f>
        <v>0</v>
      </c>
      <c r="W163" s="81">
        <f t="shared" si="30"/>
        <v>0</v>
      </c>
      <c r="X163" s="81">
        <f>ROUND((R163/(1+IF(D163="Yes",'Fiscal by Program'!$B$9,'Fiscal by Program'!$B$8))),2)+0.01</f>
        <v>2.67</v>
      </c>
      <c r="Y163" s="81">
        <f t="shared" si="31"/>
        <v>3.59</v>
      </c>
      <c r="Z163" s="88">
        <v>1</v>
      </c>
      <c r="AA163" s="90">
        <f t="shared" si="28"/>
        <v>0.25</v>
      </c>
      <c r="AB163" s="75">
        <f>INDEX('[9]Service List'!$K:$K,MATCH(A163,'[9]Service List'!$F:$F,0))</f>
        <v>565</v>
      </c>
      <c r="AC163" s="73" t="str">
        <f>INDEX('[5]Combined Bill Code List'!$P:$P,MATCH(A163,'[5]Combined Bill Code List'!$F:$F,0))</f>
        <v>CFC</v>
      </c>
      <c r="AD163" s="67" t="s">
        <v>411</v>
      </c>
      <c r="AE163" s="66">
        <f t="shared" si="42"/>
        <v>1.095890410958904</v>
      </c>
      <c r="AF163" s="66">
        <f t="shared" si="43"/>
        <v>-0.06</v>
      </c>
      <c r="AG163" s="70">
        <f>ROUND(INDEX('All Trends'!D:D,MATCH($AD163,'All Trends'!$C:$C,0)),4)</f>
        <v>1</v>
      </c>
      <c r="AH163" s="70">
        <f>ROUND(INDEX('All Trends'!E:E,MATCH($AD163,'All Trends'!$C:$C,0)),4)</f>
        <v>1</v>
      </c>
      <c r="AI163" s="70">
        <f>ROUND(INDEX('All Trends'!F:F,MATCH($AD163,'All Trends'!$C:$C,0)),4)</f>
        <v>1</v>
      </c>
      <c r="AJ163" s="70">
        <f>ROUND(INDEX('All Trends'!G:G,MATCH($AD163,'All Trends'!$C:$C,0)),4)</f>
        <v>1</v>
      </c>
      <c r="AK163" s="70">
        <f>ROUND(INDEX('All Trends'!H:H,MATCH($AD163,'All Trends'!$C:$C,0)),4)</f>
        <v>1</v>
      </c>
      <c r="AL163" s="74" t="s">
        <v>148</v>
      </c>
      <c r="AM163" s="92">
        <f t="shared" si="34"/>
        <v>7825</v>
      </c>
      <c r="AN163" s="92">
        <f t="shared" si="35"/>
        <v>7825</v>
      </c>
      <c r="AO163" s="69">
        <f t="shared" si="36"/>
        <v>0</v>
      </c>
      <c r="AP163" s="69">
        <f t="shared" si="37"/>
        <v>0</v>
      </c>
      <c r="AQ163" s="69">
        <f t="shared" si="38"/>
        <v>0</v>
      </c>
      <c r="AR163" s="69">
        <f t="shared" si="39"/>
        <v>0</v>
      </c>
      <c r="AS163" s="409"/>
      <c r="AT163" s="409"/>
      <c r="AU163" s="409"/>
      <c r="AV163" s="65"/>
      <c r="AW163" s="65"/>
      <c r="AX163" s="65"/>
      <c r="AY163" s="65"/>
      <c r="AZ163" s="65"/>
      <c r="BD163" s="65"/>
    </row>
    <row r="164" spans="1:56" s="66" customFormat="1">
      <c r="A164" s="67" t="s">
        <v>495</v>
      </c>
      <c r="B164" s="67" t="s">
        <v>498</v>
      </c>
      <c r="C164" s="78" t="s">
        <v>147</v>
      </c>
      <c r="D164" s="78" t="s">
        <v>148</v>
      </c>
      <c r="E164" s="67" t="s">
        <v>475</v>
      </c>
      <c r="F164" s="67" t="s">
        <v>449</v>
      </c>
      <c r="G164" s="67" t="str">
        <f>INDEX('[4]RT Description to Bill Matix'!$D:$D,MATCH(A164,'[4]RT Description to Bill Matix'!$M:$M,0))</f>
        <v>CDS CFC Habilitation and Attendant Care</v>
      </c>
      <c r="H164" s="67" t="s">
        <v>450</v>
      </c>
      <c r="I164" s="65" t="s">
        <v>147</v>
      </c>
      <c r="J164" s="65" t="str" cm="1">
        <f t="array" ref="J164">INDEX('Rate Table Service Desc XWalk'!F:F,MATCH(1,(G164='Rate Table Service Desc XWalk'!B:B)*(E164='Rate Table Service Desc XWalk'!A:A),0))</f>
        <v>9-5-118</v>
      </c>
      <c r="K164" s="66" t="s">
        <v>410</v>
      </c>
      <c r="L164" s="66" t="str">
        <f>INDEX('[6]Rate History'!$P:$P,MATCH(A164,'[6]Rate History'!$F:$F,0))</f>
        <v>15 minutes</v>
      </c>
      <c r="M164" s="77">
        <f>INDEX('[7]PDF DB Service Pivot'!$C:$C,MATCH(B164,'[7]PDF DB Service Pivot'!$B:$B,0))</f>
        <v>540075.6</v>
      </c>
      <c r="N164" s="77">
        <f t="shared" si="29"/>
        <v>540075.6</v>
      </c>
      <c r="O164" s="76">
        <f>INDEX('[7]PDF DB Service Pivot'!$D:$D,MATCH(B164,'[7]PDF DB Service Pivot'!$B:$B,0))</f>
        <v>1753504.75</v>
      </c>
      <c r="P164" s="91">
        <v>45170</v>
      </c>
      <c r="Q164" s="72">
        <v>3.59</v>
      </c>
      <c r="R164" s="81">
        <f t="shared" si="45"/>
        <v>2.9424999999999999</v>
      </c>
      <c r="S164" s="354">
        <f t="shared" si="41"/>
        <v>0.81963788300835649</v>
      </c>
      <c r="T164" s="339">
        <v>0.25</v>
      </c>
      <c r="U164" s="81">
        <f t="shared" si="27"/>
        <v>0</v>
      </c>
      <c r="V164" s="81" cm="1">
        <f t="array" ref="V164">_xlfn.IFS('Fiscal by Program'!$B$7&lt;10.61,0,'Fiscal by Program'!$B$7&gt;10.6,(ROUND('Fiscal by Program'!$B$7*(1+IF(D164="Yes",'Fiscal by Program'!$B$9,'Fiscal by Program'!$B$8))*T164,2)))</f>
        <v>0</v>
      </c>
      <c r="W164" s="81">
        <f t="shared" si="30"/>
        <v>0</v>
      </c>
      <c r="X164" s="81">
        <f>ROUND((R164/(1+IF(D164="Yes",'Fiscal by Program'!$B$9,'Fiscal by Program'!$B$8))),2)+0.01</f>
        <v>2.67</v>
      </c>
      <c r="Y164" s="81">
        <f t="shared" si="31"/>
        <v>3.59</v>
      </c>
      <c r="Z164" s="88">
        <v>1</v>
      </c>
      <c r="AA164" s="90">
        <f t="shared" si="28"/>
        <v>0.25</v>
      </c>
      <c r="AB164" s="75">
        <f>INDEX('[9]Service List'!$K:$K,MATCH(A164,'[9]Service List'!$F:$F,0))</f>
        <v>565</v>
      </c>
      <c r="AC164" s="73" t="str">
        <f>INDEX('[5]Combined Bill Code List'!$P:$P,MATCH(A164,'[5]Combined Bill Code List'!$F:$F,0))</f>
        <v>CFC</v>
      </c>
      <c r="AD164" s="67" t="s">
        <v>411</v>
      </c>
      <c r="AE164" s="66">
        <f t="shared" si="42"/>
        <v>1.095890410958904</v>
      </c>
      <c r="AF164" s="66">
        <f t="shared" si="43"/>
        <v>-0.06</v>
      </c>
      <c r="AG164" s="70">
        <f>ROUND(INDEX('All Trends'!D:D,MATCH($AD164,'All Trends'!$C:$C,0)),4)</f>
        <v>1</v>
      </c>
      <c r="AH164" s="70">
        <f>ROUND(INDEX('All Trends'!E:E,MATCH($AD164,'All Trends'!$C:$C,0)),4)</f>
        <v>1</v>
      </c>
      <c r="AI164" s="70">
        <f>ROUND(INDEX('All Trends'!F:F,MATCH($AD164,'All Trends'!$C:$C,0)),4)</f>
        <v>1</v>
      </c>
      <c r="AJ164" s="70">
        <f>ROUND(INDEX('All Trends'!G:G,MATCH($AD164,'All Trends'!$C:$C,0)),4)</f>
        <v>1</v>
      </c>
      <c r="AK164" s="70">
        <f>ROUND(INDEX('All Trends'!H:H,MATCH($AD164,'All Trends'!$C:$C,0)),4)</f>
        <v>1</v>
      </c>
      <c r="AL164" s="74" t="s">
        <v>148</v>
      </c>
      <c r="AM164" s="92">
        <f t="shared" si="34"/>
        <v>135018.9</v>
      </c>
      <c r="AN164" s="92">
        <f t="shared" si="35"/>
        <v>135018.9</v>
      </c>
      <c r="AO164" s="69">
        <f t="shared" si="36"/>
        <v>0</v>
      </c>
      <c r="AP164" s="69">
        <f t="shared" si="37"/>
        <v>0</v>
      </c>
      <c r="AQ164" s="69">
        <f t="shared" si="38"/>
        <v>0</v>
      </c>
      <c r="AR164" s="69">
        <f t="shared" si="39"/>
        <v>0</v>
      </c>
      <c r="AS164" s="409"/>
      <c r="AT164" s="409"/>
      <c r="AU164" s="409"/>
      <c r="AV164" s="65"/>
      <c r="AW164" s="65"/>
      <c r="AX164" s="65"/>
      <c r="AY164" s="65"/>
      <c r="AZ164" s="65"/>
      <c r="BD164" s="65"/>
    </row>
    <row r="165" spans="1:56" s="66" customFormat="1">
      <c r="A165" s="67" t="s">
        <v>495</v>
      </c>
      <c r="B165" s="67" t="s">
        <v>499</v>
      </c>
      <c r="C165" s="78" t="s">
        <v>147</v>
      </c>
      <c r="D165" s="78" t="s">
        <v>148</v>
      </c>
      <c r="E165" s="67" t="s">
        <v>475</v>
      </c>
      <c r="F165" s="67" t="s">
        <v>449</v>
      </c>
      <c r="G165" s="67" t="str">
        <f>INDEX('[4]RT Description to Bill Matix'!$D:$D,MATCH(A165,'[4]RT Description to Bill Matix'!$M:$M,0))</f>
        <v>CDS CFC Habilitation and Attendant Care</v>
      </c>
      <c r="H165" s="67" t="s">
        <v>450</v>
      </c>
      <c r="I165" s="65" t="s">
        <v>147</v>
      </c>
      <c r="J165" s="65" t="str" cm="1">
        <f t="array" ref="J165">INDEX('Rate Table Service Desc XWalk'!F:F,MATCH(1,(G165='Rate Table Service Desc XWalk'!B:B)*(E165='Rate Table Service Desc XWalk'!A:A),0))</f>
        <v>9-5-118</v>
      </c>
      <c r="K165" s="66" t="s">
        <v>410</v>
      </c>
      <c r="L165" s="66" t="str">
        <f>INDEX('[6]Rate History'!$P:$P,MATCH(A165,'[6]Rate History'!$F:$F,0))</f>
        <v>15 minutes</v>
      </c>
      <c r="M165" s="77">
        <f>INDEX('[7]PDF DB Service Pivot'!$C:$C,MATCH(B165,'[7]PDF DB Service Pivot'!$B:$B,0))</f>
        <v>509405.9</v>
      </c>
      <c r="N165" s="77">
        <f t="shared" si="29"/>
        <v>509405.9</v>
      </c>
      <c r="O165" s="76">
        <f>INDEX('[7]PDF DB Service Pivot'!$D:$D,MATCH(B165,'[7]PDF DB Service Pivot'!$B:$B,0))</f>
        <v>1654634.9600000002</v>
      </c>
      <c r="P165" s="91">
        <v>45170</v>
      </c>
      <c r="Q165" s="72">
        <v>3.59</v>
      </c>
      <c r="R165" s="81">
        <f t="shared" si="45"/>
        <v>2.9424999999999999</v>
      </c>
      <c r="S165" s="354">
        <f t="shared" si="41"/>
        <v>0.81963788300835649</v>
      </c>
      <c r="T165" s="339">
        <v>0.25</v>
      </c>
      <c r="U165" s="81">
        <f t="shared" si="27"/>
        <v>0</v>
      </c>
      <c r="V165" s="81" cm="1">
        <f t="array" ref="V165">_xlfn.IFS('Fiscal by Program'!$B$7&lt;10.61,0,'Fiscal by Program'!$B$7&gt;10.6,(ROUND('Fiscal by Program'!$B$7*(1+IF(D165="Yes",'Fiscal by Program'!$B$9,'Fiscal by Program'!$B$8))*T165,2)))</f>
        <v>0</v>
      </c>
      <c r="W165" s="81">
        <f t="shared" si="30"/>
        <v>0</v>
      </c>
      <c r="X165" s="81">
        <f>ROUND((R165/(1+IF(D165="Yes",'Fiscal by Program'!$B$9,'Fiscal by Program'!$B$8))),2)+0.01</f>
        <v>2.67</v>
      </c>
      <c r="Y165" s="81">
        <f t="shared" si="31"/>
        <v>3.59</v>
      </c>
      <c r="Z165" s="88">
        <v>1</v>
      </c>
      <c r="AA165" s="90">
        <f t="shared" si="28"/>
        <v>0.25</v>
      </c>
      <c r="AB165" s="75">
        <f>INDEX('[9]Service List'!$K:$K,MATCH(A165,'[9]Service List'!$F:$F,0))</f>
        <v>565</v>
      </c>
      <c r="AC165" s="73" t="str">
        <f>INDEX('[5]Combined Bill Code List'!$P:$P,MATCH(A165,'[5]Combined Bill Code List'!$F:$F,0))</f>
        <v>CFC</v>
      </c>
      <c r="AD165" s="67" t="s">
        <v>411</v>
      </c>
      <c r="AE165" s="66">
        <f t="shared" si="42"/>
        <v>1.095890410958904</v>
      </c>
      <c r="AF165" s="66">
        <f t="shared" si="43"/>
        <v>-0.06</v>
      </c>
      <c r="AG165" s="70">
        <f>ROUND(INDEX('All Trends'!D:D,MATCH($AD165,'All Trends'!$C:$C,0)),4)</f>
        <v>1</v>
      </c>
      <c r="AH165" s="70">
        <f>ROUND(INDEX('All Trends'!E:E,MATCH($AD165,'All Trends'!$C:$C,0)),4)</f>
        <v>1</v>
      </c>
      <c r="AI165" s="70">
        <f>ROUND(INDEX('All Trends'!F:F,MATCH($AD165,'All Trends'!$C:$C,0)),4)</f>
        <v>1</v>
      </c>
      <c r="AJ165" s="70">
        <f>ROUND(INDEX('All Trends'!G:G,MATCH($AD165,'All Trends'!$C:$C,0)),4)</f>
        <v>1</v>
      </c>
      <c r="AK165" s="70">
        <f>ROUND(INDEX('All Trends'!H:H,MATCH($AD165,'All Trends'!$C:$C,0)),4)</f>
        <v>1</v>
      </c>
      <c r="AL165" s="74" t="s">
        <v>148</v>
      </c>
      <c r="AM165" s="92">
        <f t="shared" si="34"/>
        <v>127351.48</v>
      </c>
      <c r="AN165" s="92">
        <f t="shared" si="35"/>
        <v>127351.48</v>
      </c>
      <c r="AO165" s="69">
        <f t="shared" si="36"/>
        <v>0</v>
      </c>
      <c r="AP165" s="69">
        <f t="shared" si="37"/>
        <v>0</v>
      </c>
      <c r="AQ165" s="69">
        <f t="shared" si="38"/>
        <v>0</v>
      </c>
      <c r="AR165" s="69">
        <f t="shared" si="39"/>
        <v>0</v>
      </c>
      <c r="AS165" s="409"/>
      <c r="AT165" s="409"/>
      <c r="AU165" s="409"/>
      <c r="AV165" s="65"/>
      <c r="AW165" s="65"/>
      <c r="AX165" s="65"/>
      <c r="AY165" s="65"/>
      <c r="AZ165" s="65"/>
      <c r="BD165" s="65"/>
    </row>
    <row r="166" spans="1:56" s="66" customFormat="1">
      <c r="A166" s="67" t="s">
        <v>495</v>
      </c>
      <c r="B166" s="67" t="s">
        <v>500</v>
      </c>
      <c r="C166" s="78" t="s">
        <v>147</v>
      </c>
      <c r="D166" s="78" t="s">
        <v>148</v>
      </c>
      <c r="E166" s="67" t="s">
        <v>475</v>
      </c>
      <c r="F166" s="67" t="s">
        <v>449</v>
      </c>
      <c r="G166" s="67" t="str">
        <f>INDEX('[4]RT Description to Bill Matix'!$D:$D,MATCH(A166,'[4]RT Description to Bill Matix'!$M:$M,0))</f>
        <v>CDS CFC Habilitation and Attendant Care</v>
      </c>
      <c r="H166" s="67" t="s">
        <v>450</v>
      </c>
      <c r="I166" s="65" t="s">
        <v>147</v>
      </c>
      <c r="J166" s="65" t="str" cm="1">
        <f t="array" ref="J166">INDEX('Rate Table Service Desc XWalk'!F:F,MATCH(1,(G166='Rate Table Service Desc XWalk'!B:B)*(E166='Rate Table Service Desc XWalk'!A:A),0))</f>
        <v>9-5-118</v>
      </c>
      <c r="K166" s="66" t="s">
        <v>410</v>
      </c>
      <c r="L166" s="66" t="str">
        <f>INDEX('[6]Rate History'!$P:$P,MATCH(A166,'[6]Rate History'!$F:$F,0))</f>
        <v>15 minutes</v>
      </c>
      <c r="M166" s="77">
        <f>INDEX('[7]PDF DB Service Pivot'!$C:$C,MATCH(B166,'[7]PDF DB Service Pivot'!$B:$B,0))</f>
        <v>395666.7</v>
      </c>
      <c r="N166" s="77">
        <f t="shared" si="29"/>
        <v>395666.7</v>
      </c>
      <c r="O166" s="76">
        <f>INDEX('[7]PDF DB Service Pivot'!$D:$D,MATCH(B166,'[7]PDF DB Service Pivot'!$B:$B,0))</f>
        <v>1276971.1100000001</v>
      </c>
      <c r="P166" s="91">
        <v>45170</v>
      </c>
      <c r="Q166" s="72">
        <v>3.59</v>
      </c>
      <c r="R166" s="81">
        <f t="shared" si="45"/>
        <v>2.9424999999999999</v>
      </c>
      <c r="S166" s="354">
        <f t="shared" si="41"/>
        <v>0.81963788300835649</v>
      </c>
      <c r="T166" s="339">
        <v>0.25</v>
      </c>
      <c r="U166" s="81">
        <f t="shared" si="27"/>
        <v>0</v>
      </c>
      <c r="V166" s="81" cm="1">
        <f t="array" ref="V166">_xlfn.IFS('Fiscal by Program'!$B$7&lt;10.61,0,'Fiscal by Program'!$B$7&gt;10.6,(ROUND('Fiscal by Program'!$B$7*(1+IF(D166="Yes",'Fiscal by Program'!$B$9,'Fiscal by Program'!$B$8))*T166,2)))</f>
        <v>0</v>
      </c>
      <c r="W166" s="81">
        <f t="shared" si="30"/>
        <v>0</v>
      </c>
      <c r="X166" s="81">
        <f>ROUND((R166/(1+IF(D166="Yes",'Fiscal by Program'!$B$9,'Fiscal by Program'!$B$8))),2)+0.01</f>
        <v>2.67</v>
      </c>
      <c r="Y166" s="81">
        <f t="shared" si="31"/>
        <v>3.59</v>
      </c>
      <c r="Z166" s="88">
        <v>1</v>
      </c>
      <c r="AA166" s="90">
        <f t="shared" si="28"/>
        <v>0.25</v>
      </c>
      <c r="AB166" s="75">
        <f>INDEX('[9]Service List'!$K:$K,MATCH(A166,'[9]Service List'!$F:$F,0))</f>
        <v>565</v>
      </c>
      <c r="AC166" s="73" t="str">
        <f>INDEX('[5]Combined Bill Code List'!$P:$P,MATCH(A166,'[5]Combined Bill Code List'!$F:$F,0))</f>
        <v>CFC</v>
      </c>
      <c r="AD166" s="67" t="s">
        <v>411</v>
      </c>
      <c r="AE166" s="66">
        <f t="shared" si="42"/>
        <v>1.095890410958904</v>
      </c>
      <c r="AF166" s="66">
        <f t="shared" si="43"/>
        <v>-0.06</v>
      </c>
      <c r="AG166" s="70">
        <f>ROUND(INDEX('All Trends'!D:D,MATCH($AD166,'All Trends'!$C:$C,0)),4)</f>
        <v>1</v>
      </c>
      <c r="AH166" s="70">
        <f>ROUND(INDEX('All Trends'!E:E,MATCH($AD166,'All Trends'!$C:$C,0)),4)</f>
        <v>1</v>
      </c>
      <c r="AI166" s="70">
        <f>ROUND(INDEX('All Trends'!F:F,MATCH($AD166,'All Trends'!$C:$C,0)),4)</f>
        <v>1</v>
      </c>
      <c r="AJ166" s="70">
        <f>ROUND(INDEX('All Trends'!G:G,MATCH($AD166,'All Trends'!$C:$C,0)),4)</f>
        <v>1</v>
      </c>
      <c r="AK166" s="70">
        <f>ROUND(INDEX('All Trends'!H:H,MATCH($AD166,'All Trends'!$C:$C,0)),4)</f>
        <v>1</v>
      </c>
      <c r="AL166" s="74" t="s">
        <v>148</v>
      </c>
      <c r="AM166" s="92">
        <f t="shared" si="34"/>
        <v>98916.68</v>
      </c>
      <c r="AN166" s="92">
        <f t="shared" si="35"/>
        <v>98916.68</v>
      </c>
      <c r="AO166" s="69">
        <f t="shared" si="36"/>
        <v>0</v>
      </c>
      <c r="AP166" s="69">
        <f t="shared" si="37"/>
        <v>0</v>
      </c>
      <c r="AQ166" s="69">
        <f t="shared" si="38"/>
        <v>0</v>
      </c>
      <c r="AR166" s="69">
        <f t="shared" si="39"/>
        <v>0</v>
      </c>
      <c r="AS166" s="409"/>
      <c r="AT166" s="409"/>
      <c r="AU166" s="409"/>
      <c r="AV166" s="65"/>
      <c r="AW166" s="65"/>
      <c r="AX166" s="65"/>
      <c r="AY166" s="65"/>
      <c r="AZ166" s="65"/>
      <c r="BA166" s="67"/>
      <c r="BB166" s="67"/>
      <c r="BD166" s="65"/>
    </row>
    <row r="167" spans="1:56" s="66" customFormat="1">
      <c r="A167" s="67" t="s">
        <v>495</v>
      </c>
      <c r="B167" s="67" t="s">
        <v>501</v>
      </c>
      <c r="C167" s="78" t="s">
        <v>147</v>
      </c>
      <c r="D167" s="78" t="s">
        <v>148</v>
      </c>
      <c r="E167" s="67" t="s">
        <v>475</v>
      </c>
      <c r="F167" s="67" t="s">
        <v>449</v>
      </c>
      <c r="G167" s="67" t="str">
        <f>INDEX('[4]RT Description to Bill Matix'!$D:$D,MATCH(A167,'[4]RT Description to Bill Matix'!$M:$M,0))</f>
        <v>CDS CFC Habilitation and Attendant Care</v>
      </c>
      <c r="H167" s="67" t="s">
        <v>450</v>
      </c>
      <c r="I167" s="65" t="s">
        <v>147</v>
      </c>
      <c r="J167" s="65" t="str" cm="1">
        <f t="array" ref="J167">INDEX('Rate Table Service Desc XWalk'!F:F,MATCH(1,(G167='Rate Table Service Desc XWalk'!B:B)*(E167='Rate Table Service Desc XWalk'!A:A),0))</f>
        <v>9-5-118</v>
      </c>
      <c r="K167" s="66" t="s">
        <v>410</v>
      </c>
      <c r="L167" s="66" t="str">
        <f>INDEX('[6]Rate History'!$P:$P,MATCH(A167,'[6]Rate History'!$F:$F,0))</f>
        <v>15 minutes</v>
      </c>
      <c r="M167" s="77">
        <f>INDEX('[7]PDF DB Service Pivot'!$C:$C,MATCH(B167,'[7]PDF DB Service Pivot'!$B:$B,0))</f>
        <v>40406.300000000003</v>
      </c>
      <c r="N167" s="77">
        <f t="shared" si="29"/>
        <v>40406.300000000003</v>
      </c>
      <c r="O167" s="76">
        <f>INDEX('[7]PDF DB Service Pivot'!$D:$D,MATCH(B167,'[7]PDF DB Service Pivot'!$B:$B,0))</f>
        <v>131736.71</v>
      </c>
      <c r="P167" s="91">
        <v>45170</v>
      </c>
      <c r="Q167" s="72">
        <v>3.59</v>
      </c>
      <c r="R167" s="81">
        <f t="shared" si="45"/>
        <v>2.9424999999999999</v>
      </c>
      <c r="S167" s="354">
        <f t="shared" si="41"/>
        <v>0.81963788300835649</v>
      </c>
      <c r="T167" s="339">
        <v>0.25</v>
      </c>
      <c r="U167" s="81">
        <f t="shared" si="27"/>
        <v>0</v>
      </c>
      <c r="V167" s="81" cm="1">
        <f t="array" ref="V167">_xlfn.IFS('Fiscal by Program'!$B$7&lt;10.61,0,'Fiscal by Program'!$B$7&gt;10.6,(ROUND('Fiscal by Program'!$B$7*(1+IF(D167="Yes",'Fiscal by Program'!$B$9,'Fiscal by Program'!$B$8))*T167,2)))</f>
        <v>0</v>
      </c>
      <c r="W167" s="81">
        <f t="shared" si="30"/>
        <v>0</v>
      </c>
      <c r="X167" s="81">
        <f>ROUND((R167/(1+IF(D167="Yes",'Fiscal by Program'!$B$9,'Fiscal by Program'!$B$8))),2)+0.01</f>
        <v>2.67</v>
      </c>
      <c r="Y167" s="81">
        <f t="shared" si="31"/>
        <v>3.59</v>
      </c>
      <c r="Z167" s="88">
        <v>1</v>
      </c>
      <c r="AA167" s="90">
        <f t="shared" si="28"/>
        <v>0.25</v>
      </c>
      <c r="AB167" s="75">
        <f>INDEX('[9]Service List'!$K:$K,MATCH(A167,'[9]Service List'!$F:$F,0))</f>
        <v>565</v>
      </c>
      <c r="AC167" s="73" t="str">
        <f>INDEX('[5]Combined Bill Code List'!$P:$P,MATCH(A167,'[5]Combined Bill Code List'!$F:$F,0))</f>
        <v>CFC</v>
      </c>
      <c r="AD167" s="67" t="s">
        <v>411</v>
      </c>
      <c r="AE167" s="66">
        <f t="shared" si="42"/>
        <v>1.095890410958904</v>
      </c>
      <c r="AF167" s="66">
        <f t="shared" si="43"/>
        <v>-0.06</v>
      </c>
      <c r="AG167" s="70">
        <f>ROUND(INDEX('All Trends'!D:D,MATCH($AD167,'All Trends'!$C:$C,0)),4)</f>
        <v>1</v>
      </c>
      <c r="AH167" s="70">
        <f>ROUND(INDEX('All Trends'!E:E,MATCH($AD167,'All Trends'!$C:$C,0)),4)</f>
        <v>1</v>
      </c>
      <c r="AI167" s="70">
        <f>ROUND(INDEX('All Trends'!F:F,MATCH($AD167,'All Trends'!$C:$C,0)),4)</f>
        <v>1</v>
      </c>
      <c r="AJ167" s="70">
        <f>ROUND(INDEX('All Trends'!G:G,MATCH($AD167,'All Trends'!$C:$C,0)),4)</f>
        <v>1</v>
      </c>
      <c r="AK167" s="70">
        <f>ROUND(INDEX('All Trends'!H:H,MATCH($AD167,'All Trends'!$C:$C,0)),4)</f>
        <v>1</v>
      </c>
      <c r="AL167" s="74" t="s">
        <v>148</v>
      </c>
      <c r="AM167" s="92">
        <f t="shared" si="34"/>
        <v>10101.58</v>
      </c>
      <c r="AN167" s="92">
        <f t="shared" si="35"/>
        <v>10101.58</v>
      </c>
      <c r="AO167" s="69">
        <f t="shared" si="36"/>
        <v>0</v>
      </c>
      <c r="AP167" s="69">
        <f t="shared" si="37"/>
        <v>0</v>
      </c>
      <c r="AQ167" s="69">
        <f t="shared" si="38"/>
        <v>0</v>
      </c>
      <c r="AR167" s="69">
        <f t="shared" si="39"/>
        <v>0</v>
      </c>
      <c r="AS167" s="409"/>
      <c r="AT167" s="409"/>
      <c r="AU167" s="409"/>
      <c r="AV167" s="65"/>
      <c r="AW167" s="65"/>
      <c r="AX167" s="65"/>
      <c r="AY167" s="65"/>
      <c r="AZ167" s="65"/>
      <c r="BA167" s="67"/>
      <c r="BB167" s="67"/>
      <c r="BD167" s="65"/>
    </row>
    <row r="168" spans="1:56" s="66" customFormat="1">
      <c r="A168" s="67" t="s">
        <v>502</v>
      </c>
      <c r="B168" s="67" t="s">
        <v>503</v>
      </c>
      <c r="C168" s="78" t="s">
        <v>147</v>
      </c>
      <c r="D168" s="78" t="s">
        <v>148</v>
      </c>
      <c r="E168" s="67" t="s">
        <v>475</v>
      </c>
      <c r="F168" s="67" t="s">
        <v>408</v>
      </c>
      <c r="G168" s="67" t="str">
        <f>INDEX('[4]RT Description to Bill Matix'!$D:$D,MATCH(A168,'[4]RT Description to Bill Matix'!$M:$M,0))</f>
        <v>PCS (CFC and Non-CFC)</v>
      </c>
      <c r="H168" s="67" t="s">
        <v>454</v>
      </c>
      <c r="I168" s="67"/>
      <c r="J168" s="65" t="str" cm="1">
        <f t="array" ref="J168">INDEX('Rate Table Service Desc XWalk'!F:F,MATCH(1,(G168='Rate Table Service Desc XWalk'!B:B)*(E168='Rate Table Service Desc XWalk'!A:A),0))</f>
        <v>9-1-80</v>
      </c>
      <c r="K168" s="66" t="s">
        <v>410</v>
      </c>
      <c r="L168" s="66" t="str">
        <f>INDEX('[6]Rate History'!$P:$P,MATCH(A168,'[6]Rate History'!$F:$F,0))</f>
        <v>15 minutes</v>
      </c>
      <c r="M168" s="77">
        <f>INDEX('[7]PDF DB Service Pivot'!$C:$C,MATCH(B168,'[7]PDF DB Service Pivot'!$B:$B,0))</f>
        <v>4677</v>
      </c>
      <c r="N168" s="77">
        <f t="shared" si="29"/>
        <v>4677</v>
      </c>
      <c r="O168" s="76">
        <f>INDEX('[7]PDF DB Service Pivot'!$D:$D,MATCH(B168,'[7]PDF DB Service Pivot'!$B:$B,0))</f>
        <v>15984.810000000001</v>
      </c>
      <c r="P168" s="91">
        <v>45170</v>
      </c>
      <c r="Q168" s="72">
        <v>3.76</v>
      </c>
      <c r="R168" s="81">
        <v>2.9600000000000004</v>
      </c>
      <c r="S168" s="354">
        <f t="shared" si="41"/>
        <v>0.78723404255319163</v>
      </c>
      <c r="T168" s="339">
        <v>0.25</v>
      </c>
      <c r="U168" s="81">
        <f t="shared" si="27"/>
        <v>0</v>
      </c>
      <c r="V168" s="81" cm="1">
        <f t="array" ref="V168">_xlfn.IFS('Fiscal by Program'!$B$7&lt;10.61,0,'Fiscal by Program'!$B$7&gt;10.6,(ROUND('Fiscal by Program'!$B$7*(1+IF(D168="Yes",'Fiscal by Program'!$B$9,'Fiscal by Program'!$B$8))*T168,2)))</f>
        <v>0</v>
      </c>
      <c r="W168" s="81">
        <f t="shared" si="30"/>
        <v>0</v>
      </c>
      <c r="X168" s="81">
        <f>ROUND((R168/(1+IF(D168="Yes",'Fiscal by Program'!$B$9,'Fiscal by Program'!$B$8))),2)+0.01</f>
        <v>2.6799999999999997</v>
      </c>
      <c r="Y168" s="81">
        <f t="shared" si="31"/>
        <v>3.76</v>
      </c>
      <c r="Z168" s="88">
        <v>1</v>
      </c>
      <c r="AA168" s="90">
        <f t="shared" si="28"/>
        <v>0.25</v>
      </c>
      <c r="AB168" s="75">
        <f>INDEX('[9]Service List'!$K:$K,MATCH(A168,'[9]Service List'!$F:$F,0))</f>
        <v>1366</v>
      </c>
      <c r="AC168" s="73">
        <v>0</v>
      </c>
      <c r="AD168" s="67" t="s">
        <v>411</v>
      </c>
      <c r="AE168" s="66">
        <f t="shared" si="42"/>
        <v>1.095890410958904</v>
      </c>
      <c r="AF168" s="66">
        <f t="shared" si="43"/>
        <v>0</v>
      </c>
      <c r="AG168" s="70">
        <f>ROUND(INDEX('All Trends'!D:D,MATCH($AD168,'All Trends'!$C:$C,0)),4)</f>
        <v>1</v>
      </c>
      <c r="AH168" s="70">
        <f>ROUND(INDEX('All Trends'!E:E,MATCH($AD168,'All Trends'!$C:$C,0)),4)</f>
        <v>1</v>
      </c>
      <c r="AI168" s="70">
        <f>ROUND(INDEX('All Trends'!F:F,MATCH($AD168,'All Trends'!$C:$C,0)),4)</f>
        <v>1</v>
      </c>
      <c r="AJ168" s="70">
        <f>ROUND(INDEX('All Trends'!G:G,MATCH($AD168,'All Trends'!$C:$C,0)),4)</f>
        <v>1</v>
      </c>
      <c r="AK168" s="70">
        <f>ROUND(INDEX('All Trends'!H:H,MATCH($AD168,'All Trends'!$C:$C,0)),4)</f>
        <v>1</v>
      </c>
      <c r="AL168" s="74" t="s">
        <v>148</v>
      </c>
      <c r="AM168" s="92">
        <f t="shared" si="34"/>
        <v>1169.25</v>
      </c>
      <c r="AN168" s="92">
        <f t="shared" si="35"/>
        <v>1169.25</v>
      </c>
      <c r="AO168" s="69">
        <f t="shared" si="36"/>
        <v>0</v>
      </c>
      <c r="AP168" s="69">
        <f t="shared" si="37"/>
        <v>0</v>
      </c>
      <c r="AQ168" s="69">
        <f t="shared" si="38"/>
        <v>0</v>
      </c>
      <c r="AR168" s="69">
        <f t="shared" si="39"/>
        <v>0</v>
      </c>
      <c r="AS168" s="409"/>
      <c r="AT168" s="409"/>
      <c r="AU168" s="409"/>
      <c r="AV168" s="65"/>
      <c r="AW168" s="65"/>
      <c r="AX168" s="65"/>
      <c r="AY168" s="65"/>
      <c r="AZ168" s="65"/>
      <c r="BA168" s="67"/>
      <c r="BB168" s="67"/>
      <c r="BD168" s="65"/>
    </row>
    <row r="169" spans="1:56" s="66" customFormat="1">
      <c r="A169" s="67" t="s">
        <v>502</v>
      </c>
      <c r="B169" s="67" t="s">
        <v>504</v>
      </c>
      <c r="C169" s="78" t="s">
        <v>147</v>
      </c>
      <c r="D169" s="78" t="s">
        <v>148</v>
      </c>
      <c r="E169" s="67" t="s">
        <v>475</v>
      </c>
      <c r="F169" s="67" t="s">
        <v>408</v>
      </c>
      <c r="G169" s="67" t="str">
        <f>INDEX('[4]RT Description to Bill Matix'!$D:$D,MATCH(A169,'[4]RT Description to Bill Matix'!$M:$M,0))</f>
        <v>PCS (CFC and Non-CFC)</v>
      </c>
      <c r="H169" s="67" t="s">
        <v>454</v>
      </c>
      <c r="I169" s="67"/>
      <c r="J169" s="65" t="str" cm="1">
        <f t="array" ref="J169">INDEX('Rate Table Service Desc XWalk'!F:F,MATCH(1,(G169='Rate Table Service Desc XWalk'!B:B)*(E169='Rate Table Service Desc XWalk'!A:A),0))</f>
        <v>9-1-80</v>
      </c>
      <c r="K169" s="66" t="s">
        <v>410</v>
      </c>
      <c r="L169" s="66" t="str">
        <f>INDEX('[6]Rate History'!$P:$P,MATCH(A169,'[6]Rate History'!$F:$F,0))</f>
        <v>15 minutes</v>
      </c>
      <c r="M169" s="77">
        <f>INDEX('[7]PDF DB Service Pivot'!$C:$C,MATCH(B169,'[7]PDF DB Service Pivot'!$B:$B,0))</f>
        <v>92086</v>
      </c>
      <c r="N169" s="77">
        <f t="shared" si="29"/>
        <v>92086</v>
      </c>
      <c r="O169" s="76">
        <f>INDEX('[7]PDF DB Service Pivot'!$D:$D,MATCH(B169,'[7]PDF DB Service Pivot'!$B:$B,0))</f>
        <v>312618.73999999993</v>
      </c>
      <c r="P169" s="91">
        <v>45170</v>
      </c>
      <c r="Q169" s="72">
        <v>3.76</v>
      </c>
      <c r="R169" s="81">
        <v>2.9600000000000004</v>
      </c>
      <c r="S169" s="354">
        <f t="shared" si="41"/>
        <v>0.78723404255319163</v>
      </c>
      <c r="T169" s="339">
        <v>0.25</v>
      </c>
      <c r="U169" s="81">
        <f t="shared" si="27"/>
        <v>0</v>
      </c>
      <c r="V169" s="81" cm="1">
        <f t="array" ref="V169">_xlfn.IFS('Fiscal by Program'!$B$7&lt;10.61,0,'Fiscal by Program'!$B$7&gt;10.6,(ROUND('Fiscal by Program'!$B$7*(1+IF(D169="Yes",'Fiscal by Program'!$B$9,'Fiscal by Program'!$B$8))*T169,2)))</f>
        <v>0</v>
      </c>
      <c r="W169" s="81">
        <f t="shared" si="30"/>
        <v>0</v>
      </c>
      <c r="X169" s="81">
        <f>ROUND((R169/(1+IF(D169="Yes",'Fiscal by Program'!$B$9,'Fiscal by Program'!$B$8))),2)+0.01</f>
        <v>2.6799999999999997</v>
      </c>
      <c r="Y169" s="81">
        <f t="shared" si="31"/>
        <v>3.76</v>
      </c>
      <c r="Z169" s="88">
        <v>1</v>
      </c>
      <c r="AA169" s="90">
        <f t="shared" si="28"/>
        <v>0.25</v>
      </c>
      <c r="AB169" s="75">
        <f>INDEX('[9]Service List'!$K:$K,MATCH(A169,'[9]Service List'!$F:$F,0))</f>
        <v>1366</v>
      </c>
      <c r="AC169" s="73">
        <v>0</v>
      </c>
      <c r="AD169" s="67" t="s">
        <v>411</v>
      </c>
      <c r="AE169" s="66">
        <f t="shared" si="42"/>
        <v>1.095890410958904</v>
      </c>
      <c r="AF169" s="66">
        <f t="shared" si="43"/>
        <v>0</v>
      </c>
      <c r="AG169" s="70">
        <f>ROUND(INDEX('All Trends'!D:D,MATCH($AD169,'All Trends'!$C:$C,0)),4)</f>
        <v>1</v>
      </c>
      <c r="AH169" s="70">
        <f>ROUND(INDEX('All Trends'!E:E,MATCH($AD169,'All Trends'!$C:$C,0)),4)</f>
        <v>1</v>
      </c>
      <c r="AI169" s="70">
        <f>ROUND(INDEX('All Trends'!F:F,MATCH($AD169,'All Trends'!$C:$C,0)),4)</f>
        <v>1</v>
      </c>
      <c r="AJ169" s="70">
        <f>ROUND(INDEX('All Trends'!G:G,MATCH($AD169,'All Trends'!$C:$C,0)),4)</f>
        <v>1</v>
      </c>
      <c r="AK169" s="70">
        <f>ROUND(INDEX('All Trends'!H:H,MATCH($AD169,'All Trends'!$C:$C,0)),4)</f>
        <v>1</v>
      </c>
      <c r="AL169" s="74" t="s">
        <v>148</v>
      </c>
      <c r="AM169" s="92">
        <f t="shared" si="34"/>
        <v>23021.5</v>
      </c>
      <c r="AN169" s="92">
        <f t="shared" si="35"/>
        <v>23021.5</v>
      </c>
      <c r="AO169" s="69">
        <f t="shared" si="36"/>
        <v>0</v>
      </c>
      <c r="AP169" s="69">
        <f t="shared" si="37"/>
        <v>0</v>
      </c>
      <c r="AQ169" s="69">
        <f t="shared" si="38"/>
        <v>0</v>
      </c>
      <c r="AR169" s="69">
        <f t="shared" si="39"/>
        <v>0</v>
      </c>
      <c r="AS169" s="409"/>
      <c r="AT169" s="409"/>
      <c r="AU169" s="409"/>
      <c r="AV169" s="65"/>
      <c r="AW169" s="65"/>
      <c r="AX169" s="65"/>
      <c r="AY169" s="65"/>
      <c r="AZ169" s="65"/>
      <c r="BA169" s="67"/>
      <c r="BB169" s="67"/>
      <c r="BD169" s="65"/>
    </row>
    <row r="170" spans="1:56" s="66" customFormat="1">
      <c r="A170" s="67" t="s">
        <v>502</v>
      </c>
      <c r="B170" s="67" t="s">
        <v>505</v>
      </c>
      <c r="C170" s="78" t="s">
        <v>147</v>
      </c>
      <c r="D170" s="78" t="s">
        <v>148</v>
      </c>
      <c r="E170" s="67" t="s">
        <v>475</v>
      </c>
      <c r="F170" s="67" t="s">
        <v>408</v>
      </c>
      <c r="G170" s="67" t="str">
        <f>INDEX('[4]RT Description to Bill Matix'!$D:$D,MATCH(A170,'[4]RT Description to Bill Matix'!$M:$M,0))</f>
        <v>PCS (CFC and Non-CFC)</v>
      </c>
      <c r="H170" s="67" t="s">
        <v>454</v>
      </c>
      <c r="I170" s="67"/>
      <c r="J170" s="65" t="str" cm="1">
        <f t="array" ref="J170">INDEX('Rate Table Service Desc XWalk'!F:F,MATCH(1,(G170='Rate Table Service Desc XWalk'!B:B)*(E170='Rate Table Service Desc XWalk'!A:A),0))</f>
        <v>9-1-80</v>
      </c>
      <c r="K170" s="66" t="s">
        <v>410</v>
      </c>
      <c r="L170" s="66" t="str">
        <f>INDEX('[6]Rate History'!$P:$P,MATCH(A170,'[6]Rate History'!$F:$F,0))</f>
        <v>15 minutes</v>
      </c>
      <c r="M170" s="77">
        <f>INDEX('[7]PDF DB Service Pivot'!$C:$C,MATCH(B170,'[7]PDF DB Service Pivot'!$B:$B,0))</f>
        <v>2051843</v>
      </c>
      <c r="N170" s="77">
        <f t="shared" si="29"/>
        <v>2051843</v>
      </c>
      <c r="O170" s="76">
        <f>INDEX('[7]PDF DB Service Pivot'!$D:$D,MATCH(B170,'[7]PDF DB Service Pivot'!$B:$B,0))</f>
        <v>6947560.0499999998</v>
      </c>
      <c r="P170" s="91">
        <v>45170</v>
      </c>
      <c r="Q170" s="72">
        <v>3.76</v>
      </c>
      <c r="R170" s="81">
        <v>2.9600000000000004</v>
      </c>
      <c r="S170" s="354">
        <f t="shared" si="41"/>
        <v>0.78723404255319163</v>
      </c>
      <c r="T170" s="339">
        <v>0.25</v>
      </c>
      <c r="U170" s="81">
        <f t="shared" si="27"/>
        <v>0</v>
      </c>
      <c r="V170" s="81" cm="1">
        <f t="array" ref="V170">_xlfn.IFS('Fiscal by Program'!$B$7&lt;10.61,0,'Fiscal by Program'!$B$7&gt;10.6,(ROUND('Fiscal by Program'!$B$7*(1+IF(D170="Yes",'Fiscal by Program'!$B$9,'Fiscal by Program'!$B$8))*T170,2)))</f>
        <v>0</v>
      </c>
      <c r="W170" s="81">
        <f t="shared" si="30"/>
        <v>0</v>
      </c>
      <c r="X170" s="81">
        <f>ROUND((R170/(1+IF(D170="Yes",'Fiscal by Program'!$B$9,'Fiscal by Program'!$B$8))),2)+0.01</f>
        <v>2.6799999999999997</v>
      </c>
      <c r="Y170" s="81">
        <f t="shared" si="31"/>
        <v>3.76</v>
      </c>
      <c r="Z170" s="88">
        <v>1</v>
      </c>
      <c r="AA170" s="90">
        <f t="shared" si="28"/>
        <v>0.25</v>
      </c>
      <c r="AB170" s="75">
        <f>INDEX('[9]Service List'!$K:$K,MATCH(A170,'[9]Service List'!$F:$F,0))</f>
        <v>1366</v>
      </c>
      <c r="AC170" s="73">
        <v>0</v>
      </c>
      <c r="AD170" s="67" t="s">
        <v>411</v>
      </c>
      <c r="AE170" s="66">
        <f t="shared" si="42"/>
        <v>1.095890410958904</v>
      </c>
      <c r="AF170" s="66">
        <f t="shared" si="43"/>
        <v>0</v>
      </c>
      <c r="AG170" s="70">
        <f>ROUND(INDEX('All Trends'!D:D,MATCH($AD170,'All Trends'!$C:$C,0)),4)</f>
        <v>1</v>
      </c>
      <c r="AH170" s="70">
        <f>ROUND(INDEX('All Trends'!E:E,MATCH($AD170,'All Trends'!$C:$C,0)),4)</f>
        <v>1</v>
      </c>
      <c r="AI170" s="70">
        <f>ROUND(INDEX('All Trends'!F:F,MATCH($AD170,'All Trends'!$C:$C,0)),4)</f>
        <v>1</v>
      </c>
      <c r="AJ170" s="70">
        <f>ROUND(INDEX('All Trends'!G:G,MATCH($AD170,'All Trends'!$C:$C,0)),4)</f>
        <v>1</v>
      </c>
      <c r="AK170" s="70">
        <f>ROUND(INDEX('All Trends'!H:H,MATCH($AD170,'All Trends'!$C:$C,0)),4)</f>
        <v>1</v>
      </c>
      <c r="AL170" s="74" t="s">
        <v>148</v>
      </c>
      <c r="AM170" s="92">
        <f t="shared" si="34"/>
        <v>512960.75</v>
      </c>
      <c r="AN170" s="92">
        <f t="shared" si="35"/>
        <v>512960.75</v>
      </c>
      <c r="AO170" s="69">
        <f t="shared" si="36"/>
        <v>0</v>
      </c>
      <c r="AP170" s="69">
        <f t="shared" si="37"/>
        <v>0</v>
      </c>
      <c r="AQ170" s="69">
        <f t="shared" si="38"/>
        <v>0</v>
      </c>
      <c r="AR170" s="69">
        <f t="shared" si="39"/>
        <v>0</v>
      </c>
      <c r="AS170" s="409"/>
      <c r="AT170" s="409"/>
      <c r="AU170" s="409"/>
      <c r="AV170" s="65"/>
      <c r="AW170" s="65"/>
      <c r="AX170" s="65"/>
      <c r="AY170" s="65"/>
      <c r="AZ170" s="65"/>
      <c r="BA170" s="67"/>
      <c r="BB170" s="67"/>
      <c r="BD170" s="65"/>
    </row>
    <row r="171" spans="1:56" s="66" customFormat="1">
      <c r="A171" s="67" t="s">
        <v>502</v>
      </c>
      <c r="B171" s="67" t="s">
        <v>506</v>
      </c>
      <c r="C171" s="78" t="s">
        <v>147</v>
      </c>
      <c r="D171" s="78" t="s">
        <v>148</v>
      </c>
      <c r="E171" s="67" t="s">
        <v>475</v>
      </c>
      <c r="F171" s="67" t="s">
        <v>408</v>
      </c>
      <c r="G171" s="67" t="str">
        <f>INDEX('[4]RT Description to Bill Matix'!$D:$D,MATCH(A171,'[4]RT Description to Bill Matix'!$M:$M,0))</f>
        <v>PCS (CFC and Non-CFC)</v>
      </c>
      <c r="H171" s="67" t="s">
        <v>454</v>
      </c>
      <c r="I171" s="67"/>
      <c r="J171" s="65" t="str" cm="1">
        <f t="array" ref="J171">INDEX('Rate Table Service Desc XWalk'!F:F,MATCH(1,(G171='Rate Table Service Desc XWalk'!B:B)*(E171='Rate Table Service Desc XWalk'!A:A),0))</f>
        <v>9-1-80</v>
      </c>
      <c r="K171" s="66" t="s">
        <v>410</v>
      </c>
      <c r="L171" s="66" t="str">
        <f>INDEX('[6]Rate History'!$P:$P,MATCH(A171,'[6]Rate History'!$F:$F,0))</f>
        <v>15 minutes</v>
      </c>
      <c r="M171" s="77">
        <f>INDEX('[7]PDF DB Service Pivot'!$C:$C,MATCH(B171,'[7]PDF DB Service Pivot'!$B:$B,0))</f>
        <v>2338007</v>
      </c>
      <c r="N171" s="77">
        <f t="shared" si="29"/>
        <v>2338007</v>
      </c>
      <c r="O171" s="76">
        <f>INDEX('[7]PDF DB Service Pivot'!$D:$D,MATCH(B171,'[7]PDF DB Service Pivot'!$B:$B,0))</f>
        <v>7942810.5300000012</v>
      </c>
      <c r="P171" s="91">
        <v>45170</v>
      </c>
      <c r="Q171" s="72">
        <v>3.76</v>
      </c>
      <c r="R171" s="81">
        <v>2.9600000000000004</v>
      </c>
      <c r="S171" s="354">
        <f t="shared" si="41"/>
        <v>0.78723404255319163</v>
      </c>
      <c r="T171" s="339">
        <v>0.25</v>
      </c>
      <c r="U171" s="81">
        <f t="shared" si="27"/>
        <v>0</v>
      </c>
      <c r="V171" s="81" cm="1">
        <f t="array" ref="V171">_xlfn.IFS('Fiscal by Program'!$B$7&lt;10.61,0,'Fiscal by Program'!$B$7&gt;10.6,(ROUND('Fiscal by Program'!$B$7*(1+IF(D171="Yes",'Fiscal by Program'!$B$9,'Fiscal by Program'!$B$8))*T171,2)))</f>
        <v>0</v>
      </c>
      <c r="W171" s="81">
        <f t="shared" si="30"/>
        <v>0</v>
      </c>
      <c r="X171" s="81">
        <f>ROUND((R171/(1+IF(D171="Yes",'Fiscal by Program'!$B$9,'Fiscal by Program'!$B$8))),2)+0.01</f>
        <v>2.6799999999999997</v>
      </c>
      <c r="Y171" s="81">
        <f t="shared" si="31"/>
        <v>3.76</v>
      </c>
      <c r="Z171" s="88">
        <v>1</v>
      </c>
      <c r="AA171" s="90">
        <f t="shared" si="28"/>
        <v>0.25</v>
      </c>
      <c r="AB171" s="75">
        <f>INDEX('[9]Service List'!$K:$K,MATCH(A171,'[9]Service List'!$F:$F,0))</f>
        <v>1366</v>
      </c>
      <c r="AC171" s="73">
        <v>0</v>
      </c>
      <c r="AD171" s="67" t="s">
        <v>411</v>
      </c>
      <c r="AE171" s="66">
        <f t="shared" si="42"/>
        <v>1.095890410958904</v>
      </c>
      <c r="AF171" s="66">
        <f t="shared" si="43"/>
        <v>0</v>
      </c>
      <c r="AG171" s="70">
        <f>ROUND(INDEX('All Trends'!D:D,MATCH($AD171,'All Trends'!$C:$C,0)),4)</f>
        <v>1</v>
      </c>
      <c r="AH171" s="70">
        <f>ROUND(INDEX('All Trends'!E:E,MATCH($AD171,'All Trends'!$C:$C,0)),4)</f>
        <v>1</v>
      </c>
      <c r="AI171" s="70">
        <f>ROUND(INDEX('All Trends'!F:F,MATCH($AD171,'All Trends'!$C:$C,0)),4)</f>
        <v>1</v>
      </c>
      <c r="AJ171" s="70">
        <f>ROUND(INDEX('All Trends'!G:G,MATCH($AD171,'All Trends'!$C:$C,0)),4)</f>
        <v>1</v>
      </c>
      <c r="AK171" s="70">
        <f>ROUND(INDEX('All Trends'!H:H,MATCH($AD171,'All Trends'!$C:$C,0)),4)</f>
        <v>1</v>
      </c>
      <c r="AL171" s="74" t="s">
        <v>148</v>
      </c>
      <c r="AM171" s="92">
        <f t="shared" si="34"/>
        <v>584501.75</v>
      </c>
      <c r="AN171" s="92">
        <f t="shared" si="35"/>
        <v>584501.75</v>
      </c>
      <c r="AO171" s="69">
        <f t="shared" si="36"/>
        <v>0</v>
      </c>
      <c r="AP171" s="69">
        <f t="shared" si="37"/>
        <v>0</v>
      </c>
      <c r="AQ171" s="69">
        <f t="shared" si="38"/>
        <v>0</v>
      </c>
      <c r="AR171" s="69">
        <f t="shared" si="39"/>
        <v>0</v>
      </c>
      <c r="AS171" s="409"/>
      <c r="AT171" s="409"/>
      <c r="AU171" s="409"/>
      <c r="AV171" s="65"/>
      <c r="AW171" s="65"/>
      <c r="AX171" s="65"/>
      <c r="AY171" s="65"/>
      <c r="AZ171" s="65"/>
      <c r="BA171" s="67"/>
      <c r="BB171" s="67"/>
      <c r="BD171" s="65"/>
    </row>
    <row r="172" spans="1:56" s="66" customFormat="1">
      <c r="A172" s="67" t="s">
        <v>502</v>
      </c>
      <c r="B172" s="67" t="s">
        <v>507</v>
      </c>
      <c r="C172" s="78" t="s">
        <v>147</v>
      </c>
      <c r="D172" s="78" t="s">
        <v>148</v>
      </c>
      <c r="E172" s="67" t="s">
        <v>475</v>
      </c>
      <c r="F172" s="67" t="s">
        <v>408</v>
      </c>
      <c r="G172" s="67" t="str">
        <f>INDEX('[4]RT Description to Bill Matix'!$D:$D,MATCH(A172,'[4]RT Description to Bill Matix'!$M:$M,0))</f>
        <v>PCS (CFC and Non-CFC)</v>
      </c>
      <c r="H172" s="67" t="s">
        <v>454</v>
      </c>
      <c r="I172" s="67"/>
      <c r="J172" s="65" t="str" cm="1">
        <f t="array" ref="J172">INDEX('Rate Table Service Desc XWalk'!F:F,MATCH(1,(G172='Rate Table Service Desc XWalk'!B:B)*(E172='Rate Table Service Desc XWalk'!A:A),0))</f>
        <v>9-1-80</v>
      </c>
      <c r="K172" s="66" t="s">
        <v>410</v>
      </c>
      <c r="L172" s="66" t="str">
        <f>INDEX('[6]Rate History'!$P:$P,MATCH(A172,'[6]Rate History'!$F:$F,0))</f>
        <v>15 minutes</v>
      </c>
      <c r="M172" s="77">
        <f>INDEX('[7]PDF DB Service Pivot'!$C:$C,MATCH(B172,'[7]PDF DB Service Pivot'!$B:$B,0))</f>
        <v>2984</v>
      </c>
      <c r="N172" s="77">
        <f t="shared" si="29"/>
        <v>2984</v>
      </c>
      <c r="O172" s="76">
        <f>INDEX('[7]PDF DB Service Pivot'!$D:$D,MATCH(B172,'[7]PDF DB Service Pivot'!$B:$B,0))</f>
        <v>10041.93</v>
      </c>
      <c r="P172" s="91">
        <v>45170</v>
      </c>
      <c r="Q172" s="72">
        <v>3.76</v>
      </c>
      <c r="R172" s="81">
        <v>2.9600000000000004</v>
      </c>
      <c r="S172" s="354">
        <f t="shared" si="41"/>
        <v>0.78723404255319163</v>
      </c>
      <c r="T172" s="339">
        <v>0.25</v>
      </c>
      <c r="U172" s="81">
        <f t="shared" si="27"/>
        <v>0</v>
      </c>
      <c r="V172" s="81" cm="1">
        <f t="array" ref="V172">_xlfn.IFS('Fiscal by Program'!$B$7&lt;10.61,0,'Fiscal by Program'!$B$7&gt;10.6,(ROUND('Fiscal by Program'!$B$7*(1+IF(D172="Yes",'Fiscal by Program'!$B$9,'Fiscal by Program'!$B$8))*T172,2)))</f>
        <v>0</v>
      </c>
      <c r="W172" s="81">
        <f t="shared" si="30"/>
        <v>0</v>
      </c>
      <c r="X172" s="81">
        <f>ROUND((R172/(1+IF(D172="Yes",'Fiscal by Program'!$B$9,'Fiscal by Program'!$B$8))),2)+0.01</f>
        <v>2.6799999999999997</v>
      </c>
      <c r="Y172" s="81">
        <f t="shared" si="31"/>
        <v>3.76</v>
      </c>
      <c r="Z172" s="88">
        <v>1</v>
      </c>
      <c r="AA172" s="90">
        <f t="shared" si="28"/>
        <v>0.25</v>
      </c>
      <c r="AB172" s="75">
        <f>INDEX('[9]Service List'!$K:$K,MATCH(A172,'[9]Service List'!$F:$F,0))</f>
        <v>1366</v>
      </c>
      <c r="AC172" s="73">
        <v>0</v>
      </c>
      <c r="AD172" s="67" t="s">
        <v>411</v>
      </c>
      <c r="AE172" s="66">
        <f t="shared" si="42"/>
        <v>1.095890410958904</v>
      </c>
      <c r="AF172" s="66">
        <f t="shared" si="43"/>
        <v>0</v>
      </c>
      <c r="AG172" s="70">
        <f>ROUND(INDEX('All Trends'!D:D,MATCH($AD172,'All Trends'!$C:$C,0)),4)</f>
        <v>1</v>
      </c>
      <c r="AH172" s="70">
        <f>ROUND(INDEX('All Trends'!E:E,MATCH($AD172,'All Trends'!$C:$C,0)),4)</f>
        <v>1</v>
      </c>
      <c r="AI172" s="70">
        <f>ROUND(INDEX('All Trends'!F:F,MATCH($AD172,'All Trends'!$C:$C,0)),4)</f>
        <v>1</v>
      </c>
      <c r="AJ172" s="70">
        <f>ROUND(INDEX('All Trends'!G:G,MATCH($AD172,'All Trends'!$C:$C,0)),4)</f>
        <v>1</v>
      </c>
      <c r="AK172" s="70">
        <f>ROUND(INDEX('All Trends'!H:H,MATCH($AD172,'All Trends'!$C:$C,0)),4)</f>
        <v>1</v>
      </c>
      <c r="AL172" s="74" t="s">
        <v>148</v>
      </c>
      <c r="AM172" s="92">
        <f t="shared" si="34"/>
        <v>746</v>
      </c>
      <c r="AN172" s="92">
        <f t="shared" si="35"/>
        <v>746</v>
      </c>
      <c r="AO172" s="69">
        <f t="shared" si="36"/>
        <v>0</v>
      </c>
      <c r="AP172" s="69">
        <f t="shared" si="37"/>
        <v>0</v>
      </c>
      <c r="AQ172" s="69">
        <f t="shared" si="38"/>
        <v>0</v>
      </c>
      <c r="AR172" s="69">
        <f t="shared" si="39"/>
        <v>0</v>
      </c>
      <c r="AS172" s="409"/>
      <c r="AT172" s="409"/>
      <c r="AU172" s="409"/>
      <c r="AV172" s="65"/>
      <c r="AW172" s="65"/>
      <c r="AX172" s="65"/>
      <c r="AY172" s="65"/>
      <c r="AZ172" s="65"/>
      <c r="BA172" s="67"/>
      <c r="BB172" s="67"/>
      <c r="BD172" s="65"/>
    </row>
    <row r="173" spans="1:56" s="66" customFormat="1">
      <c r="A173" s="67" t="s">
        <v>502</v>
      </c>
      <c r="B173" s="67" t="s">
        <v>508</v>
      </c>
      <c r="C173" s="78" t="s">
        <v>147</v>
      </c>
      <c r="D173" s="78" t="s">
        <v>148</v>
      </c>
      <c r="E173" s="67" t="s">
        <v>475</v>
      </c>
      <c r="F173" s="67" t="s">
        <v>408</v>
      </c>
      <c r="G173" s="67" t="str">
        <f>INDEX('[4]RT Description to Bill Matix'!$D:$D,MATCH(A173,'[4]RT Description to Bill Matix'!$M:$M,0))</f>
        <v>PCS (CFC and Non-CFC)</v>
      </c>
      <c r="H173" s="67" t="s">
        <v>454</v>
      </c>
      <c r="I173" s="67"/>
      <c r="J173" s="65" t="str" cm="1">
        <f t="array" ref="J173">INDEX('Rate Table Service Desc XWalk'!F:F,MATCH(1,(G173='Rate Table Service Desc XWalk'!B:B)*(E173='Rate Table Service Desc XWalk'!A:A),0))</f>
        <v>9-1-80</v>
      </c>
      <c r="K173" s="66" t="s">
        <v>410</v>
      </c>
      <c r="L173" s="66" t="str">
        <f>INDEX('[6]Rate History'!$P:$P,MATCH(A173,'[6]Rate History'!$F:$F,0))</f>
        <v>15 minutes</v>
      </c>
      <c r="M173" s="77">
        <f>INDEX('[7]PDF DB Service Pivot'!$C:$C,MATCH(B173,'[7]PDF DB Service Pivot'!$B:$B,0))</f>
        <v>27026</v>
      </c>
      <c r="N173" s="77">
        <f t="shared" si="29"/>
        <v>27026</v>
      </c>
      <c r="O173" s="76">
        <f>INDEX('[7]PDF DB Service Pivot'!$D:$D,MATCH(B173,'[7]PDF DB Service Pivot'!$B:$B,0))</f>
        <v>92668.19</v>
      </c>
      <c r="P173" s="91">
        <v>45170</v>
      </c>
      <c r="Q173" s="72">
        <v>3.76</v>
      </c>
      <c r="R173" s="81">
        <v>2.9600000000000004</v>
      </c>
      <c r="S173" s="354">
        <f t="shared" si="41"/>
        <v>0.78723404255319163</v>
      </c>
      <c r="T173" s="339">
        <v>0.25</v>
      </c>
      <c r="U173" s="81">
        <f t="shared" si="27"/>
        <v>0</v>
      </c>
      <c r="V173" s="81" cm="1">
        <f t="array" ref="V173">_xlfn.IFS('Fiscal by Program'!$B$7&lt;10.61,0,'Fiscal by Program'!$B$7&gt;10.6,(ROUND('Fiscal by Program'!$B$7*(1+IF(D173="Yes",'Fiscal by Program'!$B$9,'Fiscal by Program'!$B$8))*T173,2)))</f>
        <v>0</v>
      </c>
      <c r="W173" s="81">
        <f t="shared" si="30"/>
        <v>0</v>
      </c>
      <c r="X173" s="81">
        <f>ROUND((R173/(1+IF(D173="Yes",'Fiscal by Program'!$B$9,'Fiscal by Program'!$B$8))),2)+0.01</f>
        <v>2.6799999999999997</v>
      </c>
      <c r="Y173" s="81">
        <f t="shared" si="31"/>
        <v>3.76</v>
      </c>
      <c r="Z173" s="88">
        <v>1</v>
      </c>
      <c r="AA173" s="90">
        <f t="shared" si="28"/>
        <v>0.25</v>
      </c>
      <c r="AB173" s="75">
        <f>INDEX('[9]Service List'!$K:$K,MATCH(A173,'[9]Service List'!$F:$F,0))</f>
        <v>1366</v>
      </c>
      <c r="AC173" s="73">
        <v>0</v>
      </c>
      <c r="AD173" s="67" t="s">
        <v>411</v>
      </c>
      <c r="AE173" s="66">
        <f t="shared" si="42"/>
        <v>1.095890410958904</v>
      </c>
      <c r="AF173" s="66">
        <f t="shared" si="43"/>
        <v>0</v>
      </c>
      <c r="AG173" s="70">
        <f>ROUND(INDEX('All Trends'!D:D,MATCH($AD173,'All Trends'!$C:$C,0)),4)</f>
        <v>1</v>
      </c>
      <c r="AH173" s="70">
        <f>ROUND(INDEX('All Trends'!E:E,MATCH($AD173,'All Trends'!$C:$C,0)),4)</f>
        <v>1</v>
      </c>
      <c r="AI173" s="70">
        <f>ROUND(INDEX('All Trends'!F:F,MATCH($AD173,'All Trends'!$C:$C,0)),4)</f>
        <v>1</v>
      </c>
      <c r="AJ173" s="70">
        <f>ROUND(INDEX('All Trends'!G:G,MATCH($AD173,'All Trends'!$C:$C,0)),4)</f>
        <v>1</v>
      </c>
      <c r="AK173" s="70">
        <f>ROUND(INDEX('All Trends'!H:H,MATCH($AD173,'All Trends'!$C:$C,0)),4)</f>
        <v>1</v>
      </c>
      <c r="AL173" s="74" t="s">
        <v>148</v>
      </c>
      <c r="AM173" s="92">
        <f t="shared" si="34"/>
        <v>6756.5</v>
      </c>
      <c r="AN173" s="92">
        <f t="shared" si="35"/>
        <v>6756.5</v>
      </c>
      <c r="AO173" s="69">
        <f t="shared" si="36"/>
        <v>0</v>
      </c>
      <c r="AP173" s="69">
        <f t="shared" si="37"/>
        <v>0</v>
      </c>
      <c r="AQ173" s="69">
        <f t="shared" si="38"/>
        <v>0</v>
      </c>
      <c r="AR173" s="69">
        <f t="shared" si="39"/>
        <v>0</v>
      </c>
      <c r="AS173" s="409"/>
      <c r="AT173" s="409"/>
      <c r="AU173" s="409"/>
      <c r="AV173" s="65"/>
      <c r="AW173" s="65"/>
      <c r="AX173" s="65"/>
      <c r="AY173" s="65"/>
      <c r="AZ173" s="65"/>
      <c r="BA173" s="67"/>
      <c r="BB173" s="67"/>
      <c r="BD173" s="65"/>
    </row>
    <row r="174" spans="1:56">
      <c r="A174" s="67" t="s">
        <v>502</v>
      </c>
      <c r="B174" s="67" t="s">
        <v>509</v>
      </c>
      <c r="C174" s="78" t="s">
        <v>147</v>
      </c>
      <c r="D174" s="78" t="s">
        <v>148</v>
      </c>
      <c r="E174" s="67" t="s">
        <v>475</v>
      </c>
      <c r="F174" s="67" t="s">
        <v>408</v>
      </c>
      <c r="G174" s="67" t="str">
        <f>INDEX('[4]RT Description to Bill Matix'!$D:$D,MATCH(A174,'[4]RT Description to Bill Matix'!$M:$M,0))</f>
        <v>PCS (CFC and Non-CFC)</v>
      </c>
      <c r="H174" s="67" t="s">
        <v>454</v>
      </c>
      <c r="J174" s="65" t="str" cm="1">
        <f t="array" ref="J174">INDEX('Rate Table Service Desc XWalk'!F:F,MATCH(1,(G174='Rate Table Service Desc XWalk'!B:B)*(E174='Rate Table Service Desc XWalk'!A:A),0))</f>
        <v>9-1-80</v>
      </c>
      <c r="K174" s="66" t="s">
        <v>410</v>
      </c>
      <c r="L174" s="66" t="str">
        <f>INDEX('[6]Rate History'!$P:$P,MATCH(A174,'[6]Rate History'!$F:$F,0))</f>
        <v>15 minutes</v>
      </c>
      <c r="M174" s="77">
        <f>INDEX('[7]PDF DB Service Pivot'!$C:$C,MATCH(B174,'[7]PDF DB Service Pivot'!$B:$B,0))</f>
        <v>39928</v>
      </c>
      <c r="N174" s="77">
        <f t="shared" si="29"/>
        <v>39928</v>
      </c>
      <c r="O174" s="76">
        <f>INDEX('[7]PDF DB Service Pivot'!$D:$D,MATCH(B174,'[7]PDF DB Service Pivot'!$B:$B,0))</f>
        <v>137729.09000000003</v>
      </c>
      <c r="P174" s="91">
        <v>45170</v>
      </c>
      <c r="Q174" s="72">
        <v>3.76</v>
      </c>
      <c r="R174" s="81">
        <v>2.9600000000000004</v>
      </c>
      <c r="S174" s="354">
        <f t="shared" si="41"/>
        <v>0.78723404255319163</v>
      </c>
      <c r="T174" s="339">
        <v>0.25</v>
      </c>
      <c r="U174" s="81">
        <f t="shared" si="27"/>
        <v>0</v>
      </c>
      <c r="V174" s="81" cm="1">
        <f t="array" ref="V174">_xlfn.IFS('Fiscal by Program'!$B$7&lt;10.61,0,'Fiscal by Program'!$B$7&gt;10.6,(ROUND('Fiscal by Program'!$B$7*(1+IF(D174="Yes",'Fiscal by Program'!$B$9,'Fiscal by Program'!$B$8))*T174,2)))</f>
        <v>0</v>
      </c>
      <c r="W174" s="81">
        <f t="shared" si="30"/>
        <v>0</v>
      </c>
      <c r="X174" s="81">
        <f>ROUND((R174/(1+IF(D174="Yes",'Fiscal by Program'!$B$9,'Fiscal by Program'!$B$8))),2)+0.01</f>
        <v>2.6799999999999997</v>
      </c>
      <c r="Y174" s="81">
        <f t="shared" si="31"/>
        <v>3.76</v>
      </c>
      <c r="Z174" s="88">
        <v>1</v>
      </c>
      <c r="AA174" s="90">
        <f t="shared" si="28"/>
        <v>0.25</v>
      </c>
      <c r="AB174" s="75">
        <f>INDEX('[9]Service List'!$K:$K,MATCH(A174,'[9]Service List'!$F:$F,0))</f>
        <v>1366</v>
      </c>
      <c r="AC174" s="73">
        <v>0</v>
      </c>
      <c r="AD174" s="67" t="s">
        <v>411</v>
      </c>
      <c r="AE174" s="66">
        <f t="shared" si="42"/>
        <v>1.095890410958904</v>
      </c>
      <c r="AF174" s="66">
        <f t="shared" si="43"/>
        <v>0</v>
      </c>
      <c r="AG174" s="70">
        <f>ROUND(INDEX('All Trends'!D:D,MATCH($AD174,'All Trends'!$C:$C,0)),4)</f>
        <v>1</v>
      </c>
      <c r="AH174" s="70">
        <f>ROUND(INDEX('All Trends'!E:E,MATCH($AD174,'All Trends'!$C:$C,0)),4)</f>
        <v>1</v>
      </c>
      <c r="AI174" s="70">
        <f>ROUND(INDEX('All Trends'!F:F,MATCH($AD174,'All Trends'!$C:$C,0)),4)</f>
        <v>1</v>
      </c>
      <c r="AJ174" s="70">
        <f>ROUND(INDEX('All Trends'!G:G,MATCH($AD174,'All Trends'!$C:$C,0)),4)</f>
        <v>1</v>
      </c>
      <c r="AK174" s="70">
        <f>ROUND(INDEX('All Trends'!H:H,MATCH($AD174,'All Trends'!$C:$C,0)),4)</f>
        <v>1</v>
      </c>
      <c r="AL174" s="74" t="s">
        <v>148</v>
      </c>
      <c r="AM174" s="92">
        <f t="shared" si="34"/>
        <v>9982</v>
      </c>
      <c r="AN174" s="92">
        <f t="shared" si="35"/>
        <v>9982</v>
      </c>
      <c r="AO174" s="69">
        <f t="shared" si="36"/>
        <v>0</v>
      </c>
      <c r="AP174" s="69">
        <f t="shared" si="37"/>
        <v>0</v>
      </c>
      <c r="AQ174" s="69">
        <f t="shared" si="38"/>
        <v>0</v>
      </c>
      <c r="AR174" s="69">
        <f t="shared" si="39"/>
        <v>0</v>
      </c>
      <c r="AS174" s="409"/>
      <c r="AT174" s="409"/>
      <c r="AU174" s="409"/>
    </row>
    <row r="175" spans="1:56">
      <c r="A175" s="67" t="s">
        <v>510</v>
      </c>
      <c r="B175" s="67" t="s">
        <v>511</v>
      </c>
      <c r="C175" s="78" t="s">
        <v>147</v>
      </c>
      <c r="D175" s="78" t="s">
        <v>148</v>
      </c>
      <c r="E175" s="67" t="s">
        <v>475</v>
      </c>
      <c r="F175" s="67" t="s">
        <v>408</v>
      </c>
      <c r="G175" s="67" t="str">
        <f>INDEX('[4]RT Description to Bill Matix'!$D:$D,MATCH(A175,'[4]RT Description to Bill Matix'!$M:$M,0))</f>
        <v>PCS (CFC and Non-CFC)</v>
      </c>
      <c r="H175" s="67" t="s">
        <v>512</v>
      </c>
      <c r="J175" s="65" t="str" cm="1">
        <f t="array" ref="J175">INDEX('Rate Table Service Desc XWalk'!F:F,MATCH(1,(G175='Rate Table Service Desc XWalk'!B:B)*(E175='Rate Table Service Desc XWalk'!A:A),0))</f>
        <v>9-1-80</v>
      </c>
      <c r="K175" s="66" t="s">
        <v>410</v>
      </c>
      <c r="L175" s="66" t="str">
        <f>INDEX('[6]Rate History'!$P:$P,MATCH(A175,'[6]Rate History'!$F:$F,0))</f>
        <v>15 minutes</v>
      </c>
      <c r="M175" s="77">
        <f>INDEX('[7]PDF DB Service Pivot'!$C:$C,MATCH(B175,'[7]PDF DB Service Pivot'!$B:$B,0))</f>
        <v>98</v>
      </c>
      <c r="N175" s="77">
        <f t="shared" si="29"/>
        <v>98</v>
      </c>
      <c r="O175" s="76">
        <f>INDEX('[7]PDF DB Service Pivot'!$D:$D,MATCH(B175,'[7]PDF DB Service Pivot'!$B:$B,0))</f>
        <v>321.58</v>
      </c>
      <c r="P175" s="91">
        <v>45170</v>
      </c>
      <c r="Q175" s="72">
        <v>3.76</v>
      </c>
      <c r="R175" s="81">
        <v>2.9600000000000004</v>
      </c>
      <c r="S175" s="354">
        <f t="shared" si="41"/>
        <v>0.78723404255319163</v>
      </c>
      <c r="T175" s="339">
        <v>0.25</v>
      </c>
      <c r="U175" s="81">
        <f t="shared" si="27"/>
        <v>0</v>
      </c>
      <c r="V175" s="81" cm="1">
        <f t="array" ref="V175">_xlfn.IFS('Fiscal by Program'!$B$7&lt;10.61,0,'Fiscal by Program'!$B$7&gt;10.6,(ROUND('Fiscal by Program'!$B$7*(1+IF(D175="Yes",'Fiscal by Program'!$B$9,'Fiscal by Program'!$B$8))*T175,2)))</f>
        <v>0</v>
      </c>
      <c r="W175" s="81">
        <f t="shared" si="30"/>
        <v>0</v>
      </c>
      <c r="X175" s="81">
        <f>ROUND((R175/(1+IF(D175="Yes",'Fiscal by Program'!$B$9,'Fiscal by Program'!$B$8))),2)+0.01</f>
        <v>2.6799999999999997</v>
      </c>
      <c r="Y175" s="81">
        <f t="shared" si="31"/>
        <v>3.76</v>
      </c>
      <c r="Z175" s="88">
        <v>1</v>
      </c>
      <c r="AA175" s="90">
        <f t="shared" si="28"/>
        <v>0.25</v>
      </c>
      <c r="AB175" s="75">
        <f>INDEX('[9]Service List'!$K:$K,MATCH(A175,'[9]Service List'!$F:$F,0))</f>
        <v>1368</v>
      </c>
      <c r="AC175" s="73">
        <v>0</v>
      </c>
      <c r="AD175" s="67" t="s">
        <v>411</v>
      </c>
      <c r="AE175" s="66">
        <f t="shared" si="42"/>
        <v>1.095890410958904</v>
      </c>
      <c r="AF175" s="66">
        <f t="shared" si="43"/>
        <v>0</v>
      </c>
      <c r="AG175" s="70">
        <f>ROUND(INDEX('All Trends'!D:D,MATCH($AD175,'All Trends'!$C:$C,0)),4)</f>
        <v>1</v>
      </c>
      <c r="AH175" s="70">
        <f>ROUND(INDEX('All Trends'!E:E,MATCH($AD175,'All Trends'!$C:$C,0)),4)</f>
        <v>1</v>
      </c>
      <c r="AI175" s="70">
        <f>ROUND(INDEX('All Trends'!F:F,MATCH($AD175,'All Trends'!$C:$C,0)),4)</f>
        <v>1</v>
      </c>
      <c r="AJ175" s="70">
        <f>ROUND(INDEX('All Trends'!G:G,MATCH($AD175,'All Trends'!$C:$C,0)),4)</f>
        <v>1</v>
      </c>
      <c r="AK175" s="70">
        <f>ROUND(INDEX('All Trends'!H:H,MATCH($AD175,'All Trends'!$C:$C,0)),4)</f>
        <v>1</v>
      </c>
      <c r="AL175" s="74" t="s">
        <v>148</v>
      </c>
      <c r="AM175" s="92">
        <f t="shared" si="34"/>
        <v>24.5</v>
      </c>
      <c r="AN175" s="92">
        <f t="shared" si="35"/>
        <v>24.5</v>
      </c>
      <c r="AO175" s="69">
        <f t="shared" si="36"/>
        <v>0</v>
      </c>
      <c r="AP175" s="69">
        <f t="shared" si="37"/>
        <v>0</v>
      </c>
      <c r="AQ175" s="69">
        <f t="shared" si="38"/>
        <v>0</v>
      </c>
      <c r="AR175" s="69">
        <f t="shared" si="39"/>
        <v>0</v>
      </c>
      <c r="AS175" s="409"/>
      <c r="AT175" s="409"/>
      <c r="AU175" s="409"/>
    </row>
    <row r="176" spans="1:56">
      <c r="A176" s="67" t="s">
        <v>510</v>
      </c>
      <c r="B176" s="67" t="s">
        <v>513</v>
      </c>
      <c r="C176" s="78" t="s">
        <v>147</v>
      </c>
      <c r="D176" s="78" t="s">
        <v>148</v>
      </c>
      <c r="E176" s="67" t="s">
        <v>475</v>
      </c>
      <c r="F176" s="67" t="s">
        <v>408</v>
      </c>
      <c r="G176" s="67" t="str">
        <f>INDEX('[4]RT Description to Bill Matix'!$D:$D,MATCH(A176,'[4]RT Description to Bill Matix'!$M:$M,0))</f>
        <v>PCS (CFC and Non-CFC)</v>
      </c>
      <c r="H176" s="67" t="s">
        <v>512</v>
      </c>
      <c r="J176" s="65" t="str" cm="1">
        <f t="array" ref="J176">INDEX('Rate Table Service Desc XWalk'!F:F,MATCH(1,(G176='Rate Table Service Desc XWalk'!B:B)*(E176='Rate Table Service Desc XWalk'!A:A),0))</f>
        <v>9-1-80</v>
      </c>
      <c r="K176" s="66" t="s">
        <v>410</v>
      </c>
      <c r="L176" s="66" t="str">
        <f>INDEX('[6]Rate History'!$P:$P,MATCH(A176,'[6]Rate History'!$F:$F,0))</f>
        <v>15 minutes</v>
      </c>
      <c r="M176" s="77">
        <f>INDEX('[7]PDF DB Service Pivot'!$C:$C,MATCH(B176,'[7]PDF DB Service Pivot'!$B:$B,0))</f>
        <v>2066</v>
      </c>
      <c r="N176" s="77">
        <f t="shared" si="29"/>
        <v>2066</v>
      </c>
      <c r="O176" s="76">
        <f>INDEX('[7]PDF DB Service Pivot'!$D:$D,MATCH(B176,'[7]PDF DB Service Pivot'!$B:$B,0))</f>
        <v>6740.76</v>
      </c>
      <c r="P176" s="91">
        <v>45170</v>
      </c>
      <c r="Q176" s="72">
        <v>3.76</v>
      </c>
      <c r="R176" s="81">
        <v>2.9600000000000004</v>
      </c>
      <c r="S176" s="354">
        <f t="shared" si="41"/>
        <v>0.78723404255319163</v>
      </c>
      <c r="T176" s="339">
        <v>0.25</v>
      </c>
      <c r="U176" s="81">
        <f t="shared" si="27"/>
        <v>0</v>
      </c>
      <c r="V176" s="81" cm="1">
        <f t="array" ref="V176">_xlfn.IFS('Fiscal by Program'!$B$7&lt;10.61,0,'Fiscal by Program'!$B$7&gt;10.6,(ROUND('Fiscal by Program'!$B$7*(1+IF(D176="Yes",'Fiscal by Program'!$B$9,'Fiscal by Program'!$B$8))*T176,2)))</f>
        <v>0</v>
      </c>
      <c r="W176" s="81">
        <f t="shared" si="30"/>
        <v>0</v>
      </c>
      <c r="X176" s="81">
        <f>ROUND((R176/(1+IF(D176="Yes",'Fiscal by Program'!$B$9,'Fiscal by Program'!$B$8))),2)+0.01</f>
        <v>2.6799999999999997</v>
      </c>
      <c r="Y176" s="81">
        <f t="shared" si="31"/>
        <v>3.76</v>
      </c>
      <c r="Z176" s="88">
        <v>1</v>
      </c>
      <c r="AA176" s="90">
        <f t="shared" si="28"/>
        <v>0.25</v>
      </c>
      <c r="AB176" s="75">
        <f>INDEX('[9]Service List'!$K:$K,MATCH(A176,'[9]Service List'!$F:$F,0))</f>
        <v>1368</v>
      </c>
      <c r="AC176" s="73">
        <v>0</v>
      </c>
      <c r="AD176" s="67" t="s">
        <v>411</v>
      </c>
      <c r="AE176" s="66">
        <f t="shared" si="42"/>
        <v>1.095890410958904</v>
      </c>
      <c r="AF176" s="66">
        <f t="shared" si="43"/>
        <v>0</v>
      </c>
      <c r="AG176" s="70">
        <f>ROUND(INDEX('All Trends'!D:D,MATCH($AD176,'All Trends'!$C:$C,0)),4)</f>
        <v>1</v>
      </c>
      <c r="AH176" s="70">
        <f>ROUND(INDEX('All Trends'!E:E,MATCH($AD176,'All Trends'!$C:$C,0)),4)</f>
        <v>1</v>
      </c>
      <c r="AI176" s="70">
        <f>ROUND(INDEX('All Trends'!F:F,MATCH($AD176,'All Trends'!$C:$C,0)),4)</f>
        <v>1</v>
      </c>
      <c r="AJ176" s="70">
        <f>ROUND(INDEX('All Trends'!G:G,MATCH($AD176,'All Trends'!$C:$C,0)),4)</f>
        <v>1</v>
      </c>
      <c r="AK176" s="70">
        <f>ROUND(INDEX('All Trends'!H:H,MATCH($AD176,'All Trends'!$C:$C,0)),4)</f>
        <v>1</v>
      </c>
      <c r="AL176" s="74" t="s">
        <v>148</v>
      </c>
      <c r="AM176" s="92">
        <f t="shared" si="34"/>
        <v>516.5</v>
      </c>
      <c r="AN176" s="92">
        <f t="shared" si="35"/>
        <v>516.5</v>
      </c>
      <c r="AO176" s="69">
        <f t="shared" si="36"/>
        <v>0</v>
      </c>
      <c r="AP176" s="69">
        <f t="shared" si="37"/>
        <v>0</v>
      </c>
      <c r="AQ176" s="69">
        <f t="shared" si="38"/>
        <v>0</v>
      </c>
      <c r="AR176" s="69">
        <f t="shared" si="39"/>
        <v>0</v>
      </c>
      <c r="AS176" s="409"/>
      <c r="AT176" s="409"/>
      <c r="AU176" s="409"/>
    </row>
    <row r="177" spans="1:47">
      <c r="A177" s="67" t="s">
        <v>510</v>
      </c>
      <c r="B177" s="67" t="s">
        <v>514</v>
      </c>
      <c r="C177" s="78" t="s">
        <v>147</v>
      </c>
      <c r="D177" s="78" t="s">
        <v>148</v>
      </c>
      <c r="E177" s="67" t="s">
        <v>475</v>
      </c>
      <c r="F177" s="67" t="s">
        <v>408</v>
      </c>
      <c r="G177" s="67" t="str">
        <f>INDEX('[4]RT Description to Bill Matix'!$D:$D,MATCH(A177,'[4]RT Description to Bill Matix'!$M:$M,0))</f>
        <v>PCS (CFC and Non-CFC)</v>
      </c>
      <c r="H177" s="67" t="s">
        <v>512</v>
      </c>
      <c r="J177" s="65" t="str" cm="1">
        <f t="array" ref="J177">INDEX('Rate Table Service Desc XWalk'!F:F,MATCH(1,(G177='Rate Table Service Desc XWalk'!B:B)*(E177='Rate Table Service Desc XWalk'!A:A),0))</f>
        <v>9-1-80</v>
      </c>
      <c r="K177" s="66" t="s">
        <v>410</v>
      </c>
      <c r="L177" s="66" t="str">
        <f>INDEX('[6]Rate History'!$P:$P,MATCH(A177,'[6]Rate History'!$F:$F,0))</f>
        <v>15 minutes</v>
      </c>
      <c r="M177" s="77">
        <f>INDEX('[7]PDF DB Service Pivot'!$C:$C,MATCH(B177,'[7]PDF DB Service Pivot'!$B:$B,0))</f>
        <v>5148</v>
      </c>
      <c r="N177" s="77">
        <f t="shared" si="29"/>
        <v>5148</v>
      </c>
      <c r="O177" s="76">
        <f>INDEX('[7]PDF DB Service Pivot'!$D:$D,MATCH(B177,'[7]PDF DB Service Pivot'!$B:$B,0))</f>
        <v>16977.68</v>
      </c>
      <c r="P177" s="91">
        <v>45170</v>
      </c>
      <c r="Q177" s="72">
        <v>3.76</v>
      </c>
      <c r="R177" s="81">
        <v>2.9600000000000004</v>
      </c>
      <c r="S177" s="354">
        <f t="shared" ref="S177:S202" si="46">_xlfn.IFNA(R177/Q177,"")</f>
        <v>0.78723404255319163</v>
      </c>
      <c r="T177" s="339">
        <v>0.25</v>
      </c>
      <c r="U177" s="81">
        <f t="shared" si="27"/>
        <v>0</v>
      </c>
      <c r="V177" s="81" cm="1">
        <f t="array" ref="V177">_xlfn.IFS('Fiscal by Program'!$B$7&lt;10.61,0,'Fiscal by Program'!$B$7&gt;10.6,(ROUND('Fiscal by Program'!$B$7*(1+IF(D177="Yes",'Fiscal by Program'!$B$9,'Fiscal by Program'!$B$8))*T177,2)))</f>
        <v>0</v>
      </c>
      <c r="W177" s="81">
        <f t="shared" si="30"/>
        <v>0</v>
      </c>
      <c r="X177" s="81">
        <f>ROUND((R177/(1+IF(D177="Yes",'Fiscal by Program'!$B$9,'Fiscal by Program'!$B$8))),2)+0.01</f>
        <v>2.6799999999999997</v>
      </c>
      <c r="Y177" s="81">
        <f t="shared" si="31"/>
        <v>3.76</v>
      </c>
      <c r="Z177" s="88">
        <v>1</v>
      </c>
      <c r="AA177" s="90">
        <f t="shared" si="28"/>
        <v>0.25</v>
      </c>
      <c r="AB177" s="75">
        <f>INDEX('[9]Service List'!$K:$K,MATCH(A177,'[9]Service List'!$F:$F,0))</f>
        <v>1368</v>
      </c>
      <c r="AC177" s="73">
        <v>0</v>
      </c>
      <c r="AD177" s="67" t="s">
        <v>411</v>
      </c>
      <c r="AE177" s="66">
        <f t="shared" ref="AE177:AE202" si="47">$AE$1</f>
        <v>1.095890410958904</v>
      </c>
      <c r="AF177" s="66">
        <f t="shared" ref="AF177:AF202" si="48">IF(AC177=0,0,-0.06)</f>
        <v>0</v>
      </c>
      <c r="AG177" s="70">
        <f>ROUND(INDEX('All Trends'!D:D,MATCH($AD177,'All Trends'!$C:$C,0)),4)</f>
        <v>1</v>
      </c>
      <c r="AH177" s="70">
        <f>ROUND(INDEX('All Trends'!E:E,MATCH($AD177,'All Trends'!$C:$C,0)),4)</f>
        <v>1</v>
      </c>
      <c r="AI177" s="70">
        <f>ROUND(INDEX('All Trends'!F:F,MATCH($AD177,'All Trends'!$C:$C,0)),4)</f>
        <v>1</v>
      </c>
      <c r="AJ177" s="70">
        <f>ROUND(INDEX('All Trends'!G:G,MATCH($AD177,'All Trends'!$C:$C,0)),4)</f>
        <v>1</v>
      </c>
      <c r="AK177" s="70">
        <f>ROUND(INDEX('All Trends'!H:H,MATCH($AD177,'All Trends'!$C:$C,0)),4)</f>
        <v>1</v>
      </c>
      <c r="AL177" s="74" t="s">
        <v>148</v>
      </c>
      <c r="AM177" s="92">
        <f t="shared" si="34"/>
        <v>1287</v>
      </c>
      <c r="AN177" s="92">
        <f t="shared" si="35"/>
        <v>1287</v>
      </c>
      <c r="AO177" s="69">
        <f t="shared" si="36"/>
        <v>0</v>
      </c>
      <c r="AP177" s="69">
        <f t="shared" si="37"/>
        <v>0</v>
      </c>
      <c r="AQ177" s="69">
        <f t="shared" si="38"/>
        <v>0</v>
      </c>
      <c r="AR177" s="69">
        <f t="shared" si="39"/>
        <v>0</v>
      </c>
      <c r="AS177" s="409"/>
      <c r="AT177" s="409"/>
      <c r="AU177" s="409"/>
    </row>
    <row r="178" spans="1:47">
      <c r="A178" s="67" t="s">
        <v>515</v>
      </c>
      <c r="B178" s="67" t="s">
        <v>516</v>
      </c>
      <c r="C178" s="78" t="s">
        <v>147</v>
      </c>
      <c r="D178" s="78" t="s">
        <v>148</v>
      </c>
      <c r="E178" s="67" t="s">
        <v>475</v>
      </c>
      <c r="F178" s="67" t="s">
        <v>408</v>
      </c>
      <c r="G178" s="67" t="str">
        <f>INDEX('[4]RT Description to Bill Matix'!$D:$D,MATCH(A178,'[4]RT Description to Bill Matix'!$M:$M,0))</f>
        <v>CDS PCS (CFC and Non-CFC)</v>
      </c>
      <c r="H178" s="67" t="s">
        <v>456</v>
      </c>
      <c r="I178" s="65" t="s">
        <v>147</v>
      </c>
      <c r="J178" s="65" t="str" cm="1">
        <f t="array" ref="J178">INDEX('Rate Table Service Desc XWalk'!F:F,MATCH(1,(G178='Rate Table Service Desc XWalk'!B:B)*(E178='Rate Table Service Desc XWalk'!A:A),0))</f>
        <v>9-5-144</v>
      </c>
      <c r="K178" s="66" t="s">
        <v>410</v>
      </c>
      <c r="L178" s="66" t="str">
        <f>INDEX('[6]Rate History'!$P:$P,MATCH(A178,'[6]Rate History'!$F:$F,0))</f>
        <v>15 minutes</v>
      </c>
      <c r="M178" s="77">
        <f>INDEX('[7]PDF DB Service Pivot'!$C:$C,MATCH(B178,'[7]PDF DB Service Pivot'!$B:$B,0))</f>
        <v>49119.3</v>
      </c>
      <c r="N178" s="77">
        <f t="shared" si="29"/>
        <v>49119.3</v>
      </c>
      <c r="O178" s="76">
        <f>INDEX('[7]PDF DB Service Pivot'!$D:$D,MATCH(B178,'[7]PDF DB Service Pivot'!$B:$B,0))</f>
        <v>160014.35</v>
      </c>
      <c r="P178" s="91">
        <v>45170</v>
      </c>
      <c r="Q178" s="72">
        <v>3.56</v>
      </c>
      <c r="R178" s="81">
        <v>2.9600000000000004</v>
      </c>
      <c r="S178" s="354">
        <f t="shared" si="46"/>
        <v>0.83146067415730351</v>
      </c>
      <c r="T178" s="339">
        <v>0.25</v>
      </c>
      <c r="U178" s="81">
        <f t="shared" si="27"/>
        <v>0</v>
      </c>
      <c r="V178" s="81" cm="1">
        <f t="array" ref="V178">_xlfn.IFS('Fiscal by Program'!$B$7&lt;10.61,0,'Fiscal by Program'!$B$7&gt;10.6,(ROUND('Fiscal by Program'!$B$7*(1+IF(D178="Yes",'Fiscal by Program'!$B$9,'Fiscal by Program'!$B$8))*T178,2)))</f>
        <v>0</v>
      </c>
      <c r="W178" s="81">
        <f t="shared" si="30"/>
        <v>0</v>
      </c>
      <c r="X178" s="81">
        <f>ROUND((R178/(1+IF(D178="Yes",'Fiscal by Program'!$B$9,'Fiscal by Program'!$B$8))),2)+0.01</f>
        <v>2.6799999999999997</v>
      </c>
      <c r="Y178" s="81">
        <f t="shared" si="31"/>
        <v>3.56</v>
      </c>
      <c r="Z178" s="88">
        <v>1</v>
      </c>
      <c r="AA178" s="90">
        <f t="shared" si="28"/>
        <v>0.25</v>
      </c>
      <c r="AB178" s="75">
        <f>INDEX('[9]Service List'!$K:$K,MATCH(A178,'[9]Service List'!$F:$F,0))</f>
        <v>1361</v>
      </c>
      <c r="AC178" s="73">
        <v>0</v>
      </c>
      <c r="AD178" s="67" t="s">
        <v>411</v>
      </c>
      <c r="AE178" s="66">
        <f t="shared" si="47"/>
        <v>1.095890410958904</v>
      </c>
      <c r="AF178" s="66">
        <f t="shared" si="48"/>
        <v>0</v>
      </c>
      <c r="AG178" s="70">
        <f>ROUND(INDEX('All Trends'!D:D,MATCH($AD178,'All Trends'!$C:$C,0)),4)</f>
        <v>1</v>
      </c>
      <c r="AH178" s="70">
        <f>ROUND(INDEX('All Trends'!E:E,MATCH($AD178,'All Trends'!$C:$C,0)),4)</f>
        <v>1</v>
      </c>
      <c r="AI178" s="70">
        <f>ROUND(INDEX('All Trends'!F:F,MATCH($AD178,'All Trends'!$C:$C,0)),4)</f>
        <v>1</v>
      </c>
      <c r="AJ178" s="70">
        <f>ROUND(INDEX('All Trends'!G:G,MATCH($AD178,'All Trends'!$C:$C,0)),4)</f>
        <v>1</v>
      </c>
      <c r="AK178" s="70">
        <f>ROUND(INDEX('All Trends'!H:H,MATCH($AD178,'All Trends'!$C:$C,0)),4)</f>
        <v>1</v>
      </c>
      <c r="AL178" s="74" t="s">
        <v>148</v>
      </c>
      <c r="AM178" s="92">
        <f t="shared" si="34"/>
        <v>12279.83</v>
      </c>
      <c r="AN178" s="92">
        <f t="shared" si="35"/>
        <v>12279.83</v>
      </c>
      <c r="AO178" s="69">
        <f t="shared" si="36"/>
        <v>0</v>
      </c>
      <c r="AP178" s="69">
        <f t="shared" si="37"/>
        <v>0</v>
      </c>
      <c r="AQ178" s="69">
        <f t="shared" si="38"/>
        <v>0</v>
      </c>
      <c r="AR178" s="69">
        <f t="shared" si="39"/>
        <v>0</v>
      </c>
      <c r="AS178" s="409"/>
      <c r="AT178" s="409"/>
      <c r="AU178" s="409"/>
    </row>
    <row r="179" spans="1:47">
      <c r="A179" s="67" t="s">
        <v>515</v>
      </c>
      <c r="B179" s="67" t="s">
        <v>517</v>
      </c>
      <c r="C179" s="78" t="s">
        <v>147</v>
      </c>
      <c r="D179" s="78" t="s">
        <v>148</v>
      </c>
      <c r="E179" s="67" t="s">
        <v>475</v>
      </c>
      <c r="F179" s="67" t="s">
        <v>408</v>
      </c>
      <c r="G179" s="67" t="str">
        <f>INDEX('[4]RT Description to Bill Matix'!$D:$D,MATCH(A179,'[4]RT Description to Bill Matix'!$M:$M,0))</f>
        <v>CDS PCS (CFC and Non-CFC)</v>
      </c>
      <c r="H179" s="67" t="s">
        <v>456</v>
      </c>
      <c r="I179" s="65" t="s">
        <v>147</v>
      </c>
      <c r="J179" s="65" t="str" cm="1">
        <f t="array" ref="J179">INDEX('Rate Table Service Desc XWalk'!F:F,MATCH(1,(G179='Rate Table Service Desc XWalk'!B:B)*(E179='Rate Table Service Desc XWalk'!A:A),0))</f>
        <v>9-5-144</v>
      </c>
      <c r="K179" s="66" t="s">
        <v>410</v>
      </c>
      <c r="L179" s="66" t="str">
        <f>INDEX('[6]Rate History'!$P:$P,MATCH(A179,'[6]Rate History'!$F:$F,0))</f>
        <v>15 minutes</v>
      </c>
      <c r="M179" s="77">
        <f>INDEX('[7]PDF DB Service Pivot'!$C:$C,MATCH(B179,'[7]PDF DB Service Pivot'!$B:$B,0))</f>
        <v>805801.1</v>
      </c>
      <c r="N179" s="77">
        <f t="shared" si="29"/>
        <v>805801.1</v>
      </c>
      <c r="O179" s="76">
        <f>INDEX('[7]PDF DB Service Pivot'!$D:$D,MATCH(B179,'[7]PDF DB Service Pivot'!$B:$B,0))</f>
        <v>2623404.4500000007</v>
      </c>
      <c r="P179" s="91">
        <v>45170</v>
      </c>
      <c r="Q179" s="72">
        <v>3.56</v>
      </c>
      <c r="R179" s="81">
        <v>2.9600000000000004</v>
      </c>
      <c r="S179" s="354">
        <f t="shared" si="46"/>
        <v>0.83146067415730351</v>
      </c>
      <c r="T179" s="339">
        <v>0.25</v>
      </c>
      <c r="U179" s="81">
        <f t="shared" si="27"/>
        <v>0</v>
      </c>
      <c r="V179" s="81" cm="1">
        <f t="array" ref="V179">_xlfn.IFS('Fiscal by Program'!$B$7&lt;10.61,0,'Fiscal by Program'!$B$7&gt;10.6,(ROUND('Fiscal by Program'!$B$7*(1+IF(D179="Yes",'Fiscal by Program'!$B$9,'Fiscal by Program'!$B$8))*T179,2)))</f>
        <v>0</v>
      </c>
      <c r="W179" s="81">
        <f t="shared" si="30"/>
        <v>0</v>
      </c>
      <c r="X179" s="81">
        <f>ROUND((R179/(1+IF(D179="Yes",'Fiscal by Program'!$B$9,'Fiscal by Program'!$B$8))),2)+0.01</f>
        <v>2.6799999999999997</v>
      </c>
      <c r="Y179" s="81">
        <f t="shared" si="31"/>
        <v>3.56</v>
      </c>
      <c r="Z179" s="88">
        <v>1</v>
      </c>
      <c r="AA179" s="90">
        <f t="shared" si="28"/>
        <v>0.25</v>
      </c>
      <c r="AB179" s="75">
        <f>INDEX('[9]Service List'!$K:$K,MATCH(A179,'[9]Service List'!$F:$F,0))</f>
        <v>1361</v>
      </c>
      <c r="AC179" s="73">
        <v>0</v>
      </c>
      <c r="AD179" s="67" t="s">
        <v>411</v>
      </c>
      <c r="AE179" s="66">
        <f t="shared" si="47"/>
        <v>1.095890410958904</v>
      </c>
      <c r="AF179" s="66">
        <f t="shared" si="48"/>
        <v>0</v>
      </c>
      <c r="AG179" s="70">
        <f>ROUND(INDEX('All Trends'!D:D,MATCH($AD179,'All Trends'!$C:$C,0)),4)</f>
        <v>1</v>
      </c>
      <c r="AH179" s="70">
        <f>ROUND(INDEX('All Trends'!E:E,MATCH($AD179,'All Trends'!$C:$C,0)),4)</f>
        <v>1</v>
      </c>
      <c r="AI179" s="70">
        <f>ROUND(INDEX('All Trends'!F:F,MATCH($AD179,'All Trends'!$C:$C,0)),4)</f>
        <v>1</v>
      </c>
      <c r="AJ179" s="70">
        <f>ROUND(INDEX('All Trends'!G:G,MATCH($AD179,'All Trends'!$C:$C,0)),4)</f>
        <v>1</v>
      </c>
      <c r="AK179" s="70">
        <f>ROUND(INDEX('All Trends'!H:H,MATCH($AD179,'All Trends'!$C:$C,0)),4)</f>
        <v>1</v>
      </c>
      <c r="AL179" s="74" t="s">
        <v>148</v>
      </c>
      <c r="AM179" s="92">
        <f t="shared" si="34"/>
        <v>201450.28</v>
      </c>
      <c r="AN179" s="92">
        <f t="shared" si="35"/>
        <v>201450.28</v>
      </c>
      <c r="AO179" s="69">
        <f t="shared" si="36"/>
        <v>0</v>
      </c>
      <c r="AP179" s="69">
        <f t="shared" si="37"/>
        <v>0</v>
      </c>
      <c r="AQ179" s="69">
        <f t="shared" si="38"/>
        <v>0</v>
      </c>
      <c r="AR179" s="69">
        <f t="shared" si="39"/>
        <v>0</v>
      </c>
      <c r="AS179" s="409"/>
      <c r="AT179" s="409"/>
      <c r="AU179" s="409"/>
    </row>
    <row r="180" spans="1:47">
      <c r="A180" s="67" t="s">
        <v>515</v>
      </c>
      <c r="B180" s="67" t="s">
        <v>518</v>
      </c>
      <c r="C180" s="78" t="s">
        <v>147</v>
      </c>
      <c r="D180" s="78" t="s">
        <v>148</v>
      </c>
      <c r="E180" s="67" t="s">
        <v>475</v>
      </c>
      <c r="F180" s="67" t="s">
        <v>408</v>
      </c>
      <c r="G180" s="67" t="str">
        <f>INDEX('[4]RT Description to Bill Matix'!$D:$D,MATCH(A180,'[4]RT Description to Bill Matix'!$M:$M,0))</f>
        <v>CDS PCS (CFC and Non-CFC)</v>
      </c>
      <c r="H180" s="67" t="s">
        <v>456</v>
      </c>
      <c r="I180" s="65" t="s">
        <v>147</v>
      </c>
      <c r="J180" s="65" t="str" cm="1">
        <f t="array" ref="J180">INDEX('Rate Table Service Desc XWalk'!F:F,MATCH(1,(G180='Rate Table Service Desc XWalk'!B:B)*(E180='Rate Table Service Desc XWalk'!A:A),0))</f>
        <v>9-5-144</v>
      </c>
      <c r="K180" s="66" t="s">
        <v>410</v>
      </c>
      <c r="L180" s="66" t="str">
        <f>INDEX('[6]Rate History'!$P:$P,MATCH(A180,'[6]Rate History'!$F:$F,0))</f>
        <v>15 minutes</v>
      </c>
      <c r="M180" s="77">
        <f>INDEX('[7]PDF DB Service Pivot'!$C:$C,MATCH(B180,'[7]PDF DB Service Pivot'!$B:$B,0))</f>
        <v>988357.2</v>
      </c>
      <c r="N180" s="77">
        <f t="shared" si="29"/>
        <v>988357.2</v>
      </c>
      <c r="O180" s="76">
        <f>INDEX('[7]PDF DB Service Pivot'!$D:$D,MATCH(B180,'[7]PDF DB Service Pivot'!$B:$B,0))</f>
        <v>3205961.2</v>
      </c>
      <c r="P180" s="91">
        <v>45170</v>
      </c>
      <c r="Q180" s="72">
        <v>3.56</v>
      </c>
      <c r="R180" s="81">
        <v>2.9600000000000004</v>
      </c>
      <c r="S180" s="354">
        <f t="shared" si="46"/>
        <v>0.83146067415730351</v>
      </c>
      <c r="T180" s="339">
        <v>0.25</v>
      </c>
      <c r="U180" s="81">
        <f t="shared" si="27"/>
        <v>0</v>
      </c>
      <c r="V180" s="81" cm="1">
        <f t="array" ref="V180">_xlfn.IFS('Fiscal by Program'!$B$7&lt;10.61,0,'Fiscal by Program'!$B$7&gt;10.6,(ROUND('Fiscal by Program'!$B$7*(1+IF(D180="Yes",'Fiscal by Program'!$B$9,'Fiscal by Program'!$B$8))*T180,2)))</f>
        <v>0</v>
      </c>
      <c r="W180" s="81">
        <f t="shared" si="30"/>
        <v>0</v>
      </c>
      <c r="X180" s="81">
        <f>ROUND((R180/(1+IF(D180="Yes",'Fiscal by Program'!$B$9,'Fiscal by Program'!$B$8))),2)+0.01</f>
        <v>2.6799999999999997</v>
      </c>
      <c r="Y180" s="81">
        <f t="shared" si="31"/>
        <v>3.56</v>
      </c>
      <c r="Z180" s="88">
        <v>1</v>
      </c>
      <c r="AA180" s="90">
        <f t="shared" si="28"/>
        <v>0.25</v>
      </c>
      <c r="AB180" s="75">
        <f>INDEX('[9]Service List'!$K:$K,MATCH(A180,'[9]Service List'!$F:$F,0))</f>
        <v>1361</v>
      </c>
      <c r="AC180" s="73">
        <v>0</v>
      </c>
      <c r="AD180" s="67" t="s">
        <v>411</v>
      </c>
      <c r="AE180" s="66">
        <f t="shared" si="47"/>
        <v>1.095890410958904</v>
      </c>
      <c r="AF180" s="66">
        <f t="shared" si="48"/>
        <v>0</v>
      </c>
      <c r="AG180" s="70">
        <f>ROUND(INDEX('All Trends'!D:D,MATCH($AD180,'All Trends'!$C:$C,0)),4)</f>
        <v>1</v>
      </c>
      <c r="AH180" s="70">
        <f>ROUND(INDEX('All Trends'!E:E,MATCH($AD180,'All Trends'!$C:$C,0)),4)</f>
        <v>1</v>
      </c>
      <c r="AI180" s="70">
        <f>ROUND(INDEX('All Trends'!F:F,MATCH($AD180,'All Trends'!$C:$C,0)),4)</f>
        <v>1</v>
      </c>
      <c r="AJ180" s="70">
        <f>ROUND(INDEX('All Trends'!G:G,MATCH($AD180,'All Trends'!$C:$C,0)),4)</f>
        <v>1</v>
      </c>
      <c r="AK180" s="70">
        <f>ROUND(INDEX('All Trends'!H:H,MATCH($AD180,'All Trends'!$C:$C,0)),4)</f>
        <v>1</v>
      </c>
      <c r="AL180" s="74" t="s">
        <v>148</v>
      </c>
      <c r="AM180" s="92">
        <f t="shared" si="34"/>
        <v>247089.3</v>
      </c>
      <c r="AN180" s="92">
        <f t="shared" si="35"/>
        <v>247089.3</v>
      </c>
      <c r="AO180" s="69">
        <f t="shared" si="36"/>
        <v>0</v>
      </c>
      <c r="AP180" s="69">
        <f t="shared" si="37"/>
        <v>0</v>
      </c>
      <c r="AQ180" s="69">
        <f t="shared" si="38"/>
        <v>0</v>
      </c>
      <c r="AR180" s="69">
        <f t="shared" si="39"/>
        <v>0</v>
      </c>
      <c r="AS180" s="409"/>
      <c r="AT180" s="409"/>
      <c r="AU180" s="409"/>
    </row>
    <row r="181" spans="1:47">
      <c r="A181" s="67" t="s">
        <v>515</v>
      </c>
      <c r="B181" s="67" t="s">
        <v>519</v>
      </c>
      <c r="C181" s="78" t="s">
        <v>147</v>
      </c>
      <c r="D181" s="78" t="s">
        <v>148</v>
      </c>
      <c r="E181" s="67" t="s">
        <v>475</v>
      </c>
      <c r="F181" s="67" t="s">
        <v>408</v>
      </c>
      <c r="G181" s="67" t="str">
        <f>INDEX('[4]RT Description to Bill Matix'!$D:$D,MATCH(A181,'[4]RT Description to Bill Matix'!$M:$M,0))</f>
        <v>CDS PCS (CFC and Non-CFC)</v>
      </c>
      <c r="H181" s="67" t="s">
        <v>456</v>
      </c>
      <c r="I181" s="65" t="s">
        <v>147</v>
      </c>
      <c r="J181" s="65" t="str" cm="1">
        <f t="array" ref="J181">INDEX('Rate Table Service Desc XWalk'!F:F,MATCH(1,(G181='Rate Table Service Desc XWalk'!B:B)*(E181='Rate Table Service Desc XWalk'!A:A),0))</f>
        <v>9-5-144</v>
      </c>
      <c r="K181" s="66" t="s">
        <v>410</v>
      </c>
      <c r="L181" s="66" t="str">
        <f>INDEX('[6]Rate History'!$P:$P,MATCH(A181,'[6]Rate History'!$F:$F,0))</f>
        <v>15 minutes</v>
      </c>
      <c r="M181" s="77">
        <f>INDEX('[7]PDF DB Service Pivot'!$C:$C,MATCH(B181,'[7]PDF DB Service Pivot'!$B:$B,0))</f>
        <v>2086</v>
      </c>
      <c r="N181" s="77">
        <f t="shared" si="29"/>
        <v>2086</v>
      </c>
      <c r="O181" s="76">
        <f>INDEX('[7]PDF DB Service Pivot'!$D:$D,MATCH(B181,'[7]PDF DB Service Pivot'!$B:$B,0))</f>
        <v>6800.36</v>
      </c>
      <c r="P181" s="91">
        <v>45170</v>
      </c>
      <c r="Q181" s="72">
        <v>3.56</v>
      </c>
      <c r="R181" s="81">
        <v>2.9600000000000004</v>
      </c>
      <c r="S181" s="354">
        <f t="shared" si="46"/>
        <v>0.83146067415730351</v>
      </c>
      <c r="T181" s="339">
        <v>0.25</v>
      </c>
      <c r="U181" s="81">
        <f t="shared" si="27"/>
        <v>0</v>
      </c>
      <c r="V181" s="81" cm="1">
        <f t="array" ref="V181">_xlfn.IFS('Fiscal by Program'!$B$7&lt;10.61,0,'Fiscal by Program'!$B$7&gt;10.6,(ROUND('Fiscal by Program'!$B$7*(1+IF(D181="Yes",'Fiscal by Program'!$B$9,'Fiscal by Program'!$B$8))*T181,2)))</f>
        <v>0</v>
      </c>
      <c r="W181" s="81">
        <f t="shared" si="30"/>
        <v>0</v>
      </c>
      <c r="X181" s="81">
        <f>ROUND((R181/(1+IF(D181="Yes",'Fiscal by Program'!$B$9,'Fiscal by Program'!$B$8))),2)+0.01</f>
        <v>2.6799999999999997</v>
      </c>
      <c r="Y181" s="81">
        <f t="shared" si="31"/>
        <v>3.56</v>
      </c>
      <c r="Z181" s="88">
        <v>1</v>
      </c>
      <c r="AA181" s="90">
        <f t="shared" si="28"/>
        <v>0.25</v>
      </c>
      <c r="AB181" s="75">
        <f>INDEX('[9]Service List'!$K:$K,MATCH(A181,'[9]Service List'!$F:$F,0))</f>
        <v>1361</v>
      </c>
      <c r="AC181" s="73">
        <v>0</v>
      </c>
      <c r="AD181" s="67" t="s">
        <v>411</v>
      </c>
      <c r="AE181" s="66">
        <f t="shared" si="47"/>
        <v>1.095890410958904</v>
      </c>
      <c r="AF181" s="66">
        <f t="shared" si="48"/>
        <v>0</v>
      </c>
      <c r="AG181" s="70">
        <f>ROUND(INDEX('All Trends'!D:D,MATCH($AD181,'All Trends'!$C:$C,0)),4)</f>
        <v>1</v>
      </c>
      <c r="AH181" s="70">
        <f>ROUND(INDEX('All Trends'!E:E,MATCH($AD181,'All Trends'!$C:$C,0)),4)</f>
        <v>1</v>
      </c>
      <c r="AI181" s="70">
        <f>ROUND(INDEX('All Trends'!F:F,MATCH($AD181,'All Trends'!$C:$C,0)),4)</f>
        <v>1</v>
      </c>
      <c r="AJ181" s="70">
        <f>ROUND(INDEX('All Trends'!G:G,MATCH($AD181,'All Trends'!$C:$C,0)),4)</f>
        <v>1</v>
      </c>
      <c r="AK181" s="70">
        <f>ROUND(INDEX('All Trends'!H:H,MATCH($AD181,'All Trends'!$C:$C,0)),4)</f>
        <v>1</v>
      </c>
      <c r="AL181" s="74" t="s">
        <v>148</v>
      </c>
      <c r="AM181" s="92">
        <f t="shared" si="34"/>
        <v>521.5</v>
      </c>
      <c r="AN181" s="92">
        <f t="shared" si="35"/>
        <v>521.5</v>
      </c>
      <c r="AO181" s="69">
        <f t="shared" si="36"/>
        <v>0</v>
      </c>
      <c r="AP181" s="69">
        <f t="shared" si="37"/>
        <v>0</v>
      </c>
      <c r="AQ181" s="69">
        <f t="shared" si="38"/>
        <v>0</v>
      </c>
      <c r="AR181" s="69">
        <f t="shared" si="39"/>
        <v>0</v>
      </c>
      <c r="AS181" s="409"/>
      <c r="AT181" s="409"/>
      <c r="AU181" s="409"/>
    </row>
    <row r="182" spans="1:47">
      <c r="A182" s="67" t="s">
        <v>515</v>
      </c>
      <c r="B182" s="67" t="s">
        <v>520</v>
      </c>
      <c r="C182" s="78" t="s">
        <v>147</v>
      </c>
      <c r="D182" s="78" t="s">
        <v>148</v>
      </c>
      <c r="E182" s="67" t="s">
        <v>475</v>
      </c>
      <c r="F182" s="67" t="s">
        <v>408</v>
      </c>
      <c r="G182" s="67" t="str">
        <f>INDEX('[4]RT Description to Bill Matix'!$D:$D,MATCH(A182,'[4]RT Description to Bill Matix'!$M:$M,0))</f>
        <v>CDS PCS (CFC and Non-CFC)</v>
      </c>
      <c r="H182" s="67" t="s">
        <v>456</v>
      </c>
      <c r="I182" s="65" t="s">
        <v>147</v>
      </c>
      <c r="J182" s="65" t="str" cm="1">
        <f t="array" ref="J182">INDEX('Rate Table Service Desc XWalk'!F:F,MATCH(1,(G182='Rate Table Service Desc XWalk'!B:B)*(E182='Rate Table Service Desc XWalk'!A:A),0))</f>
        <v>9-5-144</v>
      </c>
      <c r="K182" s="66" t="s">
        <v>410</v>
      </c>
      <c r="L182" s="66" t="str">
        <f>INDEX('[6]Rate History'!$P:$P,MATCH(A182,'[6]Rate History'!$F:$F,0))</f>
        <v>15 minutes</v>
      </c>
      <c r="M182" s="77">
        <f>INDEX('[7]PDF DB Service Pivot'!$C:$C,MATCH(B182,'[7]PDF DB Service Pivot'!$B:$B,0))</f>
        <v>5321</v>
      </c>
      <c r="N182" s="77">
        <f t="shared" si="29"/>
        <v>5321</v>
      </c>
      <c r="O182" s="76">
        <f>INDEX('[7]PDF DB Service Pivot'!$D:$D,MATCH(B182,'[7]PDF DB Service Pivot'!$B:$B,0))</f>
        <v>17159.59</v>
      </c>
      <c r="P182" s="91">
        <v>45170</v>
      </c>
      <c r="Q182" s="72">
        <v>3.56</v>
      </c>
      <c r="R182" s="81">
        <v>2.9600000000000004</v>
      </c>
      <c r="S182" s="354">
        <f t="shared" si="46"/>
        <v>0.83146067415730351</v>
      </c>
      <c r="T182" s="339">
        <v>0.25</v>
      </c>
      <c r="U182" s="81">
        <f t="shared" si="27"/>
        <v>0</v>
      </c>
      <c r="V182" s="81" cm="1">
        <f t="array" ref="V182">_xlfn.IFS('Fiscal by Program'!$B$7&lt;10.61,0,'Fiscal by Program'!$B$7&gt;10.6,(ROUND('Fiscal by Program'!$B$7*(1+IF(D182="Yes",'Fiscal by Program'!$B$9,'Fiscal by Program'!$B$8))*T182,2)))</f>
        <v>0</v>
      </c>
      <c r="W182" s="81">
        <f t="shared" si="30"/>
        <v>0</v>
      </c>
      <c r="X182" s="81">
        <f>ROUND((R182/(1+IF(D182="Yes",'Fiscal by Program'!$B$9,'Fiscal by Program'!$B$8))),2)+0.01</f>
        <v>2.6799999999999997</v>
      </c>
      <c r="Y182" s="81">
        <f t="shared" si="31"/>
        <v>3.56</v>
      </c>
      <c r="Z182" s="88">
        <v>1</v>
      </c>
      <c r="AA182" s="90">
        <f t="shared" si="28"/>
        <v>0.25</v>
      </c>
      <c r="AB182" s="75">
        <f>INDEX('[9]Service List'!$K:$K,MATCH(A182,'[9]Service List'!$F:$F,0))</f>
        <v>1361</v>
      </c>
      <c r="AC182" s="73">
        <v>0</v>
      </c>
      <c r="AD182" s="67" t="s">
        <v>411</v>
      </c>
      <c r="AE182" s="66">
        <f t="shared" si="47"/>
        <v>1.095890410958904</v>
      </c>
      <c r="AF182" s="66">
        <f t="shared" si="48"/>
        <v>0</v>
      </c>
      <c r="AG182" s="70">
        <f>ROUND(INDEX('All Trends'!D:D,MATCH($AD182,'All Trends'!$C:$C,0)),4)</f>
        <v>1</v>
      </c>
      <c r="AH182" s="70">
        <f>ROUND(INDEX('All Trends'!E:E,MATCH($AD182,'All Trends'!$C:$C,0)),4)</f>
        <v>1</v>
      </c>
      <c r="AI182" s="70">
        <f>ROUND(INDEX('All Trends'!F:F,MATCH($AD182,'All Trends'!$C:$C,0)),4)</f>
        <v>1</v>
      </c>
      <c r="AJ182" s="70">
        <f>ROUND(INDEX('All Trends'!G:G,MATCH($AD182,'All Trends'!$C:$C,0)),4)</f>
        <v>1</v>
      </c>
      <c r="AK182" s="70">
        <f>ROUND(INDEX('All Trends'!H:H,MATCH($AD182,'All Trends'!$C:$C,0)),4)</f>
        <v>1</v>
      </c>
      <c r="AL182" s="74" t="s">
        <v>148</v>
      </c>
      <c r="AM182" s="92">
        <f t="shared" si="34"/>
        <v>1330.25</v>
      </c>
      <c r="AN182" s="92">
        <f t="shared" si="35"/>
        <v>1330.25</v>
      </c>
      <c r="AO182" s="69">
        <f t="shared" si="36"/>
        <v>0</v>
      </c>
      <c r="AP182" s="69">
        <f t="shared" si="37"/>
        <v>0</v>
      </c>
      <c r="AQ182" s="69">
        <f t="shared" si="38"/>
        <v>0</v>
      </c>
      <c r="AR182" s="69">
        <f t="shared" si="39"/>
        <v>0</v>
      </c>
      <c r="AS182" s="409"/>
      <c r="AT182" s="409"/>
      <c r="AU182" s="409"/>
    </row>
    <row r="183" spans="1:47">
      <c r="A183" s="67" t="s">
        <v>515</v>
      </c>
      <c r="B183" s="67" t="s">
        <v>521</v>
      </c>
      <c r="C183" s="78" t="s">
        <v>147</v>
      </c>
      <c r="D183" s="78" t="s">
        <v>148</v>
      </c>
      <c r="E183" s="67" t="s">
        <v>475</v>
      </c>
      <c r="F183" s="67" t="s">
        <v>408</v>
      </c>
      <c r="G183" s="67" t="str">
        <f>INDEX('[4]RT Description to Bill Matix'!$D:$D,MATCH(A183,'[4]RT Description to Bill Matix'!$M:$M,0))</f>
        <v>CDS PCS (CFC and Non-CFC)</v>
      </c>
      <c r="H183" s="67" t="s">
        <v>456</v>
      </c>
      <c r="I183" s="65" t="s">
        <v>147</v>
      </c>
      <c r="J183" s="65" t="str" cm="1">
        <f t="array" ref="J183">INDEX('Rate Table Service Desc XWalk'!F:F,MATCH(1,(G183='Rate Table Service Desc XWalk'!B:B)*(E183='Rate Table Service Desc XWalk'!A:A),0))</f>
        <v>9-5-144</v>
      </c>
      <c r="K183" s="66" t="s">
        <v>410</v>
      </c>
      <c r="L183" s="66" t="str">
        <f>INDEX('[6]Rate History'!$P:$P,MATCH(A183,'[6]Rate History'!$F:$F,0))</f>
        <v>15 minutes</v>
      </c>
      <c r="M183" s="77">
        <f>INDEX('[7]PDF DB Service Pivot'!$C:$C,MATCH(B183,'[7]PDF DB Service Pivot'!$B:$B,0))</f>
        <v>9300</v>
      </c>
      <c r="N183" s="77">
        <f t="shared" si="29"/>
        <v>9300</v>
      </c>
      <c r="O183" s="76">
        <f>INDEX('[7]PDF DB Service Pivot'!$D:$D,MATCH(B183,'[7]PDF DB Service Pivot'!$B:$B,0))</f>
        <v>30147.54</v>
      </c>
      <c r="P183" s="91">
        <v>45170</v>
      </c>
      <c r="Q183" s="72">
        <v>3.56</v>
      </c>
      <c r="R183" s="81">
        <v>2.9600000000000004</v>
      </c>
      <c r="S183" s="354">
        <f t="shared" si="46"/>
        <v>0.83146067415730351</v>
      </c>
      <c r="T183" s="339">
        <v>0.25</v>
      </c>
      <c r="U183" s="81">
        <f t="shared" si="27"/>
        <v>0</v>
      </c>
      <c r="V183" s="81" cm="1">
        <f t="array" ref="V183">_xlfn.IFS('Fiscal by Program'!$B$7&lt;10.61,0,'Fiscal by Program'!$B$7&gt;10.6,(ROUND('Fiscal by Program'!$B$7*(1+IF(D183="Yes",'Fiscal by Program'!$B$9,'Fiscal by Program'!$B$8))*T183,2)))</f>
        <v>0</v>
      </c>
      <c r="W183" s="81">
        <f t="shared" si="30"/>
        <v>0</v>
      </c>
      <c r="X183" s="81">
        <f>ROUND((R183/(1+IF(D183="Yes",'Fiscal by Program'!$B$9,'Fiscal by Program'!$B$8))),2)+0.01</f>
        <v>2.6799999999999997</v>
      </c>
      <c r="Y183" s="81">
        <f t="shared" si="31"/>
        <v>3.56</v>
      </c>
      <c r="Z183" s="88">
        <v>1</v>
      </c>
      <c r="AA183" s="90">
        <f t="shared" si="28"/>
        <v>0.25</v>
      </c>
      <c r="AB183" s="75">
        <f>INDEX('[9]Service List'!$K:$K,MATCH(A183,'[9]Service List'!$F:$F,0))</f>
        <v>1361</v>
      </c>
      <c r="AC183" s="73">
        <v>0</v>
      </c>
      <c r="AD183" s="67" t="s">
        <v>411</v>
      </c>
      <c r="AE183" s="66">
        <f t="shared" si="47"/>
        <v>1.095890410958904</v>
      </c>
      <c r="AF183" s="66">
        <f t="shared" si="48"/>
        <v>0</v>
      </c>
      <c r="AG183" s="70">
        <f>ROUND(INDEX('All Trends'!D:D,MATCH($AD183,'All Trends'!$C:$C,0)),4)</f>
        <v>1</v>
      </c>
      <c r="AH183" s="70">
        <f>ROUND(INDEX('All Trends'!E:E,MATCH($AD183,'All Trends'!$C:$C,0)),4)</f>
        <v>1</v>
      </c>
      <c r="AI183" s="70">
        <f>ROUND(INDEX('All Trends'!F:F,MATCH($AD183,'All Trends'!$C:$C,0)),4)</f>
        <v>1</v>
      </c>
      <c r="AJ183" s="70">
        <f>ROUND(INDEX('All Trends'!G:G,MATCH($AD183,'All Trends'!$C:$C,0)),4)</f>
        <v>1</v>
      </c>
      <c r="AK183" s="70">
        <f>ROUND(INDEX('All Trends'!H:H,MATCH($AD183,'All Trends'!$C:$C,0)),4)</f>
        <v>1</v>
      </c>
      <c r="AL183" s="74" t="s">
        <v>148</v>
      </c>
      <c r="AM183" s="92">
        <f t="shared" si="34"/>
        <v>2325</v>
      </c>
      <c r="AN183" s="92">
        <f t="shared" si="35"/>
        <v>2325</v>
      </c>
      <c r="AO183" s="69">
        <f t="shared" si="36"/>
        <v>0</v>
      </c>
      <c r="AP183" s="69">
        <f t="shared" si="37"/>
        <v>0</v>
      </c>
      <c r="AQ183" s="69">
        <f t="shared" si="38"/>
        <v>0</v>
      </c>
      <c r="AR183" s="69">
        <f t="shared" si="39"/>
        <v>0</v>
      </c>
      <c r="AS183" s="409"/>
      <c r="AT183" s="409"/>
      <c r="AU183" s="409"/>
    </row>
    <row r="184" spans="1:47">
      <c r="A184" s="67" t="s">
        <v>522</v>
      </c>
      <c r="B184" s="67" t="s">
        <v>523</v>
      </c>
      <c r="C184" s="78" t="s">
        <v>147</v>
      </c>
      <c r="D184" s="78" t="s">
        <v>148</v>
      </c>
      <c r="E184" s="67" t="s">
        <v>475</v>
      </c>
      <c r="F184" s="67" t="s">
        <v>408</v>
      </c>
      <c r="G184" s="67" t="str">
        <f>INDEX('[4]RT Description to Bill Matix'!$D:$D,MATCH(A184,'[4]RT Description to Bill Matix'!$M:$M,0))</f>
        <v>CDS PCS (CFC and Non-CFC)</v>
      </c>
      <c r="H184" s="67" t="s">
        <v>447</v>
      </c>
      <c r="I184" s="65" t="s">
        <v>147</v>
      </c>
      <c r="J184" s="65" t="str" cm="1">
        <f t="array" ref="J184">INDEX('Rate Table Service Desc XWalk'!F:F,MATCH(1,(G184='Rate Table Service Desc XWalk'!B:B)*(E184='Rate Table Service Desc XWalk'!A:A),0))</f>
        <v>9-5-144</v>
      </c>
      <c r="K184" s="66" t="s">
        <v>410</v>
      </c>
      <c r="L184" s="66" t="str">
        <f>INDEX('[6]Rate History'!$P:$P,MATCH(A184,'[6]Rate History'!$F:$F,0))</f>
        <v>15 minutes</v>
      </c>
      <c r="M184" s="77">
        <f>INDEX('[7]PDF DB Service Pivot'!$C:$C,MATCH(B184,'[7]PDF DB Service Pivot'!$B:$B,0))</f>
        <v>22647</v>
      </c>
      <c r="N184" s="77">
        <f t="shared" si="29"/>
        <v>22647</v>
      </c>
      <c r="O184" s="76">
        <f>INDEX('[7]PDF DB Service Pivot'!$D:$D,MATCH(B184,'[7]PDF DB Service Pivot'!$B:$B,0))</f>
        <v>61987.95</v>
      </c>
      <c r="P184" s="91">
        <v>45170</v>
      </c>
      <c r="Q184" s="72">
        <v>3.44</v>
      </c>
      <c r="R184" s="81">
        <v>2.9499999999999997</v>
      </c>
      <c r="S184" s="354">
        <f t="shared" si="46"/>
        <v>0.85755813953488369</v>
      </c>
      <c r="T184" s="339">
        <v>0.25</v>
      </c>
      <c r="U184" s="81">
        <f t="shared" si="27"/>
        <v>0</v>
      </c>
      <c r="V184" s="81" cm="1">
        <f t="array" ref="V184">_xlfn.IFS('Fiscal by Program'!$B$7&lt;10.61,0,'Fiscal by Program'!$B$7&gt;10.6,(ROUND('Fiscal by Program'!$B$7*(1+IF(D184="Yes",'Fiscal by Program'!$B$9,'Fiscal by Program'!$B$8))*T184,2)))</f>
        <v>0</v>
      </c>
      <c r="W184" s="81">
        <f t="shared" si="30"/>
        <v>0</v>
      </c>
      <c r="X184" s="81">
        <f>ROUND((R184/(1+IF(D184="Yes",'Fiscal by Program'!$B$9,'Fiscal by Program'!$B$8))),2)+0.01</f>
        <v>2.67</v>
      </c>
      <c r="Y184" s="81">
        <f t="shared" si="31"/>
        <v>3.44</v>
      </c>
      <c r="Z184" s="88">
        <v>1</v>
      </c>
      <c r="AA184" s="90">
        <f t="shared" si="28"/>
        <v>0.25</v>
      </c>
      <c r="AB184" s="75">
        <f>INDEX('[9]Service List'!$K:$K,MATCH(A184,'[9]Service List'!$F:$F,0))</f>
        <v>1364</v>
      </c>
      <c r="AC184" s="73">
        <v>0</v>
      </c>
      <c r="AD184" s="67" t="s">
        <v>411</v>
      </c>
      <c r="AE184" s="66">
        <f t="shared" si="47"/>
        <v>1.095890410958904</v>
      </c>
      <c r="AF184" s="66">
        <f t="shared" si="48"/>
        <v>0</v>
      </c>
      <c r="AG184" s="70">
        <f>ROUND(INDEX('All Trends'!D:D,MATCH($AD184,'All Trends'!$C:$C,0)),4)</f>
        <v>1</v>
      </c>
      <c r="AH184" s="70">
        <f>ROUND(INDEX('All Trends'!E:E,MATCH($AD184,'All Trends'!$C:$C,0)),4)</f>
        <v>1</v>
      </c>
      <c r="AI184" s="70">
        <f>ROUND(INDEX('All Trends'!F:F,MATCH($AD184,'All Trends'!$C:$C,0)),4)</f>
        <v>1</v>
      </c>
      <c r="AJ184" s="70">
        <f>ROUND(INDEX('All Trends'!G:G,MATCH($AD184,'All Trends'!$C:$C,0)),4)</f>
        <v>1</v>
      </c>
      <c r="AK184" s="70">
        <f>ROUND(INDEX('All Trends'!H:H,MATCH($AD184,'All Trends'!$C:$C,0)),4)</f>
        <v>1</v>
      </c>
      <c r="AL184" s="74" t="s">
        <v>148</v>
      </c>
      <c r="AM184" s="92">
        <f t="shared" si="34"/>
        <v>5661.75</v>
      </c>
      <c r="AN184" s="92">
        <f t="shared" si="35"/>
        <v>5661.75</v>
      </c>
      <c r="AO184" s="69">
        <f t="shared" si="36"/>
        <v>0</v>
      </c>
      <c r="AP184" s="69">
        <f t="shared" si="37"/>
        <v>0</v>
      </c>
      <c r="AQ184" s="69">
        <f t="shared" si="38"/>
        <v>0</v>
      </c>
      <c r="AR184" s="69">
        <f t="shared" si="39"/>
        <v>0</v>
      </c>
      <c r="AS184" s="409"/>
      <c r="AT184" s="409"/>
      <c r="AU184" s="409"/>
    </row>
    <row r="185" spans="1:47">
      <c r="A185" s="67" t="s">
        <v>522</v>
      </c>
      <c r="B185" s="67" t="s">
        <v>524</v>
      </c>
      <c r="C185" s="78" t="s">
        <v>147</v>
      </c>
      <c r="D185" s="78" t="s">
        <v>148</v>
      </c>
      <c r="E185" s="67" t="s">
        <v>475</v>
      </c>
      <c r="F185" s="67" t="s">
        <v>408</v>
      </c>
      <c r="G185" s="67" t="str">
        <f>INDEX('[4]RT Description to Bill Matix'!$D:$D,MATCH(A185,'[4]RT Description to Bill Matix'!$M:$M,0))</f>
        <v>CDS PCS (CFC and Non-CFC)</v>
      </c>
      <c r="H185" s="67" t="s">
        <v>447</v>
      </c>
      <c r="I185" s="65" t="s">
        <v>147</v>
      </c>
      <c r="J185" s="65" t="str" cm="1">
        <f t="array" ref="J185">INDEX('Rate Table Service Desc XWalk'!F:F,MATCH(1,(G185='Rate Table Service Desc XWalk'!B:B)*(E185='Rate Table Service Desc XWalk'!A:A),0))</f>
        <v>9-5-144</v>
      </c>
      <c r="K185" s="66" t="s">
        <v>410</v>
      </c>
      <c r="L185" s="66" t="str">
        <f>INDEX('[6]Rate History'!$P:$P,MATCH(A185,'[6]Rate History'!$F:$F,0))</f>
        <v>15 minutes</v>
      </c>
      <c r="M185" s="77">
        <f>INDEX('[7]PDF DB Service Pivot'!$C:$C,MATCH(B185,'[7]PDF DB Service Pivot'!$B:$B,0))</f>
        <v>410589.2</v>
      </c>
      <c r="N185" s="77">
        <f t="shared" si="29"/>
        <v>410589.2</v>
      </c>
      <c r="O185" s="76">
        <f>INDEX('[7]PDF DB Service Pivot'!$D:$D,MATCH(B185,'[7]PDF DB Service Pivot'!$B:$B,0))</f>
        <v>1123712.95</v>
      </c>
      <c r="P185" s="91">
        <v>45170</v>
      </c>
      <c r="Q185" s="72">
        <v>3.44</v>
      </c>
      <c r="R185" s="81">
        <v>2.9499999999999997</v>
      </c>
      <c r="S185" s="354">
        <f t="shared" si="46"/>
        <v>0.85755813953488369</v>
      </c>
      <c r="T185" s="339">
        <v>0.25</v>
      </c>
      <c r="U185" s="81">
        <f t="shared" si="27"/>
        <v>0</v>
      </c>
      <c r="V185" s="81" cm="1">
        <f t="array" ref="V185">_xlfn.IFS('Fiscal by Program'!$B$7&lt;10.61,0,'Fiscal by Program'!$B$7&gt;10.6,(ROUND('Fiscal by Program'!$B$7*(1+IF(D185="Yes",'Fiscal by Program'!$B$9,'Fiscal by Program'!$B$8))*T185,2)))</f>
        <v>0</v>
      </c>
      <c r="W185" s="81">
        <f t="shared" si="30"/>
        <v>0</v>
      </c>
      <c r="X185" s="81">
        <f>ROUND((R185/(1+IF(D185="Yes",'Fiscal by Program'!$B$9,'Fiscal by Program'!$B$8))),2)+0.01</f>
        <v>2.67</v>
      </c>
      <c r="Y185" s="81">
        <f t="shared" si="31"/>
        <v>3.44</v>
      </c>
      <c r="Z185" s="88">
        <v>1</v>
      </c>
      <c r="AA185" s="90">
        <f t="shared" si="28"/>
        <v>0.25</v>
      </c>
      <c r="AB185" s="75">
        <f>INDEX('[9]Service List'!$K:$K,MATCH(A185,'[9]Service List'!$F:$F,0))</f>
        <v>1364</v>
      </c>
      <c r="AC185" s="73">
        <v>0</v>
      </c>
      <c r="AD185" s="67" t="s">
        <v>411</v>
      </c>
      <c r="AE185" s="66">
        <f t="shared" si="47"/>
        <v>1.095890410958904</v>
      </c>
      <c r="AF185" s="66">
        <f t="shared" si="48"/>
        <v>0</v>
      </c>
      <c r="AG185" s="70">
        <f>ROUND(INDEX('All Trends'!D:D,MATCH($AD185,'All Trends'!$C:$C,0)),4)</f>
        <v>1</v>
      </c>
      <c r="AH185" s="70">
        <f>ROUND(INDEX('All Trends'!E:E,MATCH($AD185,'All Trends'!$C:$C,0)),4)</f>
        <v>1</v>
      </c>
      <c r="AI185" s="70">
        <f>ROUND(INDEX('All Trends'!F:F,MATCH($AD185,'All Trends'!$C:$C,0)),4)</f>
        <v>1</v>
      </c>
      <c r="AJ185" s="70">
        <f>ROUND(INDEX('All Trends'!G:G,MATCH($AD185,'All Trends'!$C:$C,0)),4)</f>
        <v>1</v>
      </c>
      <c r="AK185" s="70">
        <f>ROUND(INDEX('All Trends'!H:H,MATCH($AD185,'All Trends'!$C:$C,0)),4)</f>
        <v>1</v>
      </c>
      <c r="AL185" s="74" t="s">
        <v>148</v>
      </c>
      <c r="AM185" s="92">
        <f t="shared" si="34"/>
        <v>102647.3</v>
      </c>
      <c r="AN185" s="92">
        <f t="shared" si="35"/>
        <v>102647.3</v>
      </c>
      <c r="AO185" s="69">
        <f t="shared" si="36"/>
        <v>0</v>
      </c>
      <c r="AP185" s="69">
        <f t="shared" si="37"/>
        <v>0</v>
      </c>
      <c r="AQ185" s="69">
        <f t="shared" si="38"/>
        <v>0</v>
      </c>
      <c r="AR185" s="69">
        <f t="shared" si="39"/>
        <v>0</v>
      </c>
      <c r="AS185" s="409"/>
      <c r="AT185" s="409"/>
      <c r="AU185" s="409"/>
    </row>
    <row r="186" spans="1:47">
      <c r="A186" s="67" t="s">
        <v>522</v>
      </c>
      <c r="B186" s="67" t="s">
        <v>525</v>
      </c>
      <c r="C186" s="78" t="s">
        <v>147</v>
      </c>
      <c r="D186" s="78" t="s">
        <v>148</v>
      </c>
      <c r="E186" s="67" t="s">
        <v>475</v>
      </c>
      <c r="F186" s="67" t="s">
        <v>408</v>
      </c>
      <c r="G186" s="67" t="str">
        <f>INDEX('[4]RT Description to Bill Matix'!$D:$D,MATCH(A186,'[4]RT Description to Bill Matix'!$M:$M,0))</f>
        <v>CDS PCS (CFC and Non-CFC)</v>
      </c>
      <c r="H186" s="67" t="s">
        <v>447</v>
      </c>
      <c r="I186" s="65" t="s">
        <v>147</v>
      </c>
      <c r="J186" s="65" t="str" cm="1">
        <f t="array" ref="J186">INDEX('Rate Table Service Desc XWalk'!F:F,MATCH(1,(G186='Rate Table Service Desc XWalk'!B:B)*(E186='Rate Table Service Desc XWalk'!A:A),0))</f>
        <v>9-5-144</v>
      </c>
      <c r="K186" s="66" t="s">
        <v>410</v>
      </c>
      <c r="L186" s="66" t="str">
        <f>INDEX('[6]Rate History'!$P:$P,MATCH(A186,'[6]Rate History'!$F:$F,0))</f>
        <v>15 minutes</v>
      </c>
      <c r="M186" s="77">
        <f>INDEX('[7]PDF DB Service Pivot'!$C:$C,MATCH(B186,'[7]PDF DB Service Pivot'!$B:$B,0))</f>
        <v>528671.80000000005</v>
      </c>
      <c r="N186" s="77">
        <f t="shared" si="29"/>
        <v>528671.80000000005</v>
      </c>
      <c r="O186" s="76">
        <f>INDEX('[7]PDF DB Service Pivot'!$D:$D,MATCH(B186,'[7]PDF DB Service Pivot'!$B:$B,0))</f>
        <v>1444198.48</v>
      </c>
      <c r="P186" s="91">
        <v>45170</v>
      </c>
      <c r="Q186" s="72">
        <v>3.44</v>
      </c>
      <c r="R186" s="81">
        <v>2.9499999999999997</v>
      </c>
      <c r="S186" s="354">
        <f t="shared" si="46"/>
        <v>0.85755813953488369</v>
      </c>
      <c r="T186" s="339">
        <v>0.25</v>
      </c>
      <c r="U186" s="81">
        <f t="shared" si="27"/>
        <v>0</v>
      </c>
      <c r="V186" s="81" cm="1">
        <f t="array" ref="V186">_xlfn.IFS('Fiscal by Program'!$B$7&lt;10.61,0,'Fiscal by Program'!$B$7&gt;10.6,(ROUND('Fiscal by Program'!$B$7*(1+IF(D186="Yes",'Fiscal by Program'!$B$9,'Fiscal by Program'!$B$8))*T186,2)))</f>
        <v>0</v>
      </c>
      <c r="W186" s="81">
        <f t="shared" si="30"/>
        <v>0</v>
      </c>
      <c r="X186" s="81">
        <f>ROUND((R186/(1+IF(D186="Yes",'Fiscal by Program'!$B$9,'Fiscal by Program'!$B$8))),2)+0.01</f>
        <v>2.67</v>
      </c>
      <c r="Y186" s="81">
        <f t="shared" si="31"/>
        <v>3.44</v>
      </c>
      <c r="Z186" s="88">
        <v>1</v>
      </c>
      <c r="AA186" s="90">
        <f t="shared" si="28"/>
        <v>0.25</v>
      </c>
      <c r="AB186" s="75">
        <f>INDEX('[9]Service List'!$K:$K,MATCH(A186,'[9]Service List'!$F:$F,0))</f>
        <v>1364</v>
      </c>
      <c r="AC186" s="73">
        <v>0</v>
      </c>
      <c r="AD186" s="67" t="s">
        <v>411</v>
      </c>
      <c r="AE186" s="66">
        <f t="shared" si="47"/>
        <v>1.095890410958904</v>
      </c>
      <c r="AF186" s="66">
        <f t="shared" si="48"/>
        <v>0</v>
      </c>
      <c r="AG186" s="70">
        <f>ROUND(INDEX('All Trends'!D:D,MATCH($AD186,'All Trends'!$C:$C,0)),4)</f>
        <v>1</v>
      </c>
      <c r="AH186" s="70">
        <f>ROUND(INDEX('All Trends'!E:E,MATCH($AD186,'All Trends'!$C:$C,0)),4)</f>
        <v>1</v>
      </c>
      <c r="AI186" s="70">
        <f>ROUND(INDEX('All Trends'!F:F,MATCH($AD186,'All Trends'!$C:$C,0)),4)</f>
        <v>1</v>
      </c>
      <c r="AJ186" s="70">
        <f>ROUND(INDEX('All Trends'!G:G,MATCH($AD186,'All Trends'!$C:$C,0)),4)</f>
        <v>1</v>
      </c>
      <c r="AK186" s="70">
        <f>ROUND(INDEX('All Trends'!H:H,MATCH($AD186,'All Trends'!$C:$C,0)),4)</f>
        <v>1</v>
      </c>
      <c r="AL186" s="74" t="s">
        <v>148</v>
      </c>
      <c r="AM186" s="92">
        <f t="shared" si="34"/>
        <v>132167.95000000001</v>
      </c>
      <c r="AN186" s="92">
        <f t="shared" si="35"/>
        <v>132167.95000000001</v>
      </c>
      <c r="AO186" s="69">
        <f t="shared" si="36"/>
        <v>0</v>
      </c>
      <c r="AP186" s="69">
        <f t="shared" si="37"/>
        <v>0</v>
      </c>
      <c r="AQ186" s="69">
        <f t="shared" si="38"/>
        <v>0</v>
      </c>
      <c r="AR186" s="69">
        <f t="shared" si="39"/>
        <v>0</v>
      </c>
      <c r="AS186" s="409"/>
      <c r="AT186" s="409"/>
      <c r="AU186" s="409"/>
    </row>
    <row r="187" spans="1:47">
      <c r="A187" s="67" t="s">
        <v>522</v>
      </c>
      <c r="B187" s="67" t="s">
        <v>526</v>
      </c>
      <c r="C187" s="78" t="s">
        <v>147</v>
      </c>
      <c r="D187" s="78" t="s">
        <v>148</v>
      </c>
      <c r="E187" s="67" t="s">
        <v>475</v>
      </c>
      <c r="F187" s="67" t="s">
        <v>408</v>
      </c>
      <c r="G187" s="67" t="str">
        <f>INDEX('[4]RT Description to Bill Matix'!$D:$D,MATCH(A187,'[4]RT Description to Bill Matix'!$M:$M,0))</f>
        <v>CDS PCS (CFC and Non-CFC)</v>
      </c>
      <c r="H187" s="67" t="s">
        <v>447</v>
      </c>
      <c r="I187" s="65" t="s">
        <v>147</v>
      </c>
      <c r="J187" s="65" t="str" cm="1">
        <f t="array" ref="J187">INDEX('Rate Table Service Desc XWalk'!F:F,MATCH(1,(G187='Rate Table Service Desc XWalk'!B:B)*(E187='Rate Table Service Desc XWalk'!A:A),0))</f>
        <v>9-5-144</v>
      </c>
      <c r="K187" s="66" t="s">
        <v>410</v>
      </c>
      <c r="L187" s="66" t="str">
        <f>INDEX('[6]Rate History'!$P:$P,MATCH(A187,'[6]Rate History'!$F:$F,0))</f>
        <v>15 minutes</v>
      </c>
      <c r="M187" s="77">
        <f>INDEX('[7]PDF DB Service Pivot'!$C:$C,MATCH(B187,'[7]PDF DB Service Pivot'!$B:$B,0))</f>
        <v>130</v>
      </c>
      <c r="N187" s="77">
        <f t="shared" si="29"/>
        <v>130</v>
      </c>
      <c r="O187" s="76">
        <f>INDEX('[7]PDF DB Service Pivot'!$D:$D,MATCH(B187,'[7]PDF DB Service Pivot'!$B:$B,0))</f>
        <v>357.42</v>
      </c>
      <c r="P187" s="91">
        <v>45170</v>
      </c>
      <c r="Q187" s="72">
        <v>3.44</v>
      </c>
      <c r="R187" s="81">
        <v>2.9499999999999997</v>
      </c>
      <c r="S187" s="354">
        <f t="shared" si="46"/>
        <v>0.85755813953488369</v>
      </c>
      <c r="T187" s="339">
        <v>0.25</v>
      </c>
      <c r="U187" s="81">
        <f t="shared" si="27"/>
        <v>0</v>
      </c>
      <c r="V187" s="81" cm="1">
        <f t="array" ref="V187">_xlfn.IFS('Fiscal by Program'!$B$7&lt;10.61,0,'Fiscal by Program'!$B$7&gt;10.6,(ROUND('Fiscal by Program'!$B$7*(1+IF(D187="Yes",'Fiscal by Program'!$B$9,'Fiscal by Program'!$B$8))*T187,2)))</f>
        <v>0</v>
      </c>
      <c r="W187" s="81">
        <f t="shared" si="30"/>
        <v>0</v>
      </c>
      <c r="X187" s="81">
        <f>ROUND((R187/(1+IF(D187="Yes",'Fiscal by Program'!$B$9,'Fiscal by Program'!$B$8))),2)+0.01</f>
        <v>2.67</v>
      </c>
      <c r="Y187" s="81">
        <f t="shared" si="31"/>
        <v>3.44</v>
      </c>
      <c r="Z187" s="88">
        <v>1</v>
      </c>
      <c r="AA187" s="90">
        <f t="shared" si="28"/>
        <v>0.25</v>
      </c>
      <c r="AB187" s="75">
        <f>INDEX('[9]Service List'!$K:$K,MATCH(A187,'[9]Service List'!$F:$F,0))</f>
        <v>1364</v>
      </c>
      <c r="AC187" s="73">
        <v>0</v>
      </c>
      <c r="AD187" s="67" t="s">
        <v>411</v>
      </c>
      <c r="AE187" s="66">
        <f t="shared" si="47"/>
        <v>1.095890410958904</v>
      </c>
      <c r="AF187" s="66">
        <f t="shared" si="48"/>
        <v>0</v>
      </c>
      <c r="AG187" s="70">
        <f>ROUND(INDEX('All Trends'!D:D,MATCH($AD187,'All Trends'!$C:$C,0)),4)</f>
        <v>1</v>
      </c>
      <c r="AH187" s="70">
        <f>ROUND(INDEX('All Trends'!E:E,MATCH($AD187,'All Trends'!$C:$C,0)),4)</f>
        <v>1</v>
      </c>
      <c r="AI187" s="70">
        <f>ROUND(INDEX('All Trends'!F:F,MATCH($AD187,'All Trends'!$C:$C,0)),4)</f>
        <v>1</v>
      </c>
      <c r="AJ187" s="70">
        <f>ROUND(INDEX('All Trends'!G:G,MATCH($AD187,'All Trends'!$C:$C,0)),4)</f>
        <v>1</v>
      </c>
      <c r="AK187" s="70">
        <f>ROUND(INDEX('All Trends'!H:H,MATCH($AD187,'All Trends'!$C:$C,0)),4)</f>
        <v>1</v>
      </c>
      <c r="AL187" s="74" t="s">
        <v>148</v>
      </c>
      <c r="AM187" s="92">
        <f t="shared" si="34"/>
        <v>32.5</v>
      </c>
      <c r="AN187" s="92">
        <f t="shared" si="35"/>
        <v>32.5</v>
      </c>
      <c r="AO187" s="69">
        <f t="shared" si="36"/>
        <v>0</v>
      </c>
      <c r="AP187" s="69">
        <f t="shared" si="37"/>
        <v>0</v>
      </c>
      <c r="AQ187" s="69">
        <f t="shared" si="38"/>
        <v>0</v>
      </c>
      <c r="AR187" s="69">
        <f t="shared" si="39"/>
        <v>0</v>
      </c>
      <c r="AS187" s="409"/>
      <c r="AT187" s="409"/>
      <c r="AU187" s="409"/>
    </row>
    <row r="188" spans="1:47">
      <c r="A188" s="67" t="s">
        <v>527</v>
      </c>
      <c r="B188" s="67" t="s">
        <v>528</v>
      </c>
      <c r="C188" s="78" t="s">
        <v>147</v>
      </c>
      <c r="D188" s="78" t="s">
        <v>148</v>
      </c>
      <c r="E188" s="67" t="s">
        <v>475</v>
      </c>
      <c r="F188" s="67" t="s">
        <v>408</v>
      </c>
      <c r="G188" s="67" t="str">
        <f>INDEX('[4]RT Description to Bill Matix'!$D:$D,MATCH(A188,'[4]RT Description to Bill Matix'!$M:$M,0))</f>
        <v>PCS (CFC and Non-CFC)</v>
      </c>
      <c r="H188" s="67" t="s">
        <v>460</v>
      </c>
      <c r="J188" s="65" t="str" cm="1">
        <f t="array" ref="J188">INDEX('Rate Table Service Desc XWalk'!F:F,MATCH(1,(G188='Rate Table Service Desc XWalk'!B:B)*(E188='Rate Table Service Desc XWalk'!A:A),0))</f>
        <v>9-1-80</v>
      </c>
      <c r="K188" s="66" t="s">
        <v>410</v>
      </c>
      <c r="L188" s="66" t="str">
        <f>INDEX('[6]Rate History'!$P:$P,MATCH(A188,'[6]Rate History'!$F:$F,0))</f>
        <v>15 minutes</v>
      </c>
      <c r="M188" s="77">
        <f>INDEX('[7]PDF DB Service Pivot'!$C:$C,MATCH(B188,'[7]PDF DB Service Pivot'!$B:$B,0))</f>
        <v>1041</v>
      </c>
      <c r="N188" s="77">
        <f t="shared" si="29"/>
        <v>1041</v>
      </c>
      <c r="O188" s="76">
        <f>INDEX('[7]PDF DB Service Pivot'!$D:$D,MATCH(B188,'[7]PDF DB Service Pivot'!$B:$B,0))</f>
        <v>3063.6</v>
      </c>
      <c r="P188" s="91">
        <v>45170</v>
      </c>
      <c r="Q188" s="72">
        <v>3.64</v>
      </c>
      <c r="R188" s="81">
        <v>2.9499999999999997</v>
      </c>
      <c r="S188" s="354">
        <f t="shared" si="46"/>
        <v>0.81043956043956034</v>
      </c>
      <c r="T188" s="339">
        <v>0.25</v>
      </c>
      <c r="U188" s="81">
        <f t="shared" si="27"/>
        <v>0</v>
      </c>
      <c r="V188" s="81" cm="1">
        <f t="array" ref="V188">_xlfn.IFS('Fiscal by Program'!$B$7&lt;10.61,0,'Fiscal by Program'!$B$7&gt;10.6,(ROUND('Fiscal by Program'!$B$7*(1+IF(D188="Yes",'Fiscal by Program'!$B$9,'Fiscal by Program'!$B$8))*T188,2)))</f>
        <v>0</v>
      </c>
      <c r="W188" s="81">
        <f t="shared" si="30"/>
        <v>0</v>
      </c>
      <c r="X188" s="81">
        <f>ROUND((R188/(1+IF(D188="Yes",'Fiscal by Program'!$B$9,'Fiscal by Program'!$B$8))),2)+0.01</f>
        <v>2.67</v>
      </c>
      <c r="Y188" s="81">
        <f t="shared" si="31"/>
        <v>3.64</v>
      </c>
      <c r="Z188" s="88">
        <v>1</v>
      </c>
      <c r="AA188" s="90">
        <f t="shared" si="28"/>
        <v>0.25</v>
      </c>
      <c r="AB188" s="75">
        <f>INDEX('[9]Service List'!$K:$K,MATCH(A188,'[9]Service List'!$F:$F,0))</f>
        <v>1360</v>
      </c>
      <c r="AC188" s="73" t="str">
        <f>INDEX('[5]Combined Bill Code List'!$P:$P,MATCH(A188,'[5]Combined Bill Code List'!$F:$F,0))</f>
        <v>CFC</v>
      </c>
      <c r="AD188" s="67" t="s">
        <v>411</v>
      </c>
      <c r="AE188" s="66">
        <f t="shared" si="47"/>
        <v>1.095890410958904</v>
      </c>
      <c r="AF188" s="66">
        <f t="shared" si="48"/>
        <v>-0.06</v>
      </c>
      <c r="AG188" s="70">
        <f>ROUND(INDEX('All Trends'!D:D,MATCH($AD188,'All Trends'!$C:$C,0)),4)</f>
        <v>1</v>
      </c>
      <c r="AH188" s="70">
        <f>ROUND(INDEX('All Trends'!E:E,MATCH($AD188,'All Trends'!$C:$C,0)),4)</f>
        <v>1</v>
      </c>
      <c r="AI188" s="70">
        <f>ROUND(INDEX('All Trends'!F:F,MATCH($AD188,'All Trends'!$C:$C,0)),4)</f>
        <v>1</v>
      </c>
      <c r="AJ188" s="70">
        <f>ROUND(INDEX('All Trends'!G:G,MATCH($AD188,'All Trends'!$C:$C,0)),4)</f>
        <v>1</v>
      </c>
      <c r="AK188" s="70">
        <f>ROUND(INDEX('All Trends'!H:H,MATCH($AD188,'All Trends'!$C:$C,0)),4)</f>
        <v>1</v>
      </c>
      <c r="AL188" s="74" t="s">
        <v>148</v>
      </c>
      <c r="AM188" s="92">
        <f t="shared" si="34"/>
        <v>260.25</v>
      </c>
      <c r="AN188" s="92">
        <f t="shared" si="35"/>
        <v>260.25</v>
      </c>
      <c r="AO188" s="69">
        <f t="shared" si="36"/>
        <v>0</v>
      </c>
      <c r="AP188" s="69">
        <f t="shared" si="37"/>
        <v>0</v>
      </c>
      <c r="AQ188" s="69">
        <f t="shared" si="38"/>
        <v>0</v>
      </c>
      <c r="AR188" s="69">
        <f t="shared" si="39"/>
        <v>0</v>
      </c>
      <c r="AS188" s="409"/>
      <c r="AT188" s="409"/>
      <c r="AU188" s="409"/>
    </row>
    <row r="189" spans="1:47">
      <c r="A189" s="67" t="s">
        <v>527</v>
      </c>
      <c r="B189" s="67" t="s">
        <v>529</v>
      </c>
      <c r="C189" s="78" t="s">
        <v>147</v>
      </c>
      <c r="D189" s="78" t="s">
        <v>148</v>
      </c>
      <c r="E189" s="67" t="s">
        <v>475</v>
      </c>
      <c r="F189" s="67" t="s">
        <v>408</v>
      </c>
      <c r="G189" s="67" t="str">
        <f>INDEX('[4]RT Description to Bill Matix'!$D:$D,MATCH(A189,'[4]RT Description to Bill Matix'!$M:$M,0))</f>
        <v>PCS (CFC and Non-CFC)</v>
      </c>
      <c r="H189" s="67" t="s">
        <v>460</v>
      </c>
      <c r="J189" s="65" t="str" cm="1">
        <f t="array" ref="J189">INDEX('Rate Table Service Desc XWalk'!F:F,MATCH(1,(G189='Rate Table Service Desc XWalk'!B:B)*(E189='Rate Table Service Desc XWalk'!A:A),0))</f>
        <v>9-1-80</v>
      </c>
      <c r="K189" s="66" t="s">
        <v>410</v>
      </c>
      <c r="L189" s="66" t="str">
        <f>INDEX('[6]Rate History'!$P:$P,MATCH(A189,'[6]Rate History'!$F:$F,0))</f>
        <v>15 minutes</v>
      </c>
      <c r="M189" s="77">
        <f>INDEX('[7]PDF DB Service Pivot'!$C:$C,MATCH(B189,'[7]PDF DB Service Pivot'!$B:$B,0))</f>
        <v>29598</v>
      </c>
      <c r="N189" s="77">
        <f t="shared" si="29"/>
        <v>29598</v>
      </c>
      <c r="O189" s="76">
        <f>INDEX('[7]PDF DB Service Pivot'!$D:$D,MATCH(B189,'[7]PDF DB Service Pivot'!$B:$B,0))</f>
        <v>87190.96</v>
      </c>
      <c r="P189" s="91">
        <v>45170</v>
      </c>
      <c r="Q189" s="72">
        <v>3.64</v>
      </c>
      <c r="R189" s="81">
        <v>2.9499999999999997</v>
      </c>
      <c r="S189" s="354">
        <f t="shared" si="46"/>
        <v>0.81043956043956034</v>
      </c>
      <c r="T189" s="339">
        <v>0.25</v>
      </c>
      <c r="U189" s="81">
        <f t="shared" ref="U189:U252" si="49">ROUND(V189/Z189,2)</f>
        <v>0</v>
      </c>
      <c r="V189" s="81" cm="1">
        <f t="array" ref="V189">_xlfn.IFS('Fiscal by Program'!$B$7&lt;10.61,0,'Fiscal by Program'!$B$7&gt;10.6,(ROUND('Fiscal by Program'!$B$7*(1+IF(D189="Yes",'Fiscal by Program'!$B$9,'Fiscal by Program'!$B$8))*T189,2)))</f>
        <v>0</v>
      </c>
      <c r="W189" s="81">
        <f t="shared" si="30"/>
        <v>0</v>
      </c>
      <c r="X189" s="81">
        <f>ROUND((R189/(1+IF(D189="Yes",'Fiscal by Program'!$B$9,'Fiscal by Program'!$B$8))),2)+0.01</f>
        <v>2.67</v>
      </c>
      <c r="Y189" s="81">
        <f t="shared" si="31"/>
        <v>3.64</v>
      </c>
      <c r="Z189" s="88">
        <v>1</v>
      </c>
      <c r="AA189" s="90">
        <f t="shared" ref="AA189:AA252" si="50">T189/Z189</f>
        <v>0.25</v>
      </c>
      <c r="AB189" s="75">
        <f>INDEX('[9]Service List'!$K:$K,MATCH(A189,'[9]Service List'!$F:$F,0))</f>
        <v>1360</v>
      </c>
      <c r="AC189" s="73" t="str">
        <f>INDEX('[5]Combined Bill Code List'!$P:$P,MATCH(A189,'[5]Combined Bill Code List'!$F:$F,0))</f>
        <v>CFC</v>
      </c>
      <c r="AD189" s="67" t="s">
        <v>411</v>
      </c>
      <c r="AE189" s="66">
        <f t="shared" si="47"/>
        <v>1.095890410958904</v>
      </c>
      <c r="AF189" s="66">
        <f t="shared" si="48"/>
        <v>-0.06</v>
      </c>
      <c r="AG189" s="70">
        <f>ROUND(INDEX('All Trends'!D:D,MATCH($AD189,'All Trends'!$C:$C,0)),4)</f>
        <v>1</v>
      </c>
      <c r="AH189" s="70">
        <f>ROUND(INDEX('All Trends'!E:E,MATCH($AD189,'All Trends'!$C:$C,0)),4)</f>
        <v>1</v>
      </c>
      <c r="AI189" s="70">
        <f>ROUND(INDEX('All Trends'!F:F,MATCH($AD189,'All Trends'!$C:$C,0)),4)</f>
        <v>1</v>
      </c>
      <c r="AJ189" s="70">
        <f>ROUND(INDEX('All Trends'!G:G,MATCH($AD189,'All Trends'!$C:$C,0)),4)</f>
        <v>1</v>
      </c>
      <c r="AK189" s="70">
        <f>ROUND(INDEX('All Trends'!H:H,MATCH($AD189,'All Trends'!$C:$C,0)),4)</f>
        <v>1</v>
      </c>
      <c r="AL189" s="74" t="s">
        <v>148</v>
      </c>
      <c r="AM189" s="92">
        <f t="shared" si="34"/>
        <v>7399.5</v>
      </c>
      <c r="AN189" s="92">
        <f t="shared" si="35"/>
        <v>7399.5</v>
      </c>
      <c r="AO189" s="69">
        <f t="shared" si="36"/>
        <v>0</v>
      </c>
      <c r="AP189" s="69">
        <f t="shared" si="37"/>
        <v>0</v>
      </c>
      <c r="AQ189" s="69">
        <f t="shared" si="38"/>
        <v>0</v>
      </c>
      <c r="AR189" s="69">
        <f t="shared" si="39"/>
        <v>0</v>
      </c>
      <c r="AS189" s="409"/>
      <c r="AT189" s="409"/>
      <c r="AU189" s="409"/>
    </row>
    <row r="190" spans="1:47">
      <c r="A190" s="67" t="s">
        <v>527</v>
      </c>
      <c r="B190" s="67" t="s">
        <v>530</v>
      </c>
      <c r="C190" s="78" t="s">
        <v>147</v>
      </c>
      <c r="D190" s="78" t="s">
        <v>148</v>
      </c>
      <c r="E190" s="67" t="s">
        <v>475</v>
      </c>
      <c r="F190" s="67" t="s">
        <v>408</v>
      </c>
      <c r="G190" s="67" t="str">
        <f>INDEX('[4]RT Description to Bill Matix'!$D:$D,MATCH(A190,'[4]RT Description to Bill Matix'!$M:$M,0))</f>
        <v>PCS (CFC and Non-CFC)</v>
      </c>
      <c r="H190" s="67" t="s">
        <v>460</v>
      </c>
      <c r="J190" s="65" t="str" cm="1">
        <f t="array" ref="J190">INDEX('Rate Table Service Desc XWalk'!F:F,MATCH(1,(G190='Rate Table Service Desc XWalk'!B:B)*(E190='Rate Table Service Desc XWalk'!A:A),0))</f>
        <v>9-1-80</v>
      </c>
      <c r="K190" s="66" t="s">
        <v>410</v>
      </c>
      <c r="L190" s="66" t="str">
        <f>INDEX('[6]Rate History'!$P:$P,MATCH(A190,'[6]Rate History'!$F:$F,0))</f>
        <v>15 minutes</v>
      </c>
      <c r="M190" s="77">
        <f>INDEX('[7]PDF DB Service Pivot'!$C:$C,MATCH(B190,'[7]PDF DB Service Pivot'!$B:$B,0))</f>
        <v>206555</v>
      </c>
      <c r="N190" s="77">
        <f t="shared" si="29"/>
        <v>206555</v>
      </c>
      <c r="O190" s="76">
        <f>INDEX('[7]PDF DB Service Pivot'!$D:$D,MATCH(B190,'[7]PDF DB Service Pivot'!$B:$B,0))</f>
        <v>606126.30000000005</v>
      </c>
      <c r="P190" s="91">
        <v>45170</v>
      </c>
      <c r="Q190" s="72">
        <v>3.64</v>
      </c>
      <c r="R190" s="81">
        <v>2.9499999999999997</v>
      </c>
      <c r="S190" s="354">
        <f t="shared" si="46"/>
        <v>0.81043956043956034</v>
      </c>
      <c r="T190" s="339">
        <v>0.25</v>
      </c>
      <c r="U190" s="81">
        <f t="shared" si="49"/>
        <v>0</v>
      </c>
      <c r="V190" s="81" cm="1">
        <f t="array" ref="V190">_xlfn.IFS('Fiscal by Program'!$B$7&lt;10.61,0,'Fiscal by Program'!$B$7&gt;10.6,(ROUND('Fiscal by Program'!$B$7*(1+IF(D190="Yes",'Fiscal by Program'!$B$9,'Fiscal by Program'!$B$8))*T190,2)))</f>
        <v>0</v>
      </c>
      <c r="W190" s="81">
        <f t="shared" si="30"/>
        <v>0</v>
      </c>
      <c r="X190" s="81">
        <f>ROUND((R190/(1+IF(D190="Yes",'Fiscal by Program'!$B$9,'Fiscal by Program'!$B$8))),2)+0.01</f>
        <v>2.67</v>
      </c>
      <c r="Y190" s="81">
        <f t="shared" si="31"/>
        <v>3.64</v>
      </c>
      <c r="Z190" s="88">
        <v>1</v>
      </c>
      <c r="AA190" s="90">
        <f t="shared" si="50"/>
        <v>0.25</v>
      </c>
      <c r="AB190" s="75">
        <f>INDEX('[9]Service List'!$K:$K,MATCH(A190,'[9]Service List'!$F:$F,0))</f>
        <v>1360</v>
      </c>
      <c r="AC190" s="73" t="str">
        <f>INDEX('[5]Combined Bill Code List'!$P:$P,MATCH(A190,'[5]Combined Bill Code List'!$F:$F,0))</f>
        <v>CFC</v>
      </c>
      <c r="AD190" s="67" t="s">
        <v>411</v>
      </c>
      <c r="AE190" s="66">
        <f t="shared" si="47"/>
        <v>1.095890410958904</v>
      </c>
      <c r="AF190" s="66">
        <f t="shared" si="48"/>
        <v>-0.06</v>
      </c>
      <c r="AG190" s="70">
        <f>ROUND(INDEX('All Trends'!D:D,MATCH($AD190,'All Trends'!$C:$C,0)),4)</f>
        <v>1</v>
      </c>
      <c r="AH190" s="70">
        <f>ROUND(INDEX('All Trends'!E:E,MATCH($AD190,'All Trends'!$C:$C,0)),4)</f>
        <v>1</v>
      </c>
      <c r="AI190" s="70">
        <f>ROUND(INDEX('All Trends'!F:F,MATCH($AD190,'All Trends'!$C:$C,0)),4)</f>
        <v>1</v>
      </c>
      <c r="AJ190" s="70">
        <f>ROUND(INDEX('All Trends'!G:G,MATCH($AD190,'All Trends'!$C:$C,0)),4)</f>
        <v>1</v>
      </c>
      <c r="AK190" s="70">
        <f>ROUND(INDEX('All Trends'!H:H,MATCH($AD190,'All Trends'!$C:$C,0)),4)</f>
        <v>1</v>
      </c>
      <c r="AL190" s="74" t="s">
        <v>148</v>
      </c>
      <c r="AM190" s="92">
        <f t="shared" si="34"/>
        <v>51638.75</v>
      </c>
      <c r="AN190" s="92">
        <f t="shared" si="35"/>
        <v>51638.75</v>
      </c>
      <c r="AO190" s="69">
        <f t="shared" si="36"/>
        <v>0</v>
      </c>
      <c r="AP190" s="69">
        <f t="shared" si="37"/>
        <v>0</v>
      </c>
      <c r="AQ190" s="69">
        <f t="shared" si="38"/>
        <v>0</v>
      </c>
      <c r="AR190" s="69">
        <f t="shared" si="39"/>
        <v>0</v>
      </c>
      <c r="AS190" s="409"/>
      <c r="AT190" s="409"/>
      <c r="AU190" s="409"/>
    </row>
    <row r="191" spans="1:47">
      <c r="A191" s="67" t="s">
        <v>527</v>
      </c>
      <c r="B191" s="67" t="s">
        <v>531</v>
      </c>
      <c r="C191" s="78" t="s">
        <v>147</v>
      </c>
      <c r="D191" s="78" t="s">
        <v>148</v>
      </c>
      <c r="E191" s="67" t="s">
        <v>475</v>
      </c>
      <c r="F191" s="67" t="s">
        <v>408</v>
      </c>
      <c r="G191" s="67" t="str">
        <f>INDEX('[4]RT Description to Bill Matix'!$D:$D,MATCH(A191,'[4]RT Description to Bill Matix'!$M:$M,0))</f>
        <v>PCS (CFC and Non-CFC)</v>
      </c>
      <c r="H191" s="67" t="s">
        <v>460</v>
      </c>
      <c r="J191" s="65" t="str" cm="1">
        <f t="array" ref="J191">INDEX('Rate Table Service Desc XWalk'!F:F,MATCH(1,(G191='Rate Table Service Desc XWalk'!B:B)*(E191='Rate Table Service Desc XWalk'!A:A),0))</f>
        <v>9-1-80</v>
      </c>
      <c r="K191" s="66" t="s">
        <v>410</v>
      </c>
      <c r="L191" s="66" t="str">
        <f>INDEX('[6]Rate History'!$P:$P,MATCH(A191,'[6]Rate History'!$F:$F,0))</f>
        <v>15 minutes</v>
      </c>
      <c r="M191" s="77">
        <f>INDEX('[7]PDF DB Service Pivot'!$C:$C,MATCH(B191,'[7]PDF DB Service Pivot'!$B:$B,0))</f>
        <v>224258</v>
      </c>
      <c r="N191" s="77">
        <f t="shared" si="29"/>
        <v>224258</v>
      </c>
      <c r="O191" s="76">
        <f>INDEX('[7]PDF DB Service Pivot'!$D:$D,MATCH(B191,'[7]PDF DB Service Pivot'!$B:$B,0))</f>
        <v>654765.04999999993</v>
      </c>
      <c r="P191" s="91">
        <v>45170</v>
      </c>
      <c r="Q191" s="72">
        <v>3.64</v>
      </c>
      <c r="R191" s="81">
        <v>2.9499999999999997</v>
      </c>
      <c r="S191" s="354">
        <f t="shared" si="46"/>
        <v>0.81043956043956034</v>
      </c>
      <c r="T191" s="339">
        <v>0.25</v>
      </c>
      <c r="U191" s="81">
        <f t="shared" si="49"/>
        <v>0</v>
      </c>
      <c r="V191" s="81" cm="1">
        <f t="array" ref="V191">_xlfn.IFS('Fiscal by Program'!$B$7&lt;10.61,0,'Fiscal by Program'!$B$7&gt;10.6,(ROUND('Fiscal by Program'!$B$7*(1+IF(D191="Yes",'Fiscal by Program'!$B$9,'Fiscal by Program'!$B$8))*T191,2)))</f>
        <v>0</v>
      </c>
      <c r="W191" s="81">
        <f t="shared" si="30"/>
        <v>0</v>
      </c>
      <c r="X191" s="81">
        <f>ROUND((R191/(1+IF(D191="Yes",'Fiscal by Program'!$B$9,'Fiscal by Program'!$B$8))),2)+0.01</f>
        <v>2.67</v>
      </c>
      <c r="Y191" s="81">
        <f t="shared" si="31"/>
        <v>3.64</v>
      </c>
      <c r="Z191" s="88">
        <v>1</v>
      </c>
      <c r="AA191" s="90">
        <f t="shared" si="50"/>
        <v>0.25</v>
      </c>
      <c r="AB191" s="75">
        <f>INDEX('[9]Service List'!$K:$K,MATCH(A191,'[9]Service List'!$F:$F,0))</f>
        <v>1360</v>
      </c>
      <c r="AC191" s="73" t="str">
        <f>INDEX('[5]Combined Bill Code List'!$P:$P,MATCH(A191,'[5]Combined Bill Code List'!$F:$F,0))</f>
        <v>CFC</v>
      </c>
      <c r="AD191" s="67" t="s">
        <v>411</v>
      </c>
      <c r="AE191" s="66">
        <f t="shared" si="47"/>
        <v>1.095890410958904</v>
      </c>
      <c r="AF191" s="66">
        <f t="shared" si="48"/>
        <v>-0.06</v>
      </c>
      <c r="AG191" s="70">
        <f>ROUND(INDEX('All Trends'!D:D,MATCH($AD191,'All Trends'!$C:$C,0)),4)</f>
        <v>1</v>
      </c>
      <c r="AH191" s="70">
        <f>ROUND(INDEX('All Trends'!E:E,MATCH($AD191,'All Trends'!$C:$C,0)),4)</f>
        <v>1</v>
      </c>
      <c r="AI191" s="70">
        <f>ROUND(INDEX('All Trends'!F:F,MATCH($AD191,'All Trends'!$C:$C,0)),4)</f>
        <v>1</v>
      </c>
      <c r="AJ191" s="70">
        <f>ROUND(INDEX('All Trends'!G:G,MATCH($AD191,'All Trends'!$C:$C,0)),4)</f>
        <v>1</v>
      </c>
      <c r="AK191" s="70">
        <f>ROUND(INDEX('All Trends'!H:H,MATCH($AD191,'All Trends'!$C:$C,0)),4)</f>
        <v>1</v>
      </c>
      <c r="AL191" s="74" t="s">
        <v>148</v>
      </c>
      <c r="AM191" s="92">
        <f t="shared" si="34"/>
        <v>56064.5</v>
      </c>
      <c r="AN191" s="92">
        <f t="shared" si="35"/>
        <v>56064.5</v>
      </c>
      <c r="AO191" s="69">
        <f t="shared" si="36"/>
        <v>0</v>
      </c>
      <c r="AP191" s="69">
        <f t="shared" si="37"/>
        <v>0</v>
      </c>
      <c r="AQ191" s="69">
        <f t="shared" si="38"/>
        <v>0</v>
      </c>
      <c r="AR191" s="69">
        <f t="shared" si="39"/>
        <v>0</v>
      </c>
      <c r="AS191" s="409"/>
      <c r="AT191" s="409"/>
      <c r="AU191" s="409"/>
    </row>
    <row r="192" spans="1:47">
      <c r="A192" s="67" t="s">
        <v>527</v>
      </c>
      <c r="B192" s="67" t="s">
        <v>532</v>
      </c>
      <c r="C192" s="78" t="s">
        <v>147</v>
      </c>
      <c r="D192" s="78" t="s">
        <v>148</v>
      </c>
      <c r="E192" s="67" t="s">
        <v>475</v>
      </c>
      <c r="F192" s="67" t="s">
        <v>408</v>
      </c>
      <c r="G192" s="67" t="str">
        <f>INDEX('[4]RT Description to Bill Matix'!$D:$D,MATCH(A192,'[4]RT Description to Bill Matix'!$M:$M,0))</f>
        <v>PCS (CFC and Non-CFC)</v>
      </c>
      <c r="H192" s="67" t="s">
        <v>460</v>
      </c>
      <c r="J192" s="65" t="str" cm="1">
        <f t="array" ref="J192">INDEX('Rate Table Service Desc XWalk'!F:F,MATCH(1,(G192='Rate Table Service Desc XWalk'!B:B)*(E192='Rate Table Service Desc XWalk'!A:A),0))</f>
        <v>9-1-80</v>
      </c>
      <c r="K192" s="66" t="s">
        <v>410</v>
      </c>
      <c r="L192" s="66" t="str">
        <f>INDEX('[6]Rate History'!$P:$P,MATCH(A192,'[6]Rate History'!$F:$F,0))</f>
        <v>15 minutes</v>
      </c>
      <c r="M192" s="77">
        <f>INDEX('[7]PDF DB Service Pivot'!$C:$C,MATCH(B192,'[7]PDF DB Service Pivot'!$B:$B,0))</f>
        <v>477782</v>
      </c>
      <c r="N192" s="77">
        <f t="shared" si="29"/>
        <v>477782</v>
      </c>
      <c r="O192" s="76">
        <f>INDEX('[7]PDF DB Service Pivot'!$D:$D,MATCH(B192,'[7]PDF DB Service Pivot'!$B:$B,0))</f>
        <v>1395884.8399999999</v>
      </c>
      <c r="P192" s="91">
        <v>45170</v>
      </c>
      <c r="Q192" s="72">
        <v>3.64</v>
      </c>
      <c r="R192" s="81">
        <v>2.9499999999999997</v>
      </c>
      <c r="S192" s="354">
        <f t="shared" si="46"/>
        <v>0.81043956043956034</v>
      </c>
      <c r="T192" s="339">
        <v>0.25</v>
      </c>
      <c r="U192" s="81">
        <f t="shared" si="49"/>
        <v>0</v>
      </c>
      <c r="V192" s="81" cm="1">
        <f t="array" ref="V192">_xlfn.IFS('Fiscal by Program'!$B$7&lt;10.61,0,'Fiscal by Program'!$B$7&gt;10.6,(ROUND('Fiscal by Program'!$B$7*(1+IF(D192="Yes",'Fiscal by Program'!$B$9,'Fiscal by Program'!$B$8))*T192,2)))</f>
        <v>0</v>
      </c>
      <c r="W192" s="81">
        <f t="shared" si="30"/>
        <v>0</v>
      </c>
      <c r="X192" s="81">
        <f>ROUND((R192/(1+IF(D192="Yes",'Fiscal by Program'!$B$9,'Fiscal by Program'!$B$8))),2)+0.01</f>
        <v>2.67</v>
      </c>
      <c r="Y192" s="81">
        <f t="shared" si="31"/>
        <v>3.64</v>
      </c>
      <c r="Z192" s="88">
        <v>1</v>
      </c>
      <c r="AA192" s="90">
        <f t="shared" si="50"/>
        <v>0.25</v>
      </c>
      <c r="AB192" s="75">
        <f>INDEX('[9]Service List'!$K:$K,MATCH(A192,'[9]Service List'!$F:$F,0))</f>
        <v>1360</v>
      </c>
      <c r="AC192" s="73" t="str">
        <f>INDEX('[5]Combined Bill Code List'!$P:$P,MATCH(A192,'[5]Combined Bill Code List'!$F:$F,0))</f>
        <v>CFC</v>
      </c>
      <c r="AD192" s="67" t="s">
        <v>411</v>
      </c>
      <c r="AE192" s="66">
        <f t="shared" si="47"/>
        <v>1.095890410958904</v>
      </c>
      <c r="AF192" s="66">
        <f t="shared" si="48"/>
        <v>-0.06</v>
      </c>
      <c r="AG192" s="70">
        <f>ROUND(INDEX('All Trends'!D:D,MATCH($AD192,'All Trends'!$C:$C,0)),4)</f>
        <v>1</v>
      </c>
      <c r="AH192" s="70">
        <f>ROUND(INDEX('All Trends'!E:E,MATCH($AD192,'All Trends'!$C:$C,0)),4)</f>
        <v>1</v>
      </c>
      <c r="AI192" s="70">
        <f>ROUND(INDEX('All Trends'!F:F,MATCH($AD192,'All Trends'!$C:$C,0)),4)</f>
        <v>1</v>
      </c>
      <c r="AJ192" s="70">
        <f>ROUND(INDEX('All Trends'!G:G,MATCH($AD192,'All Trends'!$C:$C,0)),4)</f>
        <v>1</v>
      </c>
      <c r="AK192" s="70">
        <f>ROUND(INDEX('All Trends'!H:H,MATCH($AD192,'All Trends'!$C:$C,0)),4)</f>
        <v>1</v>
      </c>
      <c r="AL192" s="74" t="s">
        <v>148</v>
      </c>
      <c r="AM192" s="92">
        <f t="shared" si="34"/>
        <v>119445.5</v>
      </c>
      <c r="AN192" s="92">
        <f t="shared" si="35"/>
        <v>119445.5</v>
      </c>
      <c r="AO192" s="69">
        <f t="shared" si="36"/>
        <v>0</v>
      </c>
      <c r="AP192" s="69">
        <f t="shared" si="37"/>
        <v>0</v>
      </c>
      <c r="AQ192" s="69">
        <f t="shared" si="38"/>
        <v>0</v>
      </c>
      <c r="AR192" s="69">
        <f t="shared" si="39"/>
        <v>0</v>
      </c>
      <c r="AS192" s="409"/>
      <c r="AT192" s="409"/>
      <c r="AU192" s="409"/>
    </row>
    <row r="193" spans="1:47">
      <c r="A193" s="67" t="s">
        <v>527</v>
      </c>
      <c r="B193" s="67" t="s">
        <v>533</v>
      </c>
      <c r="C193" s="78" t="s">
        <v>147</v>
      </c>
      <c r="D193" s="78" t="s">
        <v>148</v>
      </c>
      <c r="E193" s="67" t="s">
        <v>475</v>
      </c>
      <c r="F193" s="67" t="s">
        <v>408</v>
      </c>
      <c r="G193" s="67" t="str">
        <f>INDEX('[4]RT Description to Bill Matix'!$D:$D,MATCH(A193,'[4]RT Description to Bill Matix'!$M:$M,0))</f>
        <v>PCS (CFC and Non-CFC)</v>
      </c>
      <c r="H193" s="67" t="s">
        <v>460</v>
      </c>
      <c r="J193" s="65" t="str" cm="1">
        <f t="array" ref="J193">INDEX('Rate Table Service Desc XWalk'!F:F,MATCH(1,(G193='Rate Table Service Desc XWalk'!B:B)*(E193='Rate Table Service Desc XWalk'!A:A),0))</f>
        <v>9-1-80</v>
      </c>
      <c r="K193" s="66" t="s">
        <v>410</v>
      </c>
      <c r="L193" s="66" t="str">
        <f>INDEX('[6]Rate History'!$P:$P,MATCH(A193,'[6]Rate History'!$F:$F,0))</f>
        <v>15 minutes</v>
      </c>
      <c r="M193" s="77">
        <f>INDEX('[7]PDF DB Service Pivot'!$C:$C,MATCH(B193,'[7]PDF DB Service Pivot'!$B:$B,0))</f>
        <v>14679</v>
      </c>
      <c r="N193" s="77">
        <f t="shared" si="29"/>
        <v>14679</v>
      </c>
      <c r="O193" s="76">
        <f>INDEX('[7]PDF DB Service Pivot'!$D:$D,MATCH(B193,'[7]PDF DB Service Pivot'!$B:$B,0))</f>
        <v>43297.77</v>
      </c>
      <c r="P193" s="91">
        <v>45170</v>
      </c>
      <c r="Q193" s="72">
        <v>3.64</v>
      </c>
      <c r="R193" s="81">
        <v>2.9499999999999997</v>
      </c>
      <c r="S193" s="354">
        <f t="shared" si="46"/>
        <v>0.81043956043956034</v>
      </c>
      <c r="T193" s="339">
        <v>0.25</v>
      </c>
      <c r="U193" s="81">
        <f t="shared" si="49"/>
        <v>0</v>
      </c>
      <c r="V193" s="81" cm="1">
        <f t="array" ref="V193">_xlfn.IFS('Fiscal by Program'!$B$7&lt;10.61,0,'Fiscal by Program'!$B$7&gt;10.6,(ROUND('Fiscal by Program'!$B$7*(1+IF(D193="Yes",'Fiscal by Program'!$B$9,'Fiscal by Program'!$B$8))*T193,2)))</f>
        <v>0</v>
      </c>
      <c r="W193" s="81">
        <f t="shared" si="30"/>
        <v>0</v>
      </c>
      <c r="X193" s="81">
        <f>ROUND((R193/(1+IF(D193="Yes",'Fiscal by Program'!$B$9,'Fiscal by Program'!$B$8))),2)+0.01</f>
        <v>2.67</v>
      </c>
      <c r="Y193" s="81">
        <f t="shared" si="31"/>
        <v>3.64</v>
      </c>
      <c r="Z193" s="88">
        <v>1</v>
      </c>
      <c r="AA193" s="90">
        <f t="shared" si="50"/>
        <v>0.25</v>
      </c>
      <c r="AB193" s="75">
        <f>INDEX('[9]Service List'!$K:$K,MATCH(A193,'[9]Service List'!$F:$F,0))</f>
        <v>1360</v>
      </c>
      <c r="AC193" s="73" t="str">
        <f>INDEX('[5]Combined Bill Code List'!$P:$P,MATCH(A193,'[5]Combined Bill Code List'!$F:$F,0))</f>
        <v>CFC</v>
      </c>
      <c r="AD193" s="67" t="s">
        <v>411</v>
      </c>
      <c r="AE193" s="66">
        <f t="shared" si="47"/>
        <v>1.095890410958904</v>
      </c>
      <c r="AF193" s="66">
        <f t="shared" si="48"/>
        <v>-0.06</v>
      </c>
      <c r="AG193" s="70">
        <f>ROUND(INDEX('All Trends'!D:D,MATCH($AD193,'All Trends'!$C:$C,0)),4)</f>
        <v>1</v>
      </c>
      <c r="AH193" s="70">
        <f>ROUND(INDEX('All Trends'!E:E,MATCH($AD193,'All Trends'!$C:$C,0)),4)</f>
        <v>1</v>
      </c>
      <c r="AI193" s="70">
        <f>ROUND(INDEX('All Trends'!F:F,MATCH($AD193,'All Trends'!$C:$C,0)),4)</f>
        <v>1</v>
      </c>
      <c r="AJ193" s="70">
        <f>ROUND(INDEX('All Trends'!G:G,MATCH($AD193,'All Trends'!$C:$C,0)),4)</f>
        <v>1</v>
      </c>
      <c r="AK193" s="70">
        <f>ROUND(INDEX('All Trends'!H:H,MATCH($AD193,'All Trends'!$C:$C,0)),4)</f>
        <v>1</v>
      </c>
      <c r="AL193" s="74" t="s">
        <v>148</v>
      </c>
      <c r="AM193" s="92">
        <f t="shared" si="34"/>
        <v>3669.75</v>
      </c>
      <c r="AN193" s="92">
        <f t="shared" si="35"/>
        <v>3669.75</v>
      </c>
      <c r="AO193" s="69">
        <f t="shared" si="36"/>
        <v>0</v>
      </c>
      <c r="AP193" s="69">
        <f t="shared" si="37"/>
        <v>0</v>
      </c>
      <c r="AQ193" s="69">
        <f t="shared" si="38"/>
        <v>0</v>
      </c>
      <c r="AR193" s="69">
        <f t="shared" si="39"/>
        <v>0</v>
      </c>
      <c r="AS193" s="409"/>
      <c r="AT193" s="409"/>
      <c r="AU193" s="409"/>
    </row>
    <row r="194" spans="1:47">
      <c r="A194" s="67" t="s">
        <v>534</v>
      </c>
      <c r="B194" s="67" t="s">
        <v>535</v>
      </c>
      <c r="C194" s="78" t="s">
        <v>147</v>
      </c>
      <c r="D194" s="78" t="s">
        <v>148</v>
      </c>
      <c r="E194" s="67" t="s">
        <v>475</v>
      </c>
      <c r="F194" s="67" t="s">
        <v>408</v>
      </c>
      <c r="G194" s="67" t="str">
        <f>INDEX('[4]RT Description to Bill Matix'!$D:$D,MATCH(A194,'[4]RT Description to Bill Matix'!$M:$M,0))</f>
        <v>PCS (CFC and Non-CFC)</v>
      </c>
      <c r="H194" s="67" t="s">
        <v>536</v>
      </c>
      <c r="J194" s="65" t="str" cm="1">
        <f t="array" ref="J194">INDEX('Rate Table Service Desc XWalk'!F:F,MATCH(1,(G194='Rate Table Service Desc XWalk'!B:B)*(E194='Rate Table Service Desc XWalk'!A:A),0))</f>
        <v>9-1-80</v>
      </c>
      <c r="K194" s="66" t="s">
        <v>410</v>
      </c>
      <c r="L194" s="66" t="str">
        <f>INDEX('[6]Rate History'!$P:$P,MATCH(A194,'[6]Rate History'!$F:$F,0))</f>
        <v>15 minutes</v>
      </c>
      <c r="M194" s="77">
        <f>INDEX('[7]PDF DB Service Pivot'!$C:$C,MATCH(B194,'[7]PDF DB Service Pivot'!$B:$B,0))</f>
        <v>1022</v>
      </c>
      <c r="N194" s="77">
        <f t="shared" si="29"/>
        <v>1022</v>
      </c>
      <c r="O194" s="76">
        <f>INDEX('[7]PDF DB Service Pivot'!$D:$D,MATCH(B194,'[7]PDF DB Service Pivot'!$B:$B,0))</f>
        <v>3014.9</v>
      </c>
      <c r="P194" s="91">
        <v>45170</v>
      </c>
      <c r="Q194" s="72">
        <v>3.64</v>
      </c>
      <c r="R194" s="81">
        <v>2.9499999999999997</v>
      </c>
      <c r="S194" s="354">
        <f t="shared" si="46"/>
        <v>0.81043956043956034</v>
      </c>
      <c r="T194" s="339">
        <v>0.25</v>
      </c>
      <c r="U194" s="81">
        <f t="shared" si="49"/>
        <v>0</v>
      </c>
      <c r="V194" s="81" cm="1">
        <f t="array" ref="V194">_xlfn.IFS('Fiscal by Program'!$B$7&lt;10.61,0,'Fiscal by Program'!$B$7&gt;10.6,(ROUND('Fiscal by Program'!$B$7*(1+IF(D194="Yes",'Fiscal by Program'!$B$9,'Fiscal by Program'!$B$8))*T194,2)))</f>
        <v>0</v>
      </c>
      <c r="W194" s="81">
        <f t="shared" si="30"/>
        <v>0</v>
      </c>
      <c r="X194" s="81">
        <f>ROUND((R194/(1+IF(D194="Yes",'Fiscal by Program'!$B$9,'Fiscal by Program'!$B$8))),2)+0.01</f>
        <v>2.67</v>
      </c>
      <c r="Y194" s="81">
        <f t="shared" si="31"/>
        <v>3.64</v>
      </c>
      <c r="Z194" s="88">
        <v>1</v>
      </c>
      <c r="AA194" s="90">
        <f t="shared" si="50"/>
        <v>0.25</v>
      </c>
      <c r="AB194" s="75">
        <f>INDEX('[9]Service List'!$K:$K,MATCH(A194,'[9]Service List'!$F:$F,0))</f>
        <v>1365</v>
      </c>
      <c r="AC194" s="73" t="str">
        <f>INDEX('[5]Combined Bill Code List'!$P:$P,MATCH(A194,'[5]Combined Bill Code List'!$F:$F,0))</f>
        <v>CFC</v>
      </c>
      <c r="AD194" s="67" t="s">
        <v>411</v>
      </c>
      <c r="AE194" s="66">
        <f t="shared" si="47"/>
        <v>1.095890410958904</v>
      </c>
      <c r="AF194" s="66">
        <f t="shared" si="48"/>
        <v>-0.06</v>
      </c>
      <c r="AG194" s="70">
        <f>ROUND(INDEX('All Trends'!D:D,MATCH($AD194,'All Trends'!$C:$C,0)),4)</f>
        <v>1</v>
      </c>
      <c r="AH194" s="70">
        <f>ROUND(INDEX('All Trends'!E:E,MATCH($AD194,'All Trends'!$C:$C,0)),4)</f>
        <v>1</v>
      </c>
      <c r="AI194" s="70">
        <f>ROUND(INDEX('All Trends'!F:F,MATCH($AD194,'All Trends'!$C:$C,0)),4)</f>
        <v>1</v>
      </c>
      <c r="AJ194" s="70">
        <f>ROUND(INDEX('All Trends'!G:G,MATCH($AD194,'All Trends'!$C:$C,0)),4)</f>
        <v>1</v>
      </c>
      <c r="AK194" s="70">
        <f>ROUND(INDEX('All Trends'!H:H,MATCH($AD194,'All Trends'!$C:$C,0)),4)</f>
        <v>1</v>
      </c>
      <c r="AL194" s="74" t="s">
        <v>148</v>
      </c>
      <c r="AM194" s="92">
        <f t="shared" si="34"/>
        <v>255.5</v>
      </c>
      <c r="AN194" s="92">
        <f t="shared" si="35"/>
        <v>255.5</v>
      </c>
      <c r="AO194" s="69">
        <f t="shared" si="36"/>
        <v>0</v>
      </c>
      <c r="AP194" s="69">
        <f t="shared" si="37"/>
        <v>0</v>
      </c>
      <c r="AQ194" s="69">
        <f t="shared" si="38"/>
        <v>0</v>
      </c>
      <c r="AR194" s="69">
        <f t="shared" si="39"/>
        <v>0</v>
      </c>
      <c r="AS194" s="409"/>
      <c r="AT194" s="409"/>
      <c r="AU194" s="409"/>
    </row>
    <row r="195" spans="1:47">
      <c r="A195" s="67" t="s">
        <v>534</v>
      </c>
      <c r="B195" s="67" t="s">
        <v>537</v>
      </c>
      <c r="C195" s="78" t="s">
        <v>147</v>
      </c>
      <c r="D195" s="78" t="s">
        <v>148</v>
      </c>
      <c r="E195" s="67" t="s">
        <v>475</v>
      </c>
      <c r="F195" s="67" t="s">
        <v>408</v>
      </c>
      <c r="G195" s="67" t="str">
        <f>INDEX('[4]RT Description to Bill Matix'!$D:$D,MATCH(A195,'[4]RT Description to Bill Matix'!$M:$M,0))</f>
        <v>PCS (CFC and Non-CFC)</v>
      </c>
      <c r="H195" s="67" t="s">
        <v>536</v>
      </c>
      <c r="J195" s="65" t="str" cm="1">
        <f t="array" ref="J195">INDEX('Rate Table Service Desc XWalk'!F:F,MATCH(1,(G195='Rate Table Service Desc XWalk'!B:B)*(E195='Rate Table Service Desc XWalk'!A:A),0))</f>
        <v>9-1-80</v>
      </c>
      <c r="K195" s="66" t="s">
        <v>410</v>
      </c>
      <c r="L195" s="66" t="str">
        <f>INDEX('[6]Rate History'!$P:$P,MATCH(A195,'[6]Rate History'!$F:$F,0))</f>
        <v>15 minutes</v>
      </c>
      <c r="M195" s="77">
        <f>INDEX('[7]PDF DB Service Pivot'!$C:$C,MATCH(B195,'[7]PDF DB Service Pivot'!$B:$B,0))</f>
        <v>468</v>
      </c>
      <c r="N195" s="77">
        <f t="shared" ref="N195:N258" si="51">IF(ISNUMBER(FIND("ISS",F195)),IF(I195="Yes",((M195/Q195)/6)*12,(M195/6)*12),IF(AND(I195="Yes",M195=O195),M195/Q195,M195))</f>
        <v>468</v>
      </c>
      <c r="O195" s="76">
        <f>INDEX('[7]PDF DB Service Pivot'!$D:$D,MATCH(B195,'[7]PDF DB Service Pivot'!$B:$B,0))</f>
        <v>1198.3400000000001</v>
      </c>
      <c r="P195" s="91">
        <v>45170</v>
      </c>
      <c r="Q195" s="72">
        <v>3.64</v>
      </c>
      <c r="R195" s="81">
        <v>2.9499999999999997</v>
      </c>
      <c r="S195" s="354">
        <f t="shared" si="46"/>
        <v>0.81043956043956034</v>
      </c>
      <c r="T195" s="339">
        <v>0.25</v>
      </c>
      <c r="U195" s="81">
        <f t="shared" si="49"/>
        <v>0</v>
      </c>
      <c r="V195" s="81" cm="1">
        <f t="array" ref="V195">_xlfn.IFS('Fiscal by Program'!$B$7&lt;10.61,0,'Fiscal by Program'!$B$7&gt;10.6,(ROUND('Fiscal by Program'!$B$7*(1+IF(D195="Yes",'Fiscal by Program'!$B$9,'Fiscal by Program'!$B$8))*T195,2)))</f>
        <v>0</v>
      </c>
      <c r="W195" s="81">
        <f t="shared" ref="W195:W258" si="52">IF(V195-R195&lt;0,0,V195-R195)</f>
        <v>0</v>
      </c>
      <c r="X195" s="81">
        <f>ROUND((R195/(1+IF(D195="Yes",'Fiscal by Program'!$B$9,'Fiscal by Program'!$B$8))),2)+0.01</f>
        <v>2.67</v>
      </c>
      <c r="Y195" s="81">
        <f t="shared" ref="Y195:Y258" si="53">Q195+W195</f>
        <v>3.64</v>
      </c>
      <c r="Z195" s="88">
        <v>1</v>
      </c>
      <c r="AA195" s="90">
        <f t="shared" si="50"/>
        <v>0.25</v>
      </c>
      <c r="AB195" s="75">
        <f>INDEX('[9]Service List'!$K:$K,MATCH(A195,'[9]Service List'!$F:$F,0))</f>
        <v>1365</v>
      </c>
      <c r="AC195" s="73" t="str">
        <f>INDEX('[5]Combined Bill Code List'!$P:$P,MATCH(A195,'[5]Combined Bill Code List'!$F:$F,0))</f>
        <v>CFC</v>
      </c>
      <c r="AD195" s="67" t="s">
        <v>411</v>
      </c>
      <c r="AE195" s="66">
        <f t="shared" si="47"/>
        <v>1.095890410958904</v>
      </c>
      <c r="AF195" s="66">
        <f t="shared" si="48"/>
        <v>-0.06</v>
      </c>
      <c r="AG195" s="70">
        <f>ROUND(INDEX('All Trends'!D:D,MATCH($AD195,'All Trends'!$C:$C,0)),4)</f>
        <v>1</v>
      </c>
      <c r="AH195" s="70">
        <f>ROUND(INDEX('All Trends'!E:E,MATCH($AD195,'All Trends'!$C:$C,0)),4)</f>
        <v>1</v>
      </c>
      <c r="AI195" s="70">
        <f>ROUND(INDEX('All Trends'!F:F,MATCH($AD195,'All Trends'!$C:$C,0)),4)</f>
        <v>1</v>
      </c>
      <c r="AJ195" s="70">
        <f>ROUND(INDEX('All Trends'!G:G,MATCH($AD195,'All Trends'!$C:$C,0)),4)</f>
        <v>1</v>
      </c>
      <c r="AK195" s="70">
        <f>ROUND(INDEX('All Trends'!H:H,MATCH($AD195,'All Trends'!$C:$C,0)),4)</f>
        <v>1</v>
      </c>
      <c r="AL195" s="74" t="s">
        <v>148</v>
      </c>
      <c r="AM195" s="92">
        <f t="shared" ref="AM195:AM258" si="54">IF(C195="Yes",ROUND(T195*N195*AI195,2),0)</f>
        <v>117</v>
      </c>
      <c r="AN195" s="92">
        <f t="shared" ref="AN195:AN258" si="55">IF(C195="Yes",ROUND(T195*N195*AJ195,2),0)</f>
        <v>117</v>
      </c>
      <c r="AO195" s="69">
        <f t="shared" ref="AO195:AO258" si="56">IF(C195="Yes",ROUND((W195*N195*AI195),2),0)</f>
        <v>0</v>
      </c>
      <c r="AP195" s="69">
        <f t="shared" ref="AP195:AP258" si="57">IF(C195="Yes",IF($AL195="No",ROUND(($AO195*($AY$2+$AF195)),2),ROUND($AO195,2)),0)</f>
        <v>0</v>
      </c>
      <c r="AQ195" s="69">
        <f t="shared" ref="AQ195:AQ258" si="58">IF(C195="Yes",ROUND((W195*N195*AJ195),2),0)</f>
        <v>0</v>
      </c>
      <c r="AR195" s="69">
        <f t="shared" ref="AR195:AR258" si="59">IF(C195="Yes",IF($AL195="No",ROUND(($AQ195*($AZ$2+$AF195)),2),ROUND($AQ195,2)),0)</f>
        <v>0</v>
      </c>
      <c r="AS195" s="409"/>
      <c r="AT195" s="409"/>
      <c r="AU195" s="409"/>
    </row>
    <row r="196" spans="1:47">
      <c r="A196" s="67" t="s">
        <v>534</v>
      </c>
      <c r="B196" s="67" t="s">
        <v>538</v>
      </c>
      <c r="C196" s="78" t="s">
        <v>147</v>
      </c>
      <c r="D196" s="78" t="s">
        <v>148</v>
      </c>
      <c r="E196" s="67" t="s">
        <v>475</v>
      </c>
      <c r="F196" s="67" t="s">
        <v>408</v>
      </c>
      <c r="G196" s="67" t="str">
        <f>INDEX('[4]RT Description to Bill Matix'!$D:$D,MATCH(A196,'[4]RT Description to Bill Matix'!$M:$M,0))</f>
        <v>PCS (CFC and Non-CFC)</v>
      </c>
      <c r="H196" s="67" t="s">
        <v>536</v>
      </c>
      <c r="J196" s="65" t="str" cm="1">
        <f t="array" ref="J196">INDEX('Rate Table Service Desc XWalk'!F:F,MATCH(1,(G196='Rate Table Service Desc XWalk'!B:B)*(E196='Rate Table Service Desc XWalk'!A:A),0))</f>
        <v>9-1-80</v>
      </c>
      <c r="K196" s="66" t="s">
        <v>410</v>
      </c>
      <c r="L196" s="66" t="str">
        <f>INDEX('[6]Rate History'!$P:$P,MATCH(A196,'[6]Rate History'!$F:$F,0))</f>
        <v>15 minutes</v>
      </c>
      <c r="M196" s="77">
        <f>INDEX('[7]PDF DB Service Pivot'!$C:$C,MATCH(B196,'[7]PDF DB Service Pivot'!$B:$B,0))</f>
        <v>655</v>
      </c>
      <c r="N196" s="77">
        <f t="shared" si="51"/>
        <v>655</v>
      </c>
      <c r="O196" s="76">
        <f>INDEX('[7]PDF DB Service Pivot'!$D:$D,MATCH(B196,'[7]PDF DB Service Pivot'!$B:$B,0))</f>
        <v>1874.53</v>
      </c>
      <c r="P196" s="91">
        <v>45170</v>
      </c>
      <c r="Q196" s="72">
        <v>3.64</v>
      </c>
      <c r="R196" s="81">
        <v>2.9499999999999997</v>
      </c>
      <c r="S196" s="354">
        <f t="shared" si="46"/>
        <v>0.81043956043956034</v>
      </c>
      <c r="T196" s="339">
        <v>0.25</v>
      </c>
      <c r="U196" s="81">
        <f t="shared" si="49"/>
        <v>0</v>
      </c>
      <c r="V196" s="81" cm="1">
        <f t="array" ref="V196">_xlfn.IFS('Fiscal by Program'!$B$7&lt;10.61,0,'Fiscal by Program'!$B$7&gt;10.6,(ROUND('Fiscal by Program'!$B$7*(1+IF(D196="Yes",'Fiscal by Program'!$B$9,'Fiscal by Program'!$B$8))*T196,2)))</f>
        <v>0</v>
      </c>
      <c r="W196" s="81">
        <f t="shared" si="52"/>
        <v>0</v>
      </c>
      <c r="X196" s="81">
        <f>ROUND((R196/(1+IF(D196="Yes",'Fiscal by Program'!$B$9,'Fiscal by Program'!$B$8))),2)+0.01</f>
        <v>2.67</v>
      </c>
      <c r="Y196" s="81">
        <f t="shared" si="53"/>
        <v>3.64</v>
      </c>
      <c r="Z196" s="88">
        <v>1</v>
      </c>
      <c r="AA196" s="90">
        <f t="shared" si="50"/>
        <v>0.25</v>
      </c>
      <c r="AB196" s="75">
        <f>INDEX('[9]Service List'!$K:$K,MATCH(A196,'[9]Service List'!$F:$F,0))</f>
        <v>1365</v>
      </c>
      <c r="AC196" s="73" t="str">
        <f>INDEX('[5]Combined Bill Code List'!$P:$P,MATCH(A196,'[5]Combined Bill Code List'!$F:$F,0))</f>
        <v>CFC</v>
      </c>
      <c r="AD196" s="67" t="s">
        <v>411</v>
      </c>
      <c r="AE196" s="66">
        <f t="shared" si="47"/>
        <v>1.095890410958904</v>
      </c>
      <c r="AF196" s="66">
        <f t="shared" si="48"/>
        <v>-0.06</v>
      </c>
      <c r="AG196" s="70">
        <f>ROUND(INDEX('All Trends'!D:D,MATCH($AD196,'All Trends'!$C:$C,0)),4)</f>
        <v>1</v>
      </c>
      <c r="AH196" s="70">
        <f>ROUND(INDEX('All Trends'!E:E,MATCH($AD196,'All Trends'!$C:$C,0)),4)</f>
        <v>1</v>
      </c>
      <c r="AI196" s="70">
        <f>ROUND(INDEX('All Trends'!F:F,MATCH($AD196,'All Trends'!$C:$C,0)),4)</f>
        <v>1</v>
      </c>
      <c r="AJ196" s="70">
        <f>ROUND(INDEX('All Trends'!G:G,MATCH($AD196,'All Trends'!$C:$C,0)),4)</f>
        <v>1</v>
      </c>
      <c r="AK196" s="70">
        <f>ROUND(INDEX('All Trends'!H:H,MATCH($AD196,'All Trends'!$C:$C,0)),4)</f>
        <v>1</v>
      </c>
      <c r="AL196" s="74" t="s">
        <v>148</v>
      </c>
      <c r="AM196" s="92">
        <f t="shared" si="54"/>
        <v>163.75</v>
      </c>
      <c r="AN196" s="92">
        <f t="shared" si="55"/>
        <v>163.75</v>
      </c>
      <c r="AO196" s="69">
        <f t="shared" si="56"/>
        <v>0</v>
      </c>
      <c r="AP196" s="69">
        <f t="shared" si="57"/>
        <v>0</v>
      </c>
      <c r="AQ196" s="69">
        <f t="shared" si="58"/>
        <v>0</v>
      </c>
      <c r="AR196" s="69">
        <f t="shared" si="59"/>
        <v>0</v>
      </c>
      <c r="AS196" s="409"/>
      <c r="AT196" s="409"/>
      <c r="AU196" s="409"/>
    </row>
    <row r="197" spans="1:47">
      <c r="A197" s="67" t="s">
        <v>539</v>
      </c>
      <c r="B197" s="67" t="s">
        <v>540</v>
      </c>
      <c r="C197" s="78" t="s">
        <v>147</v>
      </c>
      <c r="D197" s="78" t="s">
        <v>148</v>
      </c>
      <c r="E197" s="67" t="s">
        <v>475</v>
      </c>
      <c r="F197" s="67" t="s">
        <v>408</v>
      </c>
      <c r="G197" s="67" t="str">
        <f>INDEX('[4]RT Description to Bill Matix'!$D:$D,MATCH(A197,'[4]RT Description to Bill Matix'!$M:$M,0))</f>
        <v>CDS PCS (CFC and Non-CFC)</v>
      </c>
      <c r="H197" s="67" t="s">
        <v>452</v>
      </c>
      <c r="I197" s="65" t="s">
        <v>147</v>
      </c>
      <c r="J197" s="65" t="str" cm="1">
        <f t="array" ref="J197">INDEX('Rate Table Service Desc XWalk'!F:F,MATCH(1,(G197='Rate Table Service Desc XWalk'!B:B)*(E197='Rate Table Service Desc XWalk'!A:A),0))</f>
        <v>9-5-144</v>
      </c>
      <c r="K197" s="66" t="s">
        <v>410</v>
      </c>
      <c r="L197" s="66" t="str">
        <f>INDEX('[6]Rate History'!$P:$P,MATCH(A197,'[6]Rate History'!$F:$F,0))</f>
        <v>15 minutes</v>
      </c>
      <c r="M197" s="77">
        <f>INDEX('[7]PDF DB Service Pivot'!$C:$C,MATCH(B197,'[7]PDF DB Service Pivot'!$B:$B,0))</f>
        <v>537.1</v>
      </c>
      <c r="N197" s="77">
        <f t="shared" si="51"/>
        <v>537.1</v>
      </c>
      <c r="O197" s="76">
        <f>INDEX('[7]PDF DB Service Pivot'!$D:$D,MATCH(B197,'[7]PDF DB Service Pivot'!$B:$B,0))</f>
        <v>1478.17</v>
      </c>
      <c r="P197" s="91">
        <v>45170</v>
      </c>
      <c r="Q197" s="72">
        <v>3.44</v>
      </c>
      <c r="R197" s="81">
        <v>2.9499999999999997</v>
      </c>
      <c r="S197" s="354">
        <f t="shared" si="46"/>
        <v>0.85755813953488369</v>
      </c>
      <c r="T197" s="339">
        <v>0.25</v>
      </c>
      <c r="U197" s="81">
        <f t="shared" si="49"/>
        <v>0</v>
      </c>
      <c r="V197" s="81" cm="1">
        <f t="array" ref="V197">_xlfn.IFS('Fiscal by Program'!$B$7&lt;10.61,0,'Fiscal by Program'!$B$7&gt;10.6,(ROUND('Fiscal by Program'!$B$7*(1+IF(D197="Yes",'Fiscal by Program'!$B$9,'Fiscal by Program'!$B$8))*T197,2)))</f>
        <v>0</v>
      </c>
      <c r="W197" s="81">
        <f t="shared" si="52"/>
        <v>0</v>
      </c>
      <c r="X197" s="81">
        <f>ROUND((R197/(1+IF(D197="Yes",'Fiscal by Program'!$B$9,'Fiscal by Program'!$B$8))),2)+0.01</f>
        <v>2.67</v>
      </c>
      <c r="Y197" s="81">
        <f t="shared" si="53"/>
        <v>3.44</v>
      </c>
      <c r="Z197" s="88">
        <v>1</v>
      </c>
      <c r="AA197" s="90">
        <f t="shared" si="50"/>
        <v>0.25</v>
      </c>
      <c r="AB197" s="75">
        <f>INDEX('[9]Service List'!$K:$K,MATCH(A197,'[9]Service List'!$F:$F,0))</f>
        <v>1363</v>
      </c>
      <c r="AC197" s="73" t="str">
        <f>INDEX('[5]Combined Bill Code List'!$P:$P,MATCH(A197,'[5]Combined Bill Code List'!$F:$F,0))</f>
        <v>CFC</v>
      </c>
      <c r="AD197" s="67" t="s">
        <v>411</v>
      </c>
      <c r="AE197" s="66">
        <f t="shared" si="47"/>
        <v>1.095890410958904</v>
      </c>
      <c r="AF197" s="66">
        <f t="shared" si="48"/>
        <v>-0.06</v>
      </c>
      <c r="AG197" s="70">
        <f>ROUND(INDEX('All Trends'!D:D,MATCH($AD197,'All Trends'!$C:$C,0)),4)</f>
        <v>1</v>
      </c>
      <c r="AH197" s="70">
        <f>ROUND(INDEX('All Trends'!E:E,MATCH($AD197,'All Trends'!$C:$C,0)),4)</f>
        <v>1</v>
      </c>
      <c r="AI197" s="70">
        <f>ROUND(INDEX('All Trends'!F:F,MATCH($AD197,'All Trends'!$C:$C,0)),4)</f>
        <v>1</v>
      </c>
      <c r="AJ197" s="70">
        <f>ROUND(INDEX('All Trends'!G:G,MATCH($AD197,'All Trends'!$C:$C,0)),4)</f>
        <v>1</v>
      </c>
      <c r="AK197" s="70">
        <f>ROUND(INDEX('All Trends'!H:H,MATCH($AD197,'All Trends'!$C:$C,0)),4)</f>
        <v>1</v>
      </c>
      <c r="AL197" s="74" t="s">
        <v>148</v>
      </c>
      <c r="AM197" s="92">
        <f t="shared" si="54"/>
        <v>134.28</v>
      </c>
      <c r="AN197" s="92">
        <f t="shared" si="55"/>
        <v>134.28</v>
      </c>
      <c r="AO197" s="69">
        <f t="shared" si="56"/>
        <v>0</v>
      </c>
      <c r="AP197" s="69">
        <f t="shared" si="57"/>
        <v>0</v>
      </c>
      <c r="AQ197" s="69">
        <f t="shared" si="58"/>
        <v>0</v>
      </c>
      <c r="AR197" s="69">
        <f t="shared" si="59"/>
        <v>0</v>
      </c>
      <c r="AS197" s="409"/>
      <c r="AT197" s="409"/>
      <c r="AU197" s="409"/>
    </row>
    <row r="198" spans="1:47">
      <c r="A198" s="67" t="s">
        <v>539</v>
      </c>
      <c r="B198" s="67" t="s">
        <v>541</v>
      </c>
      <c r="C198" s="78" t="s">
        <v>147</v>
      </c>
      <c r="D198" s="78" t="s">
        <v>148</v>
      </c>
      <c r="E198" s="67" t="s">
        <v>475</v>
      </c>
      <c r="F198" s="67" t="s">
        <v>408</v>
      </c>
      <c r="G198" s="67" t="str">
        <f>INDEX('[4]RT Description to Bill Matix'!$D:$D,MATCH(A198,'[4]RT Description to Bill Matix'!$M:$M,0))</f>
        <v>CDS PCS (CFC and Non-CFC)</v>
      </c>
      <c r="H198" s="67" t="s">
        <v>452</v>
      </c>
      <c r="I198" s="65" t="s">
        <v>147</v>
      </c>
      <c r="J198" s="65" t="str" cm="1">
        <f t="array" ref="J198">INDEX('Rate Table Service Desc XWalk'!F:F,MATCH(1,(G198='Rate Table Service Desc XWalk'!B:B)*(E198='Rate Table Service Desc XWalk'!A:A),0))</f>
        <v>9-5-144</v>
      </c>
      <c r="K198" s="66" t="s">
        <v>410</v>
      </c>
      <c r="L198" s="66" t="str">
        <f>INDEX('[6]Rate History'!$P:$P,MATCH(A198,'[6]Rate History'!$F:$F,0))</f>
        <v>15 minutes</v>
      </c>
      <c r="M198" s="77">
        <f>INDEX('[7]PDF DB Service Pivot'!$C:$C,MATCH(B198,'[7]PDF DB Service Pivot'!$B:$B,0))</f>
        <v>11733</v>
      </c>
      <c r="N198" s="77">
        <f t="shared" si="51"/>
        <v>11733</v>
      </c>
      <c r="O198" s="76">
        <f>INDEX('[7]PDF DB Service Pivot'!$D:$D,MATCH(B198,'[7]PDF DB Service Pivot'!$B:$B,0))</f>
        <v>32265.75</v>
      </c>
      <c r="P198" s="91">
        <v>45170</v>
      </c>
      <c r="Q198" s="72">
        <v>3.44</v>
      </c>
      <c r="R198" s="81">
        <v>2.9499999999999997</v>
      </c>
      <c r="S198" s="354">
        <f t="shared" si="46"/>
        <v>0.85755813953488369</v>
      </c>
      <c r="T198" s="339">
        <v>0.25</v>
      </c>
      <c r="U198" s="81">
        <f t="shared" si="49"/>
        <v>0</v>
      </c>
      <c r="V198" s="81" cm="1">
        <f t="array" ref="V198">_xlfn.IFS('Fiscal by Program'!$B$7&lt;10.61,0,'Fiscal by Program'!$B$7&gt;10.6,(ROUND('Fiscal by Program'!$B$7*(1+IF(D198="Yes",'Fiscal by Program'!$B$9,'Fiscal by Program'!$B$8))*T198,2)))</f>
        <v>0</v>
      </c>
      <c r="W198" s="81">
        <f t="shared" si="52"/>
        <v>0</v>
      </c>
      <c r="X198" s="81">
        <f>ROUND((R198/(1+IF(D198="Yes",'Fiscal by Program'!$B$9,'Fiscal by Program'!$B$8))),2)+0.01</f>
        <v>2.67</v>
      </c>
      <c r="Y198" s="81">
        <f t="shared" si="53"/>
        <v>3.44</v>
      </c>
      <c r="Z198" s="88">
        <v>1</v>
      </c>
      <c r="AA198" s="90">
        <f t="shared" si="50"/>
        <v>0.25</v>
      </c>
      <c r="AB198" s="75">
        <f>INDEX('[9]Service List'!$K:$K,MATCH(A198,'[9]Service List'!$F:$F,0))</f>
        <v>1363</v>
      </c>
      <c r="AC198" s="73" t="str">
        <f>INDEX('[5]Combined Bill Code List'!$P:$P,MATCH(A198,'[5]Combined Bill Code List'!$F:$F,0))</f>
        <v>CFC</v>
      </c>
      <c r="AD198" s="67" t="s">
        <v>411</v>
      </c>
      <c r="AE198" s="66">
        <f t="shared" si="47"/>
        <v>1.095890410958904</v>
      </c>
      <c r="AF198" s="66">
        <f t="shared" si="48"/>
        <v>-0.06</v>
      </c>
      <c r="AG198" s="70">
        <f>ROUND(INDEX('All Trends'!D:D,MATCH($AD198,'All Trends'!$C:$C,0)),4)</f>
        <v>1</v>
      </c>
      <c r="AH198" s="70">
        <f>ROUND(INDEX('All Trends'!E:E,MATCH($AD198,'All Trends'!$C:$C,0)),4)</f>
        <v>1</v>
      </c>
      <c r="AI198" s="70">
        <f>ROUND(INDEX('All Trends'!F:F,MATCH($AD198,'All Trends'!$C:$C,0)),4)</f>
        <v>1</v>
      </c>
      <c r="AJ198" s="70">
        <f>ROUND(INDEX('All Trends'!G:G,MATCH($AD198,'All Trends'!$C:$C,0)),4)</f>
        <v>1</v>
      </c>
      <c r="AK198" s="70">
        <f>ROUND(INDEX('All Trends'!H:H,MATCH($AD198,'All Trends'!$C:$C,0)),4)</f>
        <v>1</v>
      </c>
      <c r="AL198" s="74" t="s">
        <v>148</v>
      </c>
      <c r="AM198" s="92">
        <f t="shared" si="54"/>
        <v>2933.25</v>
      </c>
      <c r="AN198" s="92">
        <f t="shared" si="55"/>
        <v>2933.25</v>
      </c>
      <c r="AO198" s="69">
        <f t="shared" si="56"/>
        <v>0</v>
      </c>
      <c r="AP198" s="69">
        <f t="shared" si="57"/>
        <v>0</v>
      </c>
      <c r="AQ198" s="69">
        <f t="shared" si="58"/>
        <v>0</v>
      </c>
      <c r="AR198" s="69">
        <f t="shared" si="59"/>
        <v>0</v>
      </c>
      <c r="AS198" s="409"/>
      <c r="AT198" s="409"/>
      <c r="AU198" s="409"/>
    </row>
    <row r="199" spans="1:47">
      <c r="A199" s="67" t="s">
        <v>539</v>
      </c>
      <c r="B199" s="67" t="s">
        <v>542</v>
      </c>
      <c r="C199" s="78" t="s">
        <v>147</v>
      </c>
      <c r="D199" s="78" t="s">
        <v>148</v>
      </c>
      <c r="E199" s="67" t="s">
        <v>475</v>
      </c>
      <c r="F199" s="67" t="s">
        <v>408</v>
      </c>
      <c r="G199" s="67" t="str">
        <f>INDEX('[4]RT Description to Bill Matix'!$D:$D,MATCH(A199,'[4]RT Description to Bill Matix'!$M:$M,0))</f>
        <v>CDS PCS (CFC and Non-CFC)</v>
      </c>
      <c r="H199" s="67" t="s">
        <v>452</v>
      </c>
      <c r="I199" s="65" t="s">
        <v>147</v>
      </c>
      <c r="J199" s="65" t="str" cm="1">
        <f t="array" ref="J199">INDEX('Rate Table Service Desc XWalk'!F:F,MATCH(1,(G199='Rate Table Service Desc XWalk'!B:B)*(E199='Rate Table Service Desc XWalk'!A:A),0))</f>
        <v>9-5-144</v>
      </c>
      <c r="K199" s="66" t="s">
        <v>410</v>
      </c>
      <c r="L199" s="66" t="str">
        <f>INDEX('[6]Rate History'!$P:$P,MATCH(A199,'[6]Rate History'!$F:$F,0))</f>
        <v>15 minutes</v>
      </c>
      <c r="M199" s="77">
        <f>INDEX('[7]PDF DB Service Pivot'!$C:$C,MATCH(B199,'[7]PDF DB Service Pivot'!$B:$B,0))</f>
        <v>100293.1</v>
      </c>
      <c r="N199" s="77">
        <f t="shared" si="51"/>
        <v>100293.1</v>
      </c>
      <c r="O199" s="76">
        <f>INDEX('[7]PDF DB Service Pivot'!$D:$D,MATCH(B199,'[7]PDF DB Service Pivot'!$B:$B,0))</f>
        <v>275438.21999999997</v>
      </c>
      <c r="P199" s="91">
        <v>45170</v>
      </c>
      <c r="Q199" s="72">
        <v>3.44</v>
      </c>
      <c r="R199" s="81">
        <v>2.9499999999999997</v>
      </c>
      <c r="S199" s="354">
        <f t="shared" si="46"/>
        <v>0.85755813953488369</v>
      </c>
      <c r="T199" s="339">
        <v>0.25</v>
      </c>
      <c r="U199" s="81">
        <f t="shared" si="49"/>
        <v>0</v>
      </c>
      <c r="V199" s="81" cm="1">
        <f t="array" ref="V199">_xlfn.IFS('Fiscal by Program'!$B$7&lt;10.61,0,'Fiscal by Program'!$B$7&gt;10.6,(ROUND('Fiscal by Program'!$B$7*(1+IF(D199="Yes",'Fiscal by Program'!$B$9,'Fiscal by Program'!$B$8))*T199,2)))</f>
        <v>0</v>
      </c>
      <c r="W199" s="81">
        <f t="shared" si="52"/>
        <v>0</v>
      </c>
      <c r="X199" s="81">
        <f>ROUND((R199/(1+IF(D199="Yes",'Fiscal by Program'!$B$9,'Fiscal by Program'!$B$8))),2)+0.01</f>
        <v>2.67</v>
      </c>
      <c r="Y199" s="81">
        <f t="shared" si="53"/>
        <v>3.44</v>
      </c>
      <c r="Z199" s="88">
        <v>1</v>
      </c>
      <c r="AA199" s="90">
        <f t="shared" si="50"/>
        <v>0.25</v>
      </c>
      <c r="AB199" s="75">
        <f>INDEX('[9]Service List'!$K:$K,MATCH(A199,'[9]Service List'!$F:$F,0))</f>
        <v>1363</v>
      </c>
      <c r="AC199" s="73" t="str">
        <f>INDEX('[5]Combined Bill Code List'!$P:$P,MATCH(A199,'[5]Combined Bill Code List'!$F:$F,0))</f>
        <v>CFC</v>
      </c>
      <c r="AD199" s="67" t="s">
        <v>411</v>
      </c>
      <c r="AE199" s="66">
        <f t="shared" si="47"/>
        <v>1.095890410958904</v>
      </c>
      <c r="AF199" s="66">
        <f t="shared" si="48"/>
        <v>-0.06</v>
      </c>
      <c r="AG199" s="70">
        <f>ROUND(INDEX('All Trends'!D:D,MATCH($AD199,'All Trends'!$C:$C,0)),4)</f>
        <v>1</v>
      </c>
      <c r="AH199" s="70">
        <f>ROUND(INDEX('All Trends'!E:E,MATCH($AD199,'All Trends'!$C:$C,0)),4)</f>
        <v>1</v>
      </c>
      <c r="AI199" s="70">
        <f>ROUND(INDEX('All Trends'!F:F,MATCH($AD199,'All Trends'!$C:$C,0)),4)</f>
        <v>1</v>
      </c>
      <c r="AJ199" s="70">
        <f>ROUND(INDEX('All Trends'!G:G,MATCH($AD199,'All Trends'!$C:$C,0)),4)</f>
        <v>1</v>
      </c>
      <c r="AK199" s="70">
        <f>ROUND(INDEX('All Trends'!H:H,MATCH($AD199,'All Trends'!$C:$C,0)),4)</f>
        <v>1</v>
      </c>
      <c r="AL199" s="74" t="s">
        <v>148</v>
      </c>
      <c r="AM199" s="92">
        <f t="shared" si="54"/>
        <v>25073.279999999999</v>
      </c>
      <c r="AN199" s="92">
        <f t="shared" si="55"/>
        <v>25073.279999999999</v>
      </c>
      <c r="AO199" s="69">
        <f t="shared" si="56"/>
        <v>0</v>
      </c>
      <c r="AP199" s="69">
        <f t="shared" si="57"/>
        <v>0</v>
      </c>
      <c r="AQ199" s="69">
        <f t="shared" si="58"/>
        <v>0</v>
      </c>
      <c r="AR199" s="69">
        <f t="shared" si="59"/>
        <v>0</v>
      </c>
      <c r="AS199" s="409"/>
      <c r="AT199" s="409"/>
      <c r="AU199" s="409"/>
    </row>
    <row r="200" spans="1:47">
      <c r="A200" s="67" t="s">
        <v>539</v>
      </c>
      <c r="B200" s="67" t="s">
        <v>543</v>
      </c>
      <c r="C200" s="78" t="s">
        <v>147</v>
      </c>
      <c r="D200" s="78" t="s">
        <v>148</v>
      </c>
      <c r="E200" s="67" t="s">
        <v>475</v>
      </c>
      <c r="F200" s="67" t="s">
        <v>408</v>
      </c>
      <c r="G200" s="67" t="str">
        <f>INDEX('[4]RT Description to Bill Matix'!$D:$D,MATCH(A200,'[4]RT Description to Bill Matix'!$M:$M,0))</f>
        <v>CDS PCS (CFC and Non-CFC)</v>
      </c>
      <c r="H200" s="67" t="s">
        <v>452</v>
      </c>
      <c r="I200" s="65" t="s">
        <v>147</v>
      </c>
      <c r="J200" s="65" t="str" cm="1">
        <f t="array" ref="J200">INDEX('Rate Table Service Desc XWalk'!F:F,MATCH(1,(G200='Rate Table Service Desc XWalk'!B:B)*(E200='Rate Table Service Desc XWalk'!A:A),0))</f>
        <v>9-5-144</v>
      </c>
      <c r="K200" s="66" t="s">
        <v>410</v>
      </c>
      <c r="L200" s="66" t="str">
        <f>INDEX('[6]Rate History'!$P:$P,MATCH(A200,'[6]Rate History'!$F:$F,0))</f>
        <v>15 minutes</v>
      </c>
      <c r="M200" s="77">
        <f>INDEX('[7]PDF DB Service Pivot'!$C:$C,MATCH(B200,'[7]PDF DB Service Pivot'!$B:$B,0))</f>
        <v>105507</v>
      </c>
      <c r="N200" s="77">
        <f t="shared" si="51"/>
        <v>105507</v>
      </c>
      <c r="O200" s="76">
        <f>INDEX('[7]PDF DB Service Pivot'!$D:$D,MATCH(B200,'[7]PDF DB Service Pivot'!$B:$B,0))</f>
        <v>290051.95999999996</v>
      </c>
      <c r="P200" s="91">
        <v>45170</v>
      </c>
      <c r="Q200" s="72">
        <v>3.44</v>
      </c>
      <c r="R200" s="81">
        <v>2.9499999999999997</v>
      </c>
      <c r="S200" s="354">
        <f t="shared" si="46"/>
        <v>0.85755813953488369</v>
      </c>
      <c r="T200" s="339">
        <v>0.25</v>
      </c>
      <c r="U200" s="81">
        <f t="shared" si="49"/>
        <v>0</v>
      </c>
      <c r="V200" s="81" cm="1">
        <f t="array" ref="V200">_xlfn.IFS('Fiscal by Program'!$B$7&lt;10.61,0,'Fiscal by Program'!$B$7&gt;10.6,(ROUND('Fiscal by Program'!$B$7*(1+IF(D200="Yes",'Fiscal by Program'!$B$9,'Fiscal by Program'!$B$8))*T200,2)))</f>
        <v>0</v>
      </c>
      <c r="W200" s="81">
        <f t="shared" si="52"/>
        <v>0</v>
      </c>
      <c r="X200" s="81">
        <f>ROUND((R200/(1+IF(D200="Yes",'Fiscal by Program'!$B$9,'Fiscal by Program'!$B$8))),2)+0.01</f>
        <v>2.67</v>
      </c>
      <c r="Y200" s="81">
        <f t="shared" si="53"/>
        <v>3.44</v>
      </c>
      <c r="Z200" s="88">
        <v>1</v>
      </c>
      <c r="AA200" s="90">
        <f t="shared" si="50"/>
        <v>0.25</v>
      </c>
      <c r="AB200" s="75">
        <f>INDEX('[9]Service List'!$K:$K,MATCH(A200,'[9]Service List'!$F:$F,0))</f>
        <v>1363</v>
      </c>
      <c r="AC200" s="73" t="str">
        <f>INDEX('[5]Combined Bill Code List'!$P:$P,MATCH(A200,'[5]Combined Bill Code List'!$F:$F,0))</f>
        <v>CFC</v>
      </c>
      <c r="AD200" s="67" t="s">
        <v>411</v>
      </c>
      <c r="AE200" s="66">
        <f t="shared" si="47"/>
        <v>1.095890410958904</v>
      </c>
      <c r="AF200" s="66">
        <f t="shared" si="48"/>
        <v>-0.06</v>
      </c>
      <c r="AG200" s="70">
        <f>ROUND(INDEX('All Trends'!D:D,MATCH($AD200,'All Trends'!$C:$C,0)),4)</f>
        <v>1</v>
      </c>
      <c r="AH200" s="70">
        <f>ROUND(INDEX('All Trends'!E:E,MATCH($AD200,'All Trends'!$C:$C,0)),4)</f>
        <v>1</v>
      </c>
      <c r="AI200" s="70">
        <f>ROUND(INDEX('All Trends'!F:F,MATCH($AD200,'All Trends'!$C:$C,0)),4)</f>
        <v>1</v>
      </c>
      <c r="AJ200" s="70">
        <f>ROUND(INDEX('All Trends'!G:G,MATCH($AD200,'All Trends'!$C:$C,0)),4)</f>
        <v>1</v>
      </c>
      <c r="AK200" s="70">
        <f>ROUND(INDEX('All Trends'!H:H,MATCH($AD200,'All Trends'!$C:$C,0)),4)</f>
        <v>1</v>
      </c>
      <c r="AL200" s="74" t="s">
        <v>148</v>
      </c>
      <c r="AM200" s="92">
        <f t="shared" si="54"/>
        <v>26376.75</v>
      </c>
      <c r="AN200" s="92">
        <f t="shared" si="55"/>
        <v>26376.75</v>
      </c>
      <c r="AO200" s="69">
        <f t="shared" si="56"/>
        <v>0</v>
      </c>
      <c r="AP200" s="69">
        <f t="shared" si="57"/>
        <v>0</v>
      </c>
      <c r="AQ200" s="69">
        <f t="shared" si="58"/>
        <v>0</v>
      </c>
      <c r="AR200" s="69">
        <f t="shared" si="59"/>
        <v>0</v>
      </c>
      <c r="AS200" s="409"/>
      <c r="AT200" s="409"/>
      <c r="AU200" s="409"/>
    </row>
    <row r="201" spans="1:47">
      <c r="A201" s="67" t="s">
        <v>539</v>
      </c>
      <c r="B201" s="67" t="s">
        <v>544</v>
      </c>
      <c r="C201" s="78" t="s">
        <v>147</v>
      </c>
      <c r="D201" s="78" t="s">
        <v>148</v>
      </c>
      <c r="E201" s="67" t="s">
        <v>475</v>
      </c>
      <c r="F201" s="67" t="s">
        <v>408</v>
      </c>
      <c r="G201" s="67" t="str">
        <f>INDEX('[4]RT Description to Bill Matix'!$D:$D,MATCH(A201,'[4]RT Description to Bill Matix'!$M:$M,0))</f>
        <v>CDS PCS (CFC and Non-CFC)</v>
      </c>
      <c r="H201" s="67" t="s">
        <v>452</v>
      </c>
      <c r="I201" s="65" t="s">
        <v>147</v>
      </c>
      <c r="J201" s="65" t="str" cm="1">
        <f t="array" ref="J201">INDEX('Rate Table Service Desc XWalk'!F:F,MATCH(1,(G201='Rate Table Service Desc XWalk'!B:B)*(E201='Rate Table Service Desc XWalk'!A:A),0))</f>
        <v>9-5-144</v>
      </c>
      <c r="K201" s="66" t="s">
        <v>410</v>
      </c>
      <c r="L201" s="66" t="str">
        <f>INDEX('[6]Rate History'!$P:$P,MATCH(A201,'[6]Rate History'!$F:$F,0))</f>
        <v>15 minutes</v>
      </c>
      <c r="M201" s="77">
        <f>INDEX('[7]PDF DB Service Pivot'!$C:$C,MATCH(B201,'[7]PDF DB Service Pivot'!$B:$B,0))</f>
        <v>204797.5</v>
      </c>
      <c r="N201" s="77">
        <f t="shared" si="51"/>
        <v>204797.5</v>
      </c>
      <c r="O201" s="76">
        <f>INDEX('[7]PDF DB Service Pivot'!$D:$D,MATCH(B201,'[7]PDF DB Service Pivot'!$B:$B,0))</f>
        <v>562619.11</v>
      </c>
      <c r="P201" s="91">
        <v>45170</v>
      </c>
      <c r="Q201" s="72">
        <v>3.44</v>
      </c>
      <c r="R201" s="81">
        <v>2.9499999999999997</v>
      </c>
      <c r="S201" s="354">
        <f t="shared" si="46"/>
        <v>0.85755813953488369</v>
      </c>
      <c r="T201" s="339">
        <v>0.25</v>
      </c>
      <c r="U201" s="81">
        <f t="shared" si="49"/>
        <v>0</v>
      </c>
      <c r="V201" s="81" cm="1">
        <f t="array" ref="V201">_xlfn.IFS('Fiscal by Program'!$B$7&lt;10.61,0,'Fiscal by Program'!$B$7&gt;10.6,(ROUND('Fiscal by Program'!$B$7*(1+IF(D201="Yes",'Fiscal by Program'!$B$9,'Fiscal by Program'!$B$8))*T201,2)))</f>
        <v>0</v>
      </c>
      <c r="W201" s="81">
        <f t="shared" si="52"/>
        <v>0</v>
      </c>
      <c r="X201" s="81">
        <f>ROUND((R201/(1+IF(D201="Yes",'Fiscal by Program'!$B$9,'Fiscal by Program'!$B$8))),2)+0.01</f>
        <v>2.67</v>
      </c>
      <c r="Y201" s="81">
        <f t="shared" si="53"/>
        <v>3.44</v>
      </c>
      <c r="Z201" s="88">
        <v>1</v>
      </c>
      <c r="AA201" s="90">
        <f t="shared" si="50"/>
        <v>0.25</v>
      </c>
      <c r="AB201" s="75">
        <f>INDEX('[9]Service List'!$K:$K,MATCH(A201,'[9]Service List'!$F:$F,0))</f>
        <v>1363</v>
      </c>
      <c r="AC201" s="73" t="str">
        <f>INDEX('[5]Combined Bill Code List'!$P:$P,MATCH(A201,'[5]Combined Bill Code List'!$F:$F,0))</f>
        <v>CFC</v>
      </c>
      <c r="AD201" s="67" t="s">
        <v>411</v>
      </c>
      <c r="AE201" s="66">
        <f t="shared" si="47"/>
        <v>1.095890410958904</v>
      </c>
      <c r="AF201" s="66">
        <f t="shared" si="48"/>
        <v>-0.06</v>
      </c>
      <c r="AG201" s="70">
        <f>ROUND(INDEX('All Trends'!D:D,MATCH($AD201,'All Trends'!$C:$C,0)),4)</f>
        <v>1</v>
      </c>
      <c r="AH201" s="70">
        <f>ROUND(INDEX('All Trends'!E:E,MATCH($AD201,'All Trends'!$C:$C,0)),4)</f>
        <v>1</v>
      </c>
      <c r="AI201" s="70">
        <f>ROUND(INDEX('All Trends'!F:F,MATCH($AD201,'All Trends'!$C:$C,0)),4)</f>
        <v>1</v>
      </c>
      <c r="AJ201" s="70">
        <f>ROUND(INDEX('All Trends'!G:G,MATCH($AD201,'All Trends'!$C:$C,0)),4)</f>
        <v>1</v>
      </c>
      <c r="AK201" s="70">
        <f>ROUND(INDEX('All Trends'!H:H,MATCH($AD201,'All Trends'!$C:$C,0)),4)</f>
        <v>1</v>
      </c>
      <c r="AL201" s="74" t="s">
        <v>148</v>
      </c>
      <c r="AM201" s="92">
        <f t="shared" si="54"/>
        <v>51199.38</v>
      </c>
      <c r="AN201" s="92">
        <f t="shared" si="55"/>
        <v>51199.38</v>
      </c>
      <c r="AO201" s="69">
        <f t="shared" si="56"/>
        <v>0</v>
      </c>
      <c r="AP201" s="69">
        <f t="shared" si="57"/>
        <v>0</v>
      </c>
      <c r="AQ201" s="69">
        <f t="shared" si="58"/>
        <v>0</v>
      </c>
      <c r="AR201" s="69">
        <f t="shared" si="59"/>
        <v>0</v>
      </c>
      <c r="AS201" s="409"/>
      <c r="AT201" s="409"/>
      <c r="AU201" s="409"/>
    </row>
    <row r="202" spans="1:47">
      <c r="A202" s="67" t="s">
        <v>539</v>
      </c>
      <c r="B202" s="67" t="s">
        <v>545</v>
      </c>
      <c r="C202" s="78" t="s">
        <v>147</v>
      </c>
      <c r="D202" s="78" t="s">
        <v>148</v>
      </c>
      <c r="E202" s="67" t="s">
        <v>475</v>
      </c>
      <c r="F202" s="67" t="s">
        <v>408</v>
      </c>
      <c r="G202" s="67" t="str">
        <f>INDEX('[4]RT Description to Bill Matix'!$D:$D,MATCH(A202,'[4]RT Description to Bill Matix'!$M:$M,0))</f>
        <v>CDS PCS (CFC and Non-CFC)</v>
      </c>
      <c r="H202" s="67" t="s">
        <v>452</v>
      </c>
      <c r="I202" s="65" t="s">
        <v>147</v>
      </c>
      <c r="J202" s="65" t="str" cm="1">
        <f t="array" ref="J202">INDEX('Rate Table Service Desc XWalk'!F:F,MATCH(1,(G202='Rate Table Service Desc XWalk'!B:B)*(E202='Rate Table Service Desc XWalk'!A:A),0))</f>
        <v>9-5-144</v>
      </c>
      <c r="K202" s="66" t="s">
        <v>410</v>
      </c>
      <c r="L202" s="66" t="str">
        <f>INDEX('[6]Rate History'!$P:$P,MATCH(A202,'[6]Rate History'!$F:$F,0))</f>
        <v>15 minutes</v>
      </c>
      <c r="M202" s="77">
        <f>INDEX('[7]PDF DB Service Pivot'!$C:$C,MATCH(B202,'[7]PDF DB Service Pivot'!$B:$B,0))</f>
        <v>1164.0999999999999</v>
      </c>
      <c r="N202" s="77">
        <f t="shared" si="51"/>
        <v>1164.0999999999999</v>
      </c>
      <c r="O202" s="76">
        <f>INDEX('[7]PDF DB Service Pivot'!$D:$D,MATCH(B202,'[7]PDF DB Service Pivot'!$B:$B,0))</f>
        <v>3197.56</v>
      </c>
      <c r="P202" s="91">
        <v>45170</v>
      </c>
      <c r="Q202" s="72">
        <v>3.44</v>
      </c>
      <c r="R202" s="81">
        <v>2.9499999999999997</v>
      </c>
      <c r="S202" s="354">
        <f t="shared" si="46"/>
        <v>0.85755813953488369</v>
      </c>
      <c r="T202" s="339">
        <v>0.25</v>
      </c>
      <c r="U202" s="81">
        <f t="shared" si="49"/>
        <v>0</v>
      </c>
      <c r="V202" s="81" cm="1">
        <f t="array" ref="V202">_xlfn.IFS('Fiscal by Program'!$B$7&lt;10.61,0,'Fiscal by Program'!$B$7&gt;10.6,(ROUND('Fiscal by Program'!$B$7*(1+IF(D202="Yes",'Fiscal by Program'!$B$9,'Fiscal by Program'!$B$8))*T202,2)))</f>
        <v>0</v>
      </c>
      <c r="W202" s="81">
        <f t="shared" si="52"/>
        <v>0</v>
      </c>
      <c r="X202" s="81">
        <f>ROUND((R202/(1+IF(D202="Yes",'Fiscal by Program'!$B$9,'Fiscal by Program'!$B$8))),2)+0.01</f>
        <v>2.67</v>
      </c>
      <c r="Y202" s="81">
        <f t="shared" si="53"/>
        <v>3.44</v>
      </c>
      <c r="Z202" s="88">
        <v>1</v>
      </c>
      <c r="AA202" s="90">
        <f t="shared" si="50"/>
        <v>0.25</v>
      </c>
      <c r="AB202" s="75">
        <f>INDEX('[9]Service List'!$K:$K,MATCH(A202,'[9]Service List'!$F:$F,0))</f>
        <v>1363</v>
      </c>
      <c r="AC202" s="73" t="str">
        <f>INDEX('[5]Combined Bill Code List'!$P:$P,MATCH(A202,'[5]Combined Bill Code List'!$F:$F,0))</f>
        <v>CFC</v>
      </c>
      <c r="AD202" s="67" t="s">
        <v>411</v>
      </c>
      <c r="AE202" s="66">
        <f t="shared" si="47"/>
        <v>1.095890410958904</v>
      </c>
      <c r="AF202" s="66">
        <f t="shared" si="48"/>
        <v>-0.06</v>
      </c>
      <c r="AG202" s="70">
        <f>ROUND(INDEX('All Trends'!D:D,MATCH($AD202,'All Trends'!$C:$C,0)),4)</f>
        <v>1</v>
      </c>
      <c r="AH202" s="70">
        <f>ROUND(INDEX('All Trends'!E:E,MATCH($AD202,'All Trends'!$C:$C,0)),4)</f>
        <v>1</v>
      </c>
      <c r="AI202" s="70">
        <f>ROUND(INDEX('All Trends'!F:F,MATCH($AD202,'All Trends'!$C:$C,0)),4)</f>
        <v>1</v>
      </c>
      <c r="AJ202" s="70">
        <f>ROUND(INDEX('All Trends'!G:G,MATCH($AD202,'All Trends'!$C:$C,0)),4)</f>
        <v>1</v>
      </c>
      <c r="AK202" s="70">
        <f>ROUND(INDEX('All Trends'!H:H,MATCH($AD202,'All Trends'!$C:$C,0)),4)</f>
        <v>1</v>
      </c>
      <c r="AL202" s="74" t="s">
        <v>148</v>
      </c>
      <c r="AM202" s="92">
        <f t="shared" si="54"/>
        <v>291.02999999999997</v>
      </c>
      <c r="AN202" s="92">
        <f t="shared" si="55"/>
        <v>291.02999999999997</v>
      </c>
      <c r="AO202" s="69">
        <f t="shared" si="56"/>
        <v>0</v>
      </c>
      <c r="AP202" s="69">
        <f t="shared" si="57"/>
        <v>0</v>
      </c>
      <c r="AQ202" s="69">
        <f t="shared" si="58"/>
        <v>0</v>
      </c>
      <c r="AR202" s="69">
        <f t="shared" si="59"/>
        <v>0</v>
      </c>
      <c r="AS202" s="409"/>
      <c r="AT202" s="409"/>
      <c r="AU202" s="409"/>
    </row>
    <row r="203" spans="1:47">
      <c r="A203" s="67" t="s">
        <v>546</v>
      </c>
      <c r="B203" s="67" t="s">
        <v>547</v>
      </c>
      <c r="C203" s="78" t="s">
        <v>147</v>
      </c>
      <c r="D203" s="78" t="s">
        <v>148</v>
      </c>
      <c r="E203" s="67" t="str">
        <f>INDEX('[5]Combined Bill Code List'!C:C,MATCH($A203,'[5]Combined Bill Code List'!$F:$F,0))</f>
        <v>STAR Kids MDCP</v>
      </c>
      <c r="F203" s="67" t="str">
        <f>INDEX('[5]Combined Bill Code List'!D:D,MATCH($A203,'[5]Combined Bill Code List'!$F:$F,0))</f>
        <v>Flexible Family Supports</v>
      </c>
      <c r="G203" s="67" t="str">
        <f>INDEX('[4]RT Description to Bill Matix'!$D:$D,MATCH(A203,'[4]RT Description to Bill Matix'!$M:$M,0))</f>
        <v>In Home Respite and Flexible Family Support</v>
      </c>
      <c r="H203" s="65" t="str">
        <f>INDEX('[5]Combined Bill Code List'!E:E,MATCH($A203,'[5]Combined Bill Code List'!$F:$F,0))</f>
        <v xml:space="preserve">Attendant with RN delegation (AO) </v>
      </c>
      <c r="I203" s="65"/>
      <c r="J203" s="65" t="str" cm="1">
        <f t="array" ref="J203">INDEX('Rate Table Service Desc XWalk'!F:F,MATCH(1,(G203='Rate Table Service Desc XWalk'!B:B)*(E203='Rate Table Service Desc XWalk'!A:A),0))</f>
        <v>8-1-41</v>
      </c>
      <c r="K203" s="66" t="str">
        <f>INDEX('[5]Combined Bill Code List'!$A:$A,MATCH(A203,'[5]Combined Bill Code List'!$F:$F,0))</f>
        <v>1915(c) waiver</v>
      </c>
      <c r="L203" s="66" t="str">
        <f>INDEX('[6]Rate History'!$P:$P,MATCH(A203,'[6]Rate History'!$F:$F,0))</f>
        <v>15 minutes</v>
      </c>
      <c r="M203" s="77">
        <f>INDEX('[7]PDF DB Service Pivot'!$C:$C,MATCH(B203,'[7]PDF DB Service Pivot'!$B:$B,0))</f>
        <v>2069</v>
      </c>
      <c r="N203" s="77">
        <f t="shared" si="51"/>
        <v>2069</v>
      </c>
      <c r="O203" s="76">
        <f>INDEX('[7]PDF DB Service Pivot'!$D:$D,MATCH(B203,'[7]PDF DB Service Pivot'!$B:$B,0))</f>
        <v>6765.63</v>
      </c>
      <c r="P203" s="91" t="e">
        <v>#N/A</v>
      </c>
      <c r="Q203" s="81">
        <v>3.36</v>
      </c>
      <c r="R203" s="81">
        <f>11.74/4</f>
        <v>2.9350000000000001</v>
      </c>
      <c r="S203" s="354">
        <v>0.36591536338546454</v>
      </c>
      <c r="T203" s="339">
        <v>0.25</v>
      </c>
      <c r="U203" s="81">
        <f t="shared" si="49"/>
        <v>0</v>
      </c>
      <c r="V203" s="81" cm="1">
        <f t="array" ref="V203">_xlfn.IFS('Fiscal by Program'!$B$7&lt;10.61,0,'Fiscal by Program'!$B$7&gt;10.6,(ROUND('Fiscal by Program'!$B$7*(1+IF(D203="Yes",'Fiscal by Program'!$B$9,'Fiscal by Program'!$B$8))*T203,2)))</f>
        <v>0</v>
      </c>
      <c r="W203" s="81">
        <f t="shared" si="52"/>
        <v>0</v>
      </c>
      <c r="X203" s="81">
        <f>ROUND((R203/(1+IF(D203="Yes",'Fiscal by Program'!$B$9,'Fiscal by Program'!$B$8))),2)+0.01</f>
        <v>2.6599999999999997</v>
      </c>
      <c r="Y203" s="81">
        <f t="shared" si="53"/>
        <v>3.36</v>
      </c>
      <c r="Z203" s="88">
        <v>1</v>
      </c>
      <c r="AA203" s="90">
        <f t="shared" si="50"/>
        <v>0.25</v>
      </c>
      <c r="AB203" s="75" t="e">
        <f>INDEX('[9]Service List'!$K:$K,MATCH(A203,'[9]Service List'!$F:$F,0))</f>
        <v>#REF!</v>
      </c>
      <c r="AC203" s="73">
        <f>INDEX('[5]Combined Bill Code List'!$P:$P,MATCH(A203,'[5]Combined Bill Code List'!$F:$F,0))</f>
        <v>0</v>
      </c>
      <c r="AD203" s="67" t="s">
        <v>548</v>
      </c>
      <c r="AE203" s="79">
        <f t="shared" ref="AE203:AE222" si="60" xml:space="preserve"> 1 / (1-0.0875)</f>
        <v>1.095890410958904</v>
      </c>
      <c r="AF203" s="66">
        <v>0</v>
      </c>
      <c r="AG203" s="70">
        <f>ROUND(INDEX('All Trends'!D:D,MATCH($AD203,'All Trends'!$C:$C,0)),4)</f>
        <v>0.91039999999999999</v>
      </c>
      <c r="AH203" s="70">
        <f>ROUND(INDEX('All Trends'!E:E,MATCH($AD203,'All Trends'!$C:$C,0)),4)</f>
        <v>0.88790000000000002</v>
      </c>
      <c r="AI203" s="70">
        <f>ROUND(INDEX('All Trends'!F:F,MATCH($AD203,'All Trends'!$C:$C,0)),4)</f>
        <v>0.94140000000000001</v>
      </c>
      <c r="AJ203" s="70">
        <f>ROUND(INDEX('All Trends'!G:G,MATCH($AD203,'All Trends'!$C:$C,0)),4)</f>
        <v>0.9909</v>
      </c>
      <c r="AK203" s="70">
        <f>ROUND(INDEX('All Trends'!H:H,MATCH($AD203,'All Trends'!$C:$C,0)),4)</f>
        <v>1.0428999999999999</v>
      </c>
      <c r="AL203" s="74" t="s">
        <v>148</v>
      </c>
      <c r="AM203" s="92">
        <f t="shared" si="54"/>
        <v>486.94</v>
      </c>
      <c r="AN203" s="92">
        <f t="shared" si="55"/>
        <v>512.54</v>
      </c>
      <c r="AO203" s="69">
        <f t="shared" si="56"/>
        <v>0</v>
      </c>
      <c r="AP203" s="69">
        <f t="shared" si="57"/>
        <v>0</v>
      </c>
      <c r="AQ203" s="69">
        <f t="shared" si="58"/>
        <v>0</v>
      </c>
      <c r="AR203" s="69">
        <f t="shared" si="59"/>
        <v>0</v>
      </c>
      <c r="AS203" s="409"/>
      <c r="AT203" s="409"/>
      <c r="AU203" s="409"/>
    </row>
    <row r="204" spans="1:47">
      <c r="A204" s="67" t="s">
        <v>549</v>
      </c>
      <c r="B204" s="67" t="s">
        <v>550</v>
      </c>
      <c r="C204" s="78" t="s">
        <v>147</v>
      </c>
      <c r="D204" s="78" t="s">
        <v>148</v>
      </c>
      <c r="E204" s="67" t="str">
        <f>INDEX('[5]Combined Bill Code List'!C:C,MATCH($A204,'[5]Combined Bill Code List'!$F:$F,0))</f>
        <v>STAR Kids MDCP</v>
      </c>
      <c r="F204" s="67" t="str">
        <f>INDEX('[5]Combined Bill Code List'!D:D,MATCH($A204,'[5]Combined Bill Code List'!$F:$F,0))</f>
        <v>Flexible Family Supports</v>
      </c>
      <c r="G204" s="67" t="str">
        <f>INDEX('[4]RT Description to Bill Matix'!$D:$D,MATCH(A204,'[4]RT Description to Bill Matix'!$M:$M,0))</f>
        <v>In Home Respite and Flexible Family Support</v>
      </c>
      <c r="H204" s="65" t="str">
        <f>INDEX('[5]Combined Bill Code List'!E:E,MATCH($A204,'[5]Combined Bill Code List'!$F:$F,0))</f>
        <v xml:space="preserve">Attendant (AO) </v>
      </c>
      <c r="I204" s="65"/>
      <c r="J204" s="65" t="str" cm="1">
        <f t="array" ref="J204">INDEX('Rate Table Service Desc XWalk'!F:F,MATCH(1,(G204='Rate Table Service Desc XWalk'!B:B)*(E204='Rate Table Service Desc XWalk'!A:A),0))</f>
        <v>8-1-41</v>
      </c>
      <c r="K204" s="66" t="str">
        <f>INDEX('[5]Combined Bill Code List'!$A:$A,MATCH(A204,'[5]Combined Bill Code List'!$F:$F,0))</f>
        <v>1915(c) waiver</v>
      </c>
      <c r="L204" s="66" t="str">
        <f>INDEX('[6]Rate History'!$P:$P,MATCH(A204,'[6]Rate History'!$F:$F,0))</f>
        <v>15 minutes</v>
      </c>
      <c r="M204" s="77">
        <v>0</v>
      </c>
      <c r="N204" s="77">
        <f t="shared" si="51"/>
        <v>0</v>
      </c>
      <c r="O204" s="76">
        <v>0</v>
      </c>
      <c r="P204" s="91" t="e">
        <v>#N/A</v>
      </c>
      <c r="Q204" s="81">
        <v>3.33</v>
      </c>
      <c r="R204" s="81">
        <f>11.75/4</f>
        <v>2.9375</v>
      </c>
      <c r="S204" s="354">
        <f t="shared" ref="S204:S235" si="61">_xlfn.IFNA(R204/Q204,"")</f>
        <v>0.88213213213213215</v>
      </c>
      <c r="T204" s="339">
        <v>0.25</v>
      </c>
      <c r="U204" s="81">
        <f t="shared" si="49"/>
        <v>0</v>
      </c>
      <c r="V204" s="81" cm="1">
        <f t="array" ref="V204">_xlfn.IFS('Fiscal by Program'!$B$7&lt;10.61,0,'Fiscal by Program'!$B$7&gt;10.6,(ROUND('Fiscal by Program'!$B$7*(1+IF(D204="Yes",'Fiscal by Program'!$B$9,'Fiscal by Program'!$B$8))*T204,2)))</f>
        <v>0</v>
      </c>
      <c r="W204" s="81">
        <f t="shared" si="52"/>
        <v>0</v>
      </c>
      <c r="X204" s="81">
        <f>ROUND((R204/(1+IF(D204="Yes",'Fiscal by Program'!$B$9,'Fiscal by Program'!$B$8))),2)+0.01</f>
        <v>2.6599999999999997</v>
      </c>
      <c r="Y204" s="81">
        <f t="shared" si="53"/>
        <v>3.33</v>
      </c>
      <c r="Z204" s="88">
        <v>1</v>
      </c>
      <c r="AA204" s="90">
        <f t="shared" si="50"/>
        <v>0.25</v>
      </c>
      <c r="AB204" s="75" t="e">
        <f>INDEX('[9]Service List'!$K:$K,MATCH(A204,'[9]Service List'!$F:$F,0))</f>
        <v>#REF!</v>
      </c>
      <c r="AC204" s="73">
        <f>INDEX('[5]Combined Bill Code List'!$P:$P,MATCH(A204,'[5]Combined Bill Code List'!$F:$F,0))</f>
        <v>0</v>
      </c>
      <c r="AD204" s="67" t="s">
        <v>470</v>
      </c>
      <c r="AE204" s="79">
        <f t="shared" si="60"/>
        <v>1.095890410958904</v>
      </c>
      <c r="AF204" s="66">
        <v>0</v>
      </c>
      <c r="AG204" s="70">
        <f>ROUND(INDEX('All Trends'!D:D,MATCH($AD204,'All Trends'!$C:$C,0)),4)</f>
        <v>0.83509999999999995</v>
      </c>
      <c r="AH204" s="70">
        <f>ROUND(INDEX('All Trends'!E:E,MATCH($AD204,'All Trends'!$C:$C,0)),4)</f>
        <v>0.84360000000000002</v>
      </c>
      <c r="AI204" s="70">
        <f>ROUND(INDEX('All Trends'!F:F,MATCH($AD204,'All Trends'!$C:$C,0)),4)</f>
        <v>0.90849999999999997</v>
      </c>
      <c r="AJ204" s="70">
        <f>ROUND(INDEX('All Trends'!G:G,MATCH($AD204,'All Trends'!$C:$C,0)),4)</f>
        <v>0.96619999999999995</v>
      </c>
      <c r="AK204" s="70">
        <f>ROUND(INDEX('All Trends'!H:H,MATCH($AD204,'All Trends'!$C:$C,0)),4)</f>
        <v>1.0237000000000001</v>
      </c>
      <c r="AL204" s="74" t="s">
        <v>148</v>
      </c>
      <c r="AM204" s="92">
        <f t="shared" si="54"/>
        <v>0</v>
      </c>
      <c r="AN204" s="92">
        <f t="shared" si="55"/>
        <v>0</v>
      </c>
      <c r="AO204" s="69">
        <f t="shared" si="56"/>
        <v>0</v>
      </c>
      <c r="AP204" s="69">
        <f t="shared" si="57"/>
        <v>0</v>
      </c>
      <c r="AQ204" s="69">
        <f t="shared" si="58"/>
        <v>0</v>
      </c>
      <c r="AR204" s="69">
        <f t="shared" si="59"/>
        <v>0</v>
      </c>
      <c r="AS204" s="409"/>
      <c r="AT204" s="409"/>
      <c r="AU204" s="409"/>
    </row>
    <row r="205" spans="1:47">
      <c r="A205" s="67" t="s">
        <v>549</v>
      </c>
      <c r="B205" s="67" t="s">
        <v>551</v>
      </c>
      <c r="C205" s="78" t="s">
        <v>147</v>
      </c>
      <c r="D205" s="78" t="s">
        <v>148</v>
      </c>
      <c r="E205" s="67" t="str">
        <f>INDEX('[5]Combined Bill Code List'!C:C,MATCH($A205,'[5]Combined Bill Code List'!$F:$F,0))</f>
        <v>STAR Kids MDCP</v>
      </c>
      <c r="F205" s="67" t="str">
        <f>INDEX('[5]Combined Bill Code List'!D:D,MATCH($A205,'[5]Combined Bill Code List'!$F:$F,0))</f>
        <v>Flexible Family Supports</v>
      </c>
      <c r="G205" s="67" t="str">
        <f>INDEX('[4]RT Description to Bill Matix'!$D:$D,MATCH(A205,'[4]RT Description to Bill Matix'!$M:$M,0))</f>
        <v>In Home Respite and Flexible Family Support</v>
      </c>
      <c r="H205" s="65" t="str">
        <f>INDEX('[5]Combined Bill Code List'!E:E,MATCH($A205,'[5]Combined Bill Code List'!$F:$F,0))</f>
        <v xml:space="preserve">Attendant (AO) </v>
      </c>
      <c r="I205" s="65"/>
      <c r="J205" s="65" t="str" cm="1">
        <f t="array" ref="J205">INDEX('Rate Table Service Desc XWalk'!F:F,MATCH(1,(G205='Rate Table Service Desc XWalk'!B:B)*(E205='Rate Table Service Desc XWalk'!A:A),0))</f>
        <v>8-1-41</v>
      </c>
      <c r="K205" s="66" t="str">
        <f>INDEX('[5]Combined Bill Code List'!$A:$A,MATCH(A205,'[5]Combined Bill Code List'!$F:$F,0))</f>
        <v>1915(c) waiver</v>
      </c>
      <c r="L205" s="66" t="str">
        <f>INDEX('[6]Rate History'!$P:$P,MATCH(A205,'[6]Rate History'!$F:$F,0))</f>
        <v>15 minutes</v>
      </c>
      <c r="M205" s="77">
        <v>0</v>
      </c>
      <c r="N205" s="77">
        <f t="shared" si="51"/>
        <v>0</v>
      </c>
      <c r="O205" s="76">
        <v>0</v>
      </c>
      <c r="P205" s="91" t="e">
        <v>#N/A</v>
      </c>
      <c r="Q205" s="81">
        <v>3.33</v>
      </c>
      <c r="R205" s="81">
        <f>11.75/4</f>
        <v>2.9375</v>
      </c>
      <c r="S205" s="354">
        <f t="shared" si="61"/>
        <v>0.88213213213213215</v>
      </c>
      <c r="T205" s="339">
        <v>0.25</v>
      </c>
      <c r="U205" s="81">
        <f t="shared" si="49"/>
        <v>0</v>
      </c>
      <c r="V205" s="81" cm="1">
        <f t="array" ref="V205">_xlfn.IFS('Fiscal by Program'!$B$7&lt;10.61,0,'Fiscal by Program'!$B$7&gt;10.6,(ROUND('Fiscal by Program'!$B$7*(1+IF(D205="Yes",'Fiscal by Program'!$B$9,'Fiscal by Program'!$B$8))*T205,2)))</f>
        <v>0</v>
      </c>
      <c r="W205" s="81">
        <f t="shared" si="52"/>
        <v>0</v>
      </c>
      <c r="X205" s="81">
        <f>ROUND((R205/(1+IF(D205="Yes",'Fiscal by Program'!$B$9,'Fiscal by Program'!$B$8))),2)+0.01</f>
        <v>2.6599999999999997</v>
      </c>
      <c r="Y205" s="81">
        <f t="shared" si="53"/>
        <v>3.33</v>
      </c>
      <c r="Z205" s="88">
        <v>1</v>
      </c>
      <c r="AA205" s="90">
        <f t="shared" si="50"/>
        <v>0.25</v>
      </c>
      <c r="AB205" s="75" t="e">
        <f>INDEX('[9]Service List'!$K:$K,MATCH(A205,'[9]Service List'!$F:$F,0))</f>
        <v>#REF!</v>
      </c>
      <c r="AC205" s="73">
        <f>INDEX('[5]Combined Bill Code List'!$P:$P,MATCH(A205,'[5]Combined Bill Code List'!$F:$F,0))</f>
        <v>0</v>
      </c>
      <c r="AD205" s="67" t="s">
        <v>552</v>
      </c>
      <c r="AE205" s="79">
        <f t="shared" si="60"/>
        <v>1.095890410958904</v>
      </c>
      <c r="AF205" s="66">
        <v>0</v>
      </c>
      <c r="AG205" s="70">
        <f>ROUND(INDEX('All Trends'!D:D,MATCH($AD205,'All Trends'!$C:$C,0)),4)</f>
        <v>0.78180000000000005</v>
      </c>
      <c r="AH205" s="70">
        <f>ROUND(INDEX('All Trends'!E:E,MATCH($AD205,'All Trends'!$C:$C,0)),4)</f>
        <v>0.78369999999999995</v>
      </c>
      <c r="AI205" s="70">
        <f>ROUND(INDEX('All Trends'!F:F,MATCH($AD205,'All Trends'!$C:$C,0)),4)</f>
        <v>0.85850000000000004</v>
      </c>
      <c r="AJ205" s="70">
        <f>ROUND(INDEX('All Trends'!G:G,MATCH($AD205,'All Trends'!$C:$C,0)),4)</f>
        <v>0.92249999999999999</v>
      </c>
      <c r="AK205" s="70">
        <f>ROUND(INDEX('All Trends'!H:H,MATCH($AD205,'All Trends'!$C:$C,0)),4)</f>
        <v>0.98380000000000001</v>
      </c>
      <c r="AL205" s="74" t="s">
        <v>148</v>
      </c>
      <c r="AM205" s="92">
        <f t="shared" si="54"/>
        <v>0</v>
      </c>
      <c r="AN205" s="92">
        <f t="shared" si="55"/>
        <v>0</v>
      </c>
      <c r="AO205" s="69">
        <f t="shared" si="56"/>
        <v>0</v>
      </c>
      <c r="AP205" s="69">
        <f t="shared" si="57"/>
        <v>0</v>
      </c>
      <c r="AQ205" s="69">
        <f t="shared" si="58"/>
        <v>0</v>
      </c>
      <c r="AR205" s="69">
        <f t="shared" si="59"/>
        <v>0</v>
      </c>
      <c r="AS205" s="409"/>
      <c r="AT205" s="409"/>
      <c r="AU205" s="409"/>
    </row>
    <row r="206" spans="1:47">
      <c r="A206" s="67" t="s">
        <v>549</v>
      </c>
      <c r="B206" s="67" t="s">
        <v>553</v>
      </c>
      <c r="C206" s="78" t="s">
        <v>147</v>
      </c>
      <c r="D206" s="78" t="s">
        <v>148</v>
      </c>
      <c r="E206" s="67" t="str">
        <f>INDEX('[5]Combined Bill Code List'!C:C,MATCH($A206,'[5]Combined Bill Code List'!$F:$F,0))</f>
        <v>STAR Kids MDCP</v>
      </c>
      <c r="F206" s="67" t="str">
        <f>INDEX('[5]Combined Bill Code List'!D:D,MATCH($A206,'[5]Combined Bill Code List'!$F:$F,0))</f>
        <v>Flexible Family Supports</v>
      </c>
      <c r="G206" s="67" t="str">
        <f>INDEX('[4]RT Description to Bill Matix'!$D:$D,MATCH(A206,'[4]RT Description to Bill Matix'!$M:$M,0))</f>
        <v>In Home Respite and Flexible Family Support</v>
      </c>
      <c r="H206" s="65" t="str">
        <f>INDEX('[5]Combined Bill Code List'!E:E,MATCH($A206,'[5]Combined Bill Code List'!$F:$F,0))</f>
        <v xml:space="preserve">Attendant (AO) </v>
      </c>
      <c r="I206" s="65"/>
      <c r="J206" s="65" t="str" cm="1">
        <f t="array" ref="J206">INDEX('Rate Table Service Desc XWalk'!F:F,MATCH(1,(G206='Rate Table Service Desc XWalk'!B:B)*(E206='Rate Table Service Desc XWalk'!A:A),0))</f>
        <v>8-1-41</v>
      </c>
      <c r="K206" s="66" t="str">
        <f>INDEX('[5]Combined Bill Code List'!$A:$A,MATCH(A206,'[5]Combined Bill Code List'!$F:$F,0))</f>
        <v>1915(c) waiver</v>
      </c>
      <c r="L206" s="66" t="str">
        <f>INDEX('[6]Rate History'!$P:$P,MATCH(A206,'[6]Rate History'!$F:$F,0))</f>
        <v>15 minutes</v>
      </c>
      <c r="M206" s="77">
        <f>INDEX('[7]PDF DB Service Pivot'!$C:$C,MATCH(B206,'[7]PDF DB Service Pivot'!$B:$B,0))</f>
        <v>49833</v>
      </c>
      <c r="N206" s="77">
        <f t="shared" si="51"/>
        <v>49833</v>
      </c>
      <c r="O206" s="76">
        <f>INDEX('[7]PDF DB Service Pivot'!$D:$D,MATCH(B206,'[7]PDF DB Service Pivot'!$B:$B,0))</f>
        <v>142464.30000000002</v>
      </c>
      <c r="P206" s="91" t="e">
        <v>#N/A</v>
      </c>
      <c r="Q206" s="81">
        <v>3.33</v>
      </c>
      <c r="R206" s="81">
        <f>11.75/4</f>
        <v>2.9375</v>
      </c>
      <c r="S206" s="354">
        <f t="shared" si="61"/>
        <v>0.88213213213213215</v>
      </c>
      <c r="T206" s="339">
        <v>0.25</v>
      </c>
      <c r="U206" s="81">
        <f t="shared" si="49"/>
        <v>0</v>
      </c>
      <c r="V206" s="81" cm="1">
        <f t="array" ref="V206">_xlfn.IFS('Fiscal by Program'!$B$7&lt;10.61,0,'Fiscal by Program'!$B$7&gt;10.6,(ROUND('Fiscal by Program'!$B$7*(1+IF(D206="Yes",'Fiscal by Program'!$B$9,'Fiscal by Program'!$B$8))*T206,2)))</f>
        <v>0</v>
      </c>
      <c r="W206" s="81">
        <f t="shared" si="52"/>
        <v>0</v>
      </c>
      <c r="X206" s="81">
        <f>ROUND((R206/(1+IF(D206="Yes",'Fiscal by Program'!$B$9,'Fiscal by Program'!$B$8))),2)+0.01</f>
        <v>2.6599999999999997</v>
      </c>
      <c r="Y206" s="81">
        <f t="shared" si="53"/>
        <v>3.33</v>
      </c>
      <c r="Z206" s="88">
        <v>1</v>
      </c>
      <c r="AA206" s="90">
        <f t="shared" si="50"/>
        <v>0.25</v>
      </c>
      <c r="AB206" s="75" t="e">
        <f>INDEX('[9]Service List'!$K:$K,MATCH(A206,'[9]Service List'!$F:$F,0))</f>
        <v>#REF!</v>
      </c>
      <c r="AC206" s="73">
        <f>INDEX('[5]Combined Bill Code List'!$P:$P,MATCH(A206,'[5]Combined Bill Code List'!$F:$F,0))</f>
        <v>0</v>
      </c>
      <c r="AD206" s="67" t="s">
        <v>548</v>
      </c>
      <c r="AE206" s="79">
        <f t="shared" si="60"/>
        <v>1.095890410958904</v>
      </c>
      <c r="AF206" s="66">
        <v>0</v>
      </c>
      <c r="AG206" s="70">
        <f>ROUND(INDEX('All Trends'!D:D,MATCH($AD206,'All Trends'!$C:$C,0)),4)</f>
        <v>0.91039999999999999</v>
      </c>
      <c r="AH206" s="70">
        <f>ROUND(INDEX('All Trends'!E:E,MATCH($AD206,'All Trends'!$C:$C,0)),4)</f>
        <v>0.88790000000000002</v>
      </c>
      <c r="AI206" s="70">
        <f>ROUND(INDEX('All Trends'!F:F,MATCH($AD206,'All Trends'!$C:$C,0)),4)</f>
        <v>0.94140000000000001</v>
      </c>
      <c r="AJ206" s="70">
        <f>ROUND(INDEX('All Trends'!G:G,MATCH($AD206,'All Trends'!$C:$C,0)),4)</f>
        <v>0.9909</v>
      </c>
      <c r="AK206" s="70">
        <f>ROUND(INDEX('All Trends'!H:H,MATCH($AD206,'All Trends'!$C:$C,0)),4)</f>
        <v>1.0428999999999999</v>
      </c>
      <c r="AL206" s="74" t="s">
        <v>148</v>
      </c>
      <c r="AM206" s="92">
        <f t="shared" si="54"/>
        <v>11728.2</v>
      </c>
      <c r="AN206" s="92">
        <f t="shared" si="55"/>
        <v>12344.88</v>
      </c>
      <c r="AO206" s="69">
        <f t="shared" si="56"/>
        <v>0</v>
      </c>
      <c r="AP206" s="69">
        <f t="shared" si="57"/>
        <v>0</v>
      </c>
      <c r="AQ206" s="69">
        <f t="shared" si="58"/>
        <v>0</v>
      </c>
      <c r="AR206" s="69">
        <f t="shared" si="59"/>
        <v>0</v>
      </c>
      <c r="AS206" s="409"/>
      <c r="AT206" s="409"/>
      <c r="AU206" s="409"/>
    </row>
    <row r="207" spans="1:47">
      <c r="A207" s="67" t="s">
        <v>554</v>
      </c>
      <c r="B207" s="67" t="s">
        <v>555</v>
      </c>
      <c r="C207" s="78" t="s">
        <v>147</v>
      </c>
      <c r="D207" s="78" t="s">
        <v>148</v>
      </c>
      <c r="E207" s="67" t="str">
        <f>INDEX('[5]Combined Bill Code List'!C:C,MATCH($A207,'[5]Combined Bill Code List'!$F:$F,0))</f>
        <v>STAR Kids MDCP</v>
      </c>
      <c r="F207" s="67" t="str">
        <f>INDEX('[5]Combined Bill Code List'!D:D,MATCH($A207,'[5]Combined Bill Code List'!$F:$F,0))</f>
        <v>Flexible Family Supports</v>
      </c>
      <c r="G207" s="67" t="str">
        <f>INDEX('[4]RT Description to Bill Matix'!$D:$D,MATCH(A207,'[4]RT Description to Bill Matix'!$M:$M,0))</f>
        <v>CDS In Home Respite and Flexible Family Support</v>
      </c>
      <c r="H207" s="65" t="str">
        <f>INDEX('[5]Combined Bill Code List'!E:E,MATCH($A207,'[5]Combined Bill Code List'!$F:$F,0))</f>
        <v xml:space="preserve">Attendant (CDS) </v>
      </c>
      <c r="I207" s="65" t="s">
        <v>147</v>
      </c>
      <c r="J207" s="65" t="str" cm="1">
        <f t="array" ref="J207">INDEX('Rate Table Service Desc XWalk'!F:F,MATCH(1,(G207='Rate Table Service Desc XWalk'!B:B)*(E207='Rate Table Service Desc XWalk'!A:A),0))</f>
        <v>8-5-125</v>
      </c>
      <c r="K207" s="66" t="str">
        <f>INDEX('[5]Combined Bill Code List'!$A:$A,MATCH(A207,'[5]Combined Bill Code List'!$F:$F,0))</f>
        <v>1915(c) waiver</v>
      </c>
      <c r="L207" s="66" t="str">
        <f>INDEX('[6]Rate History'!$P:$P,MATCH(A207,'[6]Rate History'!$F:$F,0))</f>
        <v>15 minutes</v>
      </c>
      <c r="M207" s="77">
        <f>INDEX('[7]PDF DB Service Pivot'!$C:$C,MATCH(B207,'[7]PDF DB Service Pivot'!$B:$B,0))</f>
        <v>112480.3</v>
      </c>
      <c r="N207" s="77">
        <f t="shared" si="51"/>
        <v>112480.3</v>
      </c>
      <c r="O207" s="76">
        <f>INDEX('[7]PDF DB Service Pivot'!$D:$D,MATCH(B207,'[7]PDF DB Service Pivot'!$B:$B,0))</f>
        <v>315306.82</v>
      </c>
      <c r="P207" s="91" t="e">
        <v>#N/A</v>
      </c>
      <c r="Q207" s="81">
        <v>3.13</v>
      </c>
      <c r="R207" s="81">
        <f>11.75/4</f>
        <v>2.9375</v>
      </c>
      <c r="S207" s="354">
        <f t="shared" si="61"/>
        <v>0.93849840255591055</v>
      </c>
      <c r="T207" s="339">
        <v>0.25</v>
      </c>
      <c r="U207" s="81">
        <f t="shared" si="49"/>
        <v>0</v>
      </c>
      <c r="V207" s="81" cm="1">
        <f t="array" ref="V207">_xlfn.IFS('Fiscal by Program'!$B$7&lt;10.61,0,'Fiscal by Program'!$B$7&gt;10.6,(ROUND('Fiscal by Program'!$B$7*(1+IF(D207="Yes",'Fiscal by Program'!$B$9,'Fiscal by Program'!$B$8))*T207,2)))</f>
        <v>0</v>
      </c>
      <c r="W207" s="81">
        <f t="shared" si="52"/>
        <v>0</v>
      </c>
      <c r="X207" s="81">
        <f>ROUND((R207/(1+IF(D207="Yes",'Fiscal by Program'!$B$9,'Fiscal by Program'!$B$8))),2)+0.01</f>
        <v>2.6599999999999997</v>
      </c>
      <c r="Y207" s="81">
        <f t="shared" si="53"/>
        <v>3.13</v>
      </c>
      <c r="Z207" s="88">
        <v>1</v>
      </c>
      <c r="AA207" s="90">
        <f t="shared" si="50"/>
        <v>0.25</v>
      </c>
      <c r="AB207" s="75" t="e">
        <f>INDEX('[9]Service List'!$K:$K,MATCH(A207,'[9]Service List'!$F:$F,0))</f>
        <v>#REF!</v>
      </c>
      <c r="AC207" s="73">
        <f>INDEX('[5]Combined Bill Code List'!$P:$P,MATCH(A207,'[5]Combined Bill Code List'!$F:$F,0))</f>
        <v>0</v>
      </c>
      <c r="AD207" s="67" t="s">
        <v>548</v>
      </c>
      <c r="AE207" s="79">
        <f t="shared" si="60"/>
        <v>1.095890410958904</v>
      </c>
      <c r="AF207" s="66">
        <v>0</v>
      </c>
      <c r="AG207" s="70">
        <f>ROUND(INDEX('All Trends'!D:D,MATCH($AD207,'All Trends'!$C:$C,0)),4)</f>
        <v>0.91039999999999999</v>
      </c>
      <c r="AH207" s="70">
        <f>ROUND(INDEX('All Trends'!E:E,MATCH($AD207,'All Trends'!$C:$C,0)),4)</f>
        <v>0.88790000000000002</v>
      </c>
      <c r="AI207" s="70">
        <f>ROUND(INDEX('All Trends'!F:F,MATCH($AD207,'All Trends'!$C:$C,0)),4)</f>
        <v>0.94140000000000001</v>
      </c>
      <c r="AJ207" s="70">
        <f>ROUND(INDEX('All Trends'!G:G,MATCH($AD207,'All Trends'!$C:$C,0)),4)</f>
        <v>0.9909</v>
      </c>
      <c r="AK207" s="70">
        <f>ROUND(INDEX('All Trends'!H:H,MATCH($AD207,'All Trends'!$C:$C,0)),4)</f>
        <v>1.0428999999999999</v>
      </c>
      <c r="AL207" s="74" t="s">
        <v>148</v>
      </c>
      <c r="AM207" s="92">
        <f t="shared" si="54"/>
        <v>26472.240000000002</v>
      </c>
      <c r="AN207" s="92">
        <f t="shared" si="55"/>
        <v>27864.18</v>
      </c>
      <c r="AO207" s="69">
        <f t="shared" si="56"/>
        <v>0</v>
      </c>
      <c r="AP207" s="69">
        <f t="shared" si="57"/>
        <v>0</v>
      </c>
      <c r="AQ207" s="69">
        <f t="shared" si="58"/>
        <v>0</v>
      </c>
      <c r="AR207" s="69">
        <f t="shared" si="59"/>
        <v>0</v>
      </c>
      <c r="AS207" s="409"/>
      <c r="AT207" s="409"/>
      <c r="AU207" s="409"/>
    </row>
    <row r="208" spans="1:47">
      <c r="A208" s="67" t="s">
        <v>556</v>
      </c>
      <c r="B208" s="67" t="s">
        <v>557</v>
      </c>
      <c r="C208" s="78" t="s">
        <v>147</v>
      </c>
      <c r="D208" s="78" t="s">
        <v>148</v>
      </c>
      <c r="E208" s="67" t="str">
        <f>INDEX('[5]Combined Bill Code List'!C:C,MATCH($A208,'[5]Combined Bill Code List'!$F:$F,0))</f>
        <v>STAR Kids MDCP</v>
      </c>
      <c r="F208" s="67" t="str">
        <f>INDEX('[5]Combined Bill Code List'!D:D,MATCH($A208,'[5]Combined Bill Code List'!$F:$F,0))</f>
        <v>In Home Respite</v>
      </c>
      <c r="G208" s="67" t="str">
        <f>INDEX('[4]RT Description to Bill Matix'!$D:$D,MATCH(A208,'[4]RT Description to Bill Matix'!$M:$M,0))</f>
        <v>In Home Respite and Flexible Family Support</v>
      </c>
      <c r="H208" s="65" t="str">
        <f>INDEX('[5]Combined Bill Code List'!E:E,MATCH($A208,'[5]Combined Bill Code List'!$F:$F,0))</f>
        <v xml:space="preserve">Respite Care provided by an Attendant with RN delegation (AO) </v>
      </c>
      <c r="I208" s="65"/>
      <c r="J208" s="358" t="str" cm="1">
        <f t="array" ref="J208">INDEX('Rate Table Service Desc XWalk'!F:F,MATCH(1,(G208='Rate Table Service Desc XWalk'!B:B)*(E208='Rate Table Service Desc XWalk'!A:A),0))</f>
        <v>8-1-41</v>
      </c>
      <c r="K208" s="66" t="str">
        <f>INDEX('[5]Combined Bill Code List'!$A:$A,MATCH(A208,'[5]Combined Bill Code List'!$F:$F,0))</f>
        <v>1915(c) waiver</v>
      </c>
      <c r="L208" s="66" t="str">
        <f>INDEX('[6]Rate History'!$P:$P,MATCH(A208,'[6]Rate History'!$F:$F,0))</f>
        <v>15 minutes</v>
      </c>
      <c r="M208" s="77">
        <f>INDEX('[7]PDF DB Service Pivot'!$C:$C,MATCH(B208,'[7]PDF DB Service Pivot'!$B:$B,0))</f>
        <v>103290</v>
      </c>
      <c r="N208" s="77">
        <f t="shared" si="51"/>
        <v>103290</v>
      </c>
      <c r="O208" s="76">
        <f>INDEX('[7]PDF DB Service Pivot'!$D:$D,MATCH(B208,'[7]PDF DB Service Pivot'!$B:$B,0))</f>
        <v>333684.02000000008</v>
      </c>
      <c r="P208" s="91" t="e">
        <v>#N/A</v>
      </c>
      <c r="Q208" s="81">
        <v>3.36</v>
      </c>
      <c r="R208" s="81">
        <f>11.74/4</f>
        <v>2.9350000000000001</v>
      </c>
      <c r="S208" s="354">
        <f t="shared" si="61"/>
        <v>0.87351190476190477</v>
      </c>
      <c r="T208" s="339">
        <v>0.25</v>
      </c>
      <c r="U208" s="81">
        <f t="shared" si="49"/>
        <v>0</v>
      </c>
      <c r="V208" s="81" cm="1">
        <f t="array" ref="V208">_xlfn.IFS('Fiscal by Program'!$B$7&lt;10.61,0,'Fiscal by Program'!$B$7&gt;10.6,(ROUND('Fiscal by Program'!$B$7*(1+IF(D208="Yes",'Fiscal by Program'!$B$9,'Fiscal by Program'!$B$8))*T208,2)))</f>
        <v>0</v>
      </c>
      <c r="W208" s="81">
        <f t="shared" si="52"/>
        <v>0</v>
      </c>
      <c r="X208" s="81">
        <f>ROUND((R208/(1+IF(D208="Yes",'Fiscal by Program'!$B$9,'Fiscal by Program'!$B$8))),2)+0.01</f>
        <v>2.6599999999999997</v>
      </c>
      <c r="Y208" s="81">
        <f t="shared" si="53"/>
        <v>3.36</v>
      </c>
      <c r="Z208" s="88">
        <v>1</v>
      </c>
      <c r="AA208" s="90">
        <f t="shared" si="50"/>
        <v>0.25</v>
      </c>
      <c r="AB208" s="75" t="e">
        <f>INDEX('[9]Service List'!$K:$K,MATCH(A208,'[9]Service List'!$F:$F,0))</f>
        <v>#REF!</v>
      </c>
      <c r="AC208" s="73">
        <f>INDEX('[5]Combined Bill Code List'!$P:$P,MATCH(A208,'[5]Combined Bill Code List'!$F:$F,0))</f>
        <v>0</v>
      </c>
      <c r="AD208" s="67" t="s">
        <v>548</v>
      </c>
      <c r="AE208" s="79">
        <f t="shared" si="60"/>
        <v>1.095890410958904</v>
      </c>
      <c r="AF208" s="66">
        <v>0</v>
      </c>
      <c r="AG208" s="70">
        <f>ROUND(INDEX('All Trends'!D:D,MATCH($AD208,'All Trends'!$C:$C,0)),4)</f>
        <v>0.91039999999999999</v>
      </c>
      <c r="AH208" s="70">
        <f>ROUND(INDEX('All Trends'!E:E,MATCH($AD208,'All Trends'!$C:$C,0)),4)</f>
        <v>0.88790000000000002</v>
      </c>
      <c r="AI208" s="70">
        <f>ROUND(INDEX('All Trends'!F:F,MATCH($AD208,'All Trends'!$C:$C,0)),4)</f>
        <v>0.94140000000000001</v>
      </c>
      <c r="AJ208" s="70">
        <f>ROUND(INDEX('All Trends'!G:G,MATCH($AD208,'All Trends'!$C:$C,0)),4)</f>
        <v>0.9909</v>
      </c>
      <c r="AK208" s="70">
        <f>ROUND(INDEX('All Trends'!H:H,MATCH($AD208,'All Trends'!$C:$C,0)),4)</f>
        <v>1.0428999999999999</v>
      </c>
      <c r="AL208" s="74" t="s">
        <v>148</v>
      </c>
      <c r="AM208" s="92">
        <f t="shared" si="54"/>
        <v>24309.3</v>
      </c>
      <c r="AN208" s="92">
        <f t="shared" si="55"/>
        <v>25587.52</v>
      </c>
      <c r="AO208" s="69">
        <f t="shared" si="56"/>
        <v>0</v>
      </c>
      <c r="AP208" s="69">
        <f t="shared" si="57"/>
        <v>0</v>
      </c>
      <c r="AQ208" s="69">
        <f t="shared" si="58"/>
        <v>0</v>
      </c>
      <c r="AR208" s="69">
        <f t="shared" si="59"/>
        <v>0</v>
      </c>
      <c r="AS208" s="409"/>
      <c r="AT208" s="409"/>
      <c r="AU208" s="409"/>
    </row>
    <row r="209" spans="1:47">
      <c r="A209" s="67" t="s">
        <v>558</v>
      </c>
      <c r="B209" s="67" t="s">
        <v>559</v>
      </c>
      <c r="C209" s="78" t="s">
        <v>147</v>
      </c>
      <c r="D209" s="78" t="s">
        <v>148</v>
      </c>
      <c r="E209" s="67" t="str">
        <f>INDEX('[5]Combined Bill Code List'!C:C,MATCH($A209,'[5]Combined Bill Code List'!$F:$F,0))</f>
        <v>STAR Kids MDCP</v>
      </c>
      <c r="F209" s="67" t="str">
        <f>INDEX('[5]Combined Bill Code List'!D:D,MATCH($A209,'[5]Combined Bill Code List'!$F:$F,0))</f>
        <v>In Home Respite</v>
      </c>
      <c r="G209" s="67" t="str">
        <f>INDEX('[4]RT Description to Bill Matix'!$D:$D,MATCH(A209,'[4]RT Description to Bill Matix'!$M:$M,0))</f>
        <v>In Home Respite and Flexible Family Support</v>
      </c>
      <c r="H209" s="65" t="str">
        <f>INDEX('[5]Combined Bill Code List'!E:E,MATCH($A209,'[5]Combined Bill Code List'!$F:$F,0))</f>
        <v xml:space="preserve">Respite Care provided by an Attendant with RN delegation (SRO) </v>
      </c>
      <c r="I209" s="65"/>
      <c r="J209" s="358" t="str" cm="1">
        <f t="array" ref="J209">INDEX('Rate Table Service Desc XWalk'!F:F,MATCH(1,(G209='Rate Table Service Desc XWalk'!B:B)*(E209='Rate Table Service Desc XWalk'!A:A),0))</f>
        <v>8-1-41</v>
      </c>
      <c r="K209" s="66" t="str">
        <f>INDEX('[5]Combined Bill Code List'!$A:$A,MATCH(A209,'[5]Combined Bill Code List'!$F:$F,0))</f>
        <v>1915(c) waiver</v>
      </c>
      <c r="L209" s="66" t="str">
        <f>INDEX('[6]Rate History'!$P:$P,MATCH(A209,'[6]Rate History'!$F:$F,0))</f>
        <v>15 minutes</v>
      </c>
      <c r="M209" s="77">
        <f>INDEX('[7]PDF DB Service Pivot'!$C:$C,MATCH(B209,'[7]PDF DB Service Pivot'!$B:$B,0))</f>
        <v>2793</v>
      </c>
      <c r="N209" s="77">
        <f t="shared" si="51"/>
        <v>2793</v>
      </c>
      <c r="O209" s="76">
        <f>INDEX('[7]PDF DB Service Pivot'!$D:$D,MATCH(B209,'[7]PDF DB Service Pivot'!$B:$B,0))</f>
        <v>9133.11</v>
      </c>
      <c r="P209" s="91" t="e">
        <v>#N/A</v>
      </c>
      <c r="Q209" s="81">
        <v>3.36</v>
      </c>
      <c r="R209" s="81">
        <f>11.75/4</f>
        <v>2.9375</v>
      </c>
      <c r="S209" s="354">
        <f t="shared" si="61"/>
        <v>0.87425595238095244</v>
      </c>
      <c r="T209" s="339">
        <v>0.25</v>
      </c>
      <c r="U209" s="81">
        <f t="shared" si="49"/>
        <v>0</v>
      </c>
      <c r="V209" s="81" cm="1">
        <f t="array" ref="V209">_xlfn.IFS('Fiscal by Program'!$B$7&lt;10.61,0,'Fiscal by Program'!$B$7&gt;10.6,(ROUND('Fiscal by Program'!$B$7*(1+IF(D209="Yes",'Fiscal by Program'!$B$9,'Fiscal by Program'!$B$8))*T209,2)))</f>
        <v>0</v>
      </c>
      <c r="W209" s="81">
        <f t="shared" si="52"/>
        <v>0</v>
      </c>
      <c r="X209" s="81">
        <f>ROUND((R209/(1+IF(D209="Yes",'Fiscal by Program'!$B$9,'Fiscal by Program'!$B$8))),2)+0.01</f>
        <v>2.6599999999999997</v>
      </c>
      <c r="Y209" s="81">
        <f t="shared" si="53"/>
        <v>3.36</v>
      </c>
      <c r="Z209" s="88">
        <v>1</v>
      </c>
      <c r="AA209" s="90">
        <f t="shared" si="50"/>
        <v>0.25</v>
      </c>
      <c r="AB209" s="75" t="e">
        <f>INDEX('[9]Service List'!$K:$K,MATCH(A209,'[9]Service List'!$F:$F,0))</f>
        <v>#REF!</v>
      </c>
      <c r="AC209" s="73">
        <f>INDEX('[5]Combined Bill Code List'!$P:$P,MATCH(A209,'[5]Combined Bill Code List'!$F:$F,0))</f>
        <v>0</v>
      </c>
      <c r="AD209" s="67" t="s">
        <v>548</v>
      </c>
      <c r="AE209" s="79">
        <f t="shared" si="60"/>
        <v>1.095890410958904</v>
      </c>
      <c r="AF209" s="66">
        <v>0</v>
      </c>
      <c r="AG209" s="70">
        <f>ROUND(INDEX('All Trends'!D:D,MATCH($AD209,'All Trends'!$C:$C,0)),4)</f>
        <v>0.91039999999999999</v>
      </c>
      <c r="AH209" s="70">
        <f>ROUND(INDEX('All Trends'!E:E,MATCH($AD209,'All Trends'!$C:$C,0)),4)</f>
        <v>0.88790000000000002</v>
      </c>
      <c r="AI209" s="70">
        <f>ROUND(INDEX('All Trends'!F:F,MATCH($AD209,'All Trends'!$C:$C,0)),4)</f>
        <v>0.94140000000000001</v>
      </c>
      <c r="AJ209" s="70">
        <f>ROUND(INDEX('All Trends'!G:G,MATCH($AD209,'All Trends'!$C:$C,0)),4)</f>
        <v>0.9909</v>
      </c>
      <c r="AK209" s="70">
        <f>ROUND(INDEX('All Trends'!H:H,MATCH($AD209,'All Trends'!$C:$C,0)),4)</f>
        <v>1.0428999999999999</v>
      </c>
      <c r="AL209" s="74" t="s">
        <v>148</v>
      </c>
      <c r="AM209" s="92">
        <f t="shared" si="54"/>
        <v>657.33</v>
      </c>
      <c r="AN209" s="92">
        <f t="shared" si="55"/>
        <v>691.9</v>
      </c>
      <c r="AO209" s="69">
        <f t="shared" si="56"/>
        <v>0</v>
      </c>
      <c r="AP209" s="69">
        <f t="shared" si="57"/>
        <v>0</v>
      </c>
      <c r="AQ209" s="69">
        <f t="shared" si="58"/>
        <v>0</v>
      </c>
      <c r="AR209" s="69">
        <f t="shared" si="59"/>
        <v>0</v>
      </c>
      <c r="AS209" s="409"/>
      <c r="AT209" s="409"/>
      <c r="AU209" s="409"/>
    </row>
    <row r="210" spans="1:47">
      <c r="A210" s="67" t="s">
        <v>560</v>
      </c>
      <c r="B210" s="67" t="s">
        <v>561</v>
      </c>
      <c r="C210" s="78" t="s">
        <v>147</v>
      </c>
      <c r="D210" s="78" t="s">
        <v>148</v>
      </c>
      <c r="E210" s="67" t="str">
        <f>INDEX('[5]Combined Bill Code List'!C:C,MATCH($A210,'[5]Combined Bill Code List'!$F:$F,0))</f>
        <v>STAR Kids MDCP</v>
      </c>
      <c r="F210" s="67" t="str">
        <f>INDEX('[5]Combined Bill Code List'!D:D,MATCH($A210,'[5]Combined Bill Code List'!$F:$F,0))</f>
        <v>In Home Respite</v>
      </c>
      <c r="G210" s="67" t="str">
        <f>INDEX('[4]RT Description to Bill Matix'!$D:$D,MATCH(A210,'[4]RT Description to Bill Matix'!$M:$M,0))</f>
        <v>CDS In Home Respite and Flexible Family Support</v>
      </c>
      <c r="H210" s="65" t="str">
        <f>INDEX('[5]Combined Bill Code List'!E:E,MATCH($A210,'[5]Combined Bill Code List'!$F:$F,0))</f>
        <v xml:space="preserve">Respite Care provided by an Attendant with RN delegation (CDS) </v>
      </c>
      <c r="I210" s="65" t="s">
        <v>147</v>
      </c>
      <c r="J210" s="358" t="str" cm="1">
        <f t="array" ref="J210">INDEX('Rate Table Service Desc XWalk'!F:F,MATCH(1,(G210='Rate Table Service Desc XWalk'!B:B)*(E210='Rate Table Service Desc XWalk'!A:A),0))</f>
        <v>8-5-125</v>
      </c>
      <c r="K210" s="66" t="str">
        <f>INDEX('[5]Combined Bill Code List'!$A:$A,MATCH(A210,'[5]Combined Bill Code List'!$F:$F,0))</f>
        <v>1915(c) waiver</v>
      </c>
      <c r="L210" s="66" t="str">
        <f>INDEX('[6]Rate History'!$P:$P,MATCH(A210,'[6]Rate History'!$F:$F,0))</f>
        <v>15 minutes</v>
      </c>
      <c r="M210" s="77">
        <f>INDEX('[7]PDF DB Service Pivot'!$C:$C,MATCH(B210,'[7]PDF DB Service Pivot'!$B:$B,0))</f>
        <v>23817</v>
      </c>
      <c r="N210" s="77">
        <f t="shared" si="51"/>
        <v>23817</v>
      </c>
      <c r="O210" s="76">
        <f>INDEX('[7]PDF DB Service Pivot'!$D:$D,MATCH(B210,'[7]PDF DB Service Pivot'!$B:$B,0))</f>
        <v>68651.38</v>
      </c>
      <c r="P210" s="91" t="e">
        <v>#N/A</v>
      </c>
      <c r="Q210" s="81">
        <v>3.16</v>
      </c>
      <c r="R210" s="81">
        <f>11.74/4</f>
        <v>2.9350000000000001</v>
      </c>
      <c r="S210" s="354">
        <f t="shared" si="61"/>
        <v>0.92879746835443033</v>
      </c>
      <c r="T210" s="339">
        <v>0.25</v>
      </c>
      <c r="U210" s="81">
        <f t="shared" si="49"/>
        <v>0</v>
      </c>
      <c r="V210" s="81" cm="1">
        <f t="array" ref="V210">_xlfn.IFS('Fiscal by Program'!$B$7&lt;10.61,0,'Fiscal by Program'!$B$7&gt;10.6,(ROUND('Fiscal by Program'!$B$7*(1+IF(D210="Yes",'Fiscal by Program'!$B$9,'Fiscal by Program'!$B$8))*T210,2)))</f>
        <v>0</v>
      </c>
      <c r="W210" s="81">
        <f t="shared" si="52"/>
        <v>0</v>
      </c>
      <c r="X210" s="81">
        <f>ROUND((R210/(1+IF(D210="Yes",'Fiscal by Program'!$B$9,'Fiscal by Program'!$B$8))),2)+0.01</f>
        <v>2.6599999999999997</v>
      </c>
      <c r="Y210" s="81">
        <f t="shared" si="53"/>
        <v>3.16</v>
      </c>
      <c r="Z210" s="88">
        <v>1</v>
      </c>
      <c r="AA210" s="90">
        <f t="shared" si="50"/>
        <v>0.25</v>
      </c>
      <c r="AB210" s="75" t="e">
        <f>INDEX('[9]Service List'!$K:$K,MATCH(A210,'[9]Service List'!$F:$F,0))</f>
        <v>#REF!</v>
      </c>
      <c r="AC210" s="73">
        <f>INDEX('[5]Combined Bill Code List'!$P:$P,MATCH(A210,'[5]Combined Bill Code List'!$F:$F,0))</f>
        <v>0</v>
      </c>
      <c r="AD210" s="67" t="s">
        <v>548</v>
      </c>
      <c r="AE210" s="79">
        <f t="shared" si="60"/>
        <v>1.095890410958904</v>
      </c>
      <c r="AF210" s="66">
        <v>0</v>
      </c>
      <c r="AG210" s="70">
        <f>ROUND(INDEX('All Trends'!D:D,MATCH($AD210,'All Trends'!$C:$C,0)),4)</f>
        <v>0.91039999999999999</v>
      </c>
      <c r="AH210" s="70">
        <f>ROUND(INDEX('All Trends'!E:E,MATCH($AD210,'All Trends'!$C:$C,0)),4)</f>
        <v>0.88790000000000002</v>
      </c>
      <c r="AI210" s="70">
        <f>ROUND(INDEX('All Trends'!F:F,MATCH($AD210,'All Trends'!$C:$C,0)),4)</f>
        <v>0.94140000000000001</v>
      </c>
      <c r="AJ210" s="70">
        <f>ROUND(INDEX('All Trends'!G:G,MATCH($AD210,'All Trends'!$C:$C,0)),4)</f>
        <v>0.9909</v>
      </c>
      <c r="AK210" s="70">
        <f>ROUND(INDEX('All Trends'!H:H,MATCH($AD210,'All Trends'!$C:$C,0)),4)</f>
        <v>1.0428999999999999</v>
      </c>
      <c r="AL210" s="74" t="s">
        <v>148</v>
      </c>
      <c r="AM210" s="92">
        <f t="shared" si="54"/>
        <v>5605.33</v>
      </c>
      <c r="AN210" s="92">
        <f t="shared" si="55"/>
        <v>5900.07</v>
      </c>
      <c r="AO210" s="69">
        <f t="shared" si="56"/>
        <v>0</v>
      </c>
      <c r="AP210" s="69">
        <f t="shared" si="57"/>
        <v>0</v>
      </c>
      <c r="AQ210" s="69">
        <f t="shared" si="58"/>
        <v>0</v>
      </c>
      <c r="AR210" s="69">
        <f t="shared" si="59"/>
        <v>0</v>
      </c>
      <c r="AS210" s="409"/>
      <c r="AT210" s="409"/>
      <c r="AU210" s="409"/>
    </row>
    <row r="211" spans="1:47">
      <c r="A211" s="67" t="s">
        <v>562</v>
      </c>
      <c r="B211" s="67" t="s">
        <v>563</v>
      </c>
      <c r="C211" s="78" t="s">
        <v>147</v>
      </c>
      <c r="D211" s="78" t="s">
        <v>148</v>
      </c>
      <c r="E211" s="67" t="str">
        <f>INDEX('[5]Combined Bill Code List'!C:C,MATCH($A211,'[5]Combined Bill Code List'!$F:$F,0))</f>
        <v>STAR Kids MDCP</v>
      </c>
      <c r="F211" s="67" t="str">
        <f>INDEX('[5]Combined Bill Code List'!D:D,MATCH($A211,'[5]Combined Bill Code List'!$F:$F,0))</f>
        <v>In Home Respite</v>
      </c>
      <c r="G211" s="67" t="str">
        <f>INDEX('[4]RT Description to Bill Matix'!$D:$D,MATCH(A211,'[4]RT Description to Bill Matix'!$M:$M,0))</f>
        <v>In Home Respite and Flexible Family Support</v>
      </c>
      <c r="H211" s="65" t="str">
        <f>INDEX('[5]Combined Bill Code List'!E:E,MATCH($A211,'[5]Combined Bill Code List'!$F:$F,0))</f>
        <v xml:space="preserve">Respite Care provided by an Attendant (AO) </v>
      </c>
      <c r="I211" s="65"/>
      <c r="J211" s="358" t="str" cm="1">
        <f t="array" ref="J211">INDEX('Rate Table Service Desc XWalk'!F:F,MATCH(1,(G211='Rate Table Service Desc XWalk'!B:B)*(E211='Rate Table Service Desc XWalk'!A:A),0))</f>
        <v>8-1-41</v>
      </c>
      <c r="K211" s="66" t="str">
        <f>INDEX('[5]Combined Bill Code List'!$A:$A,MATCH(A211,'[5]Combined Bill Code List'!$F:$F,0))</f>
        <v>1915(c) waiver</v>
      </c>
      <c r="L211" s="66" t="str">
        <f>INDEX('[6]Rate History'!$P:$P,MATCH(A211,'[6]Rate History'!$F:$F,0))</f>
        <v>15 minutes</v>
      </c>
      <c r="M211" s="77">
        <f>INDEX('[7]PDF DB Service Pivot'!$C:$C,MATCH(B211,'[7]PDF DB Service Pivot'!$B:$B,0))</f>
        <v>2608</v>
      </c>
      <c r="N211" s="77">
        <f t="shared" si="51"/>
        <v>2608</v>
      </c>
      <c r="O211" s="76">
        <f>INDEX('[7]PDF DB Service Pivot'!$D:$D,MATCH(B211,'[7]PDF DB Service Pivot'!$B:$B,0))</f>
        <v>7828.68</v>
      </c>
      <c r="P211" s="91" t="e">
        <v>#N/A</v>
      </c>
      <c r="Q211" s="81">
        <v>3.33</v>
      </c>
      <c r="R211" s="81">
        <f t="shared" ref="R211:R222" si="62">11.75/4</f>
        <v>2.9375</v>
      </c>
      <c r="S211" s="354">
        <f t="shared" si="61"/>
        <v>0.88213213213213215</v>
      </c>
      <c r="T211" s="339">
        <v>0.25</v>
      </c>
      <c r="U211" s="81">
        <f t="shared" si="49"/>
        <v>0</v>
      </c>
      <c r="V211" s="81" cm="1">
        <f t="array" ref="V211">_xlfn.IFS('Fiscal by Program'!$B$7&lt;10.61,0,'Fiscal by Program'!$B$7&gt;10.6,(ROUND('Fiscal by Program'!$B$7*(1+IF(D211="Yes",'Fiscal by Program'!$B$9,'Fiscal by Program'!$B$8))*T211,2)))</f>
        <v>0</v>
      </c>
      <c r="W211" s="81">
        <f t="shared" si="52"/>
        <v>0</v>
      </c>
      <c r="X211" s="81">
        <f>ROUND((R211/(1+IF(D211="Yes",'Fiscal by Program'!$B$9,'Fiscal by Program'!$B$8))),2)+0.01</f>
        <v>2.6599999999999997</v>
      </c>
      <c r="Y211" s="81">
        <f t="shared" si="53"/>
        <v>3.33</v>
      </c>
      <c r="Z211" s="88">
        <v>1</v>
      </c>
      <c r="AA211" s="90">
        <f t="shared" si="50"/>
        <v>0.25</v>
      </c>
      <c r="AB211" s="75" t="e">
        <f>INDEX('[9]Service List'!$K:$K,MATCH(A211,'[9]Service List'!$F:$F,0))</f>
        <v>#REF!</v>
      </c>
      <c r="AC211" s="73">
        <f>INDEX('[5]Combined Bill Code List'!$P:$P,MATCH(A211,'[5]Combined Bill Code List'!$F:$F,0))</f>
        <v>0</v>
      </c>
      <c r="AD211" s="67" t="s">
        <v>564</v>
      </c>
      <c r="AE211" s="79">
        <f t="shared" si="60"/>
        <v>1.095890410958904</v>
      </c>
      <c r="AF211" s="66">
        <v>0</v>
      </c>
      <c r="AG211" s="70">
        <f>ROUND(INDEX('All Trends'!D:D,MATCH($AD211,'All Trends'!$C:$C,0)),4)</f>
        <v>0.49270000000000003</v>
      </c>
      <c r="AH211" s="70">
        <f>ROUND(INDEX('All Trends'!E:E,MATCH($AD211,'All Trends'!$C:$C,0)),4)</f>
        <v>0.6159</v>
      </c>
      <c r="AI211" s="70">
        <f>ROUND(INDEX('All Trends'!F:F,MATCH($AD211,'All Trends'!$C:$C,0)),4)</f>
        <v>0.67430000000000001</v>
      </c>
      <c r="AJ211" s="70">
        <f>ROUND(INDEX('All Trends'!G:G,MATCH($AD211,'All Trends'!$C:$C,0)),4)</f>
        <v>0.72470000000000001</v>
      </c>
      <c r="AK211" s="70">
        <f>ROUND(INDEX('All Trends'!H:H,MATCH($AD211,'All Trends'!$C:$C,0)),4)</f>
        <v>0.77290000000000003</v>
      </c>
      <c r="AL211" s="74" t="s">
        <v>148</v>
      </c>
      <c r="AM211" s="92">
        <f t="shared" si="54"/>
        <v>439.64</v>
      </c>
      <c r="AN211" s="92">
        <f t="shared" si="55"/>
        <v>472.5</v>
      </c>
      <c r="AO211" s="69">
        <f t="shared" si="56"/>
        <v>0</v>
      </c>
      <c r="AP211" s="69">
        <f t="shared" si="57"/>
        <v>0</v>
      </c>
      <c r="AQ211" s="69">
        <f t="shared" si="58"/>
        <v>0</v>
      </c>
      <c r="AR211" s="69">
        <f t="shared" si="59"/>
        <v>0</v>
      </c>
      <c r="AS211" s="409"/>
      <c r="AT211" s="409"/>
      <c r="AU211" s="409"/>
    </row>
    <row r="212" spans="1:47">
      <c r="A212" s="67" t="s">
        <v>562</v>
      </c>
      <c r="B212" s="67" t="s">
        <v>565</v>
      </c>
      <c r="C212" s="78" t="s">
        <v>147</v>
      </c>
      <c r="D212" s="78" t="s">
        <v>148</v>
      </c>
      <c r="E212" s="67" t="str">
        <f>INDEX('[5]Combined Bill Code List'!C:C,MATCH($A212,'[5]Combined Bill Code List'!$F:$F,0))</f>
        <v>STAR Kids MDCP</v>
      </c>
      <c r="F212" s="67" t="str">
        <f>INDEX('[5]Combined Bill Code List'!D:D,MATCH($A212,'[5]Combined Bill Code List'!$F:$F,0))</f>
        <v>In Home Respite</v>
      </c>
      <c r="G212" s="67" t="str">
        <f>INDEX('[4]RT Description to Bill Matix'!$D:$D,MATCH(A212,'[4]RT Description to Bill Matix'!$M:$M,0))</f>
        <v>In Home Respite and Flexible Family Support</v>
      </c>
      <c r="H212" s="65" t="str">
        <f>INDEX('[5]Combined Bill Code List'!E:E,MATCH($A212,'[5]Combined Bill Code List'!$F:$F,0))</f>
        <v xml:space="preserve">Respite Care provided by an Attendant (AO) </v>
      </c>
      <c r="I212" s="65"/>
      <c r="J212" s="358" t="str" cm="1">
        <f t="array" ref="J212">INDEX('Rate Table Service Desc XWalk'!F:F,MATCH(1,(G212='Rate Table Service Desc XWalk'!B:B)*(E212='Rate Table Service Desc XWalk'!A:A),0))</f>
        <v>8-1-41</v>
      </c>
      <c r="K212" s="66" t="str">
        <f>INDEX('[5]Combined Bill Code List'!$A:$A,MATCH(A212,'[5]Combined Bill Code List'!$F:$F,0))</f>
        <v>1915(c) waiver</v>
      </c>
      <c r="L212" s="66" t="str">
        <f>INDEX('[6]Rate History'!$P:$P,MATCH(A212,'[6]Rate History'!$F:$F,0))</f>
        <v>15 minutes</v>
      </c>
      <c r="M212" s="77">
        <f>INDEX('[7]PDF DB Service Pivot'!$C:$C,MATCH(B212,'[7]PDF DB Service Pivot'!$B:$B,0))</f>
        <v>5154</v>
      </c>
      <c r="N212" s="77">
        <f t="shared" si="51"/>
        <v>5154</v>
      </c>
      <c r="O212" s="76">
        <f>INDEX('[7]PDF DB Service Pivot'!$D:$D,MATCH(B212,'[7]PDF DB Service Pivot'!$B:$B,0))</f>
        <v>15549.48</v>
      </c>
      <c r="P212" s="91" t="e">
        <v>#N/A</v>
      </c>
      <c r="Q212" s="81">
        <v>3.33</v>
      </c>
      <c r="R212" s="81">
        <f t="shared" si="62"/>
        <v>2.9375</v>
      </c>
      <c r="S212" s="354">
        <f t="shared" si="61"/>
        <v>0.88213213213213215</v>
      </c>
      <c r="T212" s="339">
        <v>0.25</v>
      </c>
      <c r="U212" s="81">
        <f t="shared" si="49"/>
        <v>0</v>
      </c>
      <c r="V212" s="81" cm="1">
        <f t="array" ref="V212">_xlfn.IFS('Fiscal by Program'!$B$7&lt;10.61,0,'Fiscal by Program'!$B$7&gt;10.6,(ROUND('Fiscal by Program'!$B$7*(1+IF(D212="Yes",'Fiscal by Program'!$B$9,'Fiscal by Program'!$B$8))*T212,2)))</f>
        <v>0</v>
      </c>
      <c r="W212" s="81">
        <f t="shared" si="52"/>
        <v>0</v>
      </c>
      <c r="X212" s="81">
        <f>ROUND((R212/(1+IF(D212="Yes",'Fiscal by Program'!$B$9,'Fiscal by Program'!$B$8))),2)+0.01</f>
        <v>2.6599999999999997</v>
      </c>
      <c r="Y212" s="81">
        <f t="shared" si="53"/>
        <v>3.33</v>
      </c>
      <c r="Z212" s="88">
        <v>1</v>
      </c>
      <c r="AA212" s="90">
        <f t="shared" si="50"/>
        <v>0.25</v>
      </c>
      <c r="AB212" s="75" t="e">
        <f>INDEX('[9]Service List'!$K:$K,MATCH(A212,'[9]Service List'!$F:$F,0))</f>
        <v>#REF!</v>
      </c>
      <c r="AC212" s="73">
        <f>INDEX('[5]Combined Bill Code List'!$P:$P,MATCH(A212,'[5]Combined Bill Code List'!$F:$F,0))</f>
        <v>0</v>
      </c>
      <c r="AD212" s="67" t="s">
        <v>470</v>
      </c>
      <c r="AE212" s="79">
        <f t="shared" si="60"/>
        <v>1.095890410958904</v>
      </c>
      <c r="AF212" s="66">
        <v>0</v>
      </c>
      <c r="AG212" s="70">
        <f>ROUND(INDEX('All Trends'!D:D,MATCH($AD212,'All Trends'!$C:$C,0)),4)</f>
        <v>0.83509999999999995</v>
      </c>
      <c r="AH212" s="70">
        <f>ROUND(INDEX('All Trends'!E:E,MATCH($AD212,'All Trends'!$C:$C,0)),4)</f>
        <v>0.84360000000000002</v>
      </c>
      <c r="AI212" s="70">
        <f>ROUND(INDEX('All Trends'!F:F,MATCH($AD212,'All Trends'!$C:$C,0)),4)</f>
        <v>0.90849999999999997</v>
      </c>
      <c r="AJ212" s="70">
        <f>ROUND(INDEX('All Trends'!G:G,MATCH($AD212,'All Trends'!$C:$C,0)),4)</f>
        <v>0.96619999999999995</v>
      </c>
      <c r="AK212" s="70">
        <f>ROUND(INDEX('All Trends'!H:H,MATCH($AD212,'All Trends'!$C:$C,0)),4)</f>
        <v>1.0237000000000001</v>
      </c>
      <c r="AL212" s="74" t="s">
        <v>148</v>
      </c>
      <c r="AM212" s="92">
        <f t="shared" si="54"/>
        <v>1170.5999999999999</v>
      </c>
      <c r="AN212" s="92">
        <f t="shared" si="55"/>
        <v>1244.95</v>
      </c>
      <c r="AO212" s="69">
        <f t="shared" si="56"/>
        <v>0</v>
      </c>
      <c r="AP212" s="69">
        <f t="shared" si="57"/>
        <v>0</v>
      </c>
      <c r="AQ212" s="69">
        <f t="shared" si="58"/>
        <v>0</v>
      </c>
      <c r="AR212" s="69">
        <f t="shared" si="59"/>
        <v>0</v>
      </c>
      <c r="AS212" s="409"/>
      <c r="AT212" s="409"/>
      <c r="AU212" s="409"/>
    </row>
    <row r="213" spans="1:47">
      <c r="A213" s="67" t="s">
        <v>562</v>
      </c>
      <c r="B213" s="67" t="s">
        <v>566</v>
      </c>
      <c r="C213" s="78" t="s">
        <v>147</v>
      </c>
      <c r="D213" s="78" t="s">
        <v>148</v>
      </c>
      <c r="E213" s="67" t="str">
        <f>INDEX('[5]Combined Bill Code List'!C:C,MATCH($A213,'[5]Combined Bill Code List'!$F:$F,0))</f>
        <v>STAR Kids MDCP</v>
      </c>
      <c r="F213" s="67" t="str">
        <f>INDEX('[5]Combined Bill Code List'!D:D,MATCH($A213,'[5]Combined Bill Code List'!$F:$F,0))</f>
        <v>In Home Respite</v>
      </c>
      <c r="G213" s="67" t="str">
        <f>INDEX('[4]RT Description to Bill Matix'!$D:$D,MATCH(A213,'[4]RT Description to Bill Matix'!$M:$M,0))</f>
        <v>In Home Respite and Flexible Family Support</v>
      </c>
      <c r="H213" s="65" t="str">
        <f>INDEX('[5]Combined Bill Code List'!E:E,MATCH($A213,'[5]Combined Bill Code List'!$F:$F,0))</f>
        <v xml:space="preserve">Respite Care provided by an Attendant (AO) </v>
      </c>
      <c r="I213" s="65"/>
      <c r="J213" s="358" t="str" cm="1">
        <f t="array" ref="J213">INDEX('Rate Table Service Desc XWalk'!F:F,MATCH(1,(G213='Rate Table Service Desc XWalk'!B:B)*(E213='Rate Table Service Desc XWalk'!A:A),0))</f>
        <v>8-1-41</v>
      </c>
      <c r="K213" s="66" t="str">
        <f>INDEX('[5]Combined Bill Code List'!$A:$A,MATCH(A213,'[5]Combined Bill Code List'!$F:$F,0))</f>
        <v>1915(c) waiver</v>
      </c>
      <c r="L213" s="66" t="str">
        <f>INDEX('[6]Rate History'!$P:$P,MATCH(A213,'[6]Rate History'!$F:$F,0))</f>
        <v>15 minutes</v>
      </c>
      <c r="M213" s="77">
        <f>INDEX('[7]PDF DB Service Pivot'!$C:$C,MATCH(B213,'[7]PDF DB Service Pivot'!$B:$B,0))</f>
        <v>3600</v>
      </c>
      <c r="N213" s="77">
        <f t="shared" si="51"/>
        <v>3600</v>
      </c>
      <c r="O213" s="76">
        <f>INDEX('[7]PDF DB Service Pivot'!$D:$D,MATCH(B213,'[7]PDF DB Service Pivot'!$B:$B,0))</f>
        <v>10782.109999999999</v>
      </c>
      <c r="P213" s="91" t="e">
        <v>#N/A</v>
      </c>
      <c r="Q213" s="81">
        <v>3.33</v>
      </c>
      <c r="R213" s="81">
        <f t="shared" si="62"/>
        <v>2.9375</v>
      </c>
      <c r="S213" s="354">
        <f t="shared" si="61"/>
        <v>0.88213213213213215</v>
      </c>
      <c r="T213" s="339">
        <v>0.25</v>
      </c>
      <c r="U213" s="81">
        <f t="shared" si="49"/>
        <v>0</v>
      </c>
      <c r="V213" s="81" cm="1">
        <f t="array" ref="V213">_xlfn.IFS('Fiscal by Program'!$B$7&lt;10.61,0,'Fiscal by Program'!$B$7&gt;10.6,(ROUND('Fiscal by Program'!$B$7*(1+IF(D213="Yes",'Fiscal by Program'!$B$9,'Fiscal by Program'!$B$8))*T213,2)))</f>
        <v>0</v>
      </c>
      <c r="W213" s="81">
        <f t="shared" si="52"/>
        <v>0</v>
      </c>
      <c r="X213" s="81">
        <f>ROUND((R213/(1+IF(D213="Yes",'Fiscal by Program'!$B$9,'Fiscal by Program'!$B$8))),2)+0.01</f>
        <v>2.6599999999999997</v>
      </c>
      <c r="Y213" s="81">
        <f t="shared" si="53"/>
        <v>3.33</v>
      </c>
      <c r="Z213" s="88">
        <v>1</v>
      </c>
      <c r="AA213" s="90">
        <f t="shared" si="50"/>
        <v>0.25</v>
      </c>
      <c r="AB213" s="75" t="e">
        <f>INDEX('[9]Service List'!$K:$K,MATCH(A213,'[9]Service List'!$F:$F,0))</f>
        <v>#REF!</v>
      </c>
      <c r="AC213" s="73">
        <f>INDEX('[5]Combined Bill Code List'!$P:$P,MATCH(A213,'[5]Combined Bill Code List'!$F:$F,0))</f>
        <v>0</v>
      </c>
      <c r="AD213" s="67" t="s">
        <v>552</v>
      </c>
      <c r="AE213" s="79">
        <f t="shared" si="60"/>
        <v>1.095890410958904</v>
      </c>
      <c r="AF213" s="66">
        <v>0</v>
      </c>
      <c r="AG213" s="70">
        <f>ROUND(INDEX('All Trends'!D:D,MATCH($AD213,'All Trends'!$C:$C,0)),4)</f>
        <v>0.78180000000000005</v>
      </c>
      <c r="AH213" s="70">
        <f>ROUND(INDEX('All Trends'!E:E,MATCH($AD213,'All Trends'!$C:$C,0)),4)</f>
        <v>0.78369999999999995</v>
      </c>
      <c r="AI213" s="70">
        <f>ROUND(INDEX('All Trends'!F:F,MATCH($AD213,'All Trends'!$C:$C,0)),4)</f>
        <v>0.85850000000000004</v>
      </c>
      <c r="AJ213" s="70">
        <f>ROUND(INDEX('All Trends'!G:G,MATCH($AD213,'All Trends'!$C:$C,0)),4)</f>
        <v>0.92249999999999999</v>
      </c>
      <c r="AK213" s="70">
        <f>ROUND(INDEX('All Trends'!H:H,MATCH($AD213,'All Trends'!$C:$C,0)),4)</f>
        <v>0.98380000000000001</v>
      </c>
      <c r="AL213" s="74" t="s">
        <v>148</v>
      </c>
      <c r="AM213" s="92">
        <f t="shared" si="54"/>
        <v>772.65</v>
      </c>
      <c r="AN213" s="92">
        <f t="shared" si="55"/>
        <v>830.25</v>
      </c>
      <c r="AO213" s="69">
        <f t="shared" si="56"/>
        <v>0</v>
      </c>
      <c r="AP213" s="69">
        <f t="shared" si="57"/>
        <v>0</v>
      </c>
      <c r="AQ213" s="69">
        <f t="shared" si="58"/>
        <v>0</v>
      </c>
      <c r="AR213" s="69">
        <f t="shared" si="59"/>
        <v>0</v>
      </c>
      <c r="AS213" s="409"/>
      <c r="AT213" s="409"/>
      <c r="AU213" s="409"/>
    </row>
    <row r="214" spans="1:47">
      <c r="A214" s="67" t="s">
        <v>562</v>
      </c>
      <c r="B214" s="67" t="s">
        <v>567</v>
      </c>
      <c r="C214" s="78" t="s">
        <v>147</v>
      </c>
      <c r="D214" s="78" t="s">
        <v>148</v>
      </c>
      <c r="E214" s="67" t="str">
        <f>INDEX('[5]Combined Bill Code List'!C:C,MATCH($A214,'[5]Combined Bill Code List'!$F:$F,0))</f>
        <v>STAR Kids MDCP</v>
      </c>
      <c r="F214" s="67" t="str">
        <f>INDEX('[5]Combined Bill Code List'!D:D,MATCH($A214,'[5]Combined Bill Code List'!$F:$F,0))</f>
        <v>In Home Respite</v>
      </c>
      <c r="G214" s="67" t="str">
        <f>INDEX('[4]RT Description to Bill Matix'!$D:$D,MATCH(A214,'[4]RT Description to Bill Matix'!$M:$M,0))</f>
        <v>In Home Respite and Flexible Family Support</v>
      </c>
      <c r="H214" s="65" t="str">
        <f>INDEX('[5]Combined Bill Code List'!E:E,MATCH($A214,'[5]Combined Bill Code List'!$F:$F,0))</f>
        <v xml:space="preserve">Respite Care provided by an Attendant (AO) </v>
      </c>
      <c r="I214" s="65"/>
      <c r="J214" s="358" t="str" cm="1">
        <f t="array" ref="J214">INDEX('Rate Table Service Desc XWalk'!F:F,MATCH(1,(G214='Rate Table Service Desc XWalk'!B:B)*(E214='Rate Table Service Desc XWalk'!A:A),0))</f>
        <v>8-1-41</v>
      </c>
      <c r="K214" s="66" t="str">
        <f>INDEX('[5]Combined Bill Code List'!$A:$A,MATCH(A214,'[5]Combined Bill Code List'!$F:$F,0))</f>
        <v>1915(c) waiver</v>
      </c>
      <c r="L214" s="66" t="str">
        <f>INDEX('[6]Rate History'!$P:$P,MATCH(A214,'[6]Rate History'!$F:$F,0))</f>
        <v>15 minutes</v>
      </c>
      <c r="M214" s="77">
        <f>INDEX('[7]PDF DB Service Pivot'!$C:$C,MATCH(B214,'[7]PDF DB Service Pivot'!$B:$B,0))</f>
        <v>11</v>
      </c>
      <c r="N214" s="77">
        <f t="shared" si="51"/>
        <v>11</v>
      </c>
      <c r="O214" s="76">
        <f>INDEX('[7]PDF DB Service Pivot'!$D:$D,MATCH(B214,'[7]PDF DB Service Pivot'!$B:$B,0))</f>
        <v>33.22</v>
      </c>
      <c r="P214" s="91" t="e">
        <v>#N/A</v>
      </c>
      <c r="Q214" s="81">
        <v>3.33</v>
      </c>
      <c r="R214" s="81">
        <f t="shared" si="62"/>
        <v>2.9375</v>
      </c>
      <c r="S214" s="354">
        <f t="shared" si="61"/>
        <v>0.88213213213213215</v>
      </c>
      <c r="T214" s="339">
        <v>0.25</v>
      </c>
      <c r="U214" s="81">
        <f t="shared" si="49"/>
        <v>0</v>
      </c>
      <c r="V214" s="81" cm="1">
        <f t="array" ref="V214">_xlfn.IFS('Fiscal by Program'!$B$7&lt;10.61,0,'Fiscal by Program'!$B$7&gt;10.6,(ROUND('Fiscal by Program'!$B$7*(1+IF(D214="Yes",'Fiscal by Program'!$B$9,'Fiscal by Program'!$B$8))*T214,2)))</f>
        <v>0</v>
      </c>
      <c r="W214" s="81">
        <f t="shared" si="52"/>
        <v>0</v>
      </c>
      <c r="X214" s="81">
        <f>ROUND((R214/(1+IF(D214="Yes",'Fiscal by Program'!$B$9,'Fiscal by Program'!$B$8))),2)+0.01</f>
        <v>2.6599999999999997</v>
      </c>
      <c r="Y214" s="81">
        <f t="shared" si="53"/>
        <v>3.33</v>
      </c>
      <c r="Z214" s="88">
        <v>1</v>
      </c>
      <c r="AA214" s="90">
        <f t="shared" si="50"/>
        <v>0.25</v>
      </c>
      <c r="AB214" s="75" t="e">
        <f>INDEX('[9]Service List'!$K:$K,MATCH(A214,'[9]Service List'!$F:$F,0))</f>
        <v>#REF!</v>
      </c>
      <c r="AC214" s="73">
        <f>INDEX('[5]Combined Bill Code List'!$P:$P,MATCH(A214,'[5]Combined Bill Code List'!$F:$F,0))</f>
        <v>0</v>
      </c>
      <c r="AD214" s="67" t="s">
        <v>472</v>
      </c>
      <c r="AE214" s="79">
        <f t="shared" si="60"/>
        <v>1.095890410958904</v>
      </c>
      <c r="AF214" s="66">
        <v>0</v>
      </c>
      <c r="AG214" s="70">
        <f>ROUND(INDEX('All Trends'!D:D,MATCH($AD214,'All Trends'!$C:$C,0)),4)</f>
        <v>0.73470000000000002</v>
      </c>
      <c r="AH214" s="70">
        <f>ROUND(INDEX('All Trends'!E:E,MATCH($AD214,'All Trends'!$C:$C,0)),4)</f>
        <v>0.92020000000000002</v>
      </c>
      <c r="AI214" s="70">
        <f>ROUND(INDEX('All Trends'!F:F,MATCH($AD214,'All Trends'!$C:$C,0)),4)</f>
        <v>1.0097</v>
      </c>
      <c r="AJ214" s="70">
        <f>ROUND(INDEX('All Trends'!G:G,MATCH($AD214,'All Trends'!$C:$C,0)),4)</f>
        <v>1.0851</v>
      </c>
      <c r="AK214" s="70">
        <f>ROUND(INDEX('All Trends'!H:H,MATCH($AD214,'All Trends'!$C:$C,0)),4)</f>
        <v>1.1571</v>
      </c>
      <c r="AL214" s="74" t="s">
        <v>148</v>
      </c>
      <c r="AM214" s="92">
        <f t="shared" si="54"/>
        <v>2.78</v>
      </c>
      <c r="AN214" s="92">
        <f t="shared" si="55"/>
        <v>2.98</v>
      </c>
      <c r="AO214" s="69">
        <f t="shared" si="56"/>
        <v>0</v>
      </c>
      <c r="AP214" s="69">
        <f t="shared" si="57"/>
        <v>0</v>
      </c>
      <c r="AQ214" s="69">
        <f t="shared" si="58"/>
        <v>0</v>
      </c>
      <c r="AR214" s="69">
        <f t="shared" si="59"/>
        <v>0</v>
      </c>
      <c r="AS214" s="409"/>
      <c r="AT214" s="409"/>
      <c r="AU214" s="409"/>
    </row>
    <row r="215" spans="1:47">
      <c r="A215" s="67" t="s">
        <v>562</v>
      </c>
      <c r="B215" s="67" t="s">
        <v>568</v>
      </c>
      <c r="C215" s="78" t="s">
        <v>147</v>
      </c>
      <c r="D215" s="78" t="s">
        <v>148</v>
      </c>
      <c r="E215" s="67" t="str">
        <f>INDEX('[5]Combined Bill Code List'!C:C,MATCH($A215,'[5]Combined Bill Code List'!$F:$F,0))</f>
        <v>STAR Kids MDCP</v>
      </c>
      <c r="F215" s="67" t="str">
        <f>INDEX('[5]Combined Bill Code List'!D:D,MATCH($A215,'[5]Combined Bill Code List'!$F:$F,0))</f>
        <v>In Home Respite</v>
      </c>
      <c r="G215" s="67" t="str">
        <f>INDEX('[4]RT Description to Bill Matix'!$D:$D,MATCH(A215,'[4]RT Description to Bill Matix'!$M:$M,0))</f>
        <v>In Home Respite and Flexible Family Support</v>
      </c>
      <c r="H215" s="65" t="str">
        <f>INDEX('[5]Combined Bill Code List'!E:E,MATCH($A215,'[5]Combined Bill Code List'!$F:$F,0))</f>
        <v xml:space="preserve">Respite Care provided by an Attendant (AO) </v>
      </c>
      <c r="I215" s="65"/>
      <c r="J215" s="358" t="str" cm="1">
        <f t="array" ref="J215">INDEX('Rate Table Service Desc XWalk'!F:F,MATCH(1,(G215='Rate Table Service Desc XWalk'!B:B)*(E215='Rate Table Service Desc XWalk'!A:A),0))</f>
        <v>8-1-41</v>
      </c>
      <c r="K215" s="66" t="str">
        <f>INDEX('[5]Combined Bill Code List'!$A:$A,MATCH(A215,'[5]Combined Bill Code List'!$F:$F,0))</f>
        <v>1915(c) waiver</v>
      </c>
      <c r="L215" s="66" t="str">
        <f>INDEX('[6]Rate History'!$P:$P,MATCH(A215,'[6]Rate History'!$F:$F,0))</f>
        <v>15 minutes</v>
      </c>
      <c r="M215" s="77">
        <f>INDEX('[7]PDF DB Service Pivot'!$C:$C,MATCH(B215,'[7]PDF DB Service Pivot'!$B:$B,0))</f>
        <v>6303140.7000000002</v>
      </c>
      <c r="N215" s="77">
        <f t="shared" si="51"/>
        <v>6303140.7000000002</v>
      </c>
      <c r="O215" s="76">
        <f>INDEX('[7]PDF DB Service Pivot'!$D:$D,MATCH(B215,'[7]PDF DB Service Pivot'!$B:$B,0))</f>
        <v>18706831.489999998</v>
      </c>
      <c r="P215" s="91" t="e">
        <v>#N/A</v>
      </c>
      <c r="Q215" s="81">
        <v>3.33</v>
      </c>
      <c r="R215" s="81">
        <f t="shared" si="62"/>
        <v>2.9375</v>
      </c>
      <c r="S215" s="354">
        <f t="shared" si="61"/>
        <v>0.88213213213213215</v>
      </c>
      <c r="T215" s="339">
        <v>0.25</v>
      </c>
      <c r="U215" s="81">
        <f t="shared" si="49"/>
        <v>0</v>
      </c>
      <c r="V215" s="81" cm="1">
        <f t="array" ref="V215">_xlfn.IFS('Fiscal by Program'!$B$7&lt;10.61,0,'Fiscal by Program'!$B$7&gt;10.6,(ROUND('Fiscal by Program'!$B$7*(1+IF(D215="Yes",'Fiscal by Program'!$B$9,'Fiscal by Program'!$B$8))*T215,2)))</f>
        <v>0</v>
      </c>
      <c r="W215" s="81">
        <f t="shared" si="52"/>
        <v>0</v>
      </c>
      <c r="X215" s="81">
        <f>ROUND((R215/(1+IF(D215="Yes",'Fiscal by Program'!$B$9,'Fiscal by Program'!$B$8))),2)+0.01</f>
        <v>2.6599999999999997</v>
      </c>
      <c r="Y215" s="81">
        <f t="shared" si="53"/>
        <v>3.33</v>
      </c>
      <c r="Z215" s="88">
        <v>1</v>
      </c>
      <c r="AA215" s="90">
        <f t="shared" si="50"/>
        <v>0.25</v>
      </c>
      <c r="AB215" s="75" t="e">
        <f>INDEX('[9]Service List'!$K:$K,MATCH(A215,'[9]Service List'!$F:$F,0))</f>
        <v>#REF!</v>
      </c>
      <c r="AC215" s="73">
        <f>INDEX('[5]Combined Bill Code List'!$P:$P,MATCH(A215,'[5]Combined Bill Code List'!$F:$F,0))</f>
        <v>0</v>
      </c>
      <c r="AD215" s="67" t="s">
        <v>548</v>
      </c>
      <c r="AE215" s="79">
        <f t="shared" si="60"/>
        <v>1.095890410958904</v>
      </c>
      <c r="AF215" s="66">
        <v>0</v>
      </c>
      <c r="AG215" s="70">
        <f>ROUND(INDEX('All Trends'!D:D,MATCH($AD215,'All Trends'!$C:$C,0)),4)</f>
        <v>0.91039999999999999</v>
      </c>
      <c r="AH215" s="70">
        <f>ROUND(INDEX('All Trends'!E:E,MATCH($AD215,'All Trends'!$C:$C,0)),4)</f>
        <v>0.88790000000000002</v>
      </c>
      <c r="AI215" s="70">
        <f>ROUND(INDEX('All Trends'!F:F,MATCH($AD215,'All Trends'!$C:$C,0)),4)</f>
        <v>0.94140000000000001</v>
      </c>
      <c r="AJ215" s="70">
        <f>ROUND(INDEX('All Trends'!G:G,MATCH($AD215,'All Trends'!$C:$C,0)),4)</f>
        <v>0.9909</v>
      </c>
      <c r="AK215" s="70">
        <f>ROUND(INDEX('All Trends'!H:H,MATCH($AD215,'All Trends'!$C:$C,0)),4)</f>
        <v>1.0428999999999999</v>
      </c>
      <c r="AL215" s="74" t="s">
        <v>148</v>
      </c>
      <c r="AM215" s="92">
        <f t="shared" si="54"/>
        <v>1483444.16</v>
      </c>
      <c r="AN215" s="92">
        <f t="shared" si="55"/>
        <v>1561445.53</v>
      </c>
      <c r="AO215" s="69">
        <f t="shared" si="56"/>
        <v>0</v>
      </c>
      <c r="AP215" s="69">
        <f t="shared" si="57"/>
        <v>0</v>
      </c>
      <c r="AQ215" s="69">
        <f t="shared" si="58"/>
        <v>0</v>
      </c>
      <c r="AR215" s="69">
        <f t="shared" si="59"/>
        <v>0</v>
      </c>
      <c r="AS215" s="409"/>
      <c r="AT215" s="409"/>
      <c r="AU215" s="409"/>
    </row>
    <row r="216" spans="1:47">
      <c r="A216" s="67" t="s">
        <v>569</v>
      </c>
      <c r="B216" s="67" t="s">
        <v>570</v>
      </c>
      <c r="C216" s="78" t="s">
        <v>147</v>
      </c>
      <c r="D216" s="78" t="s">
        <v>148</v>
      </c>
      <c r="E216" s="67" t="str">
        <f>INDEX('[5]Combined Bill Code List'!C:C,MATCH($A216,'[5]Combined Bill Code List'!$F:$F,0))</f>
        <v>STAR Kids MDCP</v>
      </c>
      <c r="F216" s="67" t="str">
        <f>INDEX('[5]Combined Bill Code List'!D:D,MATCH($A216,'[5]Combined Bill Code List'!$F:$F,0))</f>
        <v>In Home Respite</v>
      </c>
      <c r="G216" s="67" t="str">
        <f>INDEX('[4]RT Description to Bill Matix'!$D:$D,MATCH(A216,'[4]RT Description to Bill Matix'!$M:$M,0))</f>
        <v>In Home Respite and Flexible Family Support</v>
      </c>
      <c r="H216" s="65" t="str">
        <f>INDEX('[5]Combined Bill Code List'!E:E,MATCH($A216,'[5]Combined Bill Code List'!$F:$F,0))</f>
        <v xml:space="preserve">Respite Care provided by an Attendant (SRO) </v>
      </c>
      <c r="I216" s="65"/>
      <c r="J216" s="358" t="str" cm="1">
        <f t="array" ref="J216">INDEX('Rate Table Service Desc XWalk'!F:F,MATCH(1,(G216='Rate Table Service Desc XWalk'!B:B)*(E216='Rate Table Service Desc XWalk'!A:A),0))</f>
        <v>8-1-41</v>
      </c>
      <c r="K216" s="66" t="str">
        <f>INDEX('[5]Combined Bill Code List'!$A:$A,MATCH(A216,'[5]Combined Bill Code List'!$F:$F,0))</f>
        <v>1915(c) waiver</v>
      </c>
      <c r="L216" s="66" t="str">
        <f>INDEX('[6]Rate History'!$P:$P,MATCH(A216,'[6]Rate History'!$F:$F,0))</f>
        <v>15 minutes</v>
      </c>
      <c r="M216" s="77">
        <f>INDEX('[7]PDF DB Service Pivot'!$C:$C,MATCH(B216,'[7]PDF DB Service Pivot'!$B:$B,0))</f>
        <v>2808</v>
      </c>
      <c r="N216" s="77">
        <f t="shared" si="51"/>
        <v>2808</v>
      </c>
      <c r="O216" s="76">
        <f>INDEX('[7]PDF DB Service Pivot'!$D:$D,MATCH(B216,'[7]PDF DB Service Pivot'!$B:$B,0))</f>
        <v>7645.14</v>
      </c>
      <c r="P216" s="91" t="e">
        <v>#N/A</v>
      </c>
      <c r="Q216" s="81">
        <v>3.33</v>
      </c>
      <c r="R216" s="81">
        <f t="shared" si="62"/>
        <v>2.9375</v>
      </c>
      <c r="S216" s="354">
        <f t="shared" si="61"/>
        <v>0.88213213213213215</v>
      </c>
      <c r="T216" s="339">
        <v>0.25</v>
      </c>
      <c r="U216" s="81">
        <f t="shared" si="49"/>
        <v>0</v>
      </c>
      <c r="V216" s="81" cm="1">
        <f t="array" ref="V216">_xlfn.IFS('Fiscal by Program'!$B$7&lt;10.61,0,'Fiscal by Program'!$B$7&gt;10.6,(ROUND('Fiscal by Program'!$B$7*(1+IF(D216="Yes",'Fiscal by Program'!$B$9,'Fiscal by Program'!$B$8))*T216,2)))</f>
        <v>0</v>
      </c>
      <c r="W216" s="81">
        <f t="shared" si="52"/>
        <v>0</v>
      </c>
      <c r="X216" s="81">
        <f>ROUND((R216/(1+IF(D216="Yes",'Fiscal by Program'!$B$9,'Fiscal by Program'!$B$8))),2)+0.01</f>
        <v>2.6599999999999997</v>
      </c>
      <c r="Y216" s="81">
        <f t="shared" si="53"/>
        <v>3.33</v>
      </c>
      <c r="Z216" s="88">
        <v>1</v>
      </c>
      <c r="AA216" s="90">
        <f t="shared" si="50"/>
        <v>0.25</v>
      </c>
      <c r="AB216" s="75" t="e">
        <f>INDEX('[9]Service List'!$K:$K,MATCH(A216,'[9]Service List'!$F:$F,0))</f>
        <v>#REF!</v>
      </c>
      <c r="AC216" s="73">
        <f>INDEX('[5]Combined Bill Code List'!$P:$P,MATCH(A216,'[5]Combined Bill Code List'!$F:$F,0))</f>
        <v>0</v>
      </c>
      <c r="AD216" s="67" t="s">
        <v>548</v>
      </c>
      <c r="AE216" s="79">
        <f t="shared" si="60"/>
        <v>1.095890410958904</v>
      </c>
      <c r="AF216" s="66">
        <v>0</v>
      </c>
      <c r="AG216" s="70">
        <f>ROUND(INDEX('All Trends'!D:D,MATCH($AD216,'All Trends'!$C:$C,0)),4)</f>
        <v>0.91039999999999999</v>
      </c>
      <c r="AH216" s="70">
        <f>ROUND(INDEX('All Trends'!E:E,MATCH($AD216,'All Trends'!$C:$C,0)),4)</f>
        <v>0.88790000000000002</v>
      </c>
      <c r="AI216" s="70">
        <f>ROUND(INDEX('All Trends'!F:F,MATCH($AD216,'All Trends'!$C:$C,0)),4)</f>
        <v>0.94140000000000001</v>
      </c>
      <c r="AJ216" s="70">
        <f>ROUND(INDEX('All Trends'!G:G,MATCH($AD216,'All Trends'!$C:$C,0)),4)</f>
        <v>0.9909</v>
      </c>
      <c r="AK216" s="70">
        <f>ROUND(INDEX('All Trends'!H:H,MATCH($AD216,'All Trends'!$C:$C,0)),4)</f>
        <v>1.0428999999999999</v>
      </c>
      <c r="AL216" s="74" t="s">
        <v>148</v>
      </c>
      <c r="AM216" s="92">
        <f t="shared" si="54"/>
        <v>660.86</v>
      </c>
      <c r="AN216" s="92">
        <f t="shared" si="55"/>
        <v>695.61</v>
      </c>
      <c r="AO216" s="69">
        <f t="shared" si="56"/>
        <v>0</v>
      </c>
      <c r="AP216" s="69">
        <f t="shared" si="57"/>
        <v>0</v>
      </c>
      <c r="AQ216" s="69">
        <f t="shared" si="58"/>
        <v>0</v>
      </c>
      <c r="AR216" s="69">
        <f t="shared" si="59"/>
        <v>0</v>
      </c>
      <c r="AS216" s="409"/>
      <c r="AT216" s="409"/>
      <c r="AU216" s="409"/>
    </row>
    <row r="217" spans="1:47">
      <c r="A217" s="67" t="s">
        <v>571</v>
      </c>
      <c r="B217" s="67" t="s">
        <v>572</v>
      </c>
      <c r="C217" s="78" t="s">
        <v>147</v>
      </c>
      <c r="D217" s="78" t="s">
        <v>148</v>
      </c>
      <c r="E217" s="67" t="str">
        <f>INDEX('[5]Combined Bill Code List'!C:C,MATCH($A217,'[5]Combined Bill Code List'!$F:$F,0))</f>
        <v>STAR Kids MDCP</v>
      </c>
      <c r="F217" s="67" t="str">
        <f>INDEX('[5]Combined Bill Code List'!D:D,MATCH($A217,'[5]Combined Bill Code List'!$F:$F,0))</f>
        <v>In Home Respite</v>
      </c>
      <c r="G217" s="67" t="str">
        <f>INDEX('[4]RT Description to Bill Matix'!$D:$D,MATCH(A217,'[4]RT Description to Bill Matix'!$M:$M,0))</f>
        <v>CDS In Home Respite and Flexible Family Support</v>
      </c>
      <c r="H217" s="65" t="str">
        <f>INDEX('[5]Combined Bill Code List'!E:E,MATCH($A217,'[5]Combined Bill Code List'!$F:$F,0))</f>
        <v xml:space="preserve">Respite Care provided by an Attendant (CDS) </v>
      </c>
      <c r="I217" s="65" t="s">
        <v>147</v>
      </c>
      <c r="J217" s="358" t="str" cm="1">
        <f t="array" ref="J217">INDEX('Rate Table Service Desc XWalk'!F:F,MATCH(1,(G217='Rate Table Service Desc XWalk'!B:B)*(E217='Rate Table Service Desc XWalk'!A:A),0))</f>
        <v>8-5-125</v>
      </c>
      <c r="K217" s="66" t="str">
        <f>INDEX('[5]Combined Bill Code List'!$A:$A,MATCH(A217,'[5]Combined Bill Code List'!$F:$F,0))</f>
        <v>1915(c) waiver</v>
      </c>
      <c r="L217" s="66" t="str">
        <f>INDEX('[6]Rate History'!$P:$P,MATCH(A217,'[6]Rate History'!$F:$F,0))</f>
        <v>15 minutes</v>
      </c>
      <c r="M217" s="77">
        <f>INDEX('[7]PDF DB Service Pivot'!$C:$C,MATCH(B217,'[7]PDF DB Service Pivot'!$B:$B,0))</f>
        <v>35581.699999999997</v>
      </c>
      <c r="N217" s="77">
        <f t="shared" si="51"/>
        <v>35581.699999999997</v>
      </c>
      <c r="O217" s="76">
        <f>INDEX('[7]PDF DB Service Pivot'!$D:$D,MATCH(B217,'[7]PDF DB Service Pivot'!$B:$B,0))</f>
        <v>100268.87999999999</v>
      </c>
      <c r="P217" s="91" t="e">
        <v>#N/A</v>
      </c>
      <c r="Q217" s="81">
        <v>3.13</v>
      </c>
      <c r="R217" s="81">
        <f t="shared" si="62"/>
        <v>2.9375</v>
      </c>
      <c r="S217" s="354">
        <f t="shared" si="61"/>
        <v>0.93849840255591055</v>
      </c>
      <c r="T217" s="339">
        <v>0.25</v>
      </c>
      <c r="U217" s="81">
        <f t="shared" si="49"/>
        <v>0</v>
      </c>
      <c r="V217" s="81" cm="1">
        <f t="array" ref="V217">_xlfn.IFS('Fiscal by Program'!$B$7&lt;10.61,0,'Fiscal by Program'!$B$7&gt;10.6,(ROUND('Fiscal by Program'!$B$7*(1+IF(D217="Yes",'Fiscal by Program'!$B$9,'Fiscal by Program'!$B$8))*T217,2)))</f>
        <v>0</v>
      </c>
      <c r="W217" s="81">
        <f t="shared" si="52"/>
        <v>0</v>
      </c>
      <c r="X217" s="81">
        <f>ROUND((R217/(1+IF(D217="Yes",'Fiscal by Program'!$B$9,'Fiscal by Program'!$B$8))),2)+0.01</f>
        <v>2.6599999999999997</v>
      </c>
      <c r="Y217" s="81">
        <f t="shared" si="53"/>
        <v>3.13</v>
      </c>
      <c r="Z217" s="88">
        <v>1</v>
      </c>
      <c r="AA217" s="90">
        <f t="shared" si="50"/>
        <v>0.25</v>
      </c>
      <c r="AB217" s="75" t="e">
        <f>INDEX('[9]Service List'!$K:$K,MATCH(A217,'[9]Service List'!$F:$F,0))</f>
        <v>#REF!</v>
      </c>
      <c r="AC217" s="73">
        <f>INDEX('[5]Combined Bill Code List'!$P:$P,MATCH(A217,'[5]Combined Bill Code List'!$F:$F,0))</f>
        <v>0</v>
      </c>
      <c r="AD217" s="67" t="s">
        <v>564</v>
      </c>
      <c r="AE217" s="79">
        <f t="shared" si="60"/>
        <v>1.095890410958904</v>
      </c>
      <c r="AF217" s="66">
        <v>0</v>
      </c>
      <c r="AG217" s="70">
        <f>ROUND(INDEX('All Trends'!D:D,MATCH($AD217,'All Trends'!$C:$C,0)),4)</f>
        <v>0.49270000000000003</v>
      </c>
      <c r="AH217" s="70">
        <f>ROUND(INDEX('All Trends'!E:E,MATCH($AD217,'All Trends'!$C:$C,0)),4)</f>
        <v>0.6159</v>
      </c>
      <c r="AI217" s="70">
        <f>ROUND(INDEX('All Trends'!F:F,MATCH($AD217,'All Trends'!$C:$C,0)),4)</f>
        <v>0.67430000000000001</v>
      </c>
      <c r="AJ217" s="70">
        <f>ROUND(INDEX('All Trends'!G:G,MATCH($AD217,'All Trends'!$C:$C,0)),4)</f>
        <v>0.72470000000000001</v>
      </c>
      <c r="AK217" s="70">
        <f>ROUND(INDEX('All Trends'!H:H,MATCH($AD217,'All Trends'!$C:$C,0)),4)</f>
        <v>0.77290000000000003</v>
      </c>
      <c r="AL217" s="74" t="s">
        <v>148</v>
      </c>
      <c r="AM217" s="92">
        <f t="shared" si="54"/>
        <v>5998.19</v>
      </c>
      <c r="AN217" s="92">
        <f t="shared" si="55"/>
        <v>6446.51</v>
      </c>
      <c r="AO217" s="69">
        <f t="shared" si="56"/>
        <v>0</v>
      </c>
      <c r="AP217" s="69">
        <f t="shared" si="57"/>
        <v>0</v>
      </c>
      <c r="AQ217" s="69">
        <f t="shared" si="58"/>
        <v>0</v>
      </c>
      <c r="AR217" s="69">
        <f t="shared" si="59"/>
        <v>0</v>
      </c>
      <c r="AS217" s="409"/>
      <c r="AT217" s="409"/>
      <c r="AU217" s="409"/>
    </row>
    <row r="218" spans="1:47">
      <c r="A218" s="67" t="s">
        <v>571</v>
      </c>
      <c r="B218" s="67" t="s">
        <v>573</v>
      </c>
      <c r="C218" s="78" t="s">
        <v>147</v>
      </c>
      <c r="D218" s="78" t="s">
        <v>148</v>
      </c>
      <c r="E218" s="67" t="str">
        <f>INDEX('[5]Combined Bill Code List'!C:C,MATCH($A218,'[5]Combined Bill Code List'!$F:$F,0))</f>
        <v>STAR Kids MDCP</v>
      </c>
      <c r="F218" s="67" t="str">
        <f>INDEX('[5]Combined Bill Code List'!D:D,MATCH($A218,'[5]Combined Bill Code List'!$F:$F,0))</f>
        <v>In Home Respite</v>
      </c>
      <c r="G218" s="67" t="str">
        <f>INDEX('[4]RT Description to Bill Matix'!$D:$D,MATCH(A218,'[4]RT Description to Bill Matix'!$M:$M,0))</f>
        <v>CDS In Home Respite and Flexible Family Support</v>
      </c>
      <c r="H218" s="65" t="str">
        <f>INDEX('[5]Combined Bill Code List'!E:E,MATCH($A218,'[5]Combined Bill Code List'!$F:$F,0))</f>
        <v xml:space="preserve">Respite Care provided by an Attendant (CDS) </v>
      </c>
      <c r="I218" s="65" t="s">
        <v>147</v>
      </c>
      <c r="J218" s="358" t="str" cm="1">
        <f t="array" ref="J218">INDEX('Rate Table Service Desc XWalk'!F:F,MATCH(1,(G218='Rate Table Service Desc XWalk'!B:B)*(E218='Rate Table Service Desc XWalk'!A:A),0))</f>
        <v>8-5-125</v>
      </c>
      <c r="K218" s="66" t="str">
        <f>INDEX('[5]Combined Bill Code List'!$A:$A,MATCH(A218,'[5]Combined Bill Code List'!$F:$F,0))</f>
        <v>1915(c) waiver</v>
      </c>
      <c r="L218" s="66" t="str">
        <f>INDEX('[6]Rate History'!$P:$P,MATCH(A218,'[6]Rate History'!$F:$F,0))</f>
        <v>15 minutes</v>
      </c>
      <c r="M218" s="77">
        <v>0</v>
      </c>
      <c r="N218" s="77">
        <f t="shared" si="51"/>
        <v>0</v>
      </c>
      <c r="O218" s="76">
        <v>0</v>
      </c>
      <c r="P218" s="91" t="e">
        <v>#N/A</v>
      </c>
      <c r="Q218" s="81">
        <v>3.13</v>
      </c>
      <c r="R218" s="81">
        <f t="shared" si="62"/>
        <v>2.9375</v>
      </c>
      <c r="S218" s="354">
        <f t="shared" si="61"/>
        <v>0.93849840255591055</v>
      </c>
      <c r="T218" s="339">
        <v>0.25</v>
      </c>
      <c r="U218" s="81">
        <f t="shared" si="49"/>
        <v>0</v>
      </c>
      <c r="V218" s="81" cm="1">
        <f t="array" ref="V218">_xlfn.IFS('Fiscal by Program'!$B$7&lt;10.61,0,'Fiscal by Program'!$B$7&gt;10.6,(ROUND('Fiscal by Program'!$B$7*(1+IF(D218="Yes",'Fiscal by Program'!$B$9,'Fiscal by Program'!$B$8))*T218,2)))</f>
        <v>0</v>
      </c>
      <c r="W218" s="81">
        <f t="shared" si="52"/>
        <v>0</v>
      </c>
      <c r="X218" s="81">
        <f>ROUND((R218/(1+IF(D218="Yes",'Fiscal by Program'!$B$9,'Fiscal by Program'!$B$8))),2)+0.01</f>
        <v>2.6599999999999997</v>
      </c>
      <c r="Y218" s="81">
        <f t="shared" si="53"/>
        <v>3.13</v>
      </c>
      <c r="Z218" s="88">
        <v>1</v>
      </c>
      <c r="AA218" s="90">
        <f t="shared" si="50"/>
        <v>0.25</v>
      </c>
      <c r="AB218" s="75" t="e">
        <f>INDEX('[9]Service List'!$K:$K,MATCH(A218,'[9]Service List'!$F:$F,0))</f>
        <v>#REF!</v>
      </c>
      <c r="AC218" s="73">
        <f>INDEX('[5]Combined Bill Code List'!$P:$P,MATCH(A218,'[5]Combined Bill Code List'!$F:$F,0))</f>
        <v>0</v>
      </c>
      <c r="AD218" s="67" t="s">
        <v>574</v>
      </c>
      <c r="AE218" s="79">
        <f t="shared" si="60"/>
        <v>1.095890410958904</v>
      </c>
      <c r="AF218" s="66">
        <v>0</v>
      </c>
      <c r="AG218" s="70">
        <f>ROUND(INDEX('All Trends'!D:D,MATCH($AD218,'All Trends'!$C:$C,0)),4)</f>
        <v>0.84750000000000003</v>
      </c>
      <c r="AH218" s="70">
        <f>ROUND(INDEX('All Trends'!E:E,MATCH($AD218,'All Trends'!$C:$C,0)),4)</f>
        <v>0.88329999999999997</v>
      </c>
      <c r="AI218" s="70">
        <f>ROUND(INDEX('All Trends'!F:F,MATCH($AD218,'All Trends'!$C:$C,0)),4)</f>
        <v>0.96679999999999999</v>
      </c>
      <c r="AJ218" s="70">
        <f>ROUND(INDEX('All Trends'!G:G,MATCH($AD218,'All Trends'!$C:$C,0)),4)</f>
        <v>1.0389999999999999</v>
      </c>
      <c r="AK218" s="70">
        <f>ROUND(INDEX('All Trends'!H:H,MATCH($AD218,'All Trends'!$C:$C,0)),4)</f>
        <v>1.1080000000000001</v>
      </c>
      <c r="AL218" s="74" t="s">
        <v>148</v>
      </c>
      <c r="AM218" s="92">
        <f t="shared" si="54"/>
        <v>0</v>
      </c>
      <c r="AN218" s="92">
        <f t="shared" si="55"/>
        <v>0</v>
      </c>
      <c r="AO218" s="69">
        <f t="shared" si="56"/>
        <v>0</v>
      </c>
      <c r="AP218" s="69">
        <f t="shared" si="57"/>
        <v>0</v>
      </c>
      <c r="AQ218" s="69">
        <f t="shared" si="58"/>
        <v>0</v>
      </c>
      <c r="AR218" s="69">
        <f t="shared" si="59"/>
        <v>0</v>
      </c>
      <c r="AS218" s="409"/>
      <c r="AT218" s="409"/>
      <c r="AU218" s="409"/>
    </row>
    <row r="219" spans="1:47">
      <c r="A219" s="67" t="s">
        <v>571</v>
      </c>
      <c r="B219" s="67" t="s">
        <v>575</v>
      </c>
      <c r="C219" s="78" t="s">
        <v>147</v>
      </c>
      <c r="D219" s="78" t="s">
        <v>148</v>
      </c>
      <c r="E219" s="67" t="str">
        <f>INDEX('[5]Combined Bill Code List'!C:C,MATCH($A219,'[5]Combined Bill Code List'!$F:$F,0))</f>
        <v>STAR Kids MDCP</v>
      </c>
      <c r="F219" s="67" t="str">
        <f>INDEX('[5]Combined Bill Code List'!D:D,MATCH($A219,'[5]Combined Bill Code List'!$F:$F,0))</f>
        <v>In Home Respite</v>
      </c>
      <c r="G219" s="67" t="str">
        <f>INDEX('[4]RT Description to Bill Matix'!$D:$D,MATCH(A219,'[4]RT Description to Bill Matix'!$M:$M,0))</f>
        <v>CDS In Home Respite and Flexible Family Support</v>
      </c>
      <c r="H219" s="65" t="str">
        <f>INDEX('[5]Combined Bill Code List'!E:E,MATCH($A219,'[5]Combined Bill Code List'!$F:$F,0))</f>
        <v xml:space="preserve">Respite Care provided by an Attendant (CDS) </v>
      </c>
      <c r="I219" s="65" t="s">
        <v>147</v>
      </c>
      <c r="J219" s="358" t="str" cm="1">
        <f t="array" ref="J219">INDEX('Rate Table Service Desc XWalk'!F:F,MATCH(1,(G219='Rate Table Service Desc XWalk'!B:B)*(E219='Rate Table Service Desc XWalk'!A:A),0))</f>
        <v>8-5-125</v>
      </c>
      <c r="K219" s="66" t="str">
        <f>INDEX('[5]Combined Bill Code List'!$A:$A,MATCH(A219,'[5]Combined Bill Code List'!$F:$F,0))</f>
        <v>1915(c) waiver</v>
      </c>
      <c r="L219" s="66" t="str">
        <f>INDEX('[6]Rate History'!$P:$P,MATCH(A219,'[6]Rate History'!$F:$F,0))</f>
        <v>15 minutes</v>
      </c>
      <c r="M219" s="77">
        <f>INDEX('[7]PDF DB Service Pivot'!$C:$C,MATCH(B219,'[7]PDF DB Service Pivot'!$B:$B,0))</f>
        <v>9288</v>
      </c>
      <c r="N219" s="77">
        <f t="shared" si="51"/>
        <v>9288</v>
      </c>
      <c r="O219" s="76">
        <f>INDEX('[7]PDF DB Service Pivot'!$D:$D,MATCH(B219,'[7]PDF DB Service Pivot'!$B:$B,0))</f>
        <v>26192.06</v>
      </c>
      <c r="P219" s="91" t="e">
        <v>#N/A</v>
      </c>
      <c r="Q219" s="81">
        <v>3.13</v>
      </c>
      <c r="R219" s="81">
        <f t="shared" si="62"/>
        <v>2.9375</v>
      </c>
      <c r="S219" s="354">
        <f t="shared" si="61"/>
        <v>0.93849840255591055</v>
      </c>
      <c r="T219" s="339">
        <v>0.25</v>
      </c>
      <c r="U219" s="81">
        <f t="shared" si="49"/>
        <v>0</v>
      </c>
      <c r="V219" s="81" cm="1">
        <f t="array" ref="V219">_xlfn.IFS('Fiscal by Program'!$B$7&lt;10.61,0,'Fiscal by Program'!$B$7&gt;10.6,(ROUND('Fiscal by Program'!$B$7*(1+IF(D219="Yes",'Fiscal by Program'!$B$9,'Fiscal by Program'!$B$8))*T219,2)))</f>
        <v>0</v>
      </c>
      <c r="W219" s="81">
        <f t="shared" si="52"/>
        <v>0</v>
      </c>
      <c r="X219" s="81">
        <f>ROUND((R219/(1+IF(D219="Yes",'Fiscal by Program'!$B$9,'Fiscal by Program'!$B$8))),2)+0.01</f>
        <v>2.6599999999999997</v>
      </c>
      <c r="Y219" s="81">
        <f t="shared" si="53"/>
        <v>3.13</v>
      </c>
      <c r="Z219" s="88">
        <v>1</v>
      </c>
      <c r="AA219" s="90">
        <f t="shared" si="50"/>
        <v>0.25</v>
      </c>
      <c r="AB219" s="75" t="e">
        <f>INDEX('[9]Service List'!$K:$K,MATCH(A219,'[9]Service List'!$F:$F,0))</f>
        <v>#REF!</v>
      </c>
      <c r="AC219" s="73">
        <f>INDEX('[5]Combined Bill Code List'!$P:$P,MATCH(A219,'[5]Combined Bill Code List'!$F:$F,0))</f>
        <v>0</v>
      </c>
      <c r="AD219" s="67" t="s">
        <v>470</v>
      </c>
      <c r="AE219" s="79">
        <f t="shared" si="60"/>
        <v>1.095890410958904</v>
      </c>
      <c r="AF219" s="66">
        <v>0</v>
      </c>
      <c r="AG219" s="70">
        <f>ROUND(INDEX('All Trends'!D:D,MATCH($AD219,'All Trends'!$C:$C,0)),4)</f>
        <v>0.83509999999999995</v>
      </c>
      <c r="AH219" s="70">
        <f>ROUND(INDEX('All Trends'!E:E,MATCH($AD219,'All Trends'!$C:$C,0)),4)</f>
        <v>0.84360000000000002</v>
      </c>
      <c r="AI219" s="70">
        <f>ROUND(INDEX('All Trends'!F:F,MATCH($AD219,'All Trends'!$C:$C,0)),4)</f>
        <v>0.90849999999999997</v>
      </c>
      <c r="AJ219" s="70">
        <f>ROUND(INDEX('All Trends'!G:G,MATCH($AD219,'All Trends'!$C:$C,0)),4)</f>
        <v>0.96619999999999995</v>
      </c>
      <c r="AK219" s="70">
        <f>ROUND(INDEX('All Trends'!H:H,MATCH($AD219,'All Trends'!$C:$C,0)),4)</f>
        <v>1.0237000000000001</v>
      </c>
      <c r="AL219" s="74" t="s">
        <v>148</v>
      </c>
      <c r="AM219" s="92">
        <f t="shared" si="54"/>
        <v>2109.54</v>
      </c>
      <c r="AN219" s="92">
        <f t="shared" si="55"/>
        <v>2243.52</v>
      </c>
      <c r="AO219" s="69">
        <f t="shared" si="56"/>
        <v>0</v>
      </c>
      <c r="AP219" s="69">
        <f t="shared" si="57"/>
        <v>0</v>
      </c>
      <c r="AQ219" s="69">
        <f t="shared" si="58"/>
        <v>0</v>
      </c>
      <c r="AR219" s="69">
        <f t="shared" si="59"/>
        <v>0</v>
      </c>
      <c r="AS219" s="409"/>
      <c r="AT219" s="409"/>
      <c r="AU219" s="409"/>
    </row>
    <row r="220" spans="1:47">
      <c r="A220" s="67" t="s">
        <v>571</v>
      </c>
      <c r="B220" s="67" t="s">
        <v>576</v>
      </c>
      <c r="C220" s="78" t="s">
        <v>147</v>
      </c>
      <c r="D220" s="78" t="s">
        <v>148</v>
      </c>
      <c r="E220" s="67" t="str">
        <f>INDEX('[5]Combined Bill Code List'!C:C,MATCH($A220,'[5]Combined Bill Code List'!$F:$F,0))</f>
        <v>STAR Kids MDCP</v>
      </c>
      <c r="F220" s="67" t="str">
        <f>INDEX('[5]Combined Bill Code List'!D:D,MATCH($A220,'[5]Combined Bill Code List'!$F:$F,0))</f>
        <v>In Home Respite</v>
      </c>
      <c r="G220" s="67" t="str">
        <f>INDEX('[4]RT Description to Bill Matix'!$D:$D,MATCH(A220,'[4]RT Description to Bill Matix'!$M:$M,0))</f>
        <v>CDS In Home Respite and Flexible Family Support</v>
      </c>
      <c r="H220" s="65" t="str">
        <f>INDEX('[5]Combined Bill Code List'!E:E,MATCH($A220,'[5]Combined Bill Code List'!$F:$F,0))</f>
        <v xml:space="preserve">Respite Care provided by an Attendant (CDS) </v>
      </c>
      <c r="I220" s="65" t="s">
        <v>147</v>
      </c>
      <c r="J220" s="358" t="str" cm="1">
        <f t="array" ref="J220">INDEX('Rate Table Service Desc XWalk'!F:F,MATCH(1,(G220='Rate Table Service Desc XWalk'!B:B)*(E220='Rate Table Service Desc XWalk'!A:A),0))</f>
        <v>8-5-125</v>
      </c>
      <c r="K220" s="66" t="str">
        <f>INDEX('[5]Combined Bill Code List'!$A:$A,MATCH(A220,'[5]Combined Bill Code List'!$F:$F,0))</f>
        <v>1915(c) waiver</v>
      </c>
      <c r="L220" s="66" t="str">
        <f>INDEX('[6]Rate History'!$P:$P,MATCH(A220,'[6]Rate History'!$F:$F,0))</f>
        <v>15 minutes</v>
      </c>
      <c r="M220" s="77">
        <f>INDEX('[7]PDF DB Service Pivot'!$C:$C,MATCH(B220,'[7]PDF DB Service Pivot'!$B:$B,0))</f>
        <v>5457</v>
      </c>
      <c r="N220" s="77">
        <f t="shared" si="51"/>
        <v>5457</v>
      </c>
      <c r="O220" s="76">
        <f>INDEX('[7]PDF DB Service Pivot'!$D:$D,MATCH(B220,'[7]PDF DB Service Pivot'!$B:$B,0))</f>
        <v>15382.349999999999</v>
      </c>
      <c r="P220" s="91" t="e">
        <v>#N/A</v>
      </c>
      <c r="Q220" s="81">
        <v>3.13</v>
      </c>
      <c r="R220" s="81">
        <f t="shared" si="62"/>
        <v>2.9375</v>
      </c>
      <c r="S220" s="354">
        <f t="shared" si="61"/>
        <v>0.93849840255591055</v>
      </c>
      <c r="T220" s="339">
        <v>0.25</v>
      </c>
      <c r="U220" s="81">
        <f t="shared" si="49"/>
        <v>0</v>
      </c>
      <c r="V220" s="81" cm="1">
        <f t="array" ref="V220">_xlfn.IFS('Fiscal by Program'!$B$7&lt;10.61,0,'Fiscal by Program'!$B$7&gt;10.6,(ROUND('Fiscal by Program'!$B$7*(1+IF(D220="Yes",'Fiscal by Program'!$B$9,'Fiscal by Program'!$B$8))*T220,2)))</f>
        <v>0</v>
      </c>
      <c r="W220" s="81">
        <f t="shared" si="52"/>
        <v>0</v>
      </c>
      <c r="X220" s="81">
        <f>ROUND((R220/(1+IF(D220="Yes",'Fiscal by Program'!$B$9,'Fiscal by Program'!$B$8))),2)+0.01</f>
        <v>2.6599999999999997</v>
      </c>
      <c r="Y220" s="81">
        <f t="shared" si="53"/>
        <v>3.13</v>
      </c>
      <c r="Z220" s="88">
        <v>1</v>
      </c>
      <c r="AA220" s="90">
        <f t="shared" si="50"/>
        <v>0.25</v>
      </c>
      <c r="AB220" s="75" t="e">
        <f>INDEX('[9]Service List'!$K:$K,MATCH(A220,'[9]Service List'!$F:$F,0))</f>
        <v>#REF!</v>
      </c>
      <c r="AC220" s="73">
        <f>INDEX('[5]Combined Bill Code List'!$P:$P,MATCH(A220,'[5]Combined Bill Code List'!$F:$F,0))</f>
        <v>0</v>
      </c>
      <c r="AD220" s="67" t="s">
        <v>552</v>
      </c>
      <c r="AE220" s="79">
        <f t="shared" si="60"/>
        <v>1.095890410958904</v>
      </c>
      <c r="AF220" s="66">
        <v>0</v>
      </c>
      <c r="AG220" s="70">
        <f>ROUND(INDEX('All Trends'!D:D,MATCH($AD220,'All Trends'!$C:$C,0)),4)</f>
        <v>0.78180000000000005</v>
      </c>
      <c r="AH220" s="70">
        <f>ROUND(INDEX('All Trends'!E:E,MATCH($AD220,'All Trends'!$C:$C,0)),4)</f>
        <v>0.78369999999999995</v>
      </c>
      <c r="AI220" s="70">
        <f>ROUND(INDEX('All Trends'!F:F,MATCH($AD220,'All Trends'!$C:$C,0)),4)</f>
        <v>0.85850000000000004</v>
      </c>
      <c r="AJ220" s="70">
        <f>ROUND(INDEX('All Trends'!G:G,MATCH($AD220,'All Trends'!$C:$C,0)),4)</f>
        <v>0.92249999999999999</v>
      </c>
      <c r="AK220" s="70">
        <f>ROUND(INDEX('All Trends'!H:H,MATCH($AD220,'All Trends'!$C:$C,0)),4)</f>
        <v>0.98380000000000001</v>
      </c>
      <c r="AL220" s="74" t="s">
        <v>148</v>
      </c>
      <c r="AM220" s="92">
        <f t="shared" si="54"/>
        <v>1171.21</v>
      </c>
      <c r="AN220" s="92">
        <f t="shared" si="55"/>
        <v>1258.52</v>
      </c>
      <c r="AO220" s="69">
        <f t="shared" si="56"/>
        <v>0</v>
      </c>
      <c r="AP220" s="69">
        <f t="shared" si="57"/>
        <v>0</v>
      </c>
      <c r="AQ220" s="69">
        <f t="shared" si="58"/>
        <v>0</v>
      </c>
      <c r="AR220" s="69">
        <f t="shared" si="59"/>
        <v>0</v>
      </c>
      <c r="AS220" s="409"/>
      <c r="AT220" s="409"/>
      <c r="AU220" s="409"/>
    </row>
    <row r="221" spans="1:47">
      <c r="A221" s="67" t="s">
        <v>571</v>
      </c>
      <c r="B221" s="67" t="s">
        <v>577</v>
      </c>
      <c r="C221" s="78" t="s">
        <v>147</v>
      </c>
      <c r="D221" s="78" t="s">
        <v>148</v>
      </c>
      <c r="E221" s="67" t="str">
        <f>INDEX('[5]Combined Bill Code List'!C:C,MATCH($A221,'[5]Combined Bill Code List'!$F:$F,0))</f>
        <v>STAR Kids MDCP</v>
      </c>
      <c r="F221" s="67" t="str">
        <f>INDEX('[5]Combined Bill Code List'!D:D,MATCH($A221,'[5]Combined Bill Code List'!$F:$F,0))</f>
        <v>In Home Respite</v>
      </c>
      <c r="G221" s="67" t="str">
        <f>INDEX('[4]RT Description to Bill Matix'!$D:$D,MATCH(A221,'[4]RT Description to Bill Matix'!$M:$M,0))</f>
        <v>CDS In Home Respite and Flexible Family Support</v>
      </c>
      <c r="H221" s="65" t="str">
        <f>INDEX('[5]Combined Bill Code List'!E:E,MATCH($A221,'[5]Combined Bill Code List'!$F:$F,0))</f>
        <v xml:space="preserve">Respite Care provided by an Attendant (CDS) </v>
      </c>
      <c r="I221" s="65" t="s">
        <v>147</v>
      </c>
      <c r="J221" s="358" t="str" cm="1">
        <f t="array" ref="J221">INDEX('Rate Table Service Desc XWalk'!F:F,MATCH(1,(G221='Rate Table Service Desc XWalk'!B:B)*(E221='Rate Table Service Desc XWalk'!A:A),0))</f>
        <v>8-5-125</v>
      </c>
      <c r="K221" s="66" t="str">
        <f>INDEX('[5]Combined Bill Code List'!$A:$A,MATCH(A221,'[5]Combined Bill Code List'!$F:$F,0))</f>
        <v>1915(c) waiver</v>
      </c>
      <c r="L221" s="66" t="str">
        <f>INDEX('[6]Rate History'!$P:$P,MATCH(A221,'[6]Rate History'!$F:$F,0))</f>
        <v>15 minutes</v>
      </c>
      <c r="M221" s="77">
        <f>INDEX('[7]PDF DB Service Pivot'!$C:$C,MATCH(B221,'[7]PDF DB Service Pivot'!$B:$B,0))</f>
        <v>2515</v>
      </c>
      <c r="N221" s="77">
        <f t="shared" si="51"/>
        <v>2515</v>
      </c>
      <c r="O221" s="76">
        <f>INDEX('[7]PDF DB Service Pivot'!$D:$D,MATCH(B221,'[7]PDF DB Service Pivot'!$B:$B,0))</f>
        <v>7040.01</v>
      </c>
      <c r="P221" s="91" t="e">
        <v>#N/A</v>
      </c>
      <c r="Q221" s="81">
        <v>3.13</v>
      </c>
      <c r="R221" s="81">
        <f t="shared" si="62"/>
        <v>2.9375</v>
      </c>
      <c r="S221" s="354">
        <f t="shared" si="61"/>
        <v>0.93849840255591055</v>
      </c>
      <c r="T221" s="339">
        <v>0.25</v>
      </c>
      <c r="U221" s="81">
        <f t="shared" si="49"/>
        <v>0</v>
      </c>
      <c r="V221" s="81" cm="1">
        <f t="array" ref="V221">_xlfn.IFS('Fiscal by Program'!$B$7&lt;10.61,0,'Fiscal by Program'!$B$7&gt;10.6,(ROUND('Fiscal by Program'!$B$7*(1+IF(D221="Yes",'Fiscal by Program'!$B$9,'Fiscal by Program'!$B$8))*T221,2)))</f>
        <v>0</v>
      </c>
      <c r="W221" s="81">
        <f t="shared" si="52"/>
        <v>0</v>
      </c>
      <c r="X221" s="81">
        <f>ROUND((R221/(1+IF(D221="Yes",'Fiscal by Program'!$B$9,'Fiscal by Program'!$B$8))),2)+0.01</f>
        <v>2.6599999999999997</v>
      </c>
      <c r="Y221" s="81">
        <f t="shared" si="53"/>
        <v>3.13</v>
      </c>
      <c r="Z221" s="88">
        <v>1</v>
      </c>
      <c r="AA221" s="90">
        <f t="shared" si="50"/>
        <v>0.25</v>
      </c>
      <c r="AB221" s="75" t="e">
        <f>INDEX('[9]Service List'!$K:$K,MATCH(A221,'[9]Service List'!$F:$F,0))</f>
        <v>#REF!</v>
      </c>
      <c r="AC221" s="73">
        <f>INDEX('[5]Combined Bill Code List'!$P:$P,MATCH(A221,'[5]Combined Bill Code List'!$F:$F,0))</f>
        <v>0</v>
      </c>
      <c r="AD221" s="67" t="s">
        <v>472</v>
      </c>
      <c r="AE221" s="79">
        <f t="shared" si="60"/>
        <v>1.095890410958904</v>
      </c>
      <c r="AF221" s="66">
        <v>0</v>
      </c>
      <c r="AG221" s="70">
        <f>ROUND(INDEX('All Trends'!D:D,MATCH($AD221,'All Trends'!$C:$C,0)),4)</f>
        <v>0.73470000000000002</v>
      </c>
      <c r="AH221" s="70">
        <f>ROUND(INDEX('All Trends'!E:E,MATCH($AD221,'All Trends'!$C:$C,0)),4)</f>
        <v>0.92020000000000002</v>
      </c>
      <c r="AI221" s="70">
        <f>ROUND(INDEX('All Trends'!F:F,MATCH($AD221,'All Trends'!$C:$C,0)),4)</f>
        <v>1.0097</v>
      </c>
      <c r="AJ221" s="70">
        <f>ROUND(INDEX('All Trends'!G:G,MATCH($AD221,'All Trends'!$C:$C,0)),4)</f>
        <v>1.0851</v>
      </c>
      <c r="AK221" s="70">
        <f>ROUND(INDEX('All Trends'!H:H,MATCH($AD221,'All Trends'!$C:$C,0)),4)</f>
        <v>1.1571</v>
      </c>
      <c r="AL221" s="74" t="s">
        <v>148</v>
      </c>
      <c r="AM221" s="92">
        <f t="shared" si="54"/>
        <v>634.85</v>
      </c>
      <c r="AN221" s="92">
        <f t="shared" si="55"/>
        <v>682.26</v>
      </c>
      <c r="AO221" s="69">
        <f t="shared" si="56"/>
        <v>0</v>
      </c>
      <c r="AP221" s="69">
        <f t="shared" si="57"/>
        <v>0</v>
      </c>
      <c r="AQ221" s="69">
        <f t="shared" si="58"/>
        <v>0</v>
      </c>
      <c r="AR221" s="69">
        <f t="shared" si="59"/>
        <v>0</v>
      </c>
      <c r="AS221" s="409"/>
      <c r="AT221" s="409"/>
      <c r="AU221" s="409"/>
    </row>
    <row r="222" spans="1:47">
      <c r="A222" s="67" t="s">
        <v>571</v>
      </c>
      <c r="B222" s="67" t="s">
        <v>578</v>
      </c>
      <c r="C222" s="78" t="s">
        <v>147</v>
      </c>
      <c r="D222" s="78" t="s">
        <v>148</v>
      </c>
      <c r="E222" s="67" t="str">
        <f>INDEX('[5]Combined Bill Code List'!C:C,MATCH($A222,'[5]Combined Bill Code List'!$F:$F,0))</f>
        <v>STAR Kids MDCP</v>
      </c>
      <c r="F222" s="67" t="str">
        <f>INDEX('[5]Combined Bill Code List'!D:D,MATCH($A222,'[5]Combined Bill Code List'!$F:$F,0))</f>
        <v>In Home Respite</v>
      </c>
      <c r="G222" s="67" t="str">
        <f>INDEX('[4]RT Description to Bill Matix'!$D:$D,MATCH(A222,'[4]RT Description to Bill Matix'!$M:$M,0))</f>
        <v>CDS In Home Respite and Flexible Family Support</v>
      </c>
      <c r="H222" s="65" t="str">
        <f>INDEX('[5]Combined Bill Code List'!E:E,MATCH($A222,'[5]Combined Bill Code List'!$F:$F,0))</f>
        <v xml:space="preserve">Respite Care provided by an Attendant (CDS) </v>
      </c>
      <c r="I222" s="65" t="s">
        <v>147</v>
      </c>
      <c r="J222" s="358" t="str" cm="1">
        <f t="array" ref="J222">INDEX('Rate Table Service Desc XWalk'!F:F,MATCH(1,(G222='Rate Table Service Desc XWalk'!B:B)*(E222='Rate Table Service Desc XWalk'!A:A),0))</f>
        <v>8-5-125</v>
      </c>
      <c r="K222" s="66" t="str">
        <f>INDEX('[5]Combined Bill Code List'!$A:$A,MATCH(A222,'[5]Combined Bill Code List'!$F:$F,0))</f>
        <v>1915(c) waiver</v>
      </c>
      <c r="L222" s="66" t="str">
        <f>INDEX('[6]Rate History'!$P:$P,MATCH(A222,'[6]Rate History'!$F:$F,0))</f>
        <v>15 minutes</v>
      </c>
      <c r="M222" s="77">
        <f>INDEX('[7]PDF DB Service Pivot'!$C:$C,MATCH(B222,'[7]PDF DB Service Pivot'!$B:$B,0))</f>
        <v>13568143.000000002</v>
      </c>
      <c r="N222" s="77">
        <f t="shared" si="51"/>
        <v>13568143.000000002</v>
      </c>
      <c r="O222" s="76">
        <f>INDEX('[7]PDF DB Service Pivot'!$D:$D,MATCH(B222,'[7]PDF DB Service Pivot'!$B:$B,0))</f>
        <v>37940077.050000004</v>
      </c>
      <c r="P222" s="91" t="e">
        <v>#N/A</v>
      </c>
      <c r="Q222" s="81">
        <v>3.13</v>
      </c>
      <c r="R222" s="81">
        <f t="shared" si="62"/>
        <v>2.9375</v>
      </c>
      <c r="S222" s="354">
        <f t="shared" si="61"/>
        <v>0.93849840255591055</v>
      </c>
      <c r="T222" s="339">
        <v>0.25</v>
      </c>
      <c r="U222" s="81">
        <f t="shared" si="49"/>
        <v>0</v>
      </c>
      <c r="V222" s="81" cm="1">
        <f t="array" ref="V222">_xlfn.IFS('Fiscal by Program'!$B$7&lt;10.61,0,'Fiscal by Program'!$B$7&gt;10.6,(ROUND('Fiscal by Program'!$B$7*(1+IF(D222="Yes",'Fiscal by Program'!$B$9,'Fiscal by Program'!$B$8))*T222,2)))</f>
        <v>0</v>
      </c>
      <c r="W222" s="81">
        <f t="shared" si="52"/>
        <v>0</v>
      </c>
      <c r="X222" s="81">
        <f>ROUND((R222/(1+IF(D222="Yes",'Fiscal by Program'!$B$9,'Fiscal by Program'!$B$8))),2)+0.01</f>
        <v>2.6599999999999997</v>
      </c>
      <c r="Y222" s="81">
        <f t="shared" si="53"/>
        <v>3.13</v>
      </c>
      <c r="Z222" s="88">
        <v>1</v>
      </c>
      <c r="AA222" s="90">
        <f t="shared" si="50"/>
        <v>0.25</v>
      </c>
      <c r="AB222" s="75" t="e">
        <f>INDEX('[9]Service List'!$K:$K,MATCH(A222,'[9]Service List'!$F:$F,0))</f>
        <v>#REF!</v>
      </c>
      <c r="AC222" s="73">
        <f>INDEX('[5]Combined Bill Code List'!$P:$P,MATCH(A222,'[5]Combined Bill Code List'!$F:$F,0))</f>
        <v>0</v>
      </c>
      <c r="AD222" s="67" t="s">
        <v>548</v>
      </c>
      <c r="AE222" s="79">
        <f t="shared" si="60"/>
        <v>1.095890410958904</v>
      </c>
      <c r="AF222" s="66">
        <v>0</v>
      </c>
      <c r="AG222" s="70">
        <f>ROUND(INDEX('All Trends'!D:D,MATCH($AD222,'All Trends'!$C:$C,0)),4)</f>
        <v>0.91039999999999999</v>
      </c>
      <c r="AH222" s="70">
        <f>ROUND(INDEX('All Trends'!E:E,MATCH($AD222,'All Trends'!$C:$C,0)),4)</f>
        <v>0.88790000000000002</v>
      </c>
      <c r="AI222" s="70">
        <f>ROUND(INDEX('All Trends'!F:F,MATCH($AD222,'All Trends'!$C:$C,0)),4)</f>
        <v>0.94140000000000001</v>
      </c>
      <c r="AJ222" s="70">
        <f>ROUND(INDEX('All Trends'!G:G,MATCH($AD222,'All Trends'!$C:$C,0)),4)</f>
        <v>0.9909</v>
      </c>
      <c r="AK222" s="70">
        <f>ROUND(INDEX('All Trends'!H:H,MATCH($AD222,'All Trends'!$C:$C,0)),4)</f>
        <v>1.0428999999999999</v>
      </c>
      <c r="AL222" s="74" t="s">
        <v>148</v>
      </c>
      <c r="AM222" s="92">
        <f t="shared" si="54"/>
        <v>3193262.46</v>
      </c>
      <c r="AN222" s="92">
        <f t="shared" si="55"/>
        <v>3361168.22</v>
      </c>
      <c r="AO222" s="69">
        <f t="shared" si="56"/>
        <v>0</v>
      </c>
      <c r="AP222" s="69">
        <f t="shared" si="57"/>
        <v>0</v>
      </c>
      <c r="AQ222" s="69">
        <f t="shared" si="58"/>
        <v>0</v>
      </c>
      <c r="AR222" s="69">
        <f t="shared" si="59"/>
        <v>0</v>
      </c>
      <c r="AS222" s="409"/>
      <c r="AT222" s="409"/>
      <c r="AU222" s="409"/>
    </row>
    <row r="223" spans="1:47">
      <c r="A223" s="67" t="s">
        <v>579</v>
      </c>
      <c r="B223" s="67" t="s">
        <v>580</v>
      </c>
      <c r="C223" s="78" t="s">
        <v>147</v>
      </c>
      <c r="D223" s="78" t="s">
        <v>148</v>
      </c>
      <c r="E223" s="67" t="s">
        <v>581</v>
      </c>
      <c r="F223" s="67" t="s">
        <v>449</v>
      </c>
      <c r="G223" s="67" t="str">
        <f>INDEX('[4]RT Description to Bill Matix'!$D:$D,MATCH(A223,'[4]RT Description to Bill Matix'!$M:$M,0))</f>
        <v>CFC Habilitation and Attendant Care</v>
      </c>
      <c r="H223" s="67" t="s">
        <v>582</v>
      </c>
      <c r="J223" s="65" t="str" cm="1">
        <f t="array" ref="J223">INDEX('Rate Table Service Desc XWalk'!F:F,MATCH(1,(G223='Rate Table Service Desc XWalk'!B:B)*(E223='Rate Table Service Desc XWalk'!A:A),0))</f>
        <v>8-1-11</v>
      </c>
      <c r="K223" s="66" t="s">
        <v>410</v>
      </c>
      <c r="L223" s="66" t="str">
        <f>INDEX('[6]Rate History'!$P:$P,MATCH(A223,'[6]Rate History'!$F:$F,0))</f>
        <v>15 minutes</v>
      </c>
      <c r="M223" s="77">
        <f>INDEX('[7]PDF DB Service Pivot'!$C:$C,MATCH(B223,'[7]PDF DB Service Pivot'!$B:$B,0))</f>
        <v>8288</v>
      </c>
      <c r="N223" s="77">
        <f t="shared" si="51"/>
        <v>8288</v>
      </c>
      <c r="O223" s="76">
        <f>INDEX('[7]PDF DB Service Pivot'!$D:$D,MATCH(B223,'[7]PDF DB Service Pivot'!$B:$B,0))</f>
        <v>28534.22</v>
      </c>
      <c r="P223" s="91">
        <v>45170</v>
      </c>
      <c r="Q223" s="72">
        <v>3.63</v>
      </c>
      <c r="R223" s="81">
        <f>11.76/4</f>
        <v>2.94</v>
      </c>
      <c r="S223" s="354">
        <f t="shared" si="61"/>
        <v>0.80991735537190079</v>
      </c>
      <c r="T223" s="339">
        <v>0.25</v>
      </c>
      <c r="U223" s="81">
        <f t="shared" si="49"/>
        <v>0</v>
      </c>
      <c r="V223" s="81" cm="1">
        <f t="array" ref="V223">_xlfn.IFS('Fiscal by Program'!$B$7&lt;10.61,0,'Fiscal by Program'!$B$7&gt;10.6,(ROUND('Fiscal by Program'!$B$7*(1+IF(D223="Yes",'Fiscal by Program'!$B$9,'Fiscal by Program'!$B$8))*T223,2)))</f>
        <v>0</v>
      </c>
      <c r="W223" s="81">
        <f t="shared" si="52"/>
        <v>0</v>
      </c>
      <c r="X223" s="81">
        <f>ROUND((R223/(1+IF(D223="Yes",'Fiscal by Program'!$B$9,'Fiscal by Program'!$B$8))),2)+0.01</f>
        <v>2.6599999999999997</v>
      </c>
      <c r="Y223" s="81">
        <f t="shared" si="53"/>
        <v>3.63</v>
      </c>
      <c r="Z223" s="88">
        <v>1</v>
      </c>
      <c r="AA223" s="90">
        <f t="shared" si="50"/>
        <v>0.25</v>
      </c>
      <c r="AB223" s="75">
        <f>INDEX('[9]Service List'!$K:$K,MATCH(A223,'[9]Service List'!$F:$F,0))</f>
        <v>562</v>
      </c>
      <c r="AC223" s="73" t="str">
        <f>INDEX('[5]Combined Bill Code List'!$P:$P,MATCH(A223,'[5]Combined Bill Code List'!$F:$F,0))</f>
        <v>CFC</v>
      </c>
      <c r="AD223" s="67" t="s">
        <v>411</v>
      </c>
      <c r="AE223" s="66">
        <f t="shared" ref="AE223:AE237" si="63">$AE$1</f>
        <v>1.095890410958904</v>
      </c>
      <c r="AF223" s="66">
        <f t="shared" ref="AF223:AF237" si="64">IF(AC223=0,0,-0.06)</f>
        <v>-0.06</v>
      </c>
      <c r="AG223" s="70">
        <f>ROUND(INDEX('All Trends'!D:D,MATCH($AD223,'All Trends'!$C:$C,0)),4)</f>
        <v>1</v>
      </c>
      <c r="AH223" s="70">
        <f>ROUND(INDEX('All Trends'!E:E,MATCH($AD223,'All Trends'!$C:$C,0)),4)</f>
        <v>1</v>
      </c>
      <c r="AI223" s="70">
        <f>ROUND(INDEX('All Trends'!F:F,MATCH($AD223,'All Trends'!$C:$C,0)),4)</f>
        <v>1</v>
      </c>
      <c r="AJ223" s="70">
        <f>ROUND(INDEX('All Trends'!G:G,MATCH($AD223,'All Trends'!$C:$C,0)),4)</f>
        <v>1</v>
      </c>
      <c r="AK223" s="70">
        <f>ROUND(INDEX('All Trends'!H:H,MATCH($AD223,'All Trends'!$C:$C,0)),4)</f>
        <v>1</v>
      </c>
      <c r="AL223" s="74" t="s">
        <v>148</v>
      </c>
      <c r="AM223" s="92">
        <f t="shared" si="54"/>
        <v>2072</v>
      </c>
      <c r="AN223" s="92">
        <f t="shared" si="55"/>
        <v>2072</v>
      </c>
      <c r="AO223" s="69">
        <f t="shared" si="56"/>
        <v>0</v>
      </c>
      <c r="AP223" s="69">
        <f t="shared" si="57"/>
        <v>0</v>
      </c>
      <c r="AQ223" s="69">
        <f t="shared" si="58"/>
        <v>0</v>
      </c>
      <c r="AR223" s="69">
        <f t="shared" si="59"/>
        <v>0</v>
      </c>
      <c r="AS223" s="409"/>
      <c r="AT223" s="409"/>
      <c r="AU223" s="409"/>
    </row>
    <row r="224" spans="1:47">
      <c r="A224" s="67" t="s">
        <v>579</v>
      </c>
      <c r="B224" s="67" t="s">
        <v>583</v>
      </c>
      <c r="C224" s="78" t="s">
        <v>147</v>
      </c>
      <c r="D224" s="78" t="s">
        <v>148</v>
      </c>
      <c r="E224" s="67" t="s">
        <v>581</v>
      </c>
      <c r="F224" s="67" t="s">
        <v>449</v>
      </c>
      <c r="G224" s="67" t="str">
        <f>INDEX('[4]RT Description to Bill Matix'!$D:$D,MATCH(A224,'[4]RT Description to Bill Matix'!$M:$M,0))</f>
        <v>CFC Habilitation and Attendant Care</v>
      </c>
      <c r="H224" s="67" t="s">
        <v>582</v>
      </c>
      <c r="J224" s="65" t="str" cm="1">
        <f t="array" ref="J224">INDEX('Rate Table Service Desc XWalk'!F:F,MATCH(1,(G224='Rate Table Service Desc XWalk'!B:B)*(E224='Rate Table Service Desc XWalk'!A:A),0))</f>
        <v>8-1-11</v>
      </c>
      <c r="K224" s="66" t="s">
        <v>410</v>
      </c>
      <c r="L224" s="66" t="str">
        <f>INDEX('[6]Rate History'!$P:$P,MATCH(A224,'[6]Rate History'!$F:$F,0))</f>
        <v>15 minutes</v>
      </c>
      <c r="M224" s="77">
        <f>INDEX('[7]PDF DB Service Pivot'!$C:$C,MATCH(B224,'[7]PDF DB Service Pivot'!$B:$B,0))</f>
        <v>36</v>
      </c>
      <c r="N224" s="77">
        <f t="shared" si="51"/>
        <v>36</v>
      </c>
      <c r="O224" s="76">
        <f>INDEX('[7]PDF DB Service Pivot'!$D:$D,MATCH(B224,'[7]PDF DB Service Pivot'!$B:$B,0))</f>
        <v>124.56</v>
      </c>
      <c r="P224" s="91">
        <v>45170</v>
      </c>
      <c r="Q224" s="72">
        <v>3.63</v>
      </c>
      <c r="R224" s="81">
        <f>11.76/4</f>
        <v>2.94</v>
      </c>
      <c r="S224" s="354">
        <f t="shared" si="61"/>
        <v>0.80991735537190079</v>
      </c>
      <c r="T224" s="339">
        <v>0.25</v>
      </c>
      <c r="U224" s="81">
        <f t="shared" si="49"/>
        <v>0</v>
      </c>
      <c r="V224" s="81" cm="1">
        <f t="array" ref="V224">_xlfn.IFS('Fiscal by Program'!$B$7&lt;10.61,0,'Fiscal by Program'!$B$7&gt;10.6,(ROUND('Fiscal by Program'!$B$7*(1+IF(D224="Yes",'Fiscal by Program'!$B$9,'Fiscal by Program'!$B$8))*T224,2)))</f>
        <v>0</v>
      </c>
      <c r="W224" s="81">
        <f t="shared" si="52"/>
        <v>0</v>
      </c>
      <c r="X224" s="81">
        <f>ROUND((R224/(1+IF(D224="Yes",'Fiscal by Program'!$B$9,'Fiscal by Program'!$B$8))),2)+0.01</f>
        <v>2.6599999999999997</v>
      </c>
      <c r="Y224" s="81">
        <f t="shared" si="53"/>
        <v>3.63</v>
      </c>
      <c r="Z224" s="88">
        <v>1</v>
      </c>
      <c r="AA224" s="90">
        <f t="shared" si="50"/>
        <v>0.25</v>
      </c>
      <c r="AB224" s="75">
        <f>INDEX('[9]Service List'!$K:$K,MATCH(A224,'[9]Service List'!$F:$F,0))</f>
        <v>562</v>
      </c>
      <c r="AC224" s="73" t="str">
        <f>INDEX('[5]Combined Bill Code List'!$P:$P,MATCH(A224,'[5]Combined Bill Code List'!$F:$F,0))</f>
        <v>CFC</v>
      </c>
      <c r="AD224" s="67" t="s">
        <v>411</v>
      </c>
      <c r="AE224" s="66">
        <f t="shared" si="63"/>
        <v>1.095890410958904</v>
      </c>
      <c r="AF224" s="66">
        <f t="shared" si="64"/>
        <v>-0.06</v>
      </c>
      <c r="AG224" s="70">
        <f>ROUND(INDEX('All Trends'!D:D,MATCH($AD224,'All Trends'!$C:$C,0)),4)</f>
        <v>1</v>
      </c>
      <c r="AH224" s="70">
        <f>ROUND(INDEX('All Trends'!E:E,MATCH($AD224,'All Trends'!$C:$C,0)),4)</f>
        <v>1</v>
      </c>
      <c r="AI224" s="70">
        <f>ROUND(INDEX('All Trends'!F:F,MATCH($AD224,'All Trends'!$C:$C,0)),4)</f>
        <v>1</v>
      </c>
      <c r="AJ224" s="70">
        <f>ROUND(INDEX('All Trends'!G:G,MATCH($AD224,'All Trends'!$C:$C,0)),4)</f>
        <v>1</v>
      </c>
      <c r="AK224" s="70">
        <f>ROUND(INDEX('All Trends'!H:H,MATCH($AD224,'All Trends'!$C:$C,0)),4)</f>
        <v>1</v>
      </c>
      <c r="AL224" s="74" t="s">
        <v>148</v>
      </c>
      <c r="AM224" s="92">
        <f t="shared" si="54"/>
        <v>9</v>
      </c>
      <c r="AN224" s="92">
        <f t="shared" si="55"/>
        <v>9</v>
      </c>
      <c r="AO224" s="69">
        <f t="shared" si="56"/>
        <v>0</v>
      </c>
      <c r="AP224" s="69">
        <f t="shared" si="57"/>
        <v>0</v>
      </c>
      <c r="AQ224" s="69">
        <f t="shared" si="58"/>
        <v>0</v>
      </c>
      <c r="AR224" s="69">
        <f t="shared" si="59"/>
        <v>0</v>
      </c>
      <c r="AS224" s="409"/>
      <c r="AT224" s="409"/>
      <c r="AU224" s="409"/>
    </row>
    <row r="225" spans="1:55">
      <c r="A225" s="67" t="s">
        <v>579</v>
      </c>
      <c r="B225" s="67" t="s">
        <v>584</v>
      </c>
      <c r="C225" s="78" t="s">
        <v>147</v>
      </c>
      <c r="D225" s="78" t="s">
        <v>148</v>
      </c>
      <c r="E225" s="67" t="s">
        <v>581</v>
      </c>
      <c r="F225" s="67" t="s">
        <v>449</v>
      </c>
      <c r="G225" s="67" t="str">
        <f>INDEX('[4]RT Description to Bill Matix'!$D:$D,MATCH(A225,'[4]RT Description to Bill Matix'!$M:$M,0))</f>
        <v>CFC Habilitation and Attendant Care</v>
      </c>
      <c r="H225" s="67" t="s">
        <v>582</v>
      </c>
      <c r="J225" s="65" t="str" cm="1">
        <f t="array" ref="J225">INDEX('Rate Table Service Desc XWalk'!F:F,MATCH(1,(G225='Rate Table Service Desc XWalk'!B:B)*(E225='Rate Table Service Desc XWalk'!A:A),0))</f>
        <v>8-1-11</v>
      </c>
      <c r="K225" s="66" t="s">
        <v>410</v>
      </c>
      <c r="L225" s="66" t="str">
        <f>INDEX('[6]Rate History'!$P:$P,MATCH(A225,'[6]Rate History'!$F:$F,0))</f>
        <v>15 minutes</v>
      </c>
      <c r="M225" s="77">
        <f>INDEX('[7]PDF DB Service Pivot'!$C:$C,MATCH(B225,'[7]PDF DB Service Pivot'!$B:$B,0))</f>
        <v>503775.7</v>
      </c>
      <c r="N225" s="77">
        <f t="shared" si="51"/>
        <v>503775.7</v>
      </c>
      <c r="O225" s="76">
        <f>INDEX('[7]PDF DB Service Pivot'!$D:$D,MATCH(B225,'[7]PDF DB Service Pivot'!$B:$B,0))</f>
        <v>1719088.96</v>
      </c>
      <c r="P225" s="91">
        <v>45170</v>
      </c>
      <c r="Q225" s="72">
        <v>3.63</v>
      </c>
      <c r="R225" s="81">
        <f>11.76/4</f>
        <v>2.94</v>
      </c>
      <c r="S225" s="354">
        <f t="shared" si="61"/>
        <v>0.80991735537190079</v>
      </c>
      <c r="T225" s="339">
        <v>0.25</v>
      </c>
      <c r="U225" s="81">
        <f t="shared" si="49"/>
        <v>0</v>
      </c>
      <c r="V225" s="81" cm="1">
        <f t="array" ref="V225">_xlfn.IFS('Fiscal by Program'!$B$7&lt;10.61,0,'Fiscal by Program'!$B$7&gt;10.6,(ROUND('Fiscal by Program'!$B$7*(1+IF(D225="Yes",'Fiscal by Program'!$B$9,'Fiscal by Program'!$B$8))*T225,2)))</f>
        <v>0</v>
      </c>
      <c r="W225" s="81">
        <f t="shared" si="52"/>
        <v>0</v>
      </c>
      <c r="X225" s="81">
        <f>ROUND((R225/(1+IF(D225="Yes",'Fiscal by Program'!$B$9,'Fiscal by Program'!$B$8))),2)+0.01</f>
        <v>2.6599999999999997</v>
      </c>
      <c r="Y225" s="81">
        <f t="shared" si="53"/>
        <v>3.63</v>
      </c>
      <c r="Z225" s="88">
        <v>1</v>
      </c>
      <c r="AA225" s="90">
        <f t="shared" si="50"/>
        <v>0.25</v>
      </c>
      <c r="AB225" s="75">
        <f>INDEX('[9]Service List'!$K:$K,MATCH(A225,'[9]Service List'!$F:$F,0))</f>
        <v>562</v>
      </c>
      <c r="AC225" s="73" t="str">
        <f>INDEX('[5]Combined Bill Code List'!$P:$P,MATCH(A225,'[5]Combined Bill Code List'!$F:$F,0))</f>
        <v>CFC</v>
      </c>
      <c r="AD225" s="67" t="s">
        <v>411</v>
      </c>
      <c r="AE225" s="66">
        <f t="shared" si="63"/>
        <v>1.095890410958904</v>
      </c>
      <c r="AF225" s="66">
        <f t="shared" si="64"/>
        <v>-0.06</v>
      </c>
      <c r="AG225" s="70">
        <f>ROUND(INDEX('All Trends'!D:D,MATCH($AD225,'All Trends'!$C:$C,0)),4)</f>
        <v>1</v>
      </c>
      <c r="AH225" s="70">
        <f>ROUND(INDEX('All Trends'!E:E,MATCH($AD225,'All Trends'!$C:$C,0)),4)</f>
        <v>1</v>
      </c>
      <c r="AI225" s="70">
        <f>ROUND(INDEX('All Trends'!F:F,MATCH($AD225,'All Trends'!$C:$C,0)),4)</f>
        <v>1</v>
      </c>
      <c r="AJ225" s="70">
        <f>ROUND(INDEX('All Trends'!G:G,MATCH($AD225,'All Trends'!$C:$C,0)),4)</f>
        <v>1</v>
      </c>
      <c r="AK225" s="70">
        <f>ROUND(INDEX('All Trends'!H:H,MATCH($AD225,'All Trends'!$C:$C,0)),4)</f>
        <v>1</v>
      </c>
      <c r="AL225" s="74" t="s">
        <v>148</v>
      </c>
      <c r="AM225" s="92">
        <f t="shared" si="54"/>
        <v>125943.93</v>
      </c>
      <c r="AN225" s="92">
        <f t="shared" si="55"/>
        <v>125943.93</v>
      </c>
      <c r="AO225" s="69">
        <f t="shared" si="56"/>
        <v>0</v>
      </c>
      <c r="AP225" s="69">
        <f t="shared" si="57"/>
        <v>0</v>
      </c>
      <c r="AQ225" s="69">
        <f t="shared" si="58"/>
        <v>0</v>
      </c>
      <c r="AR225" s="69">
        <f t="shared" si="59"/>
        <v>0</v>
      </c>
      <c r="AS225" s="409"/>
      <c r="AT225" s="409"/>
      <c r="AU225" s="409"/>
    </row>
    <row r="226" spans="1:55">
      <c r="A226" s="67" t="s">
        <v>579</v>
      </c>
      <c r="B226" s="67" t="s">
        <v>585</v>
      </c>
      <c r="C226" s="78" t="s">
        <v>147</v>
      </c>
      <c r="D226" s="78" t="s">
        <v>148</v>
      </c>
      <c r="E226" s="67" t="s">
        <v>581</v>
      </c>
      <c r="F226" s="67" t="s">
        <v>449</v>
      </c>
      <c r="G226" s="67" t="str">
        <f>INDEX('[4]RT Description to Bill Matix'!$D:$D,MATCH(A226,'[4]RT Description to Bill Matix'!$M:$M,0))</f>
        <v>CFC Habilitation and Attendant Care</v>
      </c>
      <c r="H226" s="67" t="s">
        <v>582</v>
      </c>
      <c r="J226" s="65" t="str" cm="1">
        <f t="array" ref="J226">INDEX('Rate Table Service Desc XWalk'!F:F,MATCH(1,(G226='Rate Table Service Desc XWalk'!B:B)*(E226='Rate Table Service Desc XWalk'!A:A),0))</f>
        <v>8-1-11</v>
      </c>
      <c r="K226" s="66" t="s">
        <v>410</v>
      </c>
      <c r="L226" s="66" t="str">
        <f>INDEX('[6]Rate History'!$P:$P,MATCH(A226,'[6]Rate History'!$F:$F,0))</f>
        <v>15 minutes</v>
      </c>
      <c r="M226" s="77">
        <f>INDEX('[7]PDF DB Service Pivot'!$C:$C,MATCH(B226,'[7]PDF DB Service Pivot'!$B:$B,0))</f>
        <v>135</v>
      </c>
      <c r="N226" s="77">
        <f t="shared" si="51"/>
        <v>135</v>
      </c>
      <c r="O226" s="76">
        <f>INDEX('[7]PDF DB Service Pivot'!$D:$D,MATCH(B226,'[7]PDF DB Service Pivot'!$B:$B,0))</f>
        <v>463.05</v>
      </c>
      <c r="P226" s="91">
        <v>45170</v>
      </c>
      <c r="Q226" s="72">
        <v>3.63</v>
      </c>
      <c r="R226" s="81">
        <f>11.76/4</f>
        <v>2.94</v>
      </c>
      <c r="S226" s="354">
        <f t="shared" si="61"/>
        <v>0.80991735537190079</v>
      </c>
      <c r="T226" s="339">
        <v>0.25</v>
      </c>
      <c r="U226" s="81">
        <f t="shared" si="49"/>
        <v>0</v>
      </c>
      <c r="V226" s="81" cm="1">
        <f t="array" ref="V226">_xlfn.IFS('Fiscal by Program'!$B$7&lt;10.61,0,'Fiscal by Program'!$B$7&gt;10.6,(ROUND('Fiscal by Program'!$B$7*(1+IF(D226="Yes",'Fiscal by Program'!$B$9,'Fiscal by Program'!$B$8))*T226,2)))</f>
        <v>0</v>
      </c>
      <c r="W226" s="81">
        <f t="shared" si="52"/>
        <v>0</v>
      </c>
      <c r="X226" s="81">
        <f>ROUND((R226/(1+IF(D226="Yes",'Fiscal by Program'!$B$9,'Fiscal by Program'!$B$8))),2)+0.01</f>
        <v>2.6599999999999997</v>
      </c>
      <c r="Y226" s="81">
        <f t="shared" si="53"/>
        <v>3.63</v>
      </c>
      <c r="Z226" s="88">
        <v>1</v>
      </c>
      <c r="AA226" s="90">
        <f t="shared" si="50"/>
        <v>0.25</v>
      </c>
      <c r="AB226" s="75">
        <f>INDEX('[9]Service List'!$K:$K,MATCH(A226,'[9]Service List'!$F:$F,0))</f>
        <v>562</v>
      </c>
      <c r="AC226" s="73" t="str">
        <f>INDEX('[5]Combined Bill Code List'!$P:$P,MATCH(A226,'[5]Combined Bill Code List'!$F:$F,0))</f>
        <v>CFC</v>
      </c>
      <c r="AD226" s="67" t="s">
        <v>411</v>
      </c>
      <c r="AE226" s="66">
        <f t="shared" si="63"/>
        <v>1.095890410958904</v>
      </c>
      <c r="AF226" s="66">
        <f t="shared" si="64"/>
        <v>-0.06</v>
      </c>
      <c r="AG226" s="70">
        <f>ROUND(INDEX('All Trends'!D:D,MATCH($AD226,'All Trends'!$C:$C,0)),4)</f>
        <v>1</v>
      </c>
      <c r="AH226" s="70">
        <f>ROUND(INDEX('All Trends'!E:E,MATCH($AD226,'All Trends'!$C:$C,0)),4)</f>
        <v>1</v>
      </c>
      <c r="AI226" s="70">
        <f>ROUND(INDEX('All Trends'!F:F,MATCH($AD226,'All Trends'!$C:$C,0)),4)</f>
        <v>1</v>
      </c>
      <c r="AJ226" s="70">
        <f>ROUND(INDEX('All Trends'!G:G,MATCH($AD226,'All Trends'!$C:$C,0)),4)</f>
        <v>1</v>
      </c>
      <c r="AK226" s="70">
        <f>ROUND(INDEX('All Trends'!H:H,MATCH($AD226,'All Trends'!$C:$C,0)),4)</f>
        <v>1</v>
      </c>
      <c r="AL226" s="74" t="s">
        <v>148</v>
      </c>
      <c r="AM226" s="92">
        <f t="shared" si="54"/>
        <v>33.75</v>
      </c>
      <c r="AN226" s="92">
        <f t="shared" si="55"/>
        <v>33.75</v>
      </c>
      <c r="AO226" s="69">
        <f t="shared" si="56"/>
        <v>0</v>
      </c>
      <c r="AP226" s="69">
        <f t="shared" si="57"/>
        <v>0</v>
      </c>
      <c r="AQ226" s="69">
        <f t="shared" si="58"/>
        <v>0</v>
      </c>
      <c r="AR226" s="69">
        <f t="shared" si="59"/>
        <v>0</v>
      </c>
      <c r="AS226" s="409"/>
      <c r="AT226" s="409"/>
      <c r="AU226" s="409"/>
    </row>
    <row r="227" spans="1:55">
      <c r="A227" s="67" t="s">
        <v>586</v>
      </c>
      <c r="B227" s="67" t="s">
        <v>587</v>
      </c>
      <c r="C227" s="78" t="s">
        <v>147</v>
      </c>
      <c r="D227" s="78" t="s">
        <v>148</v>
      </c>
      <c r="E227" s="67" t="s">
        <v>581</v>
      </c>
      <c r="F227" s="67" t="s">
        <v>449</v>
      </c>
      <c r="G227" s="67" t="str">
        <f>INDEX('[4]RT Description to Bill Matix'!$D:$D,MATCH(A227,'[4]RT Description to Bill Matix'!$M:$M,0))</f>
        <v>CDS CFC Habilitation and Attendant Care</v>
      </c>
      <c r="H227" s="67" t="s">
        <v>467</v>
      </c>
      <c r="I227" s="65" t="s">
        <v>147</v>
      </c>
      <c r="J227" s="65" t="str" cm="1">
        <f t="array" ref="J227">INDEX('Rate Table Service Desc XWalk'!F:F,MATCH(1,(G227='Rate Table Service Desc XWalk'!B:B)*(E227='Rate Table Service Desc XWalk'!A:A),0))</f>
        <v>8-5-118</v>
      </c>
      <c r="K227" s="66" t="s">
        <v>410</v>
      </c>
      <c r="L227" s="66" t="str">
        <f>INDEX('[6]Rate History'!$P:$P,MATCH(A227,'[6]Rate History'!$F:$F,0))</f>
        <v>15 minutes</v>
      </c>
      <c r="M227" s="77">
        <f>INDEX('[7]PDF DB Service Pivot'!$C:$C,MATCH(B227,'[7]PDF DB Service Pivot'!$B:$B,0))</f>
        <v>6715</v>
      </c>
      <c r="N227" s="77">
        <f t="shared" si="51"/>
        <v>6715</v>
      </c>
      <c r="O227" s="76">
        <f>INDEX('[7]PDF DB Service Pivot'!$D:$D,MATCH(B227,'[7]PDF DB Service Pivot'!$B:$B,0))</f>
        <v>21890.9</v>
      </c>
      <c r="P227" s="91">
        <v>45170</v>
      </c>
      <c r="Q227" s="72">
        <v>3.59</v>
      </c>
      <c r="R227" s="81">
        <f>11.77/4</f>
        <v>2.9424999999999999</v>
      </c>
      <c r="S227" s="354">
        <f t="shared" si="61"/>
        <v>0.81963788300835649</v>
      </c>
      <c r="T227" s="339">
        <v>0.25</v>
      </c>
      <c r="U227" s="81">
        <f t="shared" si="49"/>
        <v>0</v>
      </c>
      <c r="V227" s="81" cm="1">
        <f t="array" ref="V227">_xlfn.IFS('Fiscal by Program'!$B$7&lt;10.61,0,'Fiscal by Program'!$B$7&gt;10.6,(ROUND('Fiscal by Program'!$B$7*(1+IF(D227="Yes",'Fiscal by Program'!$B$9,'Fiscal by Program'!$B$8))*T227,2)))</f>
        <v>0</v>
      </c>
      <c r="W227" s="81">
        <f t="shared" si="52"/>
        <v>0</v>
      </c>
      <c r="X227" s="81">
        <f>ROUND((R227/(1+IF(D227="Yes",'Fiscal by Program'!$B$9,'Fiscal by Program'!$B$8))),2)+0.01</f>
        <v>2.67</v>
      </c>
      <c r="Y227" s="81">
        <f t="shared" si="53"/>
        <v>3.59</v>
      </c>
      <c r="Z227" s="88">
        <v>1</v>
      </c>
      <c r="AA227" s="90">
        <f t="shared" si="50"/>
        <v>0.25</v>
      </c>
      <c r="AB227" s="75">
        <f>INDEX('[9]Service List'!$K:$K,MATCH(A227,'[9]Service List'!$F:$F,0))</f>
        <v>566</v>
      </c>
      <c r="AC227" s="73" t="str">
        <f>INDEX('[5]Combined Bill Code List'!$P:$P,MATCH(A227,'[5]Combined Bill Code List'!$F:$F,0))</f>
        <v>CFC</v>
      </c>
      <c r="AD227" s="67" t="s">
        <v>411</v>
      </c>
      <c r="AE227" s="66">
        <f t="shared" si="63"/>
        <v>1.095890410958904</v>
      </c>
      <c r="AF227" s="66">
        <f t="shared" si="64"/>
        <v>-0.06</v>
      </c>
      <c r="AG227" s="70">
        <f>ROUND(INDEX('All Trends'!D:D,MATCH($AD227,'All Trends'!$C:$C,0)),4)</f>
        <v>1</v>
      </c>
      <c r="AH227" s="70">
        <f>ROUND(INDEX('All Trends'!E:E,MATCH($AD227,'All Trends'!$C:$C,0)),4)</f>
        <v>1</v>
      </c>
      <c r="AI227" s="70">
        <f>ROUND(INDEX('All Trends'!F:F,MATCH($AD227,'All Trends'!$C:$C,0)),4)</f>
        <v>1</v>
      </c>
      <c r="AJ227" s="70">
        <f>ROUND(INDEX('All Trends'!G:G,MATCH($AD227,'All Trends'!$C:$C,0)),4)</f>
        <v>1</v>
      </c>
      <c r="AK227" s="70">
        <f>ROUND(INDEX('All Trends'!H:H,MATCH($AD227,'All Trends'!$C:$C,0)),4)</f>
        <v>1</v>
      </c>
      <c r="AL227" s="74" t="s">
        <v>148</v>
      </c>
      <c r="AM227" s="92">
        <f t="shared" si="54"/>
        <v>1678.75</v>
      </c>
      <c r="AN227" s="92">
        <f t="shared" si="55"/>
        <v>1678.75</v>
      </c>
      <c r="AO227" s="69">
        <f t="shared" si="56"/>
        <v>0</v>
      </c>
      <c r="AP227" s="69">
        <f t="shared" si="57"/>
        <v>0</v>
      </c>
      <c r="AQ227" s="69">
        <f t="shared" si="58"/>
        <v>0</v>
      </c>
      <c r="AR227" s="69">
        <f t="shared" si="59"/>
        <v>0</v>
      </c>
      <c r="AS227" s="409"/>
      <c r="AT227" s="409"/>
      <c r="AU227" s="409"/>
    </row>
    <row r="228" spans="1:55">
      <c r="A228" s="67" t="s">
        <v>586</v>
      </c>
      <c r="B228" s="67" t="s">
        <v>588</v>
      </c>
      <c r="C228" s="78" t="s">
        <v>147</v>
      </c>
      <c r="D228" s="78" t="s">
        <v>148</v>
      </c>
      <c r="E228" s="67" t="s">
        <v>581</v>
      </c>
      <c r="F228" s="67" t="s">
        <v>449</v>
      </c>
      <c r="G228" s="67" t="str">
        <f>INDEX('[4]RT Description to Bill Matix'!$D:$D,MATCH(A228,'[4]RT Description to Bill Matix'!$M:$M,0))</f>
        <v>CDS CFC Habilitation and Attendant Care</v>
      </c>
      <c r="H228" s="67" t="s">
        <v>467</v>
      </c>
      <c r="I228" s="65" t="s">
        <v>147</v>
      </c>
      <c r="J228" s="65" t="str" cm="1">
        <f t="array" ref="J228">INDEX('Rate Table Service Desc XWalk'!F:F,MATCH(1,(G228='Rate Table Service Desc XWalk'!B:B)*(E228='Rate Table Service Desc XWalk'!A:A),0))</f>
        <v>8-5-118</v>
      </c>
      <c r="K228" s="66" t="s">
        <v>410</v>
      </c>
      <c r="L228" s="66" t="str">
        <f>INDEX('[6]Rate History'!$P:$P,MATCH(A228,'[6]Rate History'!$F:$F,0))</f>
        <v>15 minutes</v>
      </c>
      <c r="M228" s="77">
        <f>INDEX('[7]PDF DB Service Pivot'!$C:$C,MATCH(B228,'[7]PDF DB Service Pivot'!$B:$B,0))</f>
        <v>8831</v>
      </c>
      <c r="N228" s="77">
        <f t="shared" si="51"/>
        <v>8831</v>
      </c>
      <c r="O228" s="76">
        <f>INDEX('[7]PDF DB Service Pivot'!$D:$D,MATCH(B228,'[7]PDF DB Service Pivot'!$B:$B,0))</f>
        <v>28102.1</v>
      </c>
      <c r="P228" s="91">
        <v>45170</v>
      </c>
      <c r="Q228" s="72">
        <v>3.59</v>
      </c>
      <c r="R228" s="81">
        <f>11.77/4</f>
        <v>2.9424999999999999</v>
      </c>
      <c r="S228" s="354">
        <f t="shared" si="61"/>
        <v>0.81963788300835649</v>
      </c>
      <c r="T228" s="339">
        <v>0.25</v>
      </c>
      <c r="U228" s="81">
        <f t="shared" si="49"/>
        <v>0</v>
      </c>
      <c r="V228" s="81" cm="1">
        <f t="array" ref="V228">_xlfn.IFS('Fiscal by Program'!$B$7&lt;10.61,0,'Fiscal by Program'!$B$7&gt;10.6,(ROUND('Fiscal by Program'!$B$7*(1+IF(D228="Yes",'Fiscal by Program'!$B$9,'Fiscal by Program'!$B$8))*T228,2)))</f>
        <v>0</v>
      </c>
      <c r="W228" s="81">
        <f t="shared" si="52"/>
        <v>0</v>
      </c>
      <c r="X228" s="81">
        <f>ROUND((R228/(1+IF(D228="Yes",'Fiscal by Program'!$B$9,'Fiscal by Program'!$B$8))),2)+0.01</f>
        <v>2.67</v>
      </c>
      <c r="Y228" s="81">
        <f t="shared" si="53"/>
        <v>3.59</v>
      </c>
      <c r="Z228" s="88">
        <v>1</v>
      </c>
      <c r="AA228" s="90">
        <f t="shared" si="50"/>
        <v>0.25</v>
      </c>
      <c r="AB228" s="75">
        <f>INDEX('[9]Service List'!$K:$K,MATCH(A228,'[9]Service List'!$F:$F,0))</f>
        <v>566</v>
      </c>
      <c r="AC228" s="73" t="str">
        <f>INDEX('[5]Combined Bill Code List'!$P:$P,MATCH(A228,'[5]Combined Bill Code List'!$F:$F,0))</f>
        <v>CFC</v>
      </c>
      <c r="AD228" s="67" t="s">
        <v>411</v>
      </c>
      <c r="AE228" s="66">
        <f t="shared" si="63"/>
        <v>1.095890410958904</v>
      </c>
      <c r="AF228" s="66">
        <f t="shared" si="64"/>
        <v>-0.06</v>
      </c>
      <c r="AG228" s="70">
        <f>ROUND(INDEX('All Trends'!D:D,MATCH($AD228,'All Trends'!$C:$C,0)),4)</f>
        <v>1</v>
      </c>
      <c r="AH228" s="70">
        <f>ROUND(INDEX('All Trends'!E:E,MATCH($AD228,'All Trends'!$C:$C,0)),4)</f>
        <v>1</v>
      </c>
      <c r="AI228" s="70">
        <f>ROUND(INDEX('All Trends'!F:F,MATCH($AD228,'All Trends'!$C:$C,0)),4)</f>
        <v>1</v>
      </c>
      <c r="AJ228" s="70">
        <f>ROUND(INDEX('All Trends'!G:G,MATCH($AD228,'All Trends'!$C:$C,0)),4)</f>
        <v>1</v>
      </c>
      <c r="AK228" s="70">
        <f>ROUND(INDEX('All Trends'!H:H,MATCH($AD228,'All Trends'!$C:$C,0)),4)</f>
        <v>1</v>
      </c>
      <c r="AL228" s="74" t="s">
        <v>148</v>
      </c>
      <c r="AM228" s="92">
        <f t="shared" si="54"/>
        <v>2207.75</v>
      </c>
      <c r="AN228" s="92">
        <f t="shared" si="55"/>
        <v>2207.75</v>
      </c>
      <c r="AO228" s="69">
        <f t="shared" si="56"/>
        <v>0</v>
      </c>
      <c r="AP228" s="69">
        <f t="shared" si="57"/>
        <v>0</v>
      </c>
      <c r="AQ228" s="69">
        <f t="shared" si="58"/>
        <v>0</v>
      </c>
      <c r="AR228" s="69">
        <f t="shared" si="59"/>
        <v>0</v>
      </c>
      <c r="AS228" s="409"/>
      <c r="AT228" s="409"/>
      <c r="AU228" s="409"/>
    </row>
    <row r="229" spans="1:55">
      <c r="A229" s="67" t="s">
        <v>586</v>
      </c>
      <c r="B229" s="67" t="s">
        <v>589</v>
      </c>
      <c r="C229" s="78" t="s">
        <v>147</v>
      </c>
      <c r="D229" s="78" t="s">
        <v>148</v>
      </c>
      <c r="E229" s="67" t="s">
        <v>581</v>
      </c>
      <c r="F229" s="67" t="s">
        <v>449</v>
      </c>
      <c r="G229" s="67" t="str">
        <f>INDEX('[4]RT Description to Bill Matix'!$D:$D,MATCH(A229,'[4]RT Description to Bill Matix'!$M:$M,0))</f>
        <v>CDS CFC Habilitation and Attendant Care</v>
      </c>
      <c r="H229" s="67" t="s">
        <v>467</v>
      </c>
      <c r="I229" s="65" t="s">
        <v>147</v>
      </c>
      <c r="J229" s="65" t="str" cm="1">
        <f t="array" ref="J229">INDEX('Rate Table Service Desc XWalk'!F:F,MATCH(1,(G229='Rate Table Service Desc XWalk'!B:B)*(E229='Rate Table Service Desc XWalk'!A:A),0))</f>
        <v>8-5-118</v>
      </c>
      <c r="K229" s="66" t="s">
        <v>410</v>
      </c>
      <c r="L229" s="66" t="str">
        <f>INDEX('[6]Rate History'!$P:$P,MATCH(A229,'[6]Rate History'!$F:$F,0))</f>
        <v>15 minutes</v>
      </c>
      <c r="M229" s="77">
        <f>INDEX('[7]PDF DB Service Pivot'!$C:$C,MATCH(B229,'[7]PDF DB Service Pivot'!$B:$B,0))</f>
        <v>4249</v>
      </c>
      <c r="N229" s="77">
        <f t="shared" si="51"/>
        <v>4249</v>
      </c>
      <c r="O229" s="76">
        <f>INDEX('[7]PDF DB Service Pivot'!$D:$D,MATCH(B229,'[7]PDF DB Service Pivot'!$B:$B,0))</f>
        <v>13817.11</v>
      </c>
      <c r="P229" s="91">
        <v>45170</v>
      </c>
      <c r="Q229" s="72">
        <v>3.59</v>
      </c>
      <c r="R229" s="81">
        <f>11.77/4</f>
        <v>2.9424999999999999</v>
      </c>
      <c r="S229" s="354">
        <f t="shared" si="61"/>
        <v>0.81963788300835649</v>
      </c>
      <c r="T229" s="339">
        <v>0.25</v>
      </c>
      <c r="U229" s="81">
        <f t="shared" si="49"/>
        <v>0</v>
      </c>
      <c r="V229" s="81" cm="1">
        <f t="array" ref="V229">_xlfn.IFS('Fiscal by Program'!$B$7&lt;10.61,0,'Fiscal by Program'!$B$7&gt;10.6,(ROUND('Fiscal by Program'!$B$7*(1+IF(D229="Yes",'Fiscal by Program'!$B$9,'Fiscal by Program'!$B$8))*T229,2)))</f>
        <v>0</v>
      </c>
      <c r="W229" s="81">
        <f t="shared" si="52"/>
        <v>0</v>
      </c>
      <c r="X229" s="81">
        <f>ROUND((R229/(1+IF(D229="Yes",'Fiscal by Program'!$B$9,'Fiscal by Program'!$B$8))),2)+0.01</f>
        <v>2.67</v>
      </c>
      <c r="Y229" s="81">
        <f t="shared" si="53"/>
        <v>3.59</v>
      </c>
      <c r="Z229" s="88">
        <v>1</v>
      </c>
      <c r="AA229" s="90">
        <f t="shared" si="50"/>
        <v>0.25</v>
      </c>
      <c r="AB229" s="75">
        <f>INDEX('[9]Service List'!$K:$K,MATCH(A229,'[9]Service List'!$F:$F,0))</f>
        <v>566</v>
      </c>
      <c r="AC229" s="73" t="str">
        <f>INDEX('[5]Combined Bill Code List'!$P:$P,MATCH(A229,'[5]Combined Bill Code List'!$F:$F,0))</f>
        <v>CFC</v>
      </c>
      <c r="AD229" s="67" t="s">
        <v>411</v>
      </c>
      <c r="AE229" s="66">
        <f t="shared" si="63"/>
        <v>1.095890410958904</v>
      </c>
      <c r="AF229" s="66">
        <f t="shared" si="64"/>
        <v>-0.06</v>
      </c>
      <c r="AG229" s="70">
        <f>ROUND(INDEX('All Trends'!D:D,MATCH($AD229,'All Trends'!$C:$C,0)),4)</f>
        <v>1</v>
      </c>
      <c r="AH229" s="70">
        <f>ROUND(INDEX('All Trends'!E:E,MATCH($AD229,'All Trends'!$C:$C,0)),4)</f>
        <v>1</v>
      </c>
      <c r="AI229" s="70">
        <f>ROUND(INDEX('All Trends'!F:F,MATCH($AD229,'All Trends'!$C:$C,0)),4)</f>
        <v>1</v>
      </c>
      <c r="AJ229" s="70">
        <f>ROUND(INDEX('All Trends'!G:G,MATCH($AD229,'All Trends'!$C:$C,0)),4)</f>
        <v>1</v>
      </c>
      <c r="AK229" s="70">
        <f>ROUND(INDEX('All Trends'!H:H,MATCH($AD229,'All Trends'!$C:$C,0)),4)</f>
        <v>1</v>
      </c>
      <c r="AL229" s="74" t="s">
        <v>148</v>
      </c>
      <c r="AM229" s="92">
        <f t="shared" si="54"/>
        <v>1062.25</v>
      </c>
      <c r="AN229" s="92">
        <f t="shared" si="55"/>
        <v>1062.25</v>
      </c>
      <c r="AO229" s="69">
        <f t="shared" si="56"/>
        <v>0</v>
      </c>
      <c r="AP229" s="69">
        <f t="shared" si="57"/>
        <v>0</v>
      </c>
      <c r="AQ229" s="69">
        <f t="shared" si="58"/>
        <v>0</v>
      </c>
      <c r="AR229" s="69">
        <f t="shared" si="59"/>
        <v>0</v>
      </c>
      <c r="AS229" s="409"/>
      <c r="AT229" s="409"/>
      <c r="AU229" s="409"/>
    </row>
    <row r="230" spans="1:55">
      <c r="A230" s="67" t="s">
        <v>586</v>
      </c>
      <c r="B230" s="67" t="s">
        <v>590</v>
      </c>
      <c r="C230" s="78" t="s">
        <v>147</v>
      </c>
      <c r="D230" s="78" t="s">
        <v>148</v>
      </c>
      <c r="E230" s="67" t="s">
        <v>581</v>
      </c>
      <c r="F230" s="67" t="s">
        <v>449</v>
      </c>
      <c r="G230" s="67" t="str">
        <f>INDEX('[4]RT Description to Bill Matix'!$D:$D,MATCH(A230,'[4]RT Description to Bill Matix'!$M:$M,0))</f>
        <v>CDS CFC Habilitation and Attendant Care</v>
      </c>
      <c r="H230" s="67" t="s">
        <v>467</v>
      </c>
      <c r="I230" s="65" t="s">
        <v>147</v>
      </c>
      <c r="J230" s="65" t="str" cm="1">
        <f t="array" ref="J230">INDEX('Rate Table Service Desc XWalk'!F:F,MATCH(1,(G230='Rate Table Service Desc XWalk'!B:B)*(E230='Rate Table Service Desc XWalk'!A:A),0))</f>
        <v>8-5-118</v>
      </c>
      <c r="K230" s="66" t="s">
        <v>410</v>
      </c>
      <c r="L230" s="66" t="str">
        <f>INDEX('[6]Rate History'!$P:$P,MATCH(A230,'[6]Rate History'!$F:$F,0))</f>
        <v>15 minutes</v>
      </c>
      <c r="M230" s="77">
        <f>INDEX('[7]PDF DB Service Pivot'!$C:$C,MATCH(B230,'[7]PDF DB Service Pivot'!$B:$B,0))</f>
        <v>51</v>
      </c>
      <c r="N230" s="77">
        <f t="shared" si="51"/>
        <v>51</v>
      </c>
      <c r="O230" s="76">
        <f>INDEX('[7]PDF DB Service Pivot'!$D:$D,MATCH(B230,'[7]PDF DB Service Pivot'!$B:$B,0))</f>
        <v>166.26</v>
      </c>
      <c r="P230" s="91">
        <v>45170</v>
      </c>
      <c r="Q230" s="72">
        <v>3.59</v>
      </c>
      <c r="R230" s="81">
        <f>11.77/4</f>
        <v>2.9424999999999999</v>
      </c>
      <c r="S230" s="354">
        <f t="shared" si="61"/>
        <v>0.81963788300835649</v>
      </c>
      <c r="T230" s="339">
        <v>0.25</v>
      </c>
      <c r="U230" s="81">
        <f t="shared" si="49"/>
        <v>0</v>
      </c>
      <c r="V230" s="81" cm="1">
        <f t="array" ref="V230">_xlfn.IFS('Fiscal by Program'!$B$7&lt;10.61,0,'Fiscal by Program'!$B$7&gt;10.6,(ROUND('Fiscal by Program'!$B$7*(1+IF(D230="Yes",'Fiscal by Program'!$B$9,'Fiscal by Program'!$B$8))*T230,2)))</f>
        <v>0</v>
      </c>
      <c r="W230" s="81">
        <f t="shared" si="52"/>
        <v>0</v>
      </c>
      <c r="X230" s="81">
        <f>ROUND((R230/(1+IF(D230="Yes",'Fiscal by Program'!$B$9,'Fiscal by Program'!$B$8))),2)+0.01</f>
        <v>2.67</v>
      </c>
      <c r="Y230" s="81">
        <f t="shared" si="53"/>
        <v>3.59</v>
      </c>
      <c r="Z230" s="88">
        <v>1</v>
      </c>
      <c r="AA230" s="90">
        <f t="shared" si="50"/>
        <v>0.25</v>
      </c>
      <c r="AB230" s="75">
        <f>INDEX('[9]Service List'!$K:$K,MATCH(A230,'[9]Service List'!$F:$F,0))</f>
        <v>566</v>
      </c>
      <c r="AC230" s="73" t="str">
        <f>INDEX('[5]Combined Bill Code List'!$P:$P,MATCH(A230,'[5]Combined Bill Code List'!$F:$F,0))</f>
        <v>CFC</v>
      </c>
      <c r="AD230" s="67" t="s">
        <v>411</v>
      </c>
      <c r="AE230" s="66">
        <f t="shared" si="63"/>
        <v>1.095890410958904</v>
      </c>
      <c r="AF230" s="66">
        <f t="shared" si="64"/>
        <v>-0.06</v>
      </c>
      <c r="AG230" s="70">
        <f>ROUND(INDEX('All Trends'!D:D,MATCH($AD230,'All Trends'!$C:$C,0)),4)</f>
        <v>1</v>
      </c>
      <c r="AH230" s="70">
        <f>ROUND(INDEX('All Trends'!E:E,MATCH($AD230,'All Trends'!$C:$C,0)),4)</f>
        <v>1</v>
      </c>
      <c r="AI230" s="70">
        <f>ROUND(INDEX('All Trends'!F:F,MATCH($AD230,'All Trends'!$C:$C,0)),4)</f>
        <v>1</v>
      </c>
      <c r="AJ230" s="70">
        <f>ROUND(INDEX('All Trends'!G:G,MATCH($AD230,'All Trends'!$C:$C,0)),4)</f>
        <v>1</v>
      </c>
      <c r="AK230" s="70">
        <f>ROUND(INDEX('All Trends'!H:H,MATCH($AD230,'All Trends'!$C:$C,0)),4)</f>
        <v>1</v>
      </c>
      <c r="AL230" s="74" t="s">
        <v>148</v>
      </c>
      <c r="AM230" s="92">
        <f t="shared" si="54"/>
        <v>12.75</v>
      </c>
      <c r="AN230" s="92">
        <f t="shared" si="55"/>
        <v>12.75</v>
      </c>
      <c r="AO230" s="69">
        <f t="shared" si="56"/>
        <v>0</v>
      </c>
      <c r="AP230" s="69">
        <f t="shared" si="57"/>
        <v>0</v>
      </c>
      <c r="AQ230" s="69">
        <f t="shared" si="58"/>
        <v>0</v>
      </c>
      <c r="AR230" s="69">
        <f t="shared" si="59"/>
        <v>0</v>
      </c>
      <c r="AS230" s="409"/>
      <c r="AT230" s="409"/>
      <c r="AU230" s="409"/>
    </row>
    <row r="231" spans="1:55">
      <c r="A231" s="67" t="s">
        <v>586</v>
      </c>
      <c r="B231" s="67" t="s">
        <v>591</v>
      </c>
      <c r="C231" s="78" t="s">
        <v>147</v>
      </c>
      <c r="D231" s="78" t="s">
        <v>148</v>
      </c>
      <c r="E231" s="67" t="s">
        <v>581</v>
      </c>
      <c r="F231" s="67" t="s">
        <v>449</v>
      </c>
      <c r="G231" s="67" t="str">
        <f>INDEX('[4]RT Description to Bill Matix'!$D:$D,MATCH(A231,'[4]RT Description to Bill Matix'!$M:$M,0))</f>
        <v>CDS CFC Habilitation and Attendant Care</v>
      </c>
      <c r="H231" s="67" t="s">
        <v>467</v>
      </c>
      <c r="I231" s="65" t="s">
        <v>147</v>
      </c>
      <c r="J231" s="65" t="str" cm="1">
        <f t="array" ref="J231">INDEX('Rate Table Service Desc XWalk'!F:F,MATCH(1,(G231='Rate Table Service Desc XWalk'!B:B)*(E231='Rate Table Service Desc XWalk'!A:A),0))</f>
        <v>8-5-118</v>
      </c>
      <c r="K231" s="66" t="s">
        <v>410</v>
      </c>
      <c r="L231" s="66" t="str">
        <f>INDEX('[6]Rate History'!$P:$P,MATCH(A231,'[6]Rate History'!$F:$F,0))</f>
        <v>15 minutes</v>
      </c>
      <c r="M231" s="77">
        <f>INDEX('[7]PDF DB Service Pivot'!$C:$C,MATCH(B231,'[7]PDF DB Service Pivot'!$B:$B,0))</f>
        <v>1790472.4</v>
      </c>
      <c r="N231" s="77">
        <f t="shared" si="51"/>
        <v>1790472.4</v>
      </c>
      <c r="O231" s="76">
        <f>INDEX('[7]PDF DB Service Pivot'!$D:$D,MATCH(B231,'[7]PDF DB Service Pivot'!$B:$B,0))</f>
        <v>5772832.6900000004</v>
      </c>
      <c r="P231" s="91">
        <v>45170</v>
      </c>
      <c r="Q231" s="72">
        <v>3.59</v>
      </c>
      <c r="R231" s="81">
        <f>11.77/4</f>
        <v>2.9424999999999999</v>
      </c>
      <c r="S231" s="354">
        <f t="shared" si="61"/>
        <v>0.81963788300835649</v>
      </c>
      <c r="T231" s="339">
        <v>0.25</v>
      </c>
      <c r="U231" s="81">
        <f t="shared" si="49"/>
        <v>0</v>
      </c>
      <c r="V231" s="81" cm="1">
        <f t="array" ref="V231">_xlfn.IFS('Fiscal by Program'!$B$7&lt;10.61,0,'Fiscal by Program'!$B$7&gt;10.6,(ROUND('Fiscal by Program'!$B$7*(1+IF(D231="Yes",'Fiscal by Program'!$B$9,'Fiscal by Program'!$B$8))*T231,2)))</f>
        <v>0</v>
      </c>
      <c r="W231" s="81">
        <f t="shared" si="52"/>
        <v>0</v>
      </c>
      <c r="X231" s="81">
        <f>ROUND((R231/(1+IF(D231="Yes",'Fiscal by Program'!$B$9,'Fiscal by Program'!$B$8))),2)+0.01</f>
        <v>2.67</v>
      </c>
      <c r="Y231" s="81">
        <f t="shared" si="53"/>
        <v>3.59</v>
      </c>
      <c r="Z231" s="88">
        <v>1</v>
      </c>
      <c r="AA231" s="90">
        <f t="shared" si="50"/>
        <v>0.25</v>
      </c>
      <c r="AB231" s="75">
        <f>INDEX('[9]Service List'!$K:$K,MATCH(A231,'[9]Service List'!$F:$F,0))</f>
        <v>566</v>
      </c>
      <c r="AC231" s="73" t="str">
        <f>INDEX('[5]Combined Bill Code List'!$P:$P,MATCH(A231,'[5]Combined Bill Code List'!$F:$F,0))</f>
        <v>CFC</v>
      </c>
      <c r="AD231" s="67" t="s">
        <v>411</v>
      </c>
      <c r="AE231" s="66">
        <f t="shared" si="63"/>
        <v>1.095890410958904</v>
      </c>
      <c r="AF231" s="66">
        <f t="shared" si="64"/>
        <v>-0.06</v>
      </c>
      <c r="AG231" s="70">
        <f>ROUND(INDEX('All Trends'!D:D,MATCH($AD231,'All Trends'!$C:$C,0)),4)</f>
        <v>1</v>
      </c>
      <c r="AH231" s="70">
        <f>ROUND(INDEX('All Trends'!E:E,MATCH($AD231,'All Trends'!$C:$C,0)),4)</f>
        <v>1</v>
      </c>
      <c r="AI231" s="70">
        <f>ROUND(INDEX('All Trends'!F:F,MATCH($AD231,'All Trends'!$C:$C,0)),4)</f>
        <v>1</v>
      </c>
      <c r="AJ231" s="70">
        <f>ROUND(INDEX('All Trends'!G:G,MATCH($AD231,'All Trends'!$C:$C,0)),4)</f>
        <v>1</v>
      </c>
      <c r="AK231" s="70">
        <f>ROUND(INDEX('All Trends'!H:H,MATCH($AD231,'All Trends'!$C:$C,0)),4)</f>
        <v>1</v>
      </c>
      <c r="AL231" s="74" t="s">
        <v>148</v>
      </c>
      <c r="AM231" s="92">
        <f t="shared" si="54"/>
        <v>447618.1</v>
      </c>
      <c r="AN231" s="92">
        <f t="shared" si="55"/>
        <v>447618.1</v>
      </c>
      <c r="AO231" s="69">
        <f t="shared" si="56"/>
        <v>0</v>
      </c>
      <c r="AP231" s="69">
        <f t="shared" si="57"/>
        <v>0</v>
      </c>
      <c r="AQ231" s="69">
        <f t="shared" si="58"/>
        <v>0</v>
      </c>
      <c r="AR231" s="69">
        <f t="shared" si="59"/>
        <v>0</v>
      </c>
      <c r="AS231" s="409"/>
      <c r="AT231" s="409"/>
      <c r="AU231" s="409"/>
    </row>
    <row r="232" spans="1:55">
      <c r="A232" s="67" t="s">
        <v>592</v>
      </c>
      <c r="B232" s="67" t="s">
        <v>593</v>
      </c>
      <c r="C232" s="78" t="s">
        <v>147</v>
      </c>
      <c r="D232" s="78" t="s">
        <v>148</v>
      </c>
      <c r="E232" s="67" t="s">
        <v>581</v>
      </c>
      <c r="F232" s="67" t="s">
        <v>408</v>
      </c>
      <c r="G232" s="67" t="str">
        <f>INDEX('[4]RT Description to Bill Matix'!$D:$D,MATCH(A232,'[4]RT Description to Bill Matix'!$M:$M,0))</f>
        <v>PCS (CFC and Non-CFC)</v>
      </c>
      <c r="H232" s="67" t="s">
        <v>594</v>
      </c>
      <c r="J232" s="65" t="str" cm="1">
        <f t="array" ref="J232">INDEX('Rate Table Service Desc XWalk'!F:F,MATCH(1,(G232='Rate Table Service Desc XWalk'!B:B)*(E232='Rate Table Service Desc XWalk'!A:A),0))</f>
        <v>8-1-80</v>
      </c>
      <c r="K232" s="66" t="s">
        <v>410</v>
      </c>
      <c r="L232" s="66" t="str">
        <f>INDEX('[6]Rate History'!$P:$P,MATCH(A232,'[6]Rate History'!$F:$F,0))</f>
        <v>15 minutes</v>
      </c>
      <c r="M232" s="77">
        <f>INDEX('[7]PDF DB Service Pivot'!$C:$C,MATCH(B232,'[7]PDF DB Service Pivot'!$B:$B,0))</f>
        <v>3249</v>
      </c>
      <c r="N232" s="77">
        <f t="shared" si="51"/>
        <v>3249</v>
      </c>
      <c r="O232" s="76">
        <f>INDEX('[7]PDF DB Service Pivot'!$D:$D,MATCH(B232,'[7]PDF DB Service Pivot'!$B:$B,0))</f>
        <v>9582.24</v>
      </c>
      <c r="P232" s="91">
        <v>45170</v>
      </c>
      <c r="Q232" s="72">
        <v>3.64</v>
      </c>
      <c r="R232" s="81">
        <v>2.9499999999999997</v>
      </c>
      <c r="S232" s="354">
        <f t="shared" si="61"/>
        <v>0.81043956043956034</v>
      </c>
      <c r="T232" s="339">
        <v>0.25</v>
      </c>
      <c r="U232" s="81">
        <f t="shared" si="49"/>
        <v>0</v>
      </c>
      <c r="V232" s="81" cm="1">
        <f t="array" ref="V232">_xlfn.IFS('Fiscal by Program'!$B$7&lt;10.61,0,'Fiscal by Program'!$B$7&gt;10.6,(ROUND('Fiscal by Program'!$B$7*(1+IF(D232="Yes",'Fiscal by Program'!$B$9,'Fiscal by Program'!$B$8))*T232,2)))</f>
        <v>0</v>
      </c>
      <c r="W232" s="81">
        <f t="shared" si="52"/>
        <v>0</v>
      </c>
      <c r="X232" s="81">
        <f>ROUND((R232/(1+IF(D232="Yes",'Fiscal by Program'!$B$9,'Fiscal by Program'!$B$8))),2)+0.01</f>
        <v>2.67</v>
      </c>
      <c r="Y232" s="81">
        <f t="shared" si="53"/>
        <v>3.64</v>
      </c>
      <c r="Z232" s="88">
        <v>1</v>
      </c>
      <c r="AA232" s="90">
        <f t="shared" si="50"/>
        <v>0.25</v>
      </c>
      <c r="AB232" s="75">
        <f>INDEX('[9]Service List'!$K:$K,MATCH(A232,'[9]Service List'!$F:$F,0))</f>
        <v>1358</v>
      </c>
      <c r="AC232" s="73" t="str">
        <f>INDEX('[5]Combined Bill Code List'!$P:$P,MATCH(A232,'[5]Combined Bill Code List'!$F:$F,0))</f>
        <v>CFC</v>
      </c>
      <c r="AD232" s="67" t="s">
        <v>411</v>
      </c>
      <c r="AE232" s="66">
        <f t="shared" si="63"/>
        <v>1.095890410958904</v>
      </c>
      <c r="AF232" s="66">
        <f t="shared" si="64"/>
        <v>-0.06</v>
      </c>
      <c r="AG232" s="70">
        <f>ROUND(INDEX('All Trends'!D:D,MATCH($AD232,'All Trends'!$C:$C,0)),4)</f>
        <v>1</v>
      </c>
      <c r="AH232" s="70">
        <f>ROUND(INDEX('All Trends'!E:E,MATCH($AD232,'All Trends'!$C:$C,0)),4)</f>
        <v>1</v>
      </c>
      <c r="AI232" s="70">
        <f>ROUND(INDEX('All Trends'!F:F,MATCH($AD232,'All Trends'!$C:$C,0)),4)</f>
        <v>1</v>
      </c>
      <c r="AJ232" s="70">
        <f>ROUND(INDEX('All Trends'!G:G,MATCH($AD232,'All Trends'!$C:$C,0)),4)</f>
        <v>1</v>
      </c>
      <c r="AK232" s="70">
        <f>ROUND(INDEX('All Trends'!H:H,MATCH($AD232,'All Trends'!$C:$C,0)),4)</f>
        <v>1</v>
      </c>
      <c r="AL232" s="74" t="s">
        <v>148</v>
      </c>
      <c r="AM232" s="92">
        <f t="shared" si="54"/>
        <v>812.25</v>
      </c>
      <c r="AN232" s="92">
        <f t="shared" si="55"/>
        <v>812.25</v>
      </c>
      <c r="AO232" s="69">
        <f t="shared" si="56"/>
        <v>0</v>
      </c>
      <c r="AP232" s="69">
        <f t="shared" si="57"/>
        <v>0</v>
      </c>
      <c r="AQ232" s="69">
        <f t="shared" si="58"/>
        <v>0</v>
      </c>
      <c r="AR232" s="69">
        <f t="shared" si="59"/>
        <v>0</v>
      </c>
      <c r="AS232" s="409"/>
      <c r="AT232" s="409"/>
      <c r="AU232" s="409"/>
    </row>
    <row r="233" spans="1:55">
      <c r="A233" s="67" t="s">
        <v>592</v>
      </c>
      <c r="B233" s="67" t="s">
        <v>595</v>
      </c>
      <c r="C233" s="78" t="s">
        <v>147</v>
      </c>
      <c r="D233" s="78" t="s">
        <v>148</v>
      </c>
      <c r="E233" s="67" t="s">
        <v>581</v>
      </c>
      <c r="F233" s="67" t="s">
        <v>408</v>
      </c>
      <c r="G233" s="67" t="str">
        <f>INDEX('[4]RT Description to Bill Matix'!$D:$D,MATCH(A233,'[4]RT Description to Bill Matix'!$M:$M,0))</f>
        <v>PCS (CFC and Non-CFC)</v>
      </c>
      <c r="H233" s="67" t="s">
        <v>594</v>
      </c>
      <c r="J233" s="65" t="str" cm="1">
        <f t="array" ref="J233">INDEX('Rate Table Service Desc XWalk'!F:F,MATCH(1,(G233='Rate Table Service Desc XWalk'!B:B)*(E233='Rate Table Service Desc XWalk'!A:A),0))</f>
        <v>8-1-80</v>
      </c>
      <c r="K233" s="66" t="s">
        <v>410</v>
      </c>
      <c r="L233" s="66" t="str">
        <f>INDEX('[6]Rate History'!$P:$P,MATCH(A233,'[6]Rate History'!$F:$F,0))</f>
        <v>15 minutes</v>
      </c>
      <c r="M233" s="77">
        <f>INDEX('[7]PDF DB Service Pivot'!$C:$C,MATCH(B233,'[7]PDF DB Service Pivot'!$B:$B,0))</f>
        <v>2068</v>
      </c>
      <c r="N233" s="77">
        <f t="shared" si="51"/>
        <v>2068</v>
      </c>
      <c r="O233" s="76">
        <f>INDEX('[7]PDF DB Service Pivot'!$D:$D,MATCH(B233,'[7]PDF DB Service Pivot'!$B:$B,0))</f>
        <v>6193.7499999999991</v>
      </c>
      <c r="P233" s="91">
        <v>45170</v>
      </c>
      <c r="Q233" s="72">
        <v>3.64</v>
      </c>
      <c r="R233" s="81">
        <v>2.9499999999999997</v>
      </c>
      <c r="S233" s="354">
        <f t="shared" si="61"/>
        <v>0.81043956043956034</v>
      </c>
      <c r="T233" s="339">
        <v>0.25</v>
      </c>
      <c r="U233" s="81">
        <f t="shared" si="49"/>
        <v>0</v>
      </c>
      <c r="V233" s="81" cm="1">
        <f t="array" ref="V233">_xlfn.IFS('Fiscal by Program'!$B$7&lt;10.61,0,'Fiscal by Program'!$B$7&gt;10.6,(ROUND('Fiscal by Program'!$B$7*(1+IF(D233="Yes",'Fiscal by Program'!$B$9,'Fiscal by Program'!$B$8))*T233,2)))</f>
        <v>0</v>
      </c>
      <c r="W233" s="81">
        <f t="shared" si="52"/>
        <v>0</v>
      </c>
      <c r="X233" s="81">
        <f>ROUND((R233/(1+IF(D233="Yes",'Fiscal by Program'!$B$9,'Fiscal by Program'!$B$8))),2)+0.01</f>
        <v>2.67</v>
      </c>
      <c r="Y233" s="81">
        <f t="shared" si="53"/>
        <v>3.64</v>
      </c>
      <c r="Z233" s="88">
        <v>1</v>
      </c>
      <c r="AA233" s="90">
        <f t="shared" si="50"/>
        <v>0.25</v>
      </c>
      <c r="AB233" s="75">
        <f>INDEX('[9]Service List'!$K:$K,MATCH(A233,'[9]Service List'!$F:$F,0))</f>
        <v>1358</v>
      </c>
      <c r="AC233" s="73" t="str">
        <f>INDEX('[5]Combined Bill Code List'!$P:$P,MATCH(A233,'[5]Combined Bill Code List'!$F:$F,0))</f>
        <v>CFC</v>
      </c>
      <c r="AD233" s="67" t="s">
        <v>411</v>
      </c>
      <c r="AE233" s="66">
        <f t="shared" si="63"/>
        <v>1.095890410958904</v>
      </c>
      <c r="AF233" s="66">
        <f t="shared" si="64"/>
        <v>-0.06</v>
      </c>
      <c r="AG233" s="70">
        <f>ROUND(INDEX('All Trends'!D:D,MATCH($AD233,'All Trends'!$C:$C,0)),4)</f>
        <v>1</v>
      </c>
      <c r="AH233" s="70">
        <f>ROUND(INDEX('All Trends'!E:E,MATCH($AD233,'All Trends'!$C:$C,0)),4)</f>
        <v>1</v>
      </c>
      <c r="AI233" s="70">
        <f>ROUND(INDEX('All Trends'!F:F,MATCH($AD233,'All Trends'!$C:$C,0)),4)</f>
        <v>1</v>
      </c>
      <c r="AJ233" s="70">
        <f>ROUND(INDEX('All Trends'!G:G,MATCH($AD233,'All Trends'!$C:$C,0)),4)</f>
        <v>1</v>
      </c>
      <c r="AK233" s="70">
        <f>ROUND(INDEX('All Trends'!H:H,MATCH($AD233,'All Trends'!$C:$C,0)),4)</f>
        <v>1</v>
      </c>
      <c r="AL233" s="74" t="s">
        <v>148</v>
      </c>
      <c r="AM233" s="92">
        <f t="shared" si="54"/>
        <v>517</v>
      </c>
      <c r="AN233" s="92">
        <f t="shared" si="55"/>
        <v>517</v>
      </c>
      <c r="AO233" s="69">
        <f t="shared" si="56"/>
        <v>0</v>
      </c>
      <c r="AP233" s="69">
        <f t="shared" si="57"/>
        <v>0</v>
      </c>
      <c r="AQ233" s="69">
        <f t="shared" si="58"/>
        <v>0</v>
      </c>
      <c r="AR233" s="69">
        <f t="shared" si="59"/>
        <v>0</v>
      </c>
      <c r="AS233" s="409"/>
      <c r="AT233" s="409"/>
      <c r="AU233" s="409"/>
    </row>
    <row r="234" spans="1:55">
      <c r="A234" s="67" t="s">
        <v>592</v>
      </c>
      <c r="B234" s="67" t="s">
        <v>596</v>
      </c>
      <c r="C234" s="78" t="s">
        <v>147</v>
      </c>
      <c r="D234" s="78" t="s">
        <v>148</v>
      </c>
      <c r="E234" s="67" t="s">
        <v>581</v>
      </c>
      <c r="F234" s="67" t="s">
        <v>408</v>
      </c>
      <c r="G234" s="67" t="str">
        <f>INDEX('[4]RT Description to Bill Matix'!$D:$D,MATCH(A234,'[4]RT Description to Bill Matix'!$M:$M,0))</f>
        <v>PCS (CFC and Non-CFC)</v>
      </c>
      <c r="H234" s="67" t="s">
        <v>594</v>
      </c>
      <c r="J234" s="65" t="str" cm="1">
        <f t="array" ref="J234">INDEX('Rate Table Service Desc XWalk'!F:F,MATCH(1,(G234='Rate Table Service Desc XWalk'!B:B)*(E234='Rate Table Service Desc XWalk'!A:A),0))</f>
        <v>8-1-80</v>
      </c>
      <c r="K234" s="66" t="s">
        <v>410</v>
      </c>
      <c r="L234" s="66" t="str">
        <f>INDEX('[6]Rate History'!$P:$P,MATCH(A234,'[6]Rate History'!$F:$F,0))</f>
        <v>15 minutes</v>
      </c>
      <c r="M234" s="77">
        <f>INDEX('[7]PDF DB Service Pivot'!$C:$C,MATCH(B234,'[7]PDF DB Service Pivot'!$B:$B,0))</f>
        <v>358764</v>
      </c>
      <c r="N234" s="77">
        <f t="shared" si="51"/>
        <v>358764</v>
      </c>
      <c r="O234" s="76">
        <f>INDEX('[7]PDF DB Service Pivot'!$D:$D,MATCH(B234,'[7]PDF DB Service Pivot'!$B:$B,0))</f>
        <v>1057067.21</v>
      </c>
      <c r="P234" s="91">
        <v>45170</v>
      </c>
      <c r="Q234" s="72">
        <v>3.64</v>
      </c>
      <c r="R234" s="81">
        <v>2.9499999999999997</v>
      </c>
      <c r="S234" s="354">
        <f t="shared" si="61"/>
        <v>0.81043956043956034</v>
      </c>
      <c r="T234" s="339">
        <v>0.25</v>
      </c>
      <c r="U234" s="81">
        <f t="shared" si="49"/>
        <v>0</v>
      </c>
      <c r="V234" s="81" cm="1">
        <f t="array" ref="V234">_xlfn.IFS('Fiscal by Program'!$B$7&lt;10.61,0,'Fiscal by Program'!$B$7&gt;10.6,(ROUND('Fiscal by Program'!$B$7*(1+IF(D234="Yes",'Fiscal by Program'!$B$9,'Fiscal by Program'!$B$8))*T234,2)))</f>
        <v>0</v>
      </c>
      <c r="W234" s="81">
        <f t="shared" si="52"/>
        <v>0</v>
      </c>
      <c r="X234" s="81">
        <f>ROUND((R234/(1+IF(D234="Yes",'Fiscal by Program'!$B$9,'Fiscal by Program'!$B$8))),2)+0.01</f>
        <v>2.67</v>
      </c>
      <c r="Y234" s="81">
        <f t="shared" si="53"/>
        <v>3.64</v>
      </c>
      <c r="Z234" s="88">
        <v>1</v>
      </c>
      <c r="AA234" s="90">
        <f t="shared" si="50"/>
        <v>0.25</v>
      </c>
      <c r="AB234" s="75">
        <f>INDEX('[9]Service List'!$K:$K,MATCH(A234,'[9]Service List'!$F:$F,0))</f>
        <v>1358</v>
      </c>
      <c r="AC234" s="73" t="str">
        <f>INDEX('[5]Combined Bill Code List'!$P:$P,MATCH(A234,'[5]Combined Bill Code List'!$F:$F,0))</f>
        <v>CFC</v>
      </c>
      <c r="AD234" s="67" t="s">
        <v>411</v>
      </c>
      <c r="AE234" s="66">
        <f t="shared" si="63"/>
        <v>1.095890410958904</v>
      </c>
      <c r="AF234" s="66">
        <f t="shared" si="64"/>
        <v>-0.06</v>
      </c>
      <c r="AG234" s="70">
        <f>ROUND(INDEX('All Trends'!D:D,MATCH($AD234,'All Trends'!$C:$C,0)),4)</f>
        <v>1</v>
      </c>
      <c r="AH234" s="70">
        <f>ROUND(INDEX('All Trends'!E:E,MATCH($AD234,'All Trends'!$C:$C,0)),4)</f>
        <v>1</v>
      </c>
      <c r="AI234" s="70">
        <f>ROUND(INDEX('All Trends'!F:F,MATCH($AD234,'All Trends'!$C:$C,0)),4)</f>
        <v>1</v>
      </c>
      <c r="AJ234" s="70">
        <f>ROUND(INDEX('All Trends'!G:G,MATCH($AD234,'All Trends'!$C:$C,0)),4)</f>
        <v>1</v>
      </c>
      <c r="AK234" s="70">
        <f>ROUND(INDEX('All Trends'!H:H,MATCH($AD234,'All Trends'!$C:$C,0)),4)</f>
        <v>1</v>
      </c>
      <c r="AL234" s="74" t="s">
        <v>148</v>
      </c>
      <c r="AM234" s="92">
        <f t="shared" si="54"/>
        <v>89691</v>
      </c>
      <c r="AN234" s="92">
        <f t="shared" si="55"/>
        <v>89691</v>
      </c>
      <c r="AO234" s="69">
        <f t="shared" si="56"/>
        <v>0</v>
      </c>
      <c r="AP234" s="69">
        <f t="shared" si="57"/>
        <v>0</v>
      </c>
      <c r="AQ234" s="69">
        <f t="shared" si="58"/>
        <v>0</v>
      </c>
      <c r="AR234" s="69">
        <f t="shared" si="59"/>
        <v>0</v>
      </c>
      <c r="AS234" s="409"/>
      <c r="AT234" s="409"/>
      <c r="AU234" s="409"/>
    </row>
    <row r="235" spans="1:55">
      <c r="A235" s="67" t="s">
        <v>597</v>
      </c>
      <c r="B235" s="67" t="s">
        <v>598</v>
      </c>
      <c r="C235" s="78" t="s">
        <v>147</v>
      </c>
      <c r="D235" s="78" t="s">
        <v>148</v>
      </c>
      <c r="E235" s="67" t="s">
        <v>581</v>
      </c>
      <c r="F235" s="67" t="s">
        <v>408</v>
      </c>
      <c r="G235" s="67" t="str">
        <f>INDEX('[4]RT Description to Bill Matix'!$D:$D,MATCH(A235,'[4]RT Description to Bill Matix'!$M:$M,0))</f>
        <v>CDS PCS (CFC and Non-CFC)</v>
      </c>
      <c r="H235" s="67" t="s">
        <v>599</v>
      </c>
      <c r="I235" s="65" t="s">
        <v>147</v>
      </c>
      <c r="J235" s="65" t="str" cm="1">
        <f t="array" ref="J235">INDEX('Rate Table Service Desc XWalk'!F:F,MATCH(1,(G235='Rate Table Service Desc XWalk'!B:B)*(E235='Rate Table Service Desc XWalk'!A:A),0))</f>
        <v>8-5-144</v>
      </c>
      <c r="K235" s="66" t="s">
        <v>410</v>
      </c>
      <c r="L235" s="66" t="str">
        <f>INDEX('[6]Rate History'!$P:$P,MATCH(A235,'[6]Rate History'!$F:$F,0))</f>
        <v>15 minutes</v>
      </c>
      <c r="M235" s="77">
        <f>INDEX('[7]PDF DB Service Pivot'!$C:$C,MATCH(B235,'[7]PDF DB Service Pivot'!$B:$B,0))</f>
        <v>684.8</v>
      </c>
      <c r="N235" s="77">
        <f t="shared" si="51"/>
        <v>684.8</v>
      </c>
      <c r="O235" s="76">
        <f>INDEX('[7]PDF DB Service Pivot'!$D:$D,MATCH(B235,'[7]PDF DB Service Pivot'!$B:$B,0))</f>
        <v>1881.34</v>
      </c>
      <c r="P235" s="91">
        <v>45170</v>
      </c>
      <c r="Q235" s="72">
        <v>3.44</v>
      </c>
      <c r="R235" s="81">
        <v>2.9499999999999997</v>
      </c>
      <c r="S235" s="354">
        <f t="shared" si="61"/>
        <v>0.85755813953488369</v>
      </c>
      <c r="T235" s="339">
        <v>0.25</v>
      </c>
      <c r="U235" s="81">
        <f t="shared" si="49"/>
        <v>0</v>
      </c>
      <c r="V235" s="81" cm="1">
        <f t="array" ref="V235">_xlfn.IFS('Fiscal by Program'!$B$7&lt;10.61,0,'Fiscal by Program'!$B$7&gt;10.6,(ROUND('Fiscal by Program'!$B$7*(1+IF(D235="Yes",'Fiscal by Program'!$B$9,'Fiscal by Program'!$B$8))*T235,2)))</f>
        <v>0</v>
      </c>
      <c r="W235" s="81">
        <f t="shared" si="52"/>
        <v>0</v>
      </c>
      <c r="X235" s="81">
        <f>ROUND((R235/(1+IF(D235="Yes",'Fiscal by Program'!$B$9,'Fiscal by Program'!$B$8))),2)+0.01</f>
        <v>2.67</v>
      </c>
      <c r="Y235" s="81">
        <f t="shared" si="53"/>
        <v>3.44</v>
      </c>
      <c r="Z235" s="88">
        <v>1</v>
      </c>
      <c r="AA235" s="90">
        <f t="shared" si="50"/>
        <v>0.25</v>
      </c>
      <c r="AB235" s="75">
        <f>INDEX('[9]Service List'!$K:$K,MATCH(A235,'[9]Service List'!$F:$F,0))</f>
        <v>1359</v>
      </c>
      <c r="AC235" s="73" t="str">
        <f>INDEX('[5]Combined Bill Code List'!$P:$P,MATCH(A235,'[5]Combined Bill Code List'!$F:$F,0))</f>
        <v>CFC</v>
      </c>
      <c r="AD235" s="67" t="s">
        <v>411</v>
      </c>
      <c r="AE235" s="66">
        <f t="shared" si="63"/>
        <v>1.095890410958904</v>
      </c>
      <c r="AF235" s="66">
        <f t="shared" si="64"/>
        <v>-0.06</v>
      </c>
      <c r="AG235" s="70">
        <f>ROUND(INDEX('All Trends'!D:D,MATCH($AD235,'All Trends'!$C:$C,0)),4)</f>
        <v>1</v>
      </c>
      <c r="AH235" s="70">
        <f>ROUND(INDEX('All Trends'!E:E,MATCH($AD235,'All Trends'!$C:$C,0)),4)</f>
        <v>1</v>
      </c>
      <c r="AI235" s="70">
        <f>ROUND(INDEX('All Trends'!F:F,MATCH($AD235,'All Trends'!$C:$C,0)),4)</f>
        <v>1</v>
      </c>
      <c r="AJ235" s="70">
        <f>ROUND(INDEX('All Trends'!G:G,MATCH($AD235,'All Trends'!$C:$C,0)),4)</f>
        <v>1</v>
      </c>
      <c r="AK235" s="70">
        <f>ROUND(INDEX('All Trends'!H:H,MATCH($AD235,'All Trends'!$C:$C,0)),4)</f>
        <v>1</v>
      </c>
      <c r="AL235" s="74" t="s">
        <v>148</v>
      </c>
      <c r="AM235" s="92">
        <f t="shared" si="54"/>
        <v>171.2</v>
      </c>
      <c r="AN235" s="92">
        <f t="shared" si="55"/>
        <v>171.2</v>
      </c>
      <c r="AO235" s="69">
        <f t="shared" si="56"/>
        <v>0</v>
      </c>
      <c r="AP235" s="69">
        <f t="shared" si="57"/>
        <v>0</v>
      </c>
      <c r="AQ235" s="69">
        <f t="shared" si="58"/>
        <v>0</v>
      </c>
      <c r="AR235" s="69">
        <f t="shared" si="59"/>
        <v>0</v>
      </c>
      <c r="AS235" s="409"/>
      <c r="AT235" s="409"/>
      <c r="AU235" s="409"/>
    </row>
    <row r="236" spans="1:55">
      <c r="A236" s="67" t="s">
        <v>597</v>
      </c>
      <c r="B236" s="67" t="s">
        <v>600</v>
      </c>
      <c r="C236" s="78" t="s">
        <v>147</v>
      </c>
      <c r="D236" s="78" t="s">
        <v>148</v>
      </c>
      <c r="E236" s="67" t="s">
        <v>581</v>
      </c>
      <c r="F236" s="67" t="s">
        <v>408</v>
      </c>
      <c r="G236" s="67" t="str">
        <f>INDEX('[4]RT Description to Bill Matix'!$D:$D,MATCH(A236,'[4]RT Description to Bill Matix'!$M:$M,0))</f>
        <v>CDS PCS (CFC and Non-CFC)</v>
      </c>
      <c r="H236" s="67" t="s">
        <v>599</v>
      </c>
      <c r="I236" s="65" t="s">
        <v>147</v>
      </c>
      <c r="J236" s="65" t="str" cm="1">
        <f t="array" ref="J236">INDEX('Rate Table Service Desc XWalk'!F:F,MATCH(1,(G236='Rate Table Service Desc XWalk'!B:B)*(E236='Rate Table Service Desc XWalk'!A:A),0))</f>
        <v>8-5-144</v>
      </c>
      <c r="K236" s="66" t="s">
        <v>410</v>
      </c>
      <c r="L236" s="66" t="str">
        <f>INDEX('[6]Rate History'!$P:$P,MATCH(A236,'[6]Rate History'!$F:$F,0))</f>
        <v>15 minutes</v>
      </c>
      <c r="M236" s="77">
        <f>INDEX('[7]PDF DB Service Pivot'!$C:$C,MATCH(B236,'[7]PDF DB Service Pivot'!$B:$B,0))</f>
        <v>9398</v>
      </c>
      <c r="N236" s="77">
        <f t="shared" si="51"/>
        <v>9398</v>
      </c>
      <c r="O236" s="76">
        <f>INDEX('[7]PDF DB Service Pivot'!$D:$D,MATCH(B236,'[7]PDF DB Service Pivot'!$B:$B,0))</f>
        <v>25843.48</v>
      </c>
      <c r="P236" s="91">
        <v>45170</v>
      </c>
      <c r="Q236" s="72">
        <v>3.44</v>
      </c>
      <c r="R236" s="81">
        <v>2.9499999999999997</v>
      </c>
      <c r="S236" s="354">
        <f t="shared" ref="S236:S267" si="65">_xlfn.IFNA(R236/Q236,"")</f>
        <v>0.85755813953488369</v>
      </c>
      <c r="T236" s="339">
        <v>0.25</v>
      </c>
      <c r="U236" s="81">
        <f t="shared" si="49"/>
        <v>0</v>
      </c>
      <c r="V236" s="81" cm="1">
        <f t="array" ref="V236">_xlfn.IFS('Fiscal by Program'!$B$7&lt;10.61,0,'Fiscal by Program'!$B$7&gt;10.6,(ROUND('Fiscal by Program'!$B$7*(1+IF(D236="Yes",'Fiscal by Program'!$B$9,'Fiscal by Program'!$B$8))*T236,2)))</f>
        <v>0</v>
      </c>
      <c r="W236" s="81">
        <f t="shared" si="52"/>
        <v>0</v>
      </c>
      <c r="X236" s="81">
        <f>ROUND((R236/(1+IF(D236="Yes",'Fiscal by Program'!$B$9,'Fiscal by Program'!$B$8))),2)+0.01</f>
        <v>2.67</v>
      </c>
      <c r="Y236" s="81">
        <f t="shared" si="53"/>
        <v>3.44</v>
      </c>
      <c r="Z236" s="88">
        <v>1</v>
      </c>
      <c r="AA236" s="90">
        <f t="shared" si="50"/>
        <v>0.25</v>
      </c>
      <c r="AB236" s="75">
        <f>INDEX('[9]Service List'!$K:$K,MATCH(A236,'[9]Service List'!$F:$F,0))</f>
        <v>1359</v>
      </c>
      <c r="AC236" s="73" t="str">
        <f>INDEX('[5]Combined Bill Code List'!$P:$P,MATCH(A236,'[5]Combined Bill Code List'!$F:$F,0))</f>
        <v>CFC</v>
      </c>
      <c r="AD236" s="67" t="s">
        <v>411</v>
      </c>
      <c r="AE236" s="66">
        <f t="shared" si="63"/>
        <v>1.095890410958904</v>
      </c>
      <c r="AF236" s="66">
        <f t="shared" si="64"/>
        <v>-0.06</v>
      </c>
      <c r="AG236" s="70">
        <f>ROUND(INDEX('All Trends'!D:D,MATCH($AD236,'All Trends'!$C:$C,0)),4)</f>
        <v>1</v>
      </c>
      <c r="AH236" s="70">
        <f>ROUND(INDEX('All Trends'!E:E,MATCH($AD236,'All Trends'!$C:$C,0)),4)</f>
        <v>1</v>
      </c>
      <c r="AI236" s="70">
        <f>ROUND(INDEX('All Trends'!F:F,MATCH($AD236,'All Trends'!$C:$C,0)),4)</f>
        <v>1</v>
      </c>
      <c r="AJ236" s="70">
        <f>ROUND(INDEX('All Trends'!G:G,MATCH($AD236,'All Trends'!$C:$C,0)),4)</f>
        <v>1</v>
      </c>
      <c r="AK236" s="70">
        <f>ROUND(INDEX('All Trends'!H:H,MATCH($AD236,'All Trends'!$C:$C,0)),4)</f>
        <v>1</v>
      </c>
      <c r="AL236" s="74" t="s">
        <v>148</v>
      </c>
      <c r="AM236" s="92">
        <f t="shared" si="54"/>
        <v>2349.5</v>
      </c>
      <c r="AN236" s="92">
        <f t="shared" si="55"/>
        <v>2349.5</v>
      </c>
      <c r="AO236" s="69">
        <f t="shared" si="56"/>
        <v>0</v>
      </c>
      <c r="AP236" s="69">
        <f t="shared" si="57"/>
        <v>0</v>
      </c>
      <c r="AQ236" s="69">
        <f t="shared" si="58"/>
        <v>0</v>
      </c>
      <c r="AR236" s="69">
        <f t="shared" si="59"/>
        <v>0</v>
      </c>
      <c r="AS236" s="409"/>
      <c r="AT236" s="409"/>
      <c r="AU236" s="409"/>
    </row>
    <row r="237" spans="1:55">
      <c r="A237" s="67" t="s">
        <v>597</v>
      </c>
      <c r="B237" s="67" t="s">
        <v>601</v>
      </c>
      <c r="C237" s="78" t="s">
        <v>147</v>
      </c>
      <c r="D237" s="78" t="s">
        <v>148</v>
      </c>
      <c r="E237" s="67" t="s">
        <v>581</v>
      </c>
      <c r="F237" s="67" t="s">
        <v>408</v>
      </c>
      <c r="G237" s="67" t="str">
        <f>INDEX('[4]RT Description to Bill Matix'!$D:$D,MATCH(A237,'[4]RT Description to Bill Matix'!$M:$M,0))</f>
        <v>CDS PCS (CFC and Non-CFC)</v>
      </c>
      <c r="H237" s="67" t="s">
        <v>599</v>
      </c>
      <c r="I237" s="65" t="s">
        <v>147</v>
      </c>
      <c r="J237" s="65" t="str" cm="1">
        <f t="array" ref="J237">INDEX('Rate Table Service Desc XWalk'!F:F,MATCH(1,(G237='Rate Table Service Desc XWalk'!B:B)*(E237='Rate Table Service Desc XWalk'!A:A),0))</f>
        <v>8-5-144</v>
      </c>
      <c r="K237" s="66" t="s">
        <v>410</v>
      </c>
      <c r="L237" s="66" t="str">
        <f>INDEX('[6]Rate History'!$P:$P,MATCH(A237,'[6]Rate History'!$F:$F,0))</f>
        <v>15 minutes</v>
      </c>
      <c r="M237" s="77">
        <f>INDEX('[7]PDF DB Service Pivot'!$C:$C,MATCH(B237,'[7]PDF DB Service Pivot'!$B:$B,0))</f>
        <v>611326.80000000005</v>
      </c>
      <c r="N237" s="77">
        <f t="shared" si="51"/>
        <v>611326.80000000005</v>
      </c>
      <c r="O237" s="76">
        <f>INDEX('[7]PDF DB Service Pivot'!$D:$D,MATCH(B237,'[7]PDF DB Service Pivot'!$B:$B,0))</f>
        <v>1678268.5299999998</v>
      </c>
      <c r="P237" s="91">
        <v>45170</v>
      </c>
      <c r="Q237" s="72">
        <v>3.44</v>
      </c>
      <c r="R237" s="81">
        <v>2.9499999999999997</v>
      </c>
      <c r="S237" s="354">
        <f t="shared" si="65"/>
        <v>0.85755813953488369</v>
      </c>
      <c r="T237" s="339">
        <v>0.25</v>
      </c>
      <c r="U237" s="81">
        <f t="shared" si="49"/>
        <v>0</v>
      </c>
      <c r="V237" s="81" cm="1">
        <f t="array" ref="V237">_xlfn.IFS('Fiscal by Program'!$B$7&lt;10.61,0,'Fiscal by Program'!$B$7&gt;10.6,(ROUND('Fiscal by Program'!$B$7*(1+IF(D237="Yes",'Fiscal by Program'!$B$9,'Fiscal by Program'!$B$8))*T237,2)))</f>
        <v>0</v>
      </c>
      <c r="W237" s="81">
        <f t="shared" si="52"/>
        <v>0</v>
      </c>
      <c r="X237" s="81">
        <f>ROUND((R237/(1+IF(D237="Yes",'Fiscal by Program'!$B$9,'Fiscal by Program'!$B$8))),2)+0.01</f>
        <v>2.67</v>
      </c>
      <c r="Y237" s="81">
        <f t="shared" si="53"/>
        <v>3.44</v>
      </c>
      <c r="Z237" s="88">
        <v>1</v>
      </c>
      <c r="AA237" s="90">
        <f t="shared" si="50"/>
        <v>0.25</v>
      </c>
      <c r="AB237" s="75">
        <f>INDEX('[9]Service List'!$K:$K,MATCH(A237,'[9]Service List'!$F:$F,0))</f>
        <v>1359</v>
      </c>
      <c r="AC237" s="73" t="str">
        <f>INDEX('[5]Combined Bill Code List'!$P:$P,MATCH(A237,'[5]Combined Bill Code List'!$F:$F,0))</f>
        <v>CFC</v>
      </c>
      <c r="AD237" s="67" t="s">
        <v>411</v>
      </c>
      <c r="AE237" s="66">
        <f t="shared" si="63"/>
        <v>1.095890410958904</v>
      </c>
      <c r="AF237" s="66">
        <f t="shared" si="64"/>
        <v>-0.06</v>
      </c>
      <c r="AG237" s="70">
        <f>ROUND(INDEX('All Trends'!D:D,MATCH($AD237,'All Trends'!$C:$C,0)),4)</f>
        <v>1</v>
      </c>
      <c r="AH237" s="70">
        <f>ROUND(INDEX('All Trends'!E:E,MATCH($AD237,'All Trends'!$C:$C,0)),4)</f>
        <v>1</v>
      </c>
      <c r="AI237" s="70">
        <f>ROUND(INDEX('All Trends'!F:F,MATCH($AD237,'All Trends'!$C:$C,0)),4)</f>
        <v>1</v>
      </c>
      <c r="AJ237" s="70">
        <f>ROUND(INDEX('All Trends'!G:G,MATCH($AD237,'All Trends'!$C:$C,0)),4)</f>
        <v>1</v>
      </c>
      <c r="AK237" s="70">
        <f>ROUND(INDEX('All Trends'!H:H,MATCH($AD237,'All Trends'!$C:$C,0)),4)</f>
        <v>1</v>
      </c>
      <c r="AL237" s="74" t="s">
        <v>148</v>
      </c>
      <c r="AM237" s="92">
        <f t="shared" si="54"/>
        <v>152831.70000000001</v>
      </c>
      <c r="AN237" s="92">
        <f t="shared" si="55"/>
        <v>152831.70000000001</v>
      </c>
      <c r="AO237" s="69">
        <f t="shared" si="56"/>
        <v>0</v>
      </c>
      <c r="AP237" s="69">
        <f t="shared" si="57"/>
        <v>0</v>
      </c>
      <c r="AQ237" s="69">
        <f t="shared" si="58"/>
        <v>0</v>
      </c>
      <c r="AR237" s="69">
        <f t="shared" si="59"/>
        <v>0</v>
      </c>
      <c r="AS237" s="409"/>
      <c r="AT237" s="409"/>
      <c r="AU237" s="409"/>
    </row>
    <row r="238" spans="1:55">
      <c r="A238" s="78" t="s">
        <v>602</v>
      </c>
      <c r="B238" s="78" t="s">
        <v>602</v>
      </c>
      <c r="C238" s="78" t="s">
        <v>147</v>
      </c>
      <c r="D238" s="78" t="s">
        <v>147</v>
      </c>
      <c r="E238" s="67" t="s">
        <v>603</v>
      </c>
      <c r="F238" s="67" t="s">
        <v>183</v>
      </c>
      <c r="G238" s="67" t="str">
        <f>INDEX('[4]RT Description to Bill Matix'!$D:$D,MATCH(A238,'[4]RT Description to Bill Matix'!$M:$M,0))</f>
        <v>Day Activity and Health Services (DAHS)</v>
      </c>
      <c r="H238" s="65" t="s">
        <v>604</v>
      </c>
      <c r="I238" s="65"/>
      <c r="J238" s="65" t="str" cm="1">
        <f t="array" ref="J238">INDEX('Rate Table Service Desc XWalk'!F:F,MATCH(1,(G238='Rate Table Service Desc XWalk'!B:B)*(E238='Rate Table Service Desc XWalk'!A:A),0))</f>
        <v>7-1-17</v>
      </c>
      <c r="K238" s="66" t="str">
        <f>INDEX('[5]Combined Bill Code List'!$A:$A,MATCH(A238,'[5]Combined Bill Code List'!$F:$F,0))</f>
        <v>State Plan (Title XIX)</v>
      </c>
      <c r="L238" s="66" t="str">
        <f>INDEX('[6]Rate History'!$P:$P,MATCH(A238,'[6]Rate History'!$F:$F,0))</f>
        <v>3-5 hours = 1 unit; 6+ hours = 2 units</v>
      </c>
      <c r="M238" s="77">
        <f>INDEX('[7]PDF DB Service Pivot'!$C:$C,MATCH(B238,'[7]PDF DB Service Pivot'!$B:$B,0))</f>
        <v>582909.69999999995</v>
      </c>
      <c r="N238" s="77">
        <f t="shared" si="51"/>
        <v>582909.69999999995</v>
      </c>
      <c r="O238" s="76">
        <f>INDEX('[7]PDF DB Service Pivot'!$D:$D,MATCH(B238,'[7]PDF DB Service Pivot'!$B:$B,0))</f>
        <v>9115165.2300000004</v>
      </c>
      <c r="P238" s="91">
        <v>45170</v>
      </c>
      <c r="Q238" s="81">
        <v>16.72</v>
      </c>
      <c r="R238" s="81">
        <v>5.87</v>
      </c>
      <c r="S238" s="354">
        <f t="shared" si="65"/>
        <v>0.35107655502392349</v>
      </c>
      <c r="T238" s="339">
        <v>0.5</v>
      </c>
      <c r="U238" s="81">
        <f t="shared" si="49"/>
        <v>0</v>
      </c>
      <c r="V238" s="81" cm="1">
        <f t="array" ref="V238">_xlfn.IFS('Fiscal by Program'!$B$7&lt;10.61,0,'Fiscal by Program'!$B$7&gt;10.6,(ROUND('Fiscal by Program'!$B$7*(1+IF(D238="Yes",'Fiscal by Program'!$B$9,'Fiscal by Program'!$B$8))*T238,2)))</f>
        <v>0</v>
      </c>
      <c r="W238" s="81">
        <f t="shared" si="52"/>
        <v>0</v>
      </c>
      <c r="X238" s="81">
        <f>ROUND((R238/(1+IF(D238="Yes",'Fiscal by Program'!$B$9,'Fiscal by Program'!$B$8))),2)+0.01</f>
        <v>5.31</v>
      </c>
      <c r="Y238" s="81">
        <f t="shared" si="53"/>
        <v>16.72</v>
      </c>
      <c r="Z238" s="88">
        <v>16</v>
      </c>
      <c r="AA238" s="90">
        <f t="shared" si="50"/>
        <v>3.125E-2</v>
      </c>
      <c r="AB238" s="75">
        <f>INDEX('[9]Service List'!$K:$K,MATCH(A238,'[9]Service List'!$F:$F,0))</f>
        <v>776</v>
      </c>
      <c r="AC238" s="73">
        <f>INDEX('[5]Combined Bill Code List'!$P:$P,MATCH(A238,'[5]Combined Bill Code List'!$F:$F,0))</f>
        <v>0</v>
      </c>
      <c r="AD238" s="80" t="s">
        <v>605</v>
      </c>
      <c r="AE238" s="79">
        <f t="shared" ref="AE238:AE269" si="66" xml:space="preserve"> 1 / (1-0.0875)</f>
        <v>1.095890410958904</v>
      </c>
      <c r="AF238" s="66">
        <v>0</v>
      </c>
      <c r="AG238" s="70">
        <f>ROUND(INDEX('All Trends'!D:D,MATCH($AD238,'All Trends'!$C:$C,0)),4)</f>
        <v>1.0029999999999999</v>
      </c>
      <c r="AH238" s="70">
        <f>ROUND(INDEX('All Trends'!E:E,MATCH($AD238,'All Trends'!$C:$C,0)),4)</f>
        <v>1.1597999999999999</v>
      </c>
      <c r="AI238" s="70">
        <f>ROUND(INDEX('All Trends'!F:F,MATCH($AD238,'All Trends'!$C:$C,0)),4)</f>
        <v>1.2376</v>
      </c>
      <c r="AJ238" s="70">
        <f>ROUND(INDEX('All Trends'!G:G,MATCH($AD238,'All Trends'!$C:$C,0)),4)</f>
        <v>1.3059000000000001</v>
      </c>
      <c r="AK238" s="70">
        <f>ROUND(INDEX('All Trends'!H:H,MATCH($AD238,'All Trends'!$C:$C,0)),4)</f>
        <v>1.3692</v>
      </c>
      <c r="AL238" s="74" t="s">
        <v>148</v>
      </c>
      <c r="AM238" s="92">
        <f t="shared" si="54"/>
        <v>360704.52</v>
      </c>
      <c r="AN238" s="92">
        <f t="shared" si="55"/>
        <v>380610.89</v>
      </c>
      <c r="AO238" s="69">
        <f t="shared" si="56"/>
        <v>0</v>
      </c>
      <c r="AP238" s="69">
        <f t="shared" si="57"/>
        <v>0</v>
      </c>
      <c r="AQ238" s="69">
        <f t="shared" si="58"/>
        <v>0</v>
      </c>
      <c r="AR238" s="69">
        <f t="shared" si="59"/>
        <v>0</v>
      </c>
      <c r="AS238" s="409"/>
      <c r="AT238" s="409"/>
      <c r="AU238" s="409"/>
    </row>
    <row r="239" spans="1:55">
      <c r="A239" s="78" t="s">
        <v>606</v>
      </c>
      <c r="B239" s="78" t="s">
        <v>606</v>
      </c>
      <c r="C239" s="78" t="s">
        <v>147</v>
      </c>
      <c r="D239" s="78" t="s">
        <v>147</v>
      </c>
      <c r="E239" s="67" t="s">
        <v>603</v>
      </c>
      <c r="F239" s="67" t="s">
        <v>183</v>
      </c>
      <c r="G239" s="67" t="str">
        <f>INDEX('[4]RT Description to Bill Matix'!$D:$D,MATCH(A239,'[4]RT Description to Bill Matix'!$M:$M,0))</f>
        <v>Day Activity and Health Services (DAHS)</v>
      </c>
      <c r="H239" s="65" t="s">
        <v>604</v>
      </c>
      <c r="I239" s="65"/>
      <c r="J239" s="65" t="str" cm="1">
        <f t="array" ref="J239">INDEX('Rate Table Service Desc XWalk'!F:F,MATCH(1,(G239='Rate Table Service Desc XWalk'!B:B)*(E239='Rate Table Service Desc XWalk'!A:A),0))</f>
        <v>7-1-17</v>
      </c>
      <c r="K239" s="66" t="str">
        <f>INDEX('[5]Combined Bill Code List'!$A:$A,MATCH(A239,'[5]Combined Bill Code List'!$F:$F,0))</f>
        <v>State Plan (Title XIX)</v>
      </c>
      <c r="L239" s="66" t="str">
        <f>INDEX('[6]Rate History'!$P:$P,MATCH(A239,'[6]Rate History'!$F:$F,0))</f>
        <v>3-5 hours = 1 unit; 6+ hours = 2 units</v>
      </c>
      <c r="M239" s="77">
        <f>INDEX('[7]PDF DB Service Pivot'!$C:$C,MATCH(B239,'[7]PDF DB Service Pivot'!$B:$B,0))</f>
        <v>7943717.7000000002</v>
      </c>
      <c r="N239" s="77">
        <f t="shared" si="51"/>
        <v>7943717.7000000002</v>
      </c>
      <c r="O239" s="76">
        <f>INDEX('[7]PDF DB Service Pivot'!$D:$D,MATCH(B239,'[7]PDF DB Service Pivot'!$B:$B,0))</f>
        <v>122525887.15000001</v>
      </c>
      <c r="P239" s="91">
        <v>45170</v>
      </c>
      <c r="Q239" s="81">
        <v>16.72</v>
      </c>
      <c r="R239" s="81">
        <v>5.87</v>
      </c>
      <c r="S239" s="354">
        <f t="shared" si="65"/>
        <v>0.35107655502392349</v>
      </c>
      <c r="T239" s="339">
        <v>0.5</v>
      </c>
      <c r="U239" s="81">
        <f t="shared" si="49"/>
        <v>0</v>
      </c>
      <c r="V239" s="81" cm="1">
        <f t="array" ref="V239">_xlfn.IFS('Fiscal by Program'!$B$7&lt;10.61,0,'Fiscal by Program'!$B$7&gt;10.6,(ROUND('Fiscal by Program'!$B$7*(1+IF(D239="Yes",'Fiscal by Program'!$B$9,'Fiscal by Program'!$B$8))*T239,2)))</f>
        <v>0</v>
      </c>
      <c r="W239" s="81">
        <f t="shared" si="52"/>
        <v>0</v>
      </c>
      <c r="X239" s="81">
        <f>ROUND((R239/(1+IF(D239="Yes",'Fiscal by Program'!$B$9,'Fiscal by Program'!$B$8))),2)+0.01</f>
        <v>5.31</v>
      </c>
      <c r="Y239" s="81">
        <f t="shared" si="53"/>
        <v>16.72</v>
      </c>
      <c r="Z239" s="88">
        <v>16</v>
      </c>
      <c r="AA239" s="90">
        <f t="shared" si="50"/>
        <v>3.125E-2</v>
      </c>
      <c r="AB239" s="75">
        <f>INDEX('[9]Service List'!$K:$K,MATCH(A239,'[9]Service List'!$F:$F,0))</f>
        <v>775</v>
      </c>
      <c r="AC239" s="73">
        <f>INDEX('[5]Combined Bill Code List'!$P:$P,MATCH(A239,'[5]Combined Bill Code List'!$F:$F,0))</f>
        <v>0</v>
      </c>
      <c r="AD239" s="80" t="s">
        <v>605</v>
      </c>
      <c r="AE239" s="79">
        <f t="shared" si="66"/>
        <v>1.095890410958904</v>
      </c>
      <c r="AF239" s="66">
        <v>0</v>
      </c>
      <c r="AG239" s="70">
        <f>ROUND(INDEX('All Trends'!D:D,MATCH($AD239,'All Trends'!$C:$C,0)),4)</f>
        <v>1.0029999999999999</v>
      </c>
      <c r="AH239" s="70">
        <f>ROUND(INDEX('All Trends'!E:E,MATCH($AD239,'All Trends'!$C:$C,0)),4)</f>
        <v>1.1597999999999999</v>
      </c>
      <c r="AI239" s="70">
        <f>ROUND(INDEX('All Trends'!F:F,MATCH($AD239,'All Trends'!$C:$C,0)),4)</f>
        <v>1.2376</v>
      </c>
      <c r="AJ239" s="70">
        <f>ROUND(INDEX('All Trends'!G:G,MATCH($AD239,'All Trends'!$C:$C,0)),4)</f>
        <v>1.3059000000000001</v>
      </c>
      <c r="AK239" s="70">
        <f>ROUND(INDEX('All Trends'!H:H,MATCH($AD239,'All Trends'!$C:$C,0)),4)</f>
        <v>1.3692</v>
      </c>
      <c r="AL239" s="74" t="s">
        <v>148</v>
      </c>
      <c r="AM239" s="92">
        <f t="shared" si="54"/>
        <v>4915572.51</v>
      </c>
      <c r="AN239" s="92">
        <f t="shared" si="55"/>
        <v>5186850.47</v>
      </c>
      <c r="AO239" s="69">
        <f t="shared" si="56"/>
        <v>0</v>
      </c>
      <c r="AP239" s="69">
        <f t="shared" si="57"/>
        <v>0</v>
      </c>
      <c r="AQ239" s="69">
        <f t="shared" si="58"/>
        <v>0</v>
      </c>
      <c r="AR239" s="69">
        <f t="shared" si="59"/>
        <v>0</v>
      </c>
      <c r="AS239" s="409"/>
      <c r="AT239" s="409"/>
      <c r="AU239" s="409"/>
    </row>
    <row r="240" spans="1:55">
      <c r="A240" s="67" t="s">
        <v>607</v>
      </c>
      <c r="B240" s="67" t="s">
        <v>607</v>
      </c>
      <c r="C240" s="78" t="s">
        <v>147</v>
      </c>
      <c r="D240" s="78" t="s">
        <v>148</v>
      </c>
      <c r="E240" s="67" t="s">
        <v>603</v>
      </c>
      <c r="F240" s="67" t="s">
        <v>162</v>
      </c>
      <c r="G240" s="67" t="str">
        <f>INDEX('[4]RT Description to Bill Matix'!$D:$D,MATCH(A240,'[4]RT Description to Bill Matix'!$M:$M,0))</f>
        <v>PAS/HAB (CFC and Non-CFC)</v>
      </c>
      <c r="H240" s="65" t="s">
        <v>608</v>
      </c>
      <c r="I240" s="65"/>
      <c r="J240" s="65" t="str" cm="1">
        <f t="array" ref="J240">INDEX('Rate Table Service Desc XWalk'!F:F,MATCH(1,(G240='Rate Table Service Desc XWalk'!B:B)*(E240='Rate Table Service Desc XWalk'!A:A),0))</f>
        <v>7-1-77</v>
      </c>
      <c r="K240" s="66" t="str">
        <f>INDEX('[5]Combined Bill Code List'!$A:$A,MATCH(A240,'[5]Combined Bill Code List'!$F:$F,0))</f>
        <v>State Plan (Title XIX)</v>
      </c>
      <c r="L240" s="66" t="str">
        <f>INDEX('[6]Rate History'!$P:$P,MATCH(A240,'[6]Rate History'!$F:$F,0))</f>
        <v>15 minutes</v>
      </c>
      <c r="M240" s="77">
        <f>INDEX('[7]PDF DB Service Pivot'!$C:$C,MATCH(B240,'[7]PDF DB Service Pivot'!$B:$B,0))</f>
        <v>30053330</v>
      </c>
      <c r="N240" s="77">
        <f t="shared" si="51"/>
        <v>30053330</v>
      </c>
      <c r="O240" s="76">
        <f>INDEX('[7]PDF DB Service Pivot'!$D:$D,MATCH(B240,'[7]PDF DB Service Pivot'!$B:$B,0))</f>
        <v>97812446.98999998</v>
      </c>
      <c r="P240" s="91">
        <v>45170</v>
      </c>
      <c r="Q240" s="81">
        <v>3.56</v>
      </c>
      <c r="R240" s="81">
        <f>11.74/4</f>
        <v>2.9350000000000001</v>
      </c>
      <c r="S240" s="354">
        <f t="shared" si="65"/>
        <v>0.824438202247191</v>
      </c>
      <c r="T240" s="339">
        <f>INDEX('[8]Billable Services'!$P:$P,MATCH(A240,'[8]Billable Services'!$T:$T,0))</f>
        <v>0.25</v>
      </c>
      <c r="U240" s="81">
        <f t="shared" si="49"/>
        <v>0</v>
      </c>
      <c r="V240" s="81" cm="1">
        <f t="array" ref="V240">_xlfn.IFS('Fiscal by Program'!$B$7&lt;10.61,0,'Fiscal by Program'!$B$7&gt;10.6,(ROUND('Fiscal by Program'!$B$7*(1+IF(D240="Yes",'Fiscal by Program'!$B$9,'Fiscal by Program'!$B$8))*T240,2)))</f>
        <v>0</v>
      </c>
      <c r="W240" s="81">
        <f t="shared" si="52"/>
        <v>0</v>
      </c>
      <c r="X240" s="81">
        <f>ROUND((R240/(1+IF(D240="Yes",'Fiscal by Program'!$B$9,'Fiscal by Program'!$B$8))),2)+0.01</f>
        <v>2.6599999999999997</v>
      </c>
      <c r="Y240" s="81">
        <f t="shared" si="53"/>
        <v>3.56</v>
      </c>
      <c r="Z240" s="88">
        <v>1</v>
      </c>
      <c r="AA240" s="90">
        <f t="shared" si="50"/>
        <v>0.25</v>
      </c>
      <c r="AB240" s="75">
        <f>INDEX('[9]Service List'!$K:$K,MATCH(A240,'[9]Service List'!$F:$F,0))</f>
        <v>800</v>
      </c>
      <c r="AC240" s="73">
        <f>INDEX('[5]Combined Bill Code List'!$P:$P,MATCH(A240,'[5]Combined Bill Code List'!$F:$F,0))</f>
        <v>0</v>
      </c>
      <c r="AD240" s="80" t="s">
        <v>605</v>
      </c>
      <c r="AE240" s="79">
        <f t="shared" si="66"/>
        <v>1.095890410958904</v>
      </c>
      <c r="AF240" s="66">
        <v>0</v>
      </c>
      <c r="AG240" s="70">
        <f>ROUND(INDEX('All Trends'!D:D,MATCH($AD240,'All Trends'!$C:$C,0)),4)</f>
        <v>1.0029999999999999</v>
      </c>
      <c r="AH240" s="70">
        <f>ROUND(INDEX('All Trends'!E:E,MATCH($AD240,'All Trends'!$C:$C,0)),4)</f>
        <v>1.1597999999999999</v>
      </c>
      <c r="AI240" s="70">
        <f>ROUND(INDEX('All Trends'!F:F,MATCH($AD240,'All Trends'!$C:$C,0)),4)</f>
        <v>1.2376</v>
      </c>
      <c r="AJ240" s="70">
        <f>ROUND(INDEX('All Trends'!G:G,MATCH($AD240,'All Trends'!$C:$C,0)),4)</f>
        <v>1.3059000000000001</v>
      </c>
      <c r="AK240" s="70">
        <f>ROUND(INDEX('All Trends'!H:H,MATCH($AD240,'All Trends'!$C:$C,0)),4)</f>
        <v>1.3692</v>
      </c>
      <c r="AL240" s="74" t="s">
        <v>148</v>
      </c>
      <c r="AM240" s="92">
        <f t="shared" si="54"/>
        <v>9298500.3000000007</v>
      </c>
      <c r="AN240" s="92">
        <f t="shared" si="55"/>
        <v>9811660.9100000001</v>
      </c>
      <c r="AO240" s="69">
        <f t="shared" si="56"/>
        <v>0</v>
      </c>
      <c r="AP240" s="69">
        <f t="shared" si="57"/>
        <v>0</v>
      </c>
      <c r="AQ240" s="69">
        <f t="shared" si="58"/>
        <v>0</v>
      </c>
      <c r="AR240" s="69">
        <f t="shared" si="59"/>
        <v>0</v>
      </c>
      <c r="AS240" s="409"/>
      <c r="AT240" s="409"/>
      <c r="AU240" s="409"/>
      <c r="BC240" s="406">
        <f>M240*AI240</f>
        <v>37194001.208000004</v>
      </c>
    </row>
    <row r="241" spans="1:55">
      <c r="A241" s="67" t="s">
        <v>609</v>
      </c>
      <c r="B241" s="67" t="s">
        <v>609</v>
      </c>
      <c r="C241" s="78" t="s">
        <v>147</v>
      </c>
      <c r="D241" s="78" t="s">
        <v>148</v>
      </c>
      <c r="E241" s="67" t="s">
        <v>603</v>
      </c>
      <c r="F241" s="67" t="s">
        <v>162</v>
      </c>
      <c r="G241" s="67" t="str">
        <f>INDEX('[4]RT Description to Bill Matix'!$D:$D,MATCH(A241,'[4]RT Description to Bill Matix'!$M:$M,0))</f>
        <v>PAS/HAB (CFC and Non-CFC)</v>
      </c>
      <c r="H241" s="65" t="s">
        <v>610</v>
      </c>
      <c r="I241" s="65"/>
      <c r="J241" s="65" t="str" cm="1">
        <f t="array" ref="J241">INDEX('Rate Table Service Desc XWalk'!F:F,MATCH(1,(G241='Rate Table Service Desc XWalk'!B:B)*(E241='Rate Table Service Desc XWalk'!A:A),0))</f>
        <v>7-1-77</v>
      </c>
      <c r="K241" s="66" t="str">
        <f>INDEX('[5]Combined Bill Code List'!$A:$A,MATCH(A241,'[5]Combined Bill Code List'!$F:$F,0))</f>
        <v>State Plan (Title XIX)</v>
      </c>
      <c r="L241" s="66" t="str">
        <f>INDEX('[6]Rate History'!$P:$P,MATCH(A241,'[6]Rate History'!$F:$F,0))</f>
        <v>15 minutes</v>
      </c>
      <c r="M241" s="77">
        <f>INDEX('[7]PDF DB Service Pivot'!$C:$C,MATCH(B241,'[7]PDF DB Service Pivot'!$B:$B,0))</f>
        <v>545735</v>
      </c>
      <c r="N241" s="77">
        <f t="shared" si="51"/>
        <v>545735</v>
      </c>
      <c r="O241" s="76">
        <f>INDEX('[7]PDF DB Service Pivot'!$D:$D,MATCH(B241,'[7]PDF DB Service Pivot'!$B:$B,0))</f>
        <v>1931811.73</v>
      </c>
      <c r="P241" s="91">
        <v>45170</v>
      </c>
      <c r="Q241" s="81">
        <v>3.63</v>
      </c>
      <c r="R241" s="81">
        <f>11.76/4</f>
        <v>2.94</v>
      </c>
      <c r="S241" s="354">
        <f t="shared" si="65"/>
        <v>0.80991735537190079</v>
      </c>
      <c r="T241" s="339">
        <f>INDEX('[8]Billable Services'!$P:$P,MATCH(A241,'[8]Billable Services'!$T:$T,0))</f>
        <v>0.25</v>
      </c>
      <c r="U241" s="81">
        <f t="shared" si="49"/>
        <v>0</v>
      </c>
      <c r="V241" s="81" cm="1">
        <f t="array" ref="V241">_xlfn.IFS('Fiscal by Program'!$B$7&lt;10.61,0,'Fiscal by Program'!$B$7&gt;10.6,(ROUND('Fiscal by Program'!$B$7*(1+IF(D241="Yes",'Fiscal by Program'!$B$9,'Fiscal by Program'!$B$8))*T241,2)))</f>
        <v>0</v>
      </c>
      <c r="W241" s="81">
        <f t="shared" si="52"/>
        <v>0</v>
      </c>
      <c r="X241" s="81">
        <f>ROUND((R241/(1+IF(D241="Yes",'Fiscal by Program'!$B$9,'Fiscal by Program'!$B$8))),2)+0.01</f>
        <v>2.6599999999999997</v>
      </c>
      <c r="Y241" s="81">
        <f t="shared" si="53"/>
        <v>3.63</v>
      </c>
      <c r="Z241" s="88">
        <v>1</v>
      </c>
      <c r="AA241" s="90">
        <f t="shared" si="50"/>
        <v>0.25</v>
      </c>
      <c r="AB241" s="75">
        <f>INDEX('[9]Service List'!$K:$K,MATCH(A241,'[9]Service List'!$F:$F,0))</f>
        <v>802</v>
      </c>
      <c r="AC241" s="73" t="str">
        <f>INDEX('[5]Combined Bill Code List'!$P:$P,MATCH(A241,'[5]Combined Bill Code List'!$F:$F,0))</f>
        <v>CFC</v>
      </c>
      <c r="AD241" s="80" t="s">
        <v>605</v>
      </c>
      <c r="AE241" s="79">
        <f t="shared" si="66"/>
        <v>1.095890410958904</v>
      </c>
      <c r="AF241" s="66">
        <v>-0.06</v>
      </c>
      <c r="AG241" s="70">
        <f>ROUND(INDEX('All Trends'!D:D,MATCH($AD241,'All Trends'!$C:$C,0)),4)</f>
        <v>1.0029999999999999</v>
      </c>
      <c r="AH241" s="70">
        <f>ROUND(INDEX('All Trends'!E:E,MATCH($AD241,'All Trends'!$C:$C,0)),4)</f>
        <v>1.1597999999999999</v>
      </c>
      <c r="AI241" s="70">
        <f>ROUND(INDEX('All Trends'!F:F,MATCH($AD241,'All Trends'!$C:$C,0)),4)</f>
        <v>1.2376</v>
      </c>
      <c r="AJ241" s="70">
        <f>ROUND(INDEX('All Trends'!G:G,MATCH($AD241,'All Trends'!$C:$C,0)),4)</f>
        <v>1.3059000000000001</v>
      </c>
      <c r="AK241" s="70">
        <f>ROUND(INDEX('All Trends'!H:H,MATCH($AD241,'All Trends'!$C:$C,0)),4)</f>
        <v>1.3692</v>
      </c>
      <c r="AL241" s="74" t="s">
        <v>148</v>
      </c>
      <c r="AM241" s="92">
        <f t="shared" si="54"/>
        <v>168850.41</v>
      </c>
      <c r="AN241" s="92">
        <f t="shared" si="55"/>
        <v>178168.83</v>
      </c>
      <c r="AO241" s="69">
        <f t="shared" si="56"/>
        <v>0</v>
      </c>
      <c r="AP241" s="69">
        <f t="shared" si="57"/>
        <v>0</v>
      </c>
      <c r="AQ241" s="69">
        <f t="shared" si="58"/>
        <v>0</v>
      </c>
      <c r="AR241" s="69">
        <f t="shared" si="59"/>
        <v>0</v>
      </c>
      <c r="AS241" s="409"/>
      <c r="AT241" s="409"/>
      <c r="AU241" s="409"/>
      <c r="BC241" s="406">
        <f>M241*AI241</f>
        <v>675401.63600000006</v>
      </c>
    </row>
    <row r="242" spans="1:55">
      <c r="A242" s="67" t="s">
        <v>611</v>
      </c>
      <c r="B242" s="67" t="s">
        <v>611</v>
      </c>
      <c r="C242" s="78" t="s">
        <v>147</v>
      </c>
      <c r="D242" s="78" t="s">
        <v>148</v>
      </c>
      <c r="E242" s="67" t="s">
        <v>603</v>
      </c>
      <c r="F242" s="67" t="s">
        <v>162</v>
      </c>
      <c r="G242" s="67" t="str">
        <f>INDEX('[4]RT Description to Bill Matix'!$D:$D,MATCH(A242,'[4]RT Description to Bill Matix'!$M:$M,0))</f>
        <v>CDS PAS/HAB (CFC and Non-CFC)</v>
      </c>
      <c r="H242" s="65" t="s">
        <v>612</v>
      </c>
      <c r="I242" s="65" t="s">
        <v>147</v>
      </c>
      <c r="J242" s="65" t="str" cm="1">
        <f t="array" ref="J242">INDEX('Rate Table Service Desc XWalk'!F:F,MATCH(1,(G242='Rate Table Service Desc XWalk'!B:B)*(E242='Rate Table Service Desc XWalk'!A:A),0))</f>
        <v>7-5-141</v>
      </c>
      <c r="K242" s="66" t="str">
        <f>INDEX('[5]Combined Bill Code List'!$A:$A,MATCH(A242,'[5]Combined Bill Code List'!$F:$F,0))</f>
        <v>State Plan (Title XIX)</v>
      </c>
      <c r="L242" s="66" t="str">
        <f>INDEX('[6]Rate History'!$P:$P,MATCH(A242,'[6]Rate History'!$F:$F,0))</f>
        <v>15 minutes</v>
      </c>
      <c r="M242" s="77">
        <f>INDEX('[7]PDF DB Service Pivot'!$C:$C,MATCH(B242,'[7]PDF DB Service Pivot'!$B:$B,0))</f>
        <v>31955.200000000001</v>
      </c>
      <c r="N242" s="77">
        <f t="shared" si="51"/>
        <v>31955.200000000001</v>
      </c>
      <c r="O242" s="76">
        <f>INDEX('[7]PDF DB Service Pivot'!$D:$D,MATCH(B242,'[7]PDF DB Service Pivot'!$B:$B,0))</f>
        <v>97757.720000000016</v>
      </c>
      <c r="P242" s="91">
        <v>45170</v>
      </c>
      <c r="Q242" s="81">
        <v>3.43</v>
      </c>
      <c r="R242" s="81">
        <f>11.74/4</f>
        <v>2.9350000000000001</v>
      </c>
      <c r="S242" s="354">
        <f t="shared" si="65"/>
        <v>0.85568513119533529</v>
      </c>
      <c r="T242" s="339">
        <v>0.25</v>
      </c>
      <c r="U242" s="81">
        <f t="shared" si="49"/>
        <v>0</v>
      </c>
      <c r="V242" s="81" cm="1">
        <f t="array" ref="V242">_xlfn.IFS('Fiscal by Program'!$B$7&lt;10.61,0,'Fiscal by Program'!$B$7&gt;10.6,(ROUND('Fiscal by Program'!$B$7*(1+IF(D242="Yes",'Fiscal by Program'!$B$9,'Fiscal by Program'!$B$8))*T242,2)))</f>
        <v>0</v>
      </c>
      <c r="W242" s="81">
        <f t="shared" si="52"/>
        <v>0</v>
      </c>
      <c r="X242" s="81">
        <f>ROUND((R242/(1+IF(D242="Yes",'Fiscal by Program'!$B$9,'Fiscal by Program'!$B$8))),2)+0.01</f>
        <v>2.6599999999999997</v>
      </c>
      <c r="Y242" s="81">
        <f t="shared" si="53"/>
        <v>3.43</v>
      </c>
      <c r="Z242" s="88">
        <v>1</v>
      </c>
      <c r="AA242" s="90">
        <f t="shared" si="50"/>
        <v>0.25</v>
      </c>
      <c r="AB242" s="75">
        <f>INDEX('[9]Service List'!$K:$K,MATCH(A242,'[9]Service List'!$F:$F,0))</f>
        <v>794</v>
      </c>
      <c r="AC242" s="73" t="str">
        <f>INDEX('[5]Combined Bill Code List'!$P:$P,MATCH(A242,'[5]Combined Bill Code List'!$F:$F,0))</f>
        <v>CFC</v>
      </c>
      <c r="AD242" s="80" t="s">
        <v>605</v>
      </c>
      <c r="AE242" s="79">
        <f t="shared" si="66"/>
        <v>1.095890410958904</v>
      </c>
      <c r="AF242" s="66">
        <v>-0.06</v>
      </c>
      <c r="AG242" s="70">
        <f>ROUND(INDEX('All Trends'!D:D,MATCH($AD242,'All Trends'!$C:$C,0)),4)</f>
        <v>1.0029999999999999</v>
      </c>
      <c r="AH242" s="70">
        <f>ROUND(INDEX('All Trends'!E:E,MATCH($AD242,'All Trends'!$C:$C,0)),4)</f>
        <v>1.1597999999999999</v>
      </c>
      <c r="AI242" s="70">
        <f>ROUND(INDEX('All Trends'!F:F,MATCH($AD242,'All Trends'!$C:$C,0)),4)</f>
        <v>1.2376</v>
      </c>
      <c r="AJ242" s="70">
        <f>ROUND(INDEX('All Trends'!G:G,MATCH($AD242,'All Trends'!$C:$C,0)),4)</f>
        <v>1.3059000000000001</v>
      </c>
      <c r="AK242" s="70">
        <f>ROUND(INDEX('All Trends'!H:H,MATCH($AD242,'All Trends'!$C:$C,0)),4)</f>
        <v>1.3692</v>
      </c>
      <c r="AL242" s="74" t="s">
        <v>148</v>
      </c>
      <c r="AM242" s="92">
        <f t="shared" si="54"/>
        <v>9886.94</v>
      </c>
      <c r="AN242" s="92">
        <f t="shared" si="55"/>
        <v>10432.57</v>
      </c>
      <c r="AO242" s="69">
        <f t="shared" si="56"/>
        <v>0</v>
      </c>
      <c r="AP242" s="69">
        <f t="shared" si="57"/>
        <v>0</v>
      </c>
      <c r="AQ242" s="69">
        <f t="shared" si="58"/>
        <v>0</v>
      </c>
      <c r="AR242" s="69">
        <f t="shared" si="59"/>
        <v>0</v>
      </c>
      <c r="AS242" s="409"/>
      <c r="AT242" s="409"/>
      <c r="AU242" s="409"/>
    </row>
    <row r="243" spans="1:55">
      <c r="A243" s="67" t="s">
        <v>613</v>
      </c>
      <c r="B243" s="67" t="s">
        <v>613</v>
      </c>
      <c r="C243" s="78" t="s">
        <v>147</v>
      </c>
      <c r="D243" s="78" t="s">
        <v>148</v>
      </c>
      <c r="E243" s="67" t="s">
        <v>603</v>
      </c>
      <c r="F243" s="67" t="s">
        <v>162</v>
      </c>
      <c r="G243" s="67" t="str">
        <f>INDEX('[4]RT Description to Bill Matix'!$D:$D,MATCH(A243,'[4]RT Description to Bill Matix'!$M:$M,0))</f>
        <v>CDS PAS/HAB (CFC and Non-CFC)</v>
      </c>
      <c r="H243" s="65" t="s">
        <v>614</v>
      </c>
      <c r="I243" s="65" t="s">
        <v>147</v>
      </c>
      <c r="J243" s="65" t="str" cm="1">
        <f t="array" ref="J243">INDEX('Rate Table Service Desc XWalk'!F:F,MATCH(1,(G243='Rate Table Service Desc XWalk'!B:B)*(E243='Rate Table Service Desc XWalk'!A:A),0))</f>
        <v>7-5-141</v>
      </c>
      <c r="K243" s="66" t="str">
        <f>INDEX('[5]Combined Bill Code List'!$A:$A,MATCH(A243,'[5]Combined Bill Code List'!$F:$F,0))</f>
        <v>State Plan (Title XIX)</v>
      </c>
      <c r="L243" s="66" t="str">
        <f>INDEX('[6]Rate History'!$P:$P,MATCH(A243,'[6]Rate History'!$F:$F,0))</f>
        <v>15 minutes</v>
      </c>
      <c r="M243" s="77">
        <f>INDEX('[7]PDF DB Service Pivot'!$C:$C,MATCH(B243,'[7]PDF DB Service Pivot'!$B:$B,0))</f>
        <v>1008002.9</v>
      </c>
      <c r="N243" s="77">
        <f t="shared" si="51"/>
        <v>1008002.9</v>
      </c>
      <c r="O243" s="76">
        <f>INDEX('[7]PDF DB Service Pivot'!$D:$D,MATCH(B243,'[7]PDF DB Service Pivot'!$B:$B,0))</f>
        <v>2875353.44</v>
      </c>
      <c r="P243" s="91">
        <v>41883</v>
      </c>
      <c r="Q243" s="81">
        <v>3.36</v>
      </c>
      <c r="R243" s="81">
        <f>11.74/4</f>
        <v>2.9350000000000001</v>
      </c>
      <c r="S243" s="354">
        <f t="shared" si="65"/>
        <v>0.87351190476190477</v>
      </c>
      <c r="T243" s="339">
        <v>0.25</v>
      </c>
      <c r="U243" s="81">
        <f t="shared" si="49"/>
        <v>0</v>
      </c>
      <c r="V243" s="81" cm="1">
        <f t="array" ref="V243">_xlfn.IFS('Fiscal by Program'!$B$7&lt;10.61,0,'Fiscal by Program'!$B$7&gt;10.6,(ROUND('Fiscal by Program'!$B$7*(1+IF(D243="Yes",'Fiscal by Program'!$B$9,'Fiscal by Program'!$B$8))*T243,2)))</f>
        <v>0</v>
      </c>
      <c r="W243" s="81">
        <f t="shared" si="52"/>
        <v>0</v>
      </c>
      <c r="X243" s="81">
        <f>ROUND((R243/(1+IF(D243="Yes",'Fiscal by Program'!$B$9,'Fiscal by Program'!$B$8))),2)+0.01</f>
        <v>2.6599999999999997</v>
      </c>
      <c r="Y243" s="81">
        <f t="shared" si="53"/>
        <v>3.36</v>
      </c>
      <c r="Z243" s="88">
        <v>1</v>
      </c>
      <c r="AA243" s="90">
        <f t="shared" si="50"/>
        <v>0.25</v>
      </c>
      <c r="AB243" s="75">
        <f>INDEX('[9]Service List'!$K:$K,MATCH(A243,'[9]Service List'!$F:$F,0))</f>
        <v>792</v>
      </c>
      <c r="AC243" s="73">
        <f>INDEX('[5]Combined Bill Code List'!$P:$P,MATCH(A243,'[5]Combined Bill Code List'!$F:$F,0))</f>
        <v>0</v>
      </c>
      <c r="AD243" s="80" t="s">
        <v>605</v>
      </c>
      <c r="AE243" s="79">
        <f t="shared" si="66"/>
        <v>1.095890410958904</v>
      </c>
      <c r="AF243" s="66">
        <v>0</v>
      </c>
      <c r="AG243" s="70">
        <f>ROUND(INDEX('All Trends'!D:D,MATCH($AD243,'All Trends'!$C:$C,0)),4)</f>
        <v>1.0029999999999999</v>
      </c>
      <c r="AH243" s="70">
        <f>ROUND(INDEX('All Trends'!E:E,MATCH($AD243,'All Trends'!$C:$C,0)),4)</f>
        <v>1.1597999999999999</v>
      </c>
      <c r="AI243" s="70">
        <f>ROUND(INDEX('All Trends'!F:F,MATCH($AD243,'All Trends'!$C:$C,0)),4)</f>
        <v>1.2376</v>
      </c>
      <c r="AJ243" s="70">
        <f>ROUND(INDEX('All Trends'!G:G,MATCH($AD243,'All Trends'!$C:$C,0)),4)</f>
        <v>1.3059000000000001</v>
      </c>
      <c r="AK243" s="70">
        <f>ROUND(INDEX('All Trends'!H:H,MATCH($AD243,'All Trends'!$C:$C,0)),4)</f>
        <v>1.3692</v>
      </c>
      <c r="AL243" s="74" t="s">
        <v>148</v>
      </c>
      <c r="AM243" s="92">
        <f t="shared" si="54"/>
        <v>311876.09999999998</v>
      </c>
      <c r="AN243" s="92">
        <f t="shared" si="55"/>
        <v>329087.75</v>
      </c>
      <c r="AO243" s="69">
        <f t="shared" si="56"/>
        <v>0</v>
      </c>
      <c r="AP243" s="69">
        <f t="shared" si="57"/>
        <v>0</v>
      </c>
      <c r="AQ243" s="69">
        <f t="shared" si="58"/>
        <v>0</v>
      </c>
      <c r="AR243" s="69">
        <f t="shared" si="59"/>
        <v>0</v>
      </c>
      <c r="AS243" s="409"/>
      <c r="AT243" s="409"/>
      <c r="AU243" s="409"/>
    </row>
    <row r="244" spans="1:55">
      <c r="A244" s="67" t="s">
        <v>615</v>
      </c>
      <c r="B244" s="67" t="s">
        <v>615</v>
      </c>
      <c r="C244" s="78" t="s">
        <v>147</v>
      </c>
      <c r="D244" s="78" t="s">
        <v>148</v>
      </c>
      <c r="E244" s="67" t="s">
        <v>603</v>
      </c>
      <c r="F244" s="67" t="s">
        <v>162</v>
      </c>
      <c r="G244" s="67" t="str">
        <f>INDEX('[4]RT Description to Bill Matix'!$D:$D,MATCH(A244,'[4]RT Description to Bill Matix'!$M:$M,0))</f>
        <v>PAS/HAB (CFC and Non-CFC)</v>
      </c>
      <c r="H244" s="65" t="s">
        <v>616</v>
      </c>
      <c r="I244" s="65"/>
      <c r="J244" s="65" t="str" cm="1">
        <f t="array" ref="J244">INDEX('Rate Table Service Desc XWalk'!F:F,MATCH(1,(G244='Rate Table Service Desc XWalk'!B:B)*(E244='Rate Table Service Desc XWalk'!A:A),0))</f>
        <v>7-1-77</v>
      </c>
      <c r="K244" s="66" t="str">
        <f>INDEX('[5]Combined Bill Code List'!$A:$A,MATCH(A244,'[5]Combined Bill Code List'!$F:$F,0))</f>
        <v>State Plan (Title XIX)</v>
      </c>
      <c r="L244" s="66" t="str">
        <f>INDEX('[6]Rate History'!$P:$P,MATCH(A244,'[6]Rate History'!$F:$F,0))</f>
        <v>15 minutes</v>
      </c>
      <c r="M244" s="77">
        <f>INDEX('[7]PDF DB Service Pivot'!$C:$C,MATCH(B244,'[7]PDF DB Service Pivot'!$B:$B,0))</f>
        <v>2501</v>
      </c>
      <c r="N244" s="77">
        <f t="shared" si="51"/>
        <v>2501</v>
      </c>
      <c r="O244" s="76">
        <f>INDEX('[7]PDF DB Service Pivot'!$D:$D,MATCH(B244,'[7]PDF DB Service Pivot'!$B:$B,0))</f>
        <v>7170.87</v>
      </c>
      <c r="P244" s="91">
        <v>45170</v>
      </c>
      <c r="Q244" s="81">
        <v>3.56</v>
      </c>
      <c r="R244" s="81">
        <f>11.74/4</f>
        <v>2.9350000000000001</v>
      </c>
      <c r="S244" s="354">
        <f t="shared" si="65"/>
        <v>0.824438202247191</v>
      </c>
      <c r="T244" s="339">
        <f>INDEX('[8]Billable Services'!$P:$P,MATCH(A244,'[8]Billable Services'!$T:$T,0))</f>
        <v>0.25</v>
      </c>
      <c r="U244" s="81">
        <f t="shared" si="49"/>
        <v>0</v>
      </c>
      <c r="V244" s="81" cm="1">
        <f t="array" ref="V244">_xlfn.IFS('Fiscal by Program'!$B$7&lt;10.61,0,'Fiscal by Program'!$B$7&gt;10.6,(ROUND('Fiscal by Program'!$B$7*(1+IF(D244="Yes",'Fiscal by Program'!$B$9,'Fiscal by Program'!$B$8))*T244,2)))</f>
        <v>0</v>
      </c>
      <c r="W244" s="81">
        <f t="shared" si="52"/>
        <v>0</v>
      </c>
      <c r="X244" s="81">
        <f>ROUND((R244/(1+IF(D244="Yes",'Fiscal by Program'!$B$9,'Fiscal by Program'!$B$8))),2)+0.01</f>
        <v>2.6599999999999997</v>
      </c>
      <c r="Y244" s="81">
        <f t="shared" si="53"/>
        <v>3.56</v>
      </c>
      <c r="Z244" s="88">
        <v>1</v>
      </c>
      <c r="AA244" s="90">
        <f t="shared" si="50"/>
        <v>0.25</v>
      </c>
      <c r="AB244" s="75">
        <f>INDEX('[9]Service List'!$K:$K,MATCH(A244,'[9]Service List'!$F:$F,0))</f>
        <v>798</v>
      </c>
      <c r="AC244" s="73">
        <f>INDEX('[5]Combined Bill Code List'!$P:$P,MATCH(A244,'[5]Combined Bill Code List'!$F:$F,0))</f>
        <v>0</v>
      </c>
      <c r="AD244" s="80" t="s">
        <v>605</v>
      </c>
      <c r="AE244" s="79">
        <f t="shared" si="66"/>
        <v>1.095890410958904</v>
      </c>
      <c r="AF244" s="66">
        <v>0</v>
      </c>
      <c r="AG244" s="70">
        <f>ROUND(INDEX('All Trends'!D:D,MATCH($AD244,'All Trends'!$C:$C,0)),4)</f>
        <v>1.0029999999999999</v>
      </c>
      <c r="AH244" s="70">
        <f>ROUND(INDEX('All Trends'!E:E,MATCH($AD244,'All Trends'!$C:$C,0)),4)</f>
        <v>1.1597999999999999</v>
      </c>
      <c r="AI244" s="70">
        <f>ROUND(INDEX('All Trends'!F:F,MATCH($AD244,'All Trends'!$C:$C,0)),4)</f>
        <v>1.2376</v>
      </c>
      <c r="AJ244" s="70">
        <f>ROUND(INDEX('All Trends'!G:G,MATCH($AD244,'All Trends'!$C:$C,0)),4)</f>
        <v>1.3059000000000001</v>
      </c>
      <c r="AK244" s="70">
        <f>ROUND(INDEX('All Trends'!H:H,MATCH($AD244,'All Trends'!$C:$C,0)),4)</f>
        <v>1.3692</v>
      </c>
      <c r="AL244" s="74" t="s">
        <v>148</v>
      </c>
      <c r="AM244" s="92">
        <f t="shared" si="54"/>
        <v>773.81</v>
      </c>
      <c r="AN244" s="92">
        <f t="shared" si="55"/>
        <v>816.51</v>
      </c>
      <c r="AO244" s="69">
        <f t="shared" si="56"/>
        <v>0</v>
      </c>
      <c r="AP244" s="69">
        <f t="shared" si="57"/>
        <v>0</v>
      </c>
      <c r="AQ244" s="69">
        <f t="shared" si="58"/>
        <v>0</v>
      </c>
      <c r="AR244" s="69">
        <f t="shared" si="59"/>
        <v>0</v>
      </c>
      <c r="AS244" s="409"/>
      <c r="AT244" s="409"/>
      <c r="AU244" s="409"/>
    </row>
    <row r="245" spans="1:55">
      <c r="A245" s="67" t="s">
        <v>617</v>
      </c>
      <c r="B245" s="67" t="s">
        <v>617</v>
      </c>
      <c r="C245" s="78" t="s">
        <v>147</v>
      </c>
      <c r="D245" s="78" t="s">
        <v>148</v>
      </c>
      <c r="E245" s="67" t="s">
        <v>603</v>
      </c>
      <c r="F245" s="67" t="s">
        <v>162</v>
      </c>
      <c r="G245" s="67" t="str">
        <f>INDEX('[4]RT Description to Bill Matix'!$D:$D,MATCH(A245,'[4]RT Description to Bill Matix'!$M:$M,0))</f>
        <v>PAS/HAB (CFC and Non-CFC)</v>
      </c>
      <c r="H245" s="65" t="s">
        <v>608</v>
      </c>
      <c r="I245" s="65"/>
      <c r="J245" s="65" t="str" cm="1">
        <f t="array" ref="J245">INDEX('Rate Table Service Desc XWalk'!F:F,MATCH(1,(G245='Rate Table Service Desc XWalk'!B:B)*(E245='Rate Table Service Desc XWalk'!A:A),0))</f>
        <v>7-1-77</v>
      </c>
      <c r="K245" s="66" t="str">
        <f>INDEX('[5]Combined Bill Code List'!$A:$A,MATCH(A245,'[5]Combined Bill Code List'!$F:$F,0))</f>
        <v>State Plan (Title XIX)</v>
      </c>
      <c r="L245" s="66" t="str">
        <f>INDEX('[6]Rate History'!$P:$P,MATCH(A245,'[6]Rate History'!$F:$F,0))</f>
        <v>15 minutes</v>
      </c>
      <c r="M245" s="77">
        <f>INDEX('[7]PDF DB Service Pivot'!$C:$C,MATCH(B245,'[7]PDF DB Service Pivot'!$B:$B,0))</f>
        <v>376568888.89999998</v>
      </c>
      <c r="N245" s="77">
        <f t="shared" si="51"/>
        <v>376568888.89999998</v>
      </c>
      <c r="O245" s="76">
        <f>INDEX('[7]PDF DB Service Pivot'!$D:$D,MATCH(B245,'[7]PDF DB Service Pivot'!$B:$B,0))</f>
        <v>1226741725.9899998</v>
      </c>
      <c r="P245" s="91">
        <v>45170</v>
      </c>
      <c r="Q245" s="81">
        <v>3.56</v>
      </c>
      <c r="R245" s="81">
        <f>11.74/4</f>
        <v>2.9350000000000001</v>
      </c>
      <c r="S245" s="354">
        <f t="shared" si="65"/>
        <v>0.824438202247191</v>
      </c>
      <c r="T245" s="339">
        <f>INDEX('[8]Billable Services'!$P:$P,MATCH(A245,'[8]Billable Services'!$S:$S,0))</f>
        <v>0.25</v>
      </c>
      <c r="U245" s="81">
        <f t="shared" si="49"/>
        <v>0</v>
      </c>
      <c r="V245" s="81" cm="1">
        <f t="array" ref="V245">_xlfn.IFS('Fiscal by Program'!$B$7&lt;10.61,0,'Fiscal by Program'!$B$7&gt;10.6,(ROUND('Fiscal by Program'!$B$7*(1+IF(D245="Yes",'Fiscal by Program'!$B$9,'Fiscal by Program'!$B$8))*T245,2)))</f>
        <v>0</v>
      </c>
      <c r="W245" s="81">
        <f t="shared" si="52"/>
        <v>0</v>
      </c>
      <c r="X245" s="81">
        <f>ROUND((R245/(1+IF(D245="Yes",'Fiscal by Program'!$B$9,'Fiscal by Program'!$B$8))),2)+0.01</f>
        <v>2.6599999999999997</v>
      </c>
      <c r="Y245" s="81">
        <f t="shared" si="53"/>
        <v>3.56</v>
      </c>
      <c r="Z245" s="88">
        <v>1</v>
      </c>
      <c r="AA245" s="90">
        <f t="shared" si="50"/>
        <v>0.25</v>
      </c>
      <c r="AB245" s="75">
        <f>INDEX('[9]Service List'!$K:$K,MATCH(A245,'[9]Service List'!$F:$F,0))</f>
        <v>799</v>
      </c>
      <c r="AC245" s="73">
        <f>INDEX('[5]Combined Bill Code List'!$P:$P,MATCH(A245,'[5]Combined Bill Code List'!$F:$F,0))</f>
        <v>0</v>
      </c>
      <c r="AD245" s="80" t="s">
        <v>605</v>
      </c>
      <c r="AE245" s="79">
        <f t="shared" si="66"/>
        <v>1.095890410958904</v>
      </c>
      <c r="AF245" s="66">
        <v>0</v>
      </c>
      <c r="AG245" s="70">
        <f>ROUND(INDEX('All Trends'!D:D,MATCH($AD245,'All Trends'!$C:$C,0)),4)</f>
        <v>1.0029999999999999</v>
      </c>
      <c r="AH245" s="70">
        <f>ROUND(INDEX('All Trends'!E:E,MATCH($AD245,'All Trends'!$C:$C,0)),4)</f>
        <v>1.1597999999999999</v>
      </c>
      <c r="AI245" s="70">
        <f>ROUND(INDEX('All Trends'!F:F,MATCH($AD245,'All Trends'!$C:$C,0)),4)</f>
        <v>1.2376</v>
      </c>
      <c r="AJ245" s="70">
        <f>ROUND(INDEX('All Trends'!G:G,MATCH($AD245,'All Trends'!$C:$C,0)),4)</f>
        <v>1.3059000000000001</v>
      </c>
      <c r="AK245" s="70">
        <f>ROUND(INDEX('All Trends'!H:H,MATCH($AD245,'All Trends'!$C:$C,0)),4)</f>
        <v>1.3692</v>
      </c>
      <c r="AL245" s="74" t="s">
        <v>148</v>
      </c>
      <c r="AM245" s="92">
        <f t="shared" si="54"/>
        <v>116510414.23</v>
      </c>
      <c r="AN245" s="92">
        <f t="shared" si="55"/>
        <v>122940328</v>
      </c>
      <c r="AO245" s="69">
        <f t="shared" si="56"/>
        <v>0</v>
      </c>
      <c r="AP245" s="69">
        <f t="shared" si="57"/>
        <v>0</v>
      </c>
      <c r="AQ245" s="69">
        <f t="shared" si="58"/>
        <v>0</v>
      </c>
      <c r="AR245" s="69">
        <f t="shared" si="59"/>
        <v>0</v>
      </c>
      <c r="AS245" s="409"/>
      <c r="AT245" s="409"/>
      <c r="AU245" s="409"/>
    </row>
    <row r="246" spans="1:55">
      <c r="A246" s="67" t="s">
        <v>618</v>
      </c>
      <c r="B246" s="67" t="s">
        <v>618</v>
      </c>
      <c r="C246" s="78" t="s">
        <v>147</v>
      </c>
      <c r="D246" s="78" t="s">
        <v>148</v>
      </c>
      <c r="E246" s="67" t="s">
        <v>603</v>
      </c>
      <c r="F246" s="67" t="s">
        <v>162</v>
      </c>
      <c r="G246" s="67" t="str">
        <f>INDEX('[4]RT Description to Bill Matix'!$D:$D,MATCH(A246,'[4]RT Description to Bill Matix'!$M:$M,0))</f>
        <v>PAS/HAB (CFC and Non-CFC)</v>
      </c>
      <c r="H246" s="65" t="s">
        <v>610</v>
      </c>
      <c r="I246" s="65"/>
      <c r="J246" s="65" t="str" cm="1">
        <f t="array" ref="J246">INDEX('Rate Table Service Desc XWalk'!F:F,MATCH(1,(G246='Rate Table Service Desc XWalk'!B:B)*(E246='Rate Table Service Desc XWalk'!A:A),0))</f>
        <v>7-1-77</v>
      </c>
      <c r="K246" s="66" t="str">
        <f>INDEX('[5]Combined Bill Code List'!$A:$A,MATCH(A246,'[5]Combined Bill Code List'!$F:$F,0))</f>
        <v>State Plan (Title XIX)</v>
      </c>
      <c r="L246" s="66" t="str">
        <f>INDEX('[6]Rate History'!$P:$P,MATCH(A246,'[6]Rate History'!$F:$F,0))</f>
        <v>15 minutes</v>
      </c>
      <c r="M246" s="77">
        <f>INDEX('[7]PDF DB Service Pivot'!$C:$C,MATCH(B246,'[7]PDF DB Service Pivot'!$B:$B,0))</f>
        <v>8839046</v>
      </c>
      <c r="N246" s="77">
        <f t="shared" si="51"/>
        <v>8839046</v>
      </c>
      <c r="O246" s="76">
        <f>INDEX('[7]PDF DB Service Pivot'!$D:$D,MATCH(B246,'[7]PDF DB Service Pivot'!$B:$B,0))</f>
        <v>31365574.189999998</v>
      </c>
      <c r="P246" s="91">
        <v>45170</v>
      </c>
      <c r="Q246" s="81">
        <v>3.63</v>
      </c>
      <c r="R246" s="81">
        <f>11.76/4</f>
        <v>2.94</v>
      </c>
      <c r="S246" s="354">
        <f t="shared" si="65"/>
        <v>0.80991735537190079</v>
      </c>
      <c r="T246" s="339">
        <f>INDEX('[8]Billable Services'!$P:$P,MATCH(A246,'[8]Billable Services'!$S:$S,0))</f>
        <v>0.25</v>
      </c>
      <c r="U246" s="81">
        <f t="shared" si="49"/>
        <v>0</v>
      </c>
      <c r="V246" s="81" cm="1">
        <f t="array" ref="V246">_xlfn.IFS('Fiscal by Program'!$B$7&lt;10.61,0,'Fiscal by Program'!$B$7&gt;10.6,(ROUND('Fiscal by Program'!$B$7*(1+IF(D246="Yes",'Fiscal by Program'!$B$9,'Fiscal by Program'!$B$8))*T246,2)))</f>
        <v>0</v>
      </c>
      <c r="W246" s="81">
        <f t="shared" si="52"/>
        <v>0</v>
      </c>
      <c r="X246" s="81">
        <f>ROUND((R246/(1+IF(D246="Yes",'Fiscal by Program'!$B$9,'Fiscal by Program'!$B$8))),2)+0.01</f>
        <v>2.6599999999999997</v>
      </c>
      <c r="Y246" s="81">
        <f t="shared" si="53"/>
        <v>3.63</v>
      </c>
      <c r="Z246" s="88">
        <v>1</v>
      </c>
      <c r="AA246" s="90">
        <f t="shared" si="50"/>
        <v>0.25</v>
      </c>
      <c r="AB246" s="75">
        <f>INDEX('[9]Service List'!$K:$K,MATCH(A246,'[9]Service List'!$F:$F,0))</f>
        <v>801</v>
      </c>
      <c r="AC246" s="73" t="str">
        <f>INDEX('[5]Combined Bill Code List'!$P:$P,MATCH(A246,'[5]Combined Bill Code List'!$F:$F,0))</f>
        <v>CFC</v>
      </c>
      <c r="AD246" s="80" t="s">
        <v>605</v>
      </c>
      <c r="AE246" s="79">
        <f t="shared" si="66"/>
        <v>1.095890410958904</v>
      </c>
      <c r="AF246" s="66">
        <v>-0.06</v>
      </c>
      <c r="AG246" s="70">
        <f>ROUND(INDEX('All Trends'!D:D,MATCH($AD246,'All Trends'!$C:$C,0)),4)</f>
        <v>1.0029999999999999</v>
      </c>
      <c r="AH246" s="70">
        <f>ROUND(INDEX('All Trends'!E:E,MATCH($AD246,'All Trends'!$C:$C,0)),4)</f>
        <v>1.1597999999999999</v>
      </c>
      <c r="AI246" s="70">
        <f>ROUND(INDEX('All Trends'!F:F,MATCH($AD246,'All Trends'!$C:$C,0)),4)</f>
        <v>1.2376</v>
      </c>
      <c r="AJ246" s="70">
        <f>ROUND(INDEX('All Trends'!G:G,MATCH($AD246,'All Trends'!$C:$C,0)),4)</f>
        <v>1.3059000000000001</v>
      </c>
      <c r="AK246" s="70">
        <f>ROUND(INDEX('All Trends'!H:H,MATCH($AD246,'All Trends'!$C:$C,0)),4)</f>
        <v>1.3692</v>
      </c>
      <c r="AL246" s="74" t="s">
        <v>148</v>
      </c>
      <c r="AM246" s="92">
        <f t="shared" si="54"/>
        <v>2734800.83</v>
      </c>
      <c r="AN246" s="92">
        <f t="shared" si="55"/>
        <v>2885727.54</v>
      </c>
      <c r="AO246" s="69">
        <f t="shared" si="56"/>
        <v>0</v>
      </c>
      <c r="AP246" s="69">
        <f t="shared" si="57"/>
        <v>0</v>
      </c>
      <c r="AQ246" s="69">
        <f t="shared" si="58"/>
        <v>0</v>
      </c>
      <c r="AR246" s="69">
        <f t="shared" si="59"/>
        <v>0</v>
      </c>
      <c r="AS246" s="409"/>
      <c r="AT246" s="409"/>
      <c r="AU246" s="409"/>
    </row>
    <row r="247" spans="1:55">
      <c r="A247" s="67" t="s">
        <v>619</v>
      </c>
      <c r="B247" s="67" t="s">
        <v>619</v>
      </c>
      <c r="C247" s="78" t="s">
        <v>147</v>
      </c>
      <c r="D247" s="78" t="s">
        <v>148</v>
      </c>
      <c r="E247" s="67" t="s">
        <v>603</v>
      </c>
      <c r="F247" s="67" t="s">
        <v>162</v>
      </c>
      <c r="G247" s="67" t="str">
        <f>INDEX('[4]RT Description to Bill Matix'!$D:$D,MATCH(A247,'[4]RT Description to Bill Matix'!$M:$M,0))</f>
        <v>CDS PAS/HAB (CFC and Non-CFC)</v>
      </c>
      <c r="H247" s="65" t="s">
        <v>612</v>
      </c>
      <c r="I247" s="65" t="s">
        <v>147</v>
      </c>
      <c r="J247" s="65" t="str" cm="1">
        <f t="array" ref="J247">INDEX('Rate Table Service Desc XWalk'!F:F,MATCH(1,(G247='Rate Table Service Desc XWalk'!B:B)*(E247='Rate Table Service Desc XWalk'!A:A),0))</f>
        <v>7-5-141</v>
      </c>
      <c r="K247" s="66" t="str">
        <f>INDEX('[5]Combined Bill Code List'!$A:$A,MATCH(A247,'[5]Combined Bill Code List'!$F:$F,0))</f>
        <v>State Plan (Title XIX)</v>
      </c>
      <c r="L247" s="66" t="str">
        <f>INDEX('[6]Rate History'!$P:$P,MATCH(A247,'[6]Rate History'!$F:$F,0))</f>
        <v>15 minutes</v>
      </c>
      <c r="M247" s="77">
        <f>INDEX('[7]PDF DB Service Pivot'!$C:$C,MATCH(B247,'[7]PDF DB Service Pivot'!$B:$B,0))</f>
        <v>824347.29999999993</v>
      </c>
      <c r="N247" s="77">
        <f t="shared" si="51"/>
        <v>824347.29999999993</v>
      </c>
      <c r="O247" s="76">
        <f>INDEX('[7]PDF DB Service Pivot'!$D:$D,MATCH(B247,'[7]PDF DB Service Pivot'!$B:$B,0))</f>
        <v>2548415.4000000004</v>
      </c>
      <c r="P247" s="91">
        <v>41883</v>
      </c>
      <c r="Q247" s="81">
        <v>3.43</v>
      </c>
      <c r="R247" s="81">
        <f>11.74/4</f>
        <v>2.9350000000000001</v>
      </c>
      <c r="S247" s="354">
        <f t="shared" si="65"/>
        <v>0.85568513119533529</v>
      </c>
      <c r="T247" s="339">
        <v>0.25</v>
      </c>
      <c r="U247" s="81">
        <f t="shared" si="49"/>
        <v>0</v>
      </c>
      <c r="V247" s="81" cm="1">
        <f t="array" ref="V247">_xlfn.IFS('Fiscal by Program'!$B$7&lt;10.61,0,'Fiscal by Program'!$B$7&gt;10.6,(ROUND('Fiscal by Program'!$B$7*(1+IF(D247="Yes",'Fiscal by Program'!$B$9,'Fiscal by Program'!$B$8))*T247,2)))</f>
        <v>0</v>
      </c>
      <c r="W247" s="81">
        <f t="shared" si="52"/>
        <v>0</v>
      </c>
      <c r="X247" s="81">
        <f>ROUND((R247/(1+IF(D247="Yes",'Fiscal by Program'!$B$9,'Fiscal by Program'!$B$8))),2)+0.01</f>
        <v>2.6599999999999997</v>
      </c>
      <c r="Y247" s="81">
        <f t="shared" si="53"/>
        <v>3.43</v>
      </c>
      <c r="Z247" s="88">
        <v>1</v>
      </c>
      <c r="AA247" s="90">
        <f t="shared" si="50"/>
        <v>0.25</v>
      </c>
      <c r="AB247" s="75">
        <f>INDEX('[9]Service List'!$K:$K,MATCH(A247,'[9]Service List'!$F:$F,0))</f>
        <v>793</v>
      </c>
      <c r="AC247" s="73" t="str">
        <f>INDEX('[5]Combined Bill Code List'!$P:$P,MATCH(A247,'[5]Combined Bill Code List'!$F:$F,0))</f>
        <v>CFC</v>
      </c>
      <c r="AD247" s="80" t="s">
        <v>605</v>
      </c>
      <c r="AE247" s="79">
        <f t="shared" si="66"/>
        <v>1.095890410958904</v>
      </c>
      <c r="AF247" s="66">
        <v>-0.06</v>
      </c>
      <c r="AG247" s="70">
        <f>ROUND(INDEX('All Trends'!D:D,MATCH($AD247,'All Trends'!$C:$C,0)),4)</f>
        <v>1.0029999999999999</v>
      </c>
      <c r="AH247" s="70">
        <f>ROUND(INDEX('All Trends'!E:E,MATCH($AD247,'All Trends'!$C:$C,0)),4)</f>
        <v>1.1597999999999999</v>
      </c>
      <c r="AI247" s="70">
        <f>ROUND(INDEX('All Trends'!F:F,MATCH($AD247,'All Trends'!$C:$C,0)),4)</f>
        <v>1.2376</v>
      </c>
      <c r="AJ247" s="70">
        <f>ROUND(INDEX('All Trends'!G:G,MATCH($AD247,'All Trends'!$C:$C,0)),4)</f>
        <v>1.3059000000000001</v>
      </c>
      <c r="AK247" s="70">
        <f>ROUND(INDEX('All Trends'!H:H,MATCH($AD247,'All Trends'!$C:$C,0)),4)</f>
        <v>1.3692</v>
      </c>
      <c r="AL247" s="74" t="s">
        <v>148</v>
      </c>
      <c r="AM247" s="92">
        <f t="shared" si="54"/>
        <v>255053.05</v>
      </c>
      <c r="AN247" s="92">
        <f t="shared" si="55"/>
        <v>269128.78000000003</v>
      </c>
      <c r="AO247" s="69">
        <f t="shared" si="56"/>
        <v>0</v>
      </c>
      <c r="AP247" s="69">
        <f t="shared" si="57"/>
        <v>0</v>
      </c>
      <c r="AQ247" s="69">
        <f t="shared" si="58"/>
        <v>0</v>
      </c>
      <c r="AR247" s="69">
        <f t="shared" si="59"/>
        <v>0</v>
      </c>
      <c r="AS247" s="409"/>
      <c r="AT247" s="409"/>
      <c r="AU247" s="409"/>
    </row>
    <row r="248" spans="1:55">
      <c r="A248" s="67" t="s">
        <v>620</v>
      </c>
      <c r="B248" s="67" t="s">
        <v>620</v>
      </c>
      <c r="C248" s="78" t="s">
        <v>147</v>
      </c>
      <c r="D248" s="78" t="s">
        <v>148</v>
      </c>
      <c r="E248" s="67" t="s">
        <v>603</v>
      </c>
      <c r="F248" s="67" t="s">
        <v>162</v>
      </c>
      <c r="G248" s="67" t="str">
        <f>INDEX('[4]RT Description to Bill Matix'!$D:$D,MATCH(A248,'[4]RT Description to Bill Matix'!$M:$M,0))</f>
        <v>PAS/HAB (CFC and Non-CFC)</v>
      </c>
      <c r="H248" s="65" t="s">
        <v>621</v>
      </c>
      <c r="I248" s="65"/>
      <c r="J248" s="65" t="str" cm="1">
        <f t="array" ref="J248">INDEX('Rate Table Service Desc XWalk'!F:F,MATCH(1,(G248='Rate Table Service Desc XWalk'!B:B)*(E248='Rate Table Service Desc XWalk'!A:A),0))</f>
        <v>7-1-77</v>
      </c>
      <c r="K248" s="66" t="str">
        <f>INDEX('[5]Combined Bill Code List'!$A:$A,MATCH(A248,'[5]Combined Bill Code List'!$F:$F,0))</f>
        <v>State Plan (Title XIX)</v>
      </c>
      <c r="L248" s="66" t="str">
        <f>INDEX('[6]Rate History'!$P:$P,MATCH(A248,'[6]Rate History'!$F:$F,0))</f>
        <v>15 minutes</v>
      </c>
      <c r="M248" s="77">
        <f>INDEX('[7]PDF DB Service Pivot'!$C:$C,MATCH(B248,'[7]PDF DB Service Pivot'!$B:$B,0))</f>
        <v>9919</v>
      </c>
      <c r="N248" s="77">
        <f t="shared" si="51"/>
        <v>9919</v>
      </c>
      <c r="O248" s="76">
        <f>INDEX('[7]PDF DB Service Pivot'!$D:$D,MATCH(B248,'[7]PDF DB Service Pivot'!$B:$B,0))</f>
        <v>36067.82</v>
      </c>
      <c r="P248" s="91">
        <v>45170</v>
      </c>
      <c r="Q248" s="81">
        <v>3.63</v>
      </c>
      <c r="R248" s="81">
        <f>11.76/4</f>
        <v>2.94</v>
      </c>
      <c r="S248" s="354">
        <f t="shared" si="65"/>
        <v>0.80991735537190079</v>
      </c>
      <c r="T248" s="339">
        <f>INDEX('[8]Billable Services'!$P:$P,MATCH(A248,'[8]Billable Services'!$S:$S,0))</f>
        <v>0.25</v>
      </c>
      <c r="U248" s="81">
        <f t="shared" si="49"/>
        <v>0</v>
      </c>
      <c r="V248" s="81" cm="1">
        <f t="array" ref="V248">_xlfn.IFS('Fiscal by Program'!$B$7&lt;10.61,0,'Fiscal by Program'!$B$7&gt;10.6,(ROUND('Fiscal by Program'!$B$7*(1+IF(D248="Yes",'Fiscal by Program'!$B$9,'Fiscal by Program'!$B$8))*T248,2)))</f>
        <v>0</v>
      </c>
      <c r="W248" s="81">
        <f t="shared" si="52"/>
        <v>0</v>
      </c>
      <c r="X248" s="81">
        <f>ROUND((R248/(1+IF(D248="Yes",'Fiscal by Program'!$B$9,'Fiscal by Program'!$B$8))),2)+0.01</f>
        <v>2.6599999999999997</v>
      </c>
      <c r="Y248" s="81">
        <f t="shared" si="53"/>
        <v>3.63</v>
      </c>
      <c r="Z248" s="88">
        <v>1</v>
      </c>
      <c r="AA248" s="90">
        <f t="shared" si="50"/>
        <v>0.25</v>
      </c>
      <c r="AB248" s="75">
        <f>INDEX('[9]Service List'!$K:$K,MATCH(A248,'[9]Service List'!$F:$F,0))</f>
        <v>795</v>
      </c>
      <c r="AC248" s="73" t="str">
        <f>INDEX('[5]Combined Bill Code List'!$P:$P,MATCH(A248,'[5]Combined Bill Code List'!$F:$F,0))</f>
        <v>CFC</v>
      </c>
      <c r="AD248" s="80" t="s">
        <v>605</v>
      </c>
      <c r="AE248" s="79">
        <f t="shared" si="66"/>
        <v>1.095890410958904</v>
      </c>
      <c r="AF248" s="66">
        <v>-0.06</v>
      </c>
      <c r="AG248" s="70">
        <f>ROUND(INDEX('All Trends'!D:D,MATCH($AD248,'All Trends'!$C:$C,0)),4)</f>
        <v>1.0029999999999999</v>
      </c>
      <c r="AH248" s="70">
        <f>ROUND(INDEX('All Trends'!E:E,MATCH($AD248,'All Trends'!$C:$C,0)),4)</f>
        <v>1.1597999999999999</v>
      </c>
      <c r="AI248" s="70">
        <f>ROUND(INDEX('All Trends'!F:F,MATCH($AD248,'All Trends'!$C:$C,0)),4)</f>
        <v>1.2376</v>
      </c>
      <c r="AJ248" s="70">
        <f>ROUND(INDEX('All Trends'!G:G,MATCH($AD248,'All Trends'!$C:$C,0)),4)</f>
        <v>1.3059000000000001</v>
      </c>
      <c r="AK248" s="70">
        <f>ROUND(INDEX('All Trends'!H:H,MATCH($AD248,'All Trends'!$C:$C,0)),4)</f>
        <v>1.3692</v>
      </c>
      <c r="AL248" s="74" t="s">
        <v>148</v>
      </c>
      <c r="AM248" s="92">
        <f t="shared" si="54"/>
        <v>3068.94</v>
      </c>
      <c r="AN248" s="92">
        <f t="shared" si="55"/>
        <v>3238.31</v>
      </c>
      <c r="AO248" s="69">
        <f t="shared" si="56"/>
        <v>0</v>
      </c>
      <c r="AP248" s="69">
        <f t="shared" si="57"/>
        <v>0</v>
      </c>
      <c r="AQ248" s="69">
        <f t="shared" si="58"/>
        <v>0</v>
      </c>
      <c r="AR248" s="69">
        <f t="shared" si="59"/>
        <v>0</v>
      </c>
      <c r="AS248" s="409"/>
      <c r="AT248" s="409"/>
      <c r="AU248" s="409"/>
    </row>
    <row r="249" spans="1:55">
      <c r="A249" s="67" t="s">
        <v>622</v>
      </c>
      <c r="B249" s="67" t="s">
        <v>622</v>
      </c>
      <c r="C249" s="78" t="s">
        <v>147</v>
      </c>
      <c r="D249" s="78" t="s">
        <v>148</v>
      </c>
      <c r="E249" s="67" t="s">
        <v>603</v>
      </c>
      <c r="F249" s="67" t="s">
        <v>162</v>
      </c>
      <c r="G249" s="67" t="str">
        <f>INDEX('[4]RT Description to Bill Matix'!$D:$D,MATCH(A249,'[4]RT Description to Bill Matix'!$M:$M,0))</f>
        <v>CDS PAS/HAB (CFC and Non-CFC)</v>
      </c>
      <c r="H249" s="65" t="s">
        <v>614</v>
      </c>
      <c r="I249" s="65" t="s">
        <v>147</v>
      </c>
      <c r="J249" s="65" t="str" cm="1">
        <f t="array" ref="J249">INDEX('Rate Table Service Desc XWalk'!F:F,MATCH(1,(G249='Rate Table Service Desc XWalk'!B:B)*(E249='Rate Table Service Desc XWalk'!A:A),0))</f>
        <v>7-5-141</v>
      </c>
      <c r="K249" s="66" t="str">
        <f>INDEX('[5]Combined Bill Code List'!$A:$A,MATCH(A249,'[5]Combined Bill Code List'!$F:$F,0))</f>
        <v>State Plan (Title XIX)</v>
      </c>
      <c r="L249" s="66" t="str">
        <f>INDEX('[6]Rate History'!$P:$P,MATCH(A249,'[6]Rate History'!$F:$F,0))</f>
        <v>15 minutes</v>
      </c>
      <c r="M249" s="77">
        <f>INDEX('[7]PDF DB Service Pivot'!$C:$C,MATCH(B249,'[7]PDF DB Service Pivot'!$B:$B,0))</f>
        <v>15740805</v>
      </c>
      <c r="N249" s="77">
        <f t="shared" si="51"/>
        <v>15740805</v>
      </c>
      <c r="O249" s="76">
        <f>INDEX('[7]PDF DB Service Pivot'!$D:$D,MATCH(B249,'[7]PDF DB Service Pivot'!$B:$B,0))</f>
        <v>43788013.549999997</v>
      </c>
      <c r="P249" s="91">
        <v>40057</v>
      </c>
      <c r="Q249" s="81">
        <v>3.36</v>
      </c>
      <c r="R249" s="81">
        <f>11.74/4</f>
        <v>2.9350000000000001</v>
      </c>
      <c r="S249" s="354">
        <f t="shared" si="65"/>
        <v>0.87351190476190477</v>
      </c>
      <c r="T249" s="339">
        <v>0.25</v>
      </c>
      <c r="U249" s="81">
        <f t="shared" si="49"/>
        <v>0</v>
      </c>
      <c r="V249" s="81" cm="1">
        <f t="array" ref="V249">_xlfn.IFS('Fiscal by Program'!$B$7&lt;10.61,0,'Fiscal by Program'!$B$7&gt;10.6,(ROUND('Fiscal by Program'!$B$7*(1+IF(D249="Yes",'Fiscal by Program'!$B$9,'Fiscal by Program'!$B$8))*T249,2)))</f>
        <v>0</v>
      </c>
      <c r="W249" s="81">
        <f t="shared" si="52"/>
        <v>0</v>
      </c>
      <c r="X249" s="81">
        <f>ROUND((R249/(1+IF(D249="Yes",'Fiscal by Program'!$B$9,'Fiscal by Program'!$B$8))),2)+0.01</f>
        <v>2.6599999999999997</v>
      </c>
      <c r="Y249" s="81">
        <f t="shared" si="53"/>
        <v>3.36</v>
      </c>
      <c r="Z249" s="88">
        <v>1</v>
      </c>
      <c r="AA249" s="90">
        <f t="shared" si="50"/>
        <v>0.25</v>
      </c>
      <c r="AB249" s="75">
        <f>INDEX('[9]Service List'!$K:$K,MATCH(A249,'[9]Service List'!$F:$F,0))</f>
        <v>791</v>
      </c>
      <c r="AC249" s="73">
        <f>INDEX('[5]Combined Bill Code List'!$P:$P,MATCH(A249,'[5]Combined Bill Code List'!$F:$F,0))</f>
        <v>0</v>
      </c>
      <c r="AD249" s="80" t="s">
        <v>605</v>
      </c>
      <c r="AE249" s="79">
        <f t="shared" si="66"/>
        <v>1.095890410958904</v>
      </c>
      <c r="AF249" s="66">
        <v>0</v>
      </c>
      <c r="AG249" s="70">
        <f>ROUND(INDEX('All Trends'!D:D,MATCH($AD249,'All Trends'!$C:$C,0)),4)</f>
        <v>1.0029999999999999</v>
      </c>
      <c r="AH249" s="70">
        <f>ROUND(INDEX('All Trends'!E:E,MATCH($AD249,'All Trends'!$C:$C,0)),4)</f>
        <v>1.1597999999999999</v>
      </c>
      <c r="AI249" s="70">
        <f>ROUND(INDEX('All Trends'!F:F,MATCH($AD249,'All Trends'!$C:$C,0)),4)</f>
        <v>1.2376</v>
      </c>
      <c r="AJ249" s="70">
        <f>ROUND(INDEX('All Trends'!G:G,MATCH($AD249,'All Trends'!$C:$C,0)),4)</f>
        <v>1.3059000000000001</v>
      </c>
      <c r="AK249" s="70">
        <f>ROUND(INDEX('All Trends'!H:H,MATCH($AD249,'All Trends'!$C:$C,0)),4)</f>
        <v>1.3692</v>
      </c>
      <c r="AL249" s="74" t="s">
        <v>148</v>
      </c>
      <c r="AM249" s="92">
        <f t="shared" si="54"/>
        <v>4870205.07</v>
      </c>
      <c r="AN249" s="92">
        <f t="shared" si="55"/>
        <v>5138979.3099999996</v>
      </c>
      <c r="AO249" s="69">
        <f t="shared" si="56"/>
        <v>0</v>
      </c>
      <c r="AP249" s="69">
        <f t="shared" si="57"/>
        <v>0</v>
      </c>
      <c r="AQ249" s="69">
        <f t="shared" si="58"/>
        <v>0</v>
      </c>
      <c r="AR249" s="69">
        <f t="shared" si="59"/>
        <v>0</v>
      </c>
      <c r="AS249" s="409"/>
      <c r="AT249" s="409"/>
      <c r="AU249" s="409"/>
    </row>
    <row r="250" spans="1:55">
      <c r="A250" s="67" t="s">
        <v>623</v>
      </c>
      <c r="B250" s="67" t="s">
        <v>623</v>
      </c>
      <c r="C250" s="78" t="s">
        <v>147</v>
      </c>
      <c r="D250" s="78" t="s">
        <v>148</v>
      </c>
      <c r="E250" s="67" t="s">
        <v>603</v>
      </c>
      <c r="F250" s="67" t="s">
        <v>162</v>
      </c>
      <c r="G250" s="67" t="str">
        <f>INDEX('[4]RT Description to Bill Matix'!$D:$D,MATCH(A250,'[4]RT Description to Bill Matix'!$M:$M,0))</f>
        <v>PAS/HAB (CFC and Non-CFC)</v>
      </c>
      <c r="H250" s="65" t="s">
        <v>616</v>
      </c>
      <c r="I250" s="65"/>
      <c r="J250" s="65" t="str" cm="1">
        <f t="array" ref="J250">INDEX('Rate Table Service Desc XWalk'!F:F,MATCH(1,(G250='Rate Table Service Desc XWalk'!B:B)*(E250='Rate Table Service Desc XWalk'!A:A),0))</f>
        <v>7-1-77</v>
      </c>
      <c r="K250" s="66" t="str">
        <f>INDEX('[5]Combined Bill Code List'!$A:$A,MATCH(A250,'[5]Combined Bill Code List'!$F:$F,0))</f>
        <v>State Plan (Title XIX)</v>
      </c>
      <c r="L250" s="66" t="str">
        <f>INDEX('[6]Rate History'!$P:$P,MATCH(A250,'[6]Rate History'!$F:$F,0))</f>
        <v>15 minutes</v>
      </c>
      <c r="M250" s="77">
        <f>INDEX('[7]PDF DB Service Pivot'!$C:$C,MATCH(B250,'[7]PDF DB Service Pivot'!$B:$B,0))</f>
        <v>151653</v>
      </c>
      <c r="N250" s="77">
        <f t="shared" si="51"/>
        <v>151653</v>
      </c>
      <c r="O250" s="76">
        <f>INDEX('[7]PDF DB Service Pivot'!$D:$D,MATCH(B250,'[7]PDF DB Service Pivot'!$B:$B,0))</f>
        <v>471980.58999999997</v>
      </c>
      <c r="P250" s="91">
        <v>45170</v>
      </c>
      <c r="Q250" s="81">
        <v>3.56</v>
      </c>
      <c r="R250" s="81">
        <f>11.74/4</f>
        <v>2.9350000000000001</v>
      </c>
      <c r="S250" s="354">
        <f t="shared" si="65"/>
        <v>0.824438202247191</v>
      </c>
      <c r="T250" s="339">
        <f>INDEX('[8]Billable Services'!$P:$P,MATCH(A250,'[8]Billable Services'!$S:$S,0))</f>
        <v>0.25</v>
      </c>
      <c r="U250" s="81">
        <f t="shared" si="49"/>
        <v>0</v>
      </c>
      <c r="V250" s="81" cm="1">
        <f t="array" ref="V250">_xlfn.IFS('Fiscal by Program'!$B$7&lt;10.61,0,'Fiscal by Program'!$B$7&gt;10.6,(ROUND('Fiscal by Program'!$B$7*(1+IF(D250="Yes",'Fiscal by Program'!$B$9,'Fiscal by Program'!$B$8))*T250,2)))</f>
        <v>0</v>
      </c>
      <c r="W250" s="81">
        <f t="shared" si="52"/>
        <v>0</v>
      </c>
      <c r="X250" s="81">
        <f>ROUND((R250/(1+IF(D250="Yes",'Fiscal by Program'!$B$9,'Fiscal by Program'!$B$8))),2)+0.01</f>
        <v>2.6599999999999997</v>
      </c>
      <c r="Y250" s="81">
        <f t="shared" si="53"/>
        <v>3.56</v>
      </c>
      <c r="Z250" s="88">
        <v>1</v>
      </c>
      <c r="AA250" s="90">
        <f t="shared" si="50"/>
        <v>0.25</v>
      </c>
      <c r="AB250" s="75">
        <f>INDEX('[9]Service List'!$K:$K,MATCH(A250,'[9]Service List'!$F:$F,0))</f>
        <v>797</v>
      </c>
      <c r="AC250" s="73">
        <f>INDEX('[5]Combined Bill Code List'!$P:$P,MATCH(A250,'[5]Combined Bill Code List'!$F:$F,0))</f>
        <v>0</v>
      </c>
      <c r="AD250" s="80" t="s">
        <v>605</v>
      </c>
      <c r="AE250" s="79">
        <f t="shared" si="66"/>
        <v>1.095890410958904</v>
      </c>
      <c r="AF250" s="66">
        <v>0</v>
      </c>
      <c r="AG250" s="70">
        <f>ROUND(INDEX('All Trends'!D:D,MATCH($AD250,'All Trends'!$C:$C,0)),4)</f>
        <v>1.0029999999999999</v>
      </c>
      <c r="AH250" s="70">
        <f>ROUND(INDEX('All Trends'!E:E,MATCH($AD250,'All Trends'!$C:$C,0)),4)</f>
        <v>1.1597999999999999</v>
      </c>
      <c r="AI250" s="70">
        <f>ROUND(INDEX('All Trends'!F:F,MATCH($AD250,'All Trends'!$C:$C,0)),4)</f>
        <v>1.2376</v>
      </c>
      <c r="AJ250" s="70">
        <f>ROUND(INDEX('All Trends'!G:G,MATCH($AD250,'All Trends'!$C:$C,0)),4)</f>
        <v>1.3059000000000001</v>
      </c>
      <c r="AK250" s="70">
        <f>ROUND(INDEX('All Trends'!H:H,MATCH($AD250,'All Trends'!$C:$C,0)),4)</f>
        <v>1.3692</v>
      </c>
      <c r="AL250" s="74" t="s">
        <v>148</v>
      </c>
      <c r="AM250" s="92">
        <f t="shared" si="54"/>
        <v>46921.440000000002</v>
      </c>
      <c r="AN250" s="92">
        <f t="shared" si="55"/>
        <v>49510.91</v>
      </c>
      <c r="AO250" s="69">
        <f t="shared" si="56"/>
        <v>0</v>
      </c>
      <c r="AP250" s="69">
        <f t="shared" si="57"/>
        <v>0</v>
      </c>
      <c r="AQ250" s="69">
        <f t="shared" si="58"/>
        <v>0</v>
      </c>
      <c r="AR250" s="69">
        <f t="shared" si="59"/>
        <v>0</v>
      </c>
      <c r="AS250" s="409"/>
      <c r="AT250" s="409"/>
      <c r="AU250" s="409"/>
    </row>
    <row r="251" spans="1:55">
      <c r="A251" s="67" t="s">
        <v>624</v>
      </c>
      <c r="B251" s="67" t="s">
        <v>624</v>
      </c>
      <c r="C251" s="78" t="s">
        <v>147</v>
      </c>
      <c r="D251" s="78" t="s">
        <v>148</v>
      </c>
      <c r="E251" s="67" t="s">
        <v>603</v>
      </c>
      <c r="F251" s="67" t="s">
        <v>162</v>
      </c>
      <c r="G251" s="67" t="str">
        <f>INDEX('[4]RT Description to Bill Matix'!$D:$D,MATCH(A251,'[4]RT Description to Bill Matix'!$M:$M,0))</f>
        <v>Habilitation (CFC)</v>
      </c>
      <c r="H251" s="65" t="s">
        <v>625</v>
      </c>
      <c r="I251" s="65"/>
      <c r="J251" s="65" t="str" cm="1">
        <f t="array" ref="J251">INDEX('Rate Table Service Desc XWalk'!F:F,MATCH(1,(G251='Rate Table Service Desc XWalk'!B:B)*(E251='Rate Table Service Desc XWalk'!A:A),0))</f>
        <v>7-1-27</v>
      </c>
      <c r="K251" s="66" t="str">
        <f>INDEX('[5]Combined Bill Code List'!$A:$A,MATCH(A251,'[5]Combined Bill Code List'!$F:$F,0))</f>
        <v>State Plan (Title XIX)</v>
      </c>
      <c r="L251" s="66" t="str">
        <f>INDEX('[6]Rate History'!$P:$P,MATCH(A251,'[6]Rate History'!$F:$F,0))</f>
        <v>1 hour</v>
      </c>
      <c r="M251" s="77">
        <f>INDEX('[7]PDF DB Service Pivot'!$C:$C,MATCH(B251,'[7]PDF DB Service Pivot'!$B:$B,0))</f>
        <v>281609</v>
      </c>
      <c r="N251" s="77">
        <f t="shared" si="51"/>
        <v>281609</v>
      </c>
      <c r="O251" s="76">
        <f>INDEX('[7]PDF DB Service Pivot'!$D:$D,MATCH(B251,'[7]PDF DB Service Pivot'!$B:$B,0))</f>
        <v>989184.73</v>
      </c>
      <c r="P251" s="91">
        <v>43709</v>
      </c>
      <c r="Q251" s="81">
        <v>12.8</v>
      </c>
      <c r="R251" s="81">
        <v>11.759999999999998</v>
      </c>
      <c r="S251" s="354">
        <f t="shared" si="65"/>
        <v>0.91874999999999984</v>
      </c>
      <c r="T251" s="339">
        <v>1</v>
      </c>
      <c r="U251" s="81">
        <f t="shared" si="49"/>
        <v>0</v>
      </c>
      <c r="V251" s="81" cm="1">
        <f t="array" ref="V251">_xlfn.IFS('Fiscal by Program'!$B$7&lt;10.61,0,'Fiscal by Program'!$B$7&gt;10.6,(ROUND('Fiscal by Program'!$B$7*(1+IF(D251="Yes",'Fiscal by Program'!$B$9,'Fiscal by Program'!$B$8))*T251,2)))</f>
        <v>0</v>
      </c>
      <c r="W251" s="81">
        <f t="shared" si="52"/>
        <v>0</v>
      </c>
      <c r="X251" s="81">
        <f>ROUND((R251/(1+IF(D251="Yes",'Fiscal by Program'!$B$9,'Fiscal by Program'!$B$8))),2)+0.01</f>
        <v>10.629999999999999</v>
      </c>
      <c r="Y251" s="81">
        <f t="shared" si="53"/>
        <v>12.8</v>
      </c>
      <c r="Z251" s="88">
        <v>4</v>
      </c>
      <c r="AA251" s="90">
        <f t="shared" si="50"/>
        <v>0.25</v>
      </c>
      <c r="AB251" s="75">
        <f>INDEX('[9]Service List'!$K:$K,MATCH(A251,'[9]Service List'!$F:$F,0))</f>
        <v>786</v>
      </c>
      <c r="AC251" s="73" t="str">
        <f>INDEX('[5]Combined Bill Code List'!$P:$P,MATCH(A251,'[5]Combined Bill Code List'!$F:$F,0))</f>
        <v>CFC</v>
      </c>
      <c r="AD251" s="80" t="s">
        <v>605</v>
      </c>
      <c r="AE251" s="79">
        <f t="shared" si="66"/>
        <v>1.095890410958904</v>
      </c>
      <c r="AF251" s="66">
        <v>-0.06</v>
      </c>
      <c r="AG251" s="70">
        <f>ROUND(INDEX('All Trends'!D:D,MATCH($AD251,'All Trends'!$C:$C,0)),4)</f>
        <v>1.0029999999999999</v>
      </c>
      <c r="AH251" s="70">
        <f>ROUND(INDEX('All Trends'!E:E,MATCH($AD251,'All Trends'!$C:$C,0)),4)</f>
        <v>1.1597999999999999</v>
      </c>
      <c r="AI251" s="70">
        <f>ROUND(INDEX('All Trends'!F:F,MATCH($AD251,'All Trends'!$C:$C,0)),4)</f>
        <v>1.2376</v>
      </c>
      <c r="AJ251" s="70">
        <f>ROUND(INDEX('All Trends'!G:G,MATCH($AD251,'All Trends'!$C:$C,0)),4)</f>
        <v>1.3059000000000001</v>
      </c>
      <c r="AK251" s="70">
        <f>ROUND(INDEX('All Trends'!H:H,MATCH($AD251,'All Trends'!$C:$C,0)),4)</f>
        <v>1.3692</v>
      </c>
      <c r="AL251" s="74" t="s">
        <v>148</v>
      </c>
      <c r="AM251" s="92">
        <f t="shared" si="54"/>
        <v>348519.3</v>
      </c>
      <c r="AN251" s="92">
        <f t="shared" si="55"/>
        <v>367753.19</v>
      </c>
      <c r="AO251" s="69">
        <f t="shared" si="56"/>
        <v>0</v>
      </c>
      <c r="AP251" s="69">
        <f t="shared" si="57"/>
        <v>0</v>
      </c>
      <c r="AQ251" s="69">
        <f t="shared" si="58"/>
        <v>0</v>
      </c>
      <c r="AR251" s="69">
        <f t="shared" si="59"/>
        <v>0</v>
      </c>
      <c r="AS251" s="409"/>
      <c r="AT251" s="409"/>
      <c r="AU251" s="409"/>
    </row>
    <row r="252" spans="1:55">
      <c r="A252" s="67" t="s">
        <v>626</v>
      </c>
      <c r="B252" s="67" t="s">
        <v>626</v>
      </c>
      <c r="C252" s="78" t="s">
        <v>147</v>
      </c>
      <c r="D252" s="78" t="s">
        <v>148</v>
      </c>
      <c r="E252" s="67" t="s">
        <v>603</v>
      </c>
      <c r="F252" s="67" t="s">
        <v>162</v>
      </c>
      <c r="G252" s="67" t="str">
        <f>INDEX('[4]RT Description to Bill Matix'!$D:$D,MATCH(A252,'[4]RT Description to Bill Matix'!$M:$M,0))</f>
        <v>CDS Habilitation (CFC)</v>
      </c>
      <c r="H252" s="65" t="s">
        <v>627</v>
      </c>
      <c r="I252" s="65" t="s">
        <v>147</v>
      </c>
      <c r="J252" s="65" t="str" cm="1">
        <f t="array" ref="J252">INDEX('Rate Table Service Desc XWalk'!F:F,MATCH(1,(G252='Rate Table Service Desc XWalk'!B:B)*(E252='Rate Table Service Desc XWalk'!A:A),0))</f>
        <v>7-5-123</v>
      </c>
      <c r="K252" s="66" t="str">
        <f>INDEX('[5]Combined Bill Code List'!$A:$A,MATCH(A252,'[5]Combined Bill Code List'!$F:$F,0))</f>
        <v>State Plan (Title XIX)</v>
      </c>
      <c r="L252" s="66" t="str">
        <f>INDEX('[6]Rate History'!$P:$P,MATCH(A252,'[6]Rate History'!$F:$F,0))</f>
        <v>1 hour</v>
      </c>
      <c r="M252" s="77">
        <f>INDEX('[7]PDF DB Service Pivot'!$C:$C,MATCH(B252,'[7]PDF DB Service Pivot'!$B:$B,0))</f>
        <v>34170</v>
      </c>
      <c r="N252" s="77">
        <f t="shared" si="51"/>
        <v>34170</v>
      </c>
      <c r="O252" s="76">
        <f>INDEX('[7]PDF DB Service Pivot'!$D:$D,MATCH(B252,'[7]PDF DB Service Pivot'!$B:$B,0))</f>
        <v>106508.49000000002</v>
      </c>
      <c r="P252" s="91">
        <v>43709</v>
      </c>
      <c r="Q252" s="81">
        <v>12</v>
      </c>
      <c r="R252" s="81">
        <v>11.77</v>
      </c>
      <c r="S252" s="354">
        <f t="shared" si="65"/>
        <v>0.98083333333333333</v>
      </c>
      <c r="T252" s="339">
        <v>1</v>
      </c>
      <c r="U252" s="81">
        <f t="shared" si="49"/>
        <v>0</v>
      </c>
      <c r="V252" s="81" cm="1">
        <f t="array" ref="V252">_xlfn.IFS('Fiscal by Program'!$B$7&lt;10.61,0,'Fiscal by Program'!$B$7&gt;10.6,(ROUND('Fiscal by Program'!$B$7*(1+IF(D252="Yes",'Fiscal by Program'!$B$9,'Fiscal by Program'!$B$8))*T252,2)))</f>
        <v>0</v>
      </c>
      <c r="W252" s="81">
        <f t="shared" si="52"/>
        <v>0</v>
      </c>
      <c r="X252" s="81">
        <f>ROUND((R252/(1+IF(D252="Yes",'Fiscal by Program'!$B$9,'Fiscal by Program'!$B$8))),2)+0.01</f>
        <v>10.64</v>
      </c>
      <c r="Y252" s="81">
        <f t="shared" si="53"/>
        <v>12</v>
      </c>
      <c r="Z252" s="88">
        <v>4</v>
      </c>
      <c r="AA252" s="90">
        <f t="shared" si="50"/>
        <v>0.25</v>
      </c>
      <c r="AB252" s="75">
        <f>INDEX('[9]Service List'!$K:$K,MATCH(A252,'[9]Service List'!$F:$F,0))</f>
        <v>782</v>
      </c>
      <c r="AC252" s="73" t="str">
        <f>INDEX('[5]Combined Bill Code List'!$P:$P,MATCH(A252,'[5]Combined Bill Code List'!$F:$F,0))</f>
        <v>CFC</v>
      </c>
      <c r="AD252" s="80" t="s">
        <v>605</v>
      </c>
      <c r="AE252" s="79">
        <f t="shared" si="66"/>
        <v>1.095890410958904</v>
      </c>
      <c r="AF252" s="66">
        <v>-0.06</v>
      </c>
      <c r="AG252" s="70">
        <f>ROUND(INDEX('All Trends'!D:D,MATCH($AD252,'All Trends'!$C:$C,0)),4)</f>
        <v>1.0029999999999999</v>
      </c>
      <c r="AH252" s="70">
        <f>ROUND(INDEX('All Trends'!E:E,MATCH($AD252,'All Trends'!$C:$C,0)),4)</f>
        <v>1.1597999999999999</v>
      </c>
      <c r="AI252" s="70">
        <f>ROUND(INDEX('All Trends'!F:F,MATCH($AD252,'All Trends'!$C:$C,0)),4)</f>
        <v>1.2376</v>
      </c>
      <c r="AJ252" s="70">
        <f>ROUND(INDEX('All Trends'!G:G,MATCH($AD252,'All Trends'!$C:$C,0)),4)</f>
        <v>1.3059000000000001</v>
      </c>
      <c r="AK252" s="70">
        <f>ROUND(INDEX('All Trends'!H:H,MATCH($AD252,'All Trends'!$C:$C,0)),4)</f>
        <v>1.3692</v>
      </c>
      <c r="AL252" s="74" t="s">
        <v>148</v>
      </c>
      <c r="AM252" s="92">
        <f t="shared" si="54"/>
        <v>42288.79</v>
      </c>
      <c r="AN252" s="92">
        <f t="shared" si="55"/>
        <v>44622.6</v>
      </c>
      <c r="AO252" s="69">
        <f t="shared" si="56"/>
        <v>0</v>
      </c>
      <c r="AP252" s="69">
        <f t="shared" si="57"/>
        <v>0</v>
      </c>
      <c r="AQ252" s="69">
        <f t="shared" si="58"/>
        <v>0</v>
      </c>
      <c r="AR252" s="69">
        <f t="shared" si="59"/>
        <v>0</v>
      </c>
      <c r="AS252" s="409"/>
      <c r="AT252" s="409"/>
      <c r="AU252" s="409"/>
    </row>
    <row r="253" spans="1:55">
      <c r="A253" s="67" t="s">
        <v>628</v>
      </c>
      <c r="B253" s="67" t="s">
        <v>628</v>
      </c>
      <c r="C253" s="78" t="s">
        <v>147</v>
      </c>
      <c r="D253" s="78" t="s">
        <v>148</v>
      </c>
      <c r="E253" s="67" t="s">
        <v>603</v>
      </c>
      <c r="F253" s="67" t="s">
        <v>162</v>
      </c>
      <c r="G253" s="67" t="str">
        <f>INDEX('[4]RT Description to Bill Matix'!$D:$D,MATCH(A253,'[4]RT Description to Bill Matix'!$M:$M,0))</f>
        <v>Habilitation (CFC)</v>
      </c>
      <c r="H253" s="65" t="s">
        <v>625</v>
      </c>
      <c r="I253" s="65"/>
      <c r="J253" s="65" t="str" cm="1">
        <f t="array" ref="J253">INDEX('Rate Table Service Desc XWalk'!F:F,MATCH(1,(G253='Rate Table Service Desc XWalk'!B:B)*(E253='Rate Table Service Desc XWalk'!A:A),0))</f>
        <v>7-1-27</v>
      </c>
      <c r="K253" s="66" t="str">
        <f>INDEX('[5]Combined Bill Code List'!$A:$A,MATCH(A253,'[5]Combined Bill Code List'!$F:$F,0))</f>
        <v>State Plan (Title XIX)</v>
      </c>
      <c r="L253" s="66" t="str">
        <f>INDEX('[6]Rate History'!$P:$P,MATCH(A253,'[6]Rate History'!$F:$F,0))</f>
        <v>15 minutes</v>
      </c>
      <c r="M253" s="77">
        <f>INDEX('[7]PDF DB Service Pivot'!$C:$C,MATCH(B253,'[7]PDF DB Service Pivot'!$B:$B,0))</f>
        <v>6610611</v>
      </c>
      <c r="N253" s="77">
        <f t="shared" si="51"/>
        <v>6610611</v>
      </c>
      <c r="O253" s="76">
        <f>INDEX('[7]PDF DB Service Pivot'!$D:$D,MATCH(B253,'[7]PDF DB Service Pivot'!$B:$B,0))</f>
        <v>23481828.039999999</v>
      </c>
      <c r="P253" s="91">
        <v>45170</v>
      </c>
      <c r="Q253" s="81">
        <v>3.63</v>
      </c>
      <c r="R253" s="81">
        <f>11.76/4</f>
        <v>2.94</v>
      </c>
      <c r="S253" s="354">
        <f t="shared" si="65"/>
        <v>0.80991735537190079</v>
      </c>
      <c r="T253" s="339">
        <f>INDEX('[8]Billable Services'!$P:$P,MATCH(A253,'[8]Billable Services'!$S:$S,0))</f>
        <v>0.25</v>
      </c>
      <c r="U253" s="81">
        <f t="shared" ref="U253:U316" si="67">ROUND(V253/Z253,2)</f>
        <v>0</v>
      </c>
      <c r="V253" s="81" cm="1">
        <f t="array" ref="V253">_xlfn.IFS('Fiscal by Program'!$B$7&lt;10.61,0,'Fiscal by Program'!$B$7&gt;10.6,(ROUND('Fiscal by Program'!$B$7*(1+IF(D253="Yes",'Fiscal by Program'!$B$9,'Fiscal by Program'!$B$8))*T253,2)))</f>
        <v>0</v>
      </c>
      <c r="W253" s="81">
        <f t="shared" si="52"/>
        <v>0</v>
      </c>
      <c r="X253" s="81">
        <f>ROUND((R253/(1+IF(D253="Yes",'Fiscal by Program'!$B$9,'Fiscal by Program'!$B$8))),2)+0.01</f>
        <v>2.6599999999999997</v>
      </c>
      <c r="Y253" s="81">
        <f t="shared" si="53"/>
        <v>3.63</v>
      </c>
      <c r="Z253" s="88">
        <v>1</v>
      </c>
      <c r="AA253" s="90">
        <f t="shared" ref="AA253:AA316" si="68">T253/Z253</f>
        <v>0.25</v>
      </c>
      <c r="AB253" s="75">
        <f>INDEX('[9]Service List'!$K:$K,MATCH(A253,'[9]Service List'!$F:$F,0))</f>
        <v>785</v>
      </c>
      <c r="AC253" s="73" t="str">
        <f>INDEX('[5]Combined Bill Code List'!$P:$P,MATCH(A253,'[5]Combined Bill Code List'!$F:$F,0))</f>
        <v>CFC</v>
      </c>
      <c r="AD253" s="80" t="s">
        <v>605</v>
      </c>
      <c r="AE253" s="79">
        <f t="shared" si="66"/>
        <v>1.095890410958904</v>
      </c>
      <c r="AF253" s="66">
        <v>-0.06</v>
      </c>
      <c r="AG253" s="70">
        <f>ROUND(INDEX('All Trends'!D:D,MATCH($AD253,'All Trends'!$C:$C,0)),4)</f>
        <v>1.0029999999999999</v>
      </c>
      <c r="AH253" s="70">
        <f>ROUND(INDEX('All Trends'!E:E,MATCH($AD253,'All Trends'!$C:$C,0)),4)</f>
        <v>1.1597999999999999</v>
      </c>
      <c r="AI253" s="70">
        <f>ROUND(INDEX('All Trends'!F:F,MATCH($AD253,'All Trends'!$C:$C,0)),4)</f>
        <v>1.2376</v>
      </c>
      <c r="AJ253" s="70">
        <f>ROUND(INDEX('All Trends'!G:G,MATCH($AD253,'All Trends'!$C:$C,0)),4)</f>
        <v>1.3059000000000001</v>
      </c>
      <c r="AK253" s="70">
        <f>ROUND(INDEX('All Trends'!H:H,MATCH($AD253,'All Trends'!$C:$C,0)),4)</f>
        <v>1.3692</v>
      </c>
      <c r="AL253" s="74" t="s">
        <v>148</v>
      </c>
      <c r="AM253" s="92">
        <f t="shared" si="54"/>
        <v>2045323.04</v>
      </c>
      <c r="AN253" s="92">
        <f t="shared" si="55"/>
        <v>2158199.23</v>
      </c>
      <c r="AO253" s="69">
        <f t="shared" si="56"/>
        <v>0</v>
      </c>
      <c r="AP253" s="69">
        <f t="shared" si="57"/>
        <v>0</v>
      </c>
      <c r="AQ253" s="69">
        <f t="shared" si="58"/>
        <v>0</v>
      </c>
      <c r="AR253" s="69">
        <f t="shared" si="59"/>
        <v>0</v>
      </c>
      <c r="AS253" s="409"/>
      <c r="AT253" s="409"/>
      <c r="AU253" s="409"/>
    </row>
    <row r="254" spans="1:55">
      <c r="A254" s="67" t="s">
        <v>629</v>
      </c>
      <c r="B254" s="67" t="s">
        <v>629</v>
      </c>
      <c r="C254" s="78" t="s">
        <v>147</v>
      </c>
      <c r="D254" s="78" t="s">
        <v>148</v>
      </c>
      <c r="E254" s="67" t="s">
        <v>603</v>
      </c>
      <c r="F254" s="67" t="s">
        <v>162</v>
      </c>
      <c r="G254" s="67" t="str">
        <f>INDEX('[4]RT Description to Bill Matix'!$D:$D,MATCH(A254,'[4]RT Description to Bill Matix'!$M:$M,0))</f>
        <v>CDS Habilitation (CFC)</v>
      </c>
      <c r="H254" s="65" t="s">
        <v>627</v>
      </c>
      <c r="I254" s="65" t="s">
        <v>147</v>
      </c>
      <c r="J254" s="65" t="str" cm="1">
        <f t="array" ref="J254">INDEX('Rate Table Service Desc XWalk'!F:F,MATCH(1,(G254='Rate Table Service Desc XWalk'!B:B)*(E254='Rate Table Service Desc XWalk'!A:A),0))</f>
        <v>7-5-123</v>
      </c>
      <c r="K254" s="66" t="str">
        <f>INDEX('[5]Combined Bill Code List'!$A:$A,MATCH(A254,'[5]Combined Bill Code List'!$F:$F,0))</f>
        <v>State Plan (Title XIX)</v>
      </c>
      <c r="L254" s="66" t="str">
        <f>INDEX('[6]Rate History'!$P:$P,MATCH(A254,'[6]Rate History'!$F:$F,0))</f>
        <v>15 minutes</v>
      </c>
      <c r="M254" s="77">
        <f>INDEX('[7]PDF DB Service Pivot'!$C:$C,MATCH(B254,'[7]PDF DB Service Pivot'!$B:$B,0))</f>
        <v>3090055.2</v>
      </c>
      <c r="N254" s="77">
        <f t="shared" si="51"/>
        <v>3090055.2</v>
      </c>
      <c r="O254" s="76">
        <f>INDEX('[7]PDF DB Service Pivot'!$D:$D,MATCH(B254,'[7]PDF DB Service Pivot'!$B:$B,0))</f>
        <v>9560113.3599999994</v>
      </c>
      <c r="P254" s="91">
        <v>45170</v>
      </c>
      <c r="Q254" s="81">
        <v>3.59</v>
      </c>
      <c r="R254" s="81">
        <f>11.77/4</f>
        <v>2.9424999999999999</v>
      </c>
      <c r="S254" s="354">
        <f t="shared" si="65"/>
        <v>0.81963788300835649</v>
      </c>
      <c r="T254" s="339">
        <v>0.25</v>
      </c>
      <c r="U254" s="81">
        <f t="shared" si="67"/>
        <v>0</v>
      </c>
      <c r="V254" s="81" cm="1">
        <f t="array" ref="V254">_xlfn.IFS('Fiscal by Program'!$B$7&lt;10.61,0,'Fiscal by Program'!$B$7&gt;10.6,(ROUND('Fiscal by Program'!$B$7*(1+IF(D254="Yes",'Fiscal by Program'!$B$9,'Fiscal by Program'!$B$8))*T254,2)))</f>
        <v>0</v>
      </c>
      <c r="W254" s="81">
        <f t="shared" si="52"/>
        <v>0</v>
      </c>
      <c r="X254" s="81">
        <f>ROUND((R254/(1+IF(D254="Yes",'Fiscal by Program'!$B$9,'Fiscal by Program'!$B$8))),2)+0.01</f>
        <v>2.67</v>
      </c>
      <c r="Y254" s="81">
        <f t="shared" si="53"/>
        <v>3.59</v>
      </c>
      <c r="Z254" s="88">
        <v>1</v>
      </c>
      <c r="AA254" s="90">
        <f t="shared" si="68"/>
        <v>0.25</v>
      </c>
      <c r="AB254" s="75">
        <f>INDEX('[9]Service List'!$K:$K,MATCH(A254,'[9]Service List'!$F:$F,0))</f>
        <v>781</v>
      </c>
      <c r="AC254" s="73" t="str">
        <f>INDEX('[5]Combined Bill Code List'!$P:$P,MATCH(A254,'[5]Combined Bill Code List'!$F:$F,0))</f>
        <v>CFC</v>
      </c>
      <c r="AD254" s="80" t="s">
        <v>605</v>
      </c>
      <c r="AE254" s="79">
        <f t="shared" si="66"/>
        <v>1.095890410958904</v>
      </c>
      <c r="AF254" s="66">
        <v>-0.06</v>
      </c>
      <c r="AG254" s="70">
        <f>ROUND(INDEX('All Trends'!D:D,MATCH($AD254,'All Trends'!$C:$C,0)),4)</f>
        <v>1.0029999999999999</v>
      </c>
      <c r="AH254" s="70">
        <f>ROUND(INDEX('All Trends'!E:E,MATCH($AD254,'All Trends'!$C:$C,0)),4)</f>
        <v>1.1597999999999999</v>
      </c>
      <c r="AI254" s="70">
        <f>ROUND(INDEX('All Trends'!F:F,MATCH($AD254,'All Trends'!$C:$C,0)),4)</f>
        <v>1.2376</v>
      </c>
      <c r="AJ254" s="70">
        <f>ROUND(INDEX('All Trends'!G:G,MATCH($AD254,'All Trends'!$C:$C,0)),4)</f>
        <v>1.3059000000000001</v>
      </c>
      <c r="AK254" s="70">
        <f>ROUND(INDEX('All Trends'!H:H,MATCH($AD254,'All Trends'!$C:$C,0)),4)</f>
        <v>1.3692</v>
      </c>
      <c r="AL254" s="74" t="s">
        <v>148</v>
      </c>
      <c r="AM254" s="92">
        <f t="shared" si="54"/>
        <v>956063.08</v>
      </c>
      <c r="AN254" s="92">
        <f t="shared" si="55"/>
        <v>1008825.77</v>
      </c>
      <c r="AO254" s="69">
        <f t="shared" si="56"/>
        <v>0</v>
      </c>
      <c r="AP254" s="69">
        <f t="shared" si="57"/>
        <v>0</v>
      </c>
      <c r="AQ254" s="69">
        <f t="shared" si="58"/>
        <v>0</v>
      </c>
      <c r="AR254" s="69">
        <f t="shared" si="59"/>
        <v>0</v>
      </c>
      <c r="AS254" s="409"/>
      <c r="AT254" s="409"/>
      <c r="AU254" s="409"/>
    </row>
    <row r="255" spans="1:55">
      <c r="A255" s="67" t="s">
        <v>630</v>
      </c>
      <c r="B255" s="67" t="s">
        <v>630</v>
      </c>
      <c r="C255" s="78" t="s">
        <v>147</v>
      </c>
      <c r="D255" s="78" t="s">
        <v>148</v>
      </c>
      <c r="E255" s="67" t="s">
        <v>603</v>
      </c>
      <c r="F255" s="67" t="s">
        <v>162</v>
      </c>
      <c r="G255" s="67" t="str">
        <f>INDEX('[4]RT Description to Bill Matix'!$D:$D,MATCH(A255,'[4]RT Description to Bill Matix'!$M:$M,0))</f>
        <v>Habilitation (CFC)</v>
      </c>
      <c r="H255" s="65" t="s">
        <v>631</v>
      </c>
      <c r="I255" s="65"/>
      <c r="J255" s="65" t="str" cm="1">
        <f t="array" ref="J255">INDEX('Rate Table Service Desc XWalk'!F:F,MATCH(1,(G255='Rate Table Service Desc XWalk'!B:B)*(E255='Rate Table Service Desc XWalk'!A:A),0))</f>
        <v>7-1-27</v>
      </c>
      <c r="K255" s="66" t="str">
        <f>INDEX('[5]Combined Bill Code List'!$A:$A,MATCH(A255,'[5]Combined Bill Code List'!$F:$F,0))</f>
        <v>State Plan (Title XIX)</v>
      </c>
      <c r="L255" s="66" t="str">
        <f>INDEX('[6]Rate History'!$P:$P,MATCH(A255,'[6]Rate History'!$F:$F,0))</f>
        <v>15 minutes</v>
      </c>
      <c r="M255" s="77">
        <f>INDEX('[7]PDF DB Service Pivot'!$C:$C,MATCH(B255,'[7]PDF DB Service Pivot'!$B:$B,0))</f>
        <v>8544</v>
      </c>
      <c r="N255" s="77">
        <f t="shared" si="51"/>
        <v>8544</v>
      </c>
      <c r="O255" s="76">
        <f>INDEX('[7]PDF DB Service Pivot'!$D:$D,MATCH(B255,'[7]PDF DB Service Pivot'!$B:$B,0))</f>
        <v>29947.38</v>
      </c>
      <c r="P255" s="91">
        <v>45170</v>
      </c>
      <c r="Q255" s="81">
        <v>3.63</v>
      </c>
      <c r="R255" s="81">
        <f>11.76/4</f>
        <v>2.94</v>
      </c>
      <c r="S255" s="354">
        <f t="shared" si="65"/>
        <v>0.80991735537190079</v>
      </c>
      <c r="T255" s="339">
        <f>INDEX('[8]Billable Services'!$P:$P,MATCH(A255,'[8]Billable Services'!$S:$S,0))</f>
        <v>0.25</v>
      </c>
      <c r="U255" s="81">
        <f t="shared" si="67"/>
        <v>0</v>
      </c>
      <c r="V255" s="81" cm="1">
        <f t="array" ref="V255">_xlfn.IFS('Fiscal by Program'!$B$7&lt;10.61,0,'Fiscal by Program'!$B$7&gt;10.6,(ROUND('Fiscal by Program'!$B$7*(1+IF(D255="Yes",'Fiscal by Program'!$B$9,'Fiscal by Program'!$B$8))*T255,2)))</f>
        <v>0</v>
      </c>
      <c r="W255" s="81">
        <f t="shared" si="52"/>
        <v>0</v>
      </c>
      <c r="X255" s="81">
        <f>ROUND((R255/(1+IF(D255="Yes",'Fiscal by Program'!$B$9,'Fiscal by Program'!$B$8))),2)+0.01</f>
        <v>2.6599999999999997</v>
      </c>
      <c r="Y255" s="81">
        <f t="shared" si="53"/>
        <v>3.63</v>
      </c>
      <c r="Z255" s="88">
        <v>1</v>
      </c>
      <c r="AA255" s="90">
        <f t="shared" si="68"/>
        <v>0.25</v>
      </c>
      <c r="AB255" s="75">
        <f>INDEX('[9]Service List'!$K:$K,MATCH(A255,'[9]Service List'!$F:$F,0))</f>
        <v>783</v>
      </c>
      <c r="AC255" s="73" t="str">
        <f>INDEX('[5]Combined Bill Code List'!$P:$P,MATCH(A255,'[5]Combined Bill Code List'!$F:$F,0))</f>
        <v>CFC</v>
      </c>
      <c r="AD255" s="80" t="s">
        <v>605</v>
      </c>
      <c r="AE255" s="79">
        <f t="shared" si="66"/>
        <v>1.095890410958904</v>
      </c>
      <c r="AF255" s="66">
        <v>-0.06</v>
      </c>
      <c r="AG255" s="70">
        <f>ROUND(INDEX('All Trends'!D:D,MATCH($AD255,'All Trends'!$C:$C,0)),4)</f>
        <v>1.0029999999999999</v>
      </c>
      <c r="AH255" s="70">
        <f>ROUND(INDEX('All Trends'!E:E,MATCH($AD255,'All Trends'!$C:$C,0)),4)</f>
        <v>1.1597999999999999</v>
      </c>
      <c r="AI255" s="70">
        <f>ROUND(INDEX('All Trends'!F:F,MATCH($AD255,'All Trends'!$C:$C,0)),4)</f>
        <v>1.2376</v>
      </c>
      <c r="AJ255" s="70">
        <f>ROUND(INDEX('All Trends'!G:G,MATCH($AD255,'All Trends'!$C:$C,0)),4)</f>
        <v>1.3059000000000001</v>
      </c>
      <c r="AK255" s="70">
        <f>ROUND(INDEX('All Trends'!H:H,MATCH($AD255,'All Trends'!$C:$C,0)),4)</f>
        <v>1.3692</v>
      </c>
      <c r="AL255" s="74" t="s">
        <v>148</v>
      </c>
      <c r="AM255" s="92">
        <f t="shared" si="54"/>
        <v>2643.51</v>
      </c>
      <c r="AN255" s="92">
        <f t="shared" si="55"/>
        <v>2789.4</v>
      </c>
      <c r="AO255" s="69">
        <f t="shared" si="56"/>
        <v>0</v>
      </c>
      <c r="AP255" s="69">
        <f t="shared" si="57"/>
        <v>0</v>
      </c>
      <c r="AQ255" s="69">
        <f t="shared" si="58"/>
        <v>0</v>
      </c>
      <c r="AR255" s="69">
        <f t="shared" si="59"/>
        <v>0</v>
      </c>
      <c r="AS255" s="409"/>
      <c r="AT255" s="409"/>
      <c r="AU255" s="409"/>
    </row>
    <row r="256" spans="1:55">
      <c r="A256" s="78" t="s">
        <v>632</v>
      </c>
      <c r="B256" s="78" t="s">
        <v>632</v>
      </c>
      <c r="C256" s="78" t="s">
        <v>147</v>
      </c>
      <c r="D256" s="78" t="s">
        <v>148</v>
      </c>
      <c r="E256" s="67" t="s">
        <v>633</v>
      </c>
      <c r="F256" s="67" t="s">
        <v>174</v>
      </c>
      <c r="G256" s="67" t="str">
        <f>INDEX('[4]RT Description to Bill Matix'!$D:$D,MATCH(A256,'[4]RT Description to Bill Matix'!$M:$M,0))</f>
        <v>Employment Assistance and Supported Employment</v>
      </c>
      <c r="H256" s="65" t="s">
        <v>634</v>
      </c>
      <c r="I256" s="65"/>
      <c r="J256" s="65" t="str" cm="1">
        <f t="array" ref="J256">INDEX('Rate Table Service Desc XWalk'!F:F,MATCH(1,(G256='Rate Table Service Desc XWalk'!B:B)*(E256='Rate Table Service Desc XWalk'!A:A),0))</f>
        <v>6-1-23</v>
      </c>
      <c r="K256" s="66" t="str">
        <f>INDEX('[5]Combined Bill Code List'!$A:$A,MATCH(A256,'[5]Combined Bill Code List'!$F:$F,0))</f>
        <v>1115 Waiver</v>
      </c>
      <c r="L256" s="66" t="s">
        <v>229</v>
      </c>
      <c r="M256" s="77">
        <f>INDEX('[7]PDF DB Service Pivot'!$C:$C,MATCH(B256,'[7]PDF DB Service Pivot'!$B:$B,0))</f>
        <v>1666</v>
      </c>
      <c r="N256" s="77">
        <f t="shared" si="51"/>
        <v>1666</v>
      </c>
      <c r="O256" s="76">
        <f>INDEX('[7]PDF DB Service Pivot'!$D:$D,MATCH(B256,'[7]PDF DB Service Pivot'!$B:$B,0))</f>
        <v>13565.82</v>
      </c>
      <c r="P256" s="91">
        <v>41518</v>
      </c>
      <c r="Q256" s="81">
        <v>6.52</v>
      </c>
      <c r="R256" s="81">
        <v>6.52</v>
      </c>
      <c r="S256" s="371">
        <f t="shared" si="65"/>
        <v>1</v>
      </c>
      <c r="T256" s="339">
        <v>0.25</v>
      </c>
      <c r="U256" s="81">
        <f t="shared" si="67"/>
        <v>0</v>
      </c>
      <c r="V256" s="81" cm="1">
        <f t="array" ref="V256">_xlfn.IFS('Fiscal by Program'!$B$7&lt;10.61,0,'Fiscal by Program'!$B$7&gt;10.6,(ROUND('Fiscal by Program'!$B$7*(1+IF(D256="Yes",'Fiscal by Program'!$B$9,'Fiscal by Program'!$B$8))*T256,2)))</f>
        <v>0</v>
      </c>
      <c r="W256" s="81">
        <f t="shared" si="52"/>
        <v>0</v>
      </c>
      <c r="X256" s="81">
        <f>ROUND((R256/(1+IF(D256="Yes",'Fiscal by Program'!$B$9,'Fiscal by Program'!$B$8))),2)+0.01</f>
        <v>5.8999999999999995</v>
      </c>
      <c r="Y256" s="81">
        <f t="shared" si="53"/>
        <v>6.52</v>
      </c>
      <c r="Z256" s="88">
        <v>1</v>
      </c>
      <c r="AA256" s="339">
        <f t="shared" si="68"/>
        <v>0.25</v>
      </c>
      <c r="AB256" s="93">
        <f>INDEX('[9]Service List'!$K:$K,MATCH(A256,'[9]Service List'!$F:$F,0))</f>
        <v>944</v>
      </c>
      <c r="AC256" s="73">
        <f>INDEX('[5]Combined Bill Code List'!$P:$P,MATCH(A256,'[5]Combined Bill Code List'!$F:$F,0))</f>
        <v>0</v>
      </c>
      <c r="AD256" s="67" t="s">
        <v>635</v>
      </c>
      <c r="AE256" s="79">
        <f t="shared" si="66"/>
        <v>1.095890410958904</v>
      </c>
      <c r="AF256" s="66">
        <v>0</v>
      </c>
      <c r="AG256" s="70">
        <f>ROUND(INDEX('All Trends'!D:D,MATCH($AD256,'All Trends'!$C:$C,0)),4)</f>
        <v>1.1354</v>
      </c>
      <c r="AH256" s="70">
        <f>ROUND(INDEX('All Trends'!E:E,MATCH($AD256,'All Trends'!$C:$C,0)),4)</f>
        <v>1.2451000000000001</v>
      </c>
      <c r="AI256" s="70">
        <f>ROUND(INDEX('All Trends'!F:F,MATCH($AD256,'All Trends'!$C:$C,0)),4)</f>
        <v>1.3443000000000001</v>
      </c>
      <c r="AJ256" s="70">
        <f>ROUND(INDEX('All Trends'!G:G,MATCH($AD256,'All Trends'!$C:$C,0)),4)</f>
        <v>1.4441999999999999</v>
      </c>
      <c r="AK256" s="70">
        <f>ROUND(INDEX('All Trends'!H:H,MATCH($AD256,'All Trends'!$C:$C,0)),4)</f>
        <v>1.548</v>
      </c>
      <c r="AL256" s="74" t="s">
        <v>148</v>
      </c>
      <c r="AM256" s="92">
        <f t="shared" si="54"/>
        <v>559.9</v>
      </c>
      <c r="AN256" s="92">
        <f t="shared" si="55"/>
        <v>601.51</v>
      </c>
      <c r="AO256" s="69">
        <f t="shared" si="56"/>
        <v>0</v>
      </c>
      <c r="AP256" s="69">
        <f t="shared" si="57"/>
        <v>0</v>
      </c>
      <c r="AQ256" s="69">
        <f t="shared" si="58"/>
        <v>0</v>
      </c>
      <c r="AR256" s="69">
        <f t="shared" si="59"/>
        <v>0</v>
      </c>
      <c r="AS256" s="409"/>
      <c r="AT256" s="409"/>
      <c r="AU256" s="409"/>
    </row>
    <row r="257" spans="1:47">
      <c r="A257" s="78" t="s">
        <v>636</v>
      </c>
      <c r="B257" s="78" t="s">
        <v>636</v>
      </c>
      <c r="C257" s="78" t="s">
        <v>147</v>
      </c>
      <c r="D257" s="78" t="s">
        <v>148</v>
      </c>
      <c r="E257" s="67" t="s">
        <v>633</v>
      </c>
      <c r="F257" s="67" t="s">
        <v>162</v>
      </c>
      <c r="G257" s="67" t="str">
        <f>INDEX('[4]RT Description to Bill Matix'!$D:$D,MATCH(A257,'[4]RT Description to Bill Matix'!$M:$M,0))</f>
        <v>PAS/HAB (CFC and Non-CFC)</v>
      </c>
      <c r="H257" s="65" t="s">
        <v>637</v>
      </c>
      <c r="I257" s="65"/>
      <c r="J257" s="65" t="str" cm="1">
        <f t="array" ref="J257">INDEX('Rate Table Service Desc XWalk'!F:F,MATCH(1,(G257='Rate Table Service Desc XWalk'!B:B)*(E257='Rate Table Service Desc XWalk'!A:A),0))</f>
        <v>6-1-77</v>
      </c>
      <c r="K257" s="66" t="str">
        <f>INDEX('[5]Combined Bill Code List'!$A:$A,MATCH(A257,'[5]Combined Bill Code List'!$F:$F,0))</f>
        <v>1115 Waiver</v>
      </c>
      <c r="L257" s="66" t="str">
        <f>INDEX('[6]Rate History'!$P:$P,MATCH(A257,'[6]Rate History'!$F:$F,0))</f>
        <v>15 minutes</v>
      </c>
      <c r="M257" s="77">
        <f>INDEX('[7]PDF DB Service Pivot'!$C:$C,MATCH(B257,'[7]PDF DB Service Pivot'!$B:$B,0))</f>
        <v>4060299</v>
      </c>
      <c r="N257" s="77">
        <f t="shared" si="51"/>
        <v>4060299</v>
      </c>
      <c r="O257" s="76">
        <f>INDEX('[7]PDF DB Service Pivot'!$D:$D,MATCH(B257,'[7]PDF DB Service Pivot'!$B:$B,0))</f>
        <v>13376305.200000001</v>
      </c>
      <c r="P257" s="91">
        <v>45170</v>
      </c>
      <c r="Q257" s="81">
        <v>3.57</v>
      </c>
      <c r="R257" s="81">
        <f>11.77/4</f>
        <v>2.9424999999999999</v>
      </c>
      <c r="S257" s="354">
        <f t="shared" si="65"/>
        <v>0.82422969187675066</v>
      </c>
      <c r="T257" s="339">
        <f>INDEX('[8]Billable Services'!$P:$P,MATCH(A257,'[8]Billable Services'!$T:$T,0))</f>
        <v>0.25</v>
      </c>
      <c r="U257" s="81">
        <f t="shared" si="67"/>
        <v>0</v>
      </c>
      <c r="V257" s="81" cm="1">
        <f t="array" ref="V257">_xlfn.IFS('Fiscal by Program'!$B$7&lt;10.61,0,'Fiscal by Program'!$B$7&gt;10.6,(ROUND('Fiscal by Program'!$B$7*(1+IF(D257="Yes",'Fiscal by Program'!$B$9,'Fiscal by Program'!$B$8))*T257,2)))</f>
        <v>0</v>
      </c>
      <c r="W257" s="81">
        <f t="shared" si="52"/>
        <v>0</v>
      </c>
      <c r="X257" s="81">
        <f>ROUND((R257/(1+IF(D257="Yes",'Fiscal by Program'!$B$9,'Fiscal by Program'!$B$8))),2)+0.01</f>
        <v>2.67</v>
      </c>
      <c r="Y257" s="81">
        <f t="shared" si="53"/>
        <v>3.57</v>
      </c>
      <c r="Z257" s="88">
        <v>1</v>
      </c>
      <c r="AA257" s="90">
        <f t="shared" si="68"/>
        <v>0.25</v>
      </c>
      <c r="AB257" s="75">
        <f>INDEX('[9]Service List'!$K:$K,MATCH(A257,'[9]Service List'!$F:$F,0))</f>
        <v>1051</v>
      </c>
      <c r="AC257" s="73">
        <f>INDEX('[5]Combined Bill Code List'!$P:$P,MATCH(A257,'[5]Combined Bill Code List'!$F:$F,0))</f>
        <v>0</v>
      </c>
      <c r="AD257" s="67" t="s">
        <v>635</v>
      </c>
      <c r="AE257" s="79">
        <f t="shared" si="66"/>
        <v>1.095890410958904</v>
      </c>
      <c r="AF257" s="66">
        <v>0</v>
      </c>
      <c r="AG257" s="70">
        <f>ROUND(INDEX('All Trends'!D:D,MATCH($AD257,'All Trends'!$C:$C,0)),4)</f>
        <v>1.1354</v>
      </c>
      <c r="AH257" s="70">
        <f>ROUND(INDEX('All Trends'!E:E,MATCH($AD257,'All Trends'!$C:$C,0)),4)</f>
        <v>1.2451000000000001</v>
      </c>
      <c r="AI257" s="70">
        <f>ROUND(INDEX('All Trends'!F:F,MATCH($AD257,'All Trends'!$C:$C,0)),4)</f>
        <v>1.3443000000000001</v>
      </c>
      <c r="AJ257" s="70">
        <f>ROUND(INDEX('All Trends'!G:G,MATCH($AD257,'All Trends'!$C:$C,0)),4)</f>
        <v>1.4441999999999999</v>
      </c>
      <c r="AK257" s="70">
        <f>ROUND(INDEX('All Trends'!H:H,MATCH($AD257,'All Trends'!$C:$C,0)),4)</f>
        <v>1.548</v>
      </c>
      <c r="AL257" s="74" t="s">
        <v>148</v>
      </c>
      <c r="AM257" s="92">
        <f t="shared" si="54"/>
        <v>1364564.99</v>
      </c>
      <c r="AN257" s="92">
        <f t="shared" si="55"/>
        <v>1465970.95</v>
      </c>
      <c r="AO257" s="69">
        <f t="shared" si="56"/>
        <v>0</v>
      </c>
      <c r="AP257" s="69">
        <f t="shared" si="57"/>
        <v>0</v>
      </c>
      <c r="AQ257" s="69">
        <f t="shared" si="58"/>
        <v>0</v>
      </c>
      <c r="AR257" s="69">
        <f t="shared" si="59"/>
        <v>0</v>
      </c>
      <c r="AS257" s="409"/>
      <c r="AT257" s="409"/>
      <c r="AU257" s="409"/>
    </row>
    <row r="258" spans="1:47">
      <c r="A258" s="78" t="s">
        <v>638</v>
      </c>
      <c r="B258" s="78" t="s">
        <v>638</v>
      </c>
      <c r="C258" s="78" t="s">
        <v>147</v>
      </c>
      <c r="D258" s="78" t="s">
        <v>148</v>
      </c>
      <c r="E258" s="67" t="s">
        <v>633</v>
      </c>
      <c r="F258" s="67" t="s">
        <v>162</v>
      </c>
      <c r="G258" s="67" t="str">
        <f>INDEX('[4]RT Description to Bill Matix'!$D:$D,MATCH(A258,'[4]RT Description to Bill Matix'!$M:$M,0))</f>
        <v>PAS/HAB (CFC and Non-CFC)</v>
      </c>
      <c r="H258" s="65" t="s">
        <v>639</v>
      </c>
      <c r="I258" s="65"/>
      <c r="J258" s="65" t="str" cm="1">
        <f t="array" ref="J258">INDEX('Rate Table Service Desc XWalk'!F:F,MATCH(1,(G258='Rate Table Service Desc XWalk'!B:B)*(E258='Rate Table Service Desc XWalk'!A:A),0))</f>
        <v>6-1-77</v>
      </c>
      <c r="K258" s="66" t="str">
        <f>INDEX('[5]Combined Bill Code List'!$A:$A,MATCH(A258,'[5]Combined Bill Code List'!$F:$F,0))</f>
        <v>1115 Waiver</v>
      </c>
      <c r="L258" s="66" t="str">
        <f>INDEX('[6]Rate History'!$P:$P,MATCH(A258,'[6]Rate History'!$F:$F,0))</f>
        <v>15 minutes</v>
      </c>
      <c r="M258" s="77">
        <f>INDEX('[7]PDF DB Service Pivot'!$C:$C,MATCH(B258,'[7]PDF DB Service Pivot'!$B:$B,0))</f>
        <v>1885409</v>
      </c>
      <c r="N258" s="77">
        <f t="shared" si="51"/>
        <v>1885409</v>
      </c>
      <c r="O258" s="76">
        <f>INDEX('[7]PDF DB Service Pivot'!$D:$D,MATCH(B258,'[7]PDF DB Service Pivot'!$B:$B,0))</f>
        <v>5799427.2700000005</v>
      </c>
      <c r="P258" s="91">
        <v>45170</v>
      </c>
      <c r="Q258" s="81">
        <v>3.57</v>
      </c>
      <c r="R258" s="81">
        <f>11.77/4</f>
        <v>2.9424999999999999</v>
      </c>
      <c r="S258" s="354">
        <f t="shared" si="65"/>
        <v>0.82422969187675066</v>
      </c>
      <c r="T258" s="339">
        <f>INDEX('[8]Billable Services'!$P:$P,MATCH(A258,'[8]Billable Services'!$T:$T,0))</f>
        <v>0.25</v>
      </c>
      <c r="U258" s="81">
        <f t="shared" si="67"/>
        <v>0</v>
      </c>
      <c r="V258" s="81" cm="1">
        <f t="array" ref="V258">_xlfn.IFS('Fiscal by Program'!$B$7&lt;10.61,0,'Fiscal by Program'!$B$7&gt;10.6,(ROUND('Fiscal by Program'!$B$7*(1+IF(D258="Yes",'Fiscal by Program'!$B$9,'Fiscal by Program'!$B$8))*T258,2)))</f>
        <v>0</v>
      </c>
      <c r="W258" s="81">
        <f t="shared" si="52"/>
        <v>0</v>
      </c>
      <c r="X258" s="81">
        <f>ROUND((R258/(1+IF(D258="Yes",'Fiscal by Program'!$B$9,'Fiscal by Program'!$B$8))),2)+0.01</f>
        <v>2.67</v>
      </c>
      <c r="Y258" s="81">
        <f t="shared" si="53"/>
        <v>3.57</v>
      </c>
      <c r="Z258" s="88">
        <v>1</v>
      </c>
      <c r="AA258" s="90">
        <f t="shared" si="68"/>
        <v>0.25</v>
      </c>
      <c r="AB258" s="75">
        <f>INDEX('[9]Service List'!$K:$K,MATCH(A258,'[9]Service List'!$F:$F,0))</f>
        <v>1059</v>
      </c>
      <c r="AC258" s="73">
        <f>INDEX('[5]Combined Bill Code List'!$P:$P,MATCH(A258,'[5]Combined Bill Code List'!$F:$F,0))</f>
        <v>0</v>
      </c>
      <c r="AD258" s="67" t="s">
        <v>635</v>
      </c>
      <c r="AE258" s="79">
        <f t="shared" si="66"/>
        <v>1.095890410958904</v>
      </c>
      <c r="AF258" s="66">
        <v>0</v>
      </c>
      <c r="AG258" s="70">
        <f>ROUND(INDEX('All Trends'!D:D,MATCH($AD258,'All Trends'!$C:$C,0)),4)</f>
        <v>1.1354</v>
      </c>
      <c r="AH258" s="70">
        <f>ROUND(INDEX('All Trends'!E:E,MATCH($AD258,'All Trends'!$C:$C,0)),4)</f>
        <v>1.2451000000000001</v>
      </c>
      <c r="AI258" s="70">
        <f>ROUND(INDEX('All Trends'!F:F,MATCH($AD258,'All Trends'!$C:$C,0)),4)</f>
        <v>1.3443000000000001</v>
      </c>
      <c r="AJ258" s="70">
        <f>ROUND(INDEX('All Trends'!G:G,MATCH($AD258,'All Trends'!$C:$C,0)),4)</f>
        <v>1.4441999999999999</v>
      </c>
      <c r="AK258" s="70">
        <f>ROUND(INDEX('All Trends'!H:H,MATCH($AD258,'All Trends'!$C:$C,0)),4)</f>
        <v>1.548</v>
      </c>
      <c r="AL258" s="74" t="s">
        <v>148</v>
      </c>
      <c r="AM258" s="92">
        <f t="shared" si="54"/>
        <v>633638.82999999996</v>
      </c>
      <c r="AN258" s="92">
        <f t="shared" si="55"/>
        <v>680726.92</v>
      </c>
      <c r="AO258" s="69">
        <f t="shared" si="56"/>
        <v>0</v>
      </c>
      <c r="AP258" s="69">
        <f t="shared" si="57"/>
        <v>0</v>
      </c>
      <c r="AQ258" s="69">
        <f t="shared" si="58"/>
        <v>0</v>
      </c>
      <c r="AR258" s="69">
        <f t="shared" si="59"/>
        <v>0</v>
      </c>
      <c r="AS258" s="409"/>
      <c r="AT258" s="409"/>
      <c r="AU258" s="409"/>
    </row>
    <row r="259" spans="1:47">
      <c r="A259" s="78" t="s">
        <v>640</v>
      </c>
      <c r="B259" s="78" t="s">
        <v>640</v>
      </c>
      <c r="C259" s="78" t="s">
        <v>147</v>
      </c>
      <c r="D259" s="78" t="s">
        <v>148</v>
      </c>
      <c r="E259" s="67" t="s">
        <v>633</v>
      </c>
      <c r="F259" s="67" t="s">
        <v>162</v>
      </c>
      <c r="G259" s="67" t="str">
        <f>INDEX('[4]RT Description to Bill Matix'!$D:$D,MATCH(A259,'[4]RT Description to Bill Matix'!$M:$M,0))</f>
        <v>CDS PAS/HAB (CFC and Non-CFC)</v>
      </c>
      <c r="H259" s="65" t="s">
        <v>641</v>
      </c>
      <c r="I259" s="65" t="s">
        <v>147</v>
      </c>
      <c r="J259" s="65" t="str" cm="1">
        <f t="array" ref="J259">INDEX('Rate Table Service Desc XWalk'!F:F,MATCH(1,(G259='Rate Table Service Desc XWalk'!B:B)*(E259='Rate Table Service Desc XWalk'!A:A),0))</f>
        <v>6-5-141</v>
      </c>
      <c r="K259" s="66" t="str">
        <f>INDEX('[5]Combined Bill Code List'!$A:$A,MATCH(A259,'[5]Combined Bill Code List'!$F:$F,0))</f>
        <v>1115 Waiver</v>
      </c>
      <c r="L259" s="66" t="str">
        <f>INDEX('[6]Rate History'!$P:$P,MATCH(A259,'[6]Rate History'!$F:$F,0))</f>
        <v>15 minutes</v>
      </c>
      <c r="M259" s="77">
        <f>INDEX('[7]PDF DB Service Pivot'!$C:$C,MATCH(B259,'[7]PDF DB Service Pivot'!$B:$B,0))</f>
        <v>179043.8</v>
      </c>
      <c r="N259" s="77">
        <f t="shared" ref="N259:N322" si="69">IF(ISNUMBER(FIND("ISS",F259)),IF(I259="Yes",((M259/Q259)/6)*12,(M259/6)*12),IF(AND(I259="Yes",M259=O259),M259/Q259,M259))</f>
        <v>179043.8</v>
      </c>
      <c r="O259" s="76">
        <f>INDEX('[7]PDF DB Service Pivot'!$D:$D,MATCH(B259,'[7]PDF DB Service Pivot'!$B:$B,0))</f>
        <v>502084.80999999994</v>
      </c>
      <c r="P259" s="91">
        <v>45170</v>
      </c>
      <c r="Q259" s="81">
        <v>3.48</v>
      </c>
      <c r="R259" s="81">
        <f>11.75/4</f>
        <v>2.9375</v>
      </c>
      <c r="S259" s="354">
        <f t="shared" si="65"/>
        <v>0.8441091954022989</v>
      </c>
      <c r="T259" s="339">
        <v>0.25</v>
      </c>
      <c r="U259" s="81">
        <f t="shared" si="67"/>
        <v>0</v>
      </c>
      <c r="V259" s="81" cm="1">
        <f t="array" ref="V259">_xlfn.IFS('Fiscal by Program'!$B$7&lt;10.61,0,'Fiscal by Program'!$B$7&gt;10.6,(ROUND('Fiscal by Program'!$B$7*(1+IF(D259="Yes",'Fiscal by Program'!$B$9,'Fiscal by Program'!$B$8))*T259,2)))</f>
        <v>0</v>
      </c>
      <c r="W259" s="81">
        <f t="shared" ref="W259:W322" si="70">IF(V259-R259&lt;0,0,V259-R259)</f>
        <v>0</v>
      </c>
      <c r="X259" s="81">
        <f>ROUND((R259/(1+IF(D259="Yes",'Fiscal by Program'!$B$9,'Fiscal by Program'!$B$8))),2)+0.01</f>
        <v>2.6599999999999997</v>
      </c>
      <c r="Y259" s="81">
        <f t="shared" ref="Y259:Y322" si="71">Q259+W259</f>
        <v>3.48</v>
      </c>
      <c r="Z259" s="88">
        <v>1</v>
      </c>
      <c r="AA259" s="90">
        <f t="shared" si="68"/>
        <v>0.25</v>
      </c>
      <c r="AB259" s="75">
        <f>INDEX('[9]Service List'!$K:$K,MATCH(A259,'[9]Service List'!$F:$F,0))</f>
        <v>1055</v>
      </c>
      <c r="AC259" s="73">
        <f>INDEX('[5]Combined Bill Code List'!$P:$P,MATCH(A259,'[5]Combined Bill Code List'!$F:$F,0))</f>
        <v>0</v>
      </c>
      <c r="AD259" s="67" t="s">
        <v>635</v>
      </c>
      <c r="AE259" s="79">
        <f t="shared" si="66"/>
        <v>1.095890410958904</v>
      </c>
      <c r="AF259" s="66">
        <v>0</v>
      </c>
      <c r="AG259" s="70">
        <f>ROUND(INDEX('All Trends'!D:D,MATCH($AD259,'All Trends'!$C:$C,0)),4)</f>
        <v>1.1354</v>
      </c>
      <c r="AH259" s="70">
        <f>ROUND(INDEX('All Trends'!E:E,MATCH($AD259,'All Trends'!$C:$C,0)),4)</f>
        <v>1.2451000000000001</v>
      </c>
      <c r="AI259" s="70">
        <f>ROUND(INDEX('All Trends'!F:F,MATCH($AD259,'All Trends'!$C:$C,0)),4)</f>
        <v>1.3443000000000001</v>
      </c>
      <c r="AJ259" s="70">
        <f>ROUND(INDEX('All Trends'!G:G,MATCH($AD259,'All Trends'!$C:$C,0)),4)</f>
        <v>1.4441999999999999</v>
      </c>
      <c r="AK259" s="70">
        <f>ROUND(INDEX('All Trends'!H:H,MATCH($AD259,'All Trends'!$C:$C,0)),4)</f>
        <v>1.548</v>
      </c>
      <c r="AL259" s="74" t="s">
        <v>148</v>
      </c>
      <c r="AM259" s="92">
        <f t="shared" ref="AM259:AM322" si="72">IF(C259="Yes",ROUND(T259*N259*AI259,2),0)</f>
        <v>60172.15</v>
      </c>
      <c r="AN259" s="92">
        <f t="shared" ref="AN259:AN322" si="73">IF(C259="Yes",ROUND(T259*N259*AJ259,2),0)</f>
        <v>64643.76</v>
      </c>
      <c r="AO259" s="69">
        <f t="shared" ref="AO259:AO322" si="74">IF(C259="Yes",ROUND((W259*N259*AI259),2),0)</f>
        <v>0</v>
      </c>
      <c r="AP259" s="69">
        <f t="shared" ref="AP259:AP322" si="75">IF(C259="Yes",IF($AL259="No",ROUND(($AO259*($AY$2+$AF259)),2),ROUND($AO259,2)),0)</f>
        <v>0</v>
      </c>
      <c r="AQ259" s="69">
        <f t="shared" ref="AQ259:AQ322" si="76">IF(C259="Yes",ROUND((W259*N259*AJ259),2),0)</f>
        <v>0</v>
      </c>
      <c r="AR259" s="69">
        <f t="shared" ref="AR259:AR322" si="77">IF(C259="Yes",IF($AL259="No",ROUND(($AQ259*($AZ$2+$AF259)),2),ROUND($AQ259,2)),0)</f>
        <v>0</v>
      </c>
      <c r="AS259" s="409"/>
      <c r="AT259" s="409"/>
      <c r="AU259" s="409"/>
    </row>
    <row r="260" spans="1:47">
      <c r="A260" s="78" t="s">
        <v>642</v>
      </c>
      <c r="B260" s="78" t="s">
        <v>642</v>
      </c>
      <c r="C260" s="78" t="s">
        <v>147</v>
      </c>
      <c r="D260" s="78" t="s">
        <v>148</v>
      </c>
      <c r="E260" s="67" t="s">
        <v>633</v>
      </c>
      <c r="F260" s="67" t="s">
        <v>162</v>
      </c>
      <c r="G260" s="67" t="str">
        <f>INDEX('[4]RT Description to Bill Matix'!$D:$D,MATCH(A260,'[4]RT Description to Bill Matix'!$M:$M,0))</f>
        <v>PAS/HAB (CFC and Non-CFC)</v>
      </c>
      <c r="H260" s="65" t="s">
        <v>643</v>
      </c>
      <c r="I260" s="65"/>
      <c r="J260" s="65" t="str" cm="1">
        <f t="array" ref="J260">INDEX('Rate Table Service Desc XWalk'!F:F,MATCH(1,(G260='Rate Table Service Desc XWalk'!B:B)*(E260='Rate Table Service Desc XWalk'!A:A),0))</f>
        <v>6-1-77</v>
      </c>
      <c r="K260" s="66" t="str">
        <f>INDEX('[5]Combined Bill Code List'!$A:$A,MATCH(A260,'[5]Combined Bill Code List'!$F:$F,0))</f>
        <v>State Plan (Title XIX)</v>
      </c>
      <c r="L260" s="66" t="str">
        <f>INDEX('[6]Rate History'!$P:$P,MATCH(A260,'[6]Rate History'!$F:$F,0))</f>
        <v>15 minutes</v>
      </c>
      <c r="M260" s="77">
        <f>INDEX('[7]PDF DB Service Pivot'!$C:$C,MATCH(B260,'[7]PDF DB Service Pivot'!$B:$B,0))</f>
        <v>13793298</v>
      </c>
      <c r="N260" s="77">
        <f t="shared" si="69"/>
        <v>13793298</v>
      </c>
      <c r="O260" s="76">
        <f>INDEX('[7]PDF DB Service Pivot'!$D:$D,MATCH(B260,'[7]PDF DB Service Pivot'!$B:$B,0))</f>
        <v>49198559.279999994</v>
      </c>
      <c r="P260" s="91">
        <v>45170</v>
      </c>
      <c r="Q260" s="81">
        <v>3.63</v>
      </c>
      <c r="R260" s="81">
        <f>11.76/4</f>
        <v>2.94</v>
      </c>
      <c r="S260" s="354">
        <f t="shared" si="65"/>
        <v>0.80991735537190079</v>
      </c>
      <c r="T260" s="339">
        <f>INDEX('[8]Billable Services'!$P:$P,MATCH(A260,'[8]Billable Services'!$T:$T,0))</f>
        <v>0.25</v>
      </c>
      <c r="U260" s="81">
        <f t="shared" si="67"/>
        <v>0</v>
      </c>
      <c r="V260" s="81" cm="1">
        <f t="array" ref="V260">_xlfn.IFS('Fiscal by Program'!$B$7&lt;10.61,0,'Fiscal by Program'!$B$7&gt;10.6,(ROUND('Fiscal by Program'!$B$7*(1+IF(D260="Yes",'Fiscal by Program'!$B$9,'Fiscal by Program'!$B$8))*T260,2)))</f>
        <v>0</v>
      </c>
      <c r="W260" s="81">
        <f t="shared" si="70"/>
        <v>0</v>
      </c>
      <c r="X260" s="81">
        <f>ROUND((R260/(1+IF(D260="Yes",'Fiscal by Program'!$B$9,'Fiscal by Program'!$B$8))),2)+0.01</f>
        <v>2.6599999999999997</v>
      </c>
      <c r="Y260" s="81">
        <f t="shared" si="71"/>
        <v>3.63</v>
      </c>
      <c r="Z260" s="88">
        <v>1</v>
      </c>
      <c r="AA260" s="90">
        <f t="shared" si="68"/>
        <v>0.25</v>
      </c>
      <c r="AB260" s="75">
        <f>INDEX('[9]Service List'!$K:$K,MATCH(A260,'[9]Service List'!$F:$F,0))</f>
        <v>1053</v>
      </c>
      <c r="AC260" s="73" t="str">
        <f>INDEX('[5]Combined Bill Code List'!$P:$P,MATCH(A260,'[5]Combined Bill Code List'!$F:$F,0))</f>
        <v>CFC</v>
      </c>
      <c r="AD260" s="67" t="s">
        <v>635</v>
      </c>
      <c r="AE260" s="79">
        <f t="shared" si="66"/>
        <v>1.095890410958904</v>
      </c>
      <c r="AF260" s="66">
        <v>-0.06</v>
      </c>
      <c r="AG260" s="70">
        <f>ROUND(INDEX('All Trends'!D:D,MATCH($AD260,'All Trends'!$C:$C,0)),4)</f>
        <v>1.1354</v>
      </c>
      <c r="AH260" s="70">
        <f>ROUND(INDEX('All Trends'!E:E,MATCH($AD260,'All Trends'!$C:$C,0)),4)</f>
        <v>1.2451000000000001</v>
      </c>
      <c r="AI260" s="70">
        <f>ROUND(INDEX('All Trends'!F:F,MATCH($AD260,'All Trends'!$C:$C,0)),4)</f>
        <v>1.3443000000000001</v>
      </c>
      <c r="AJ260" s="70">
        <f>ROUND(INDEX('All Trends'!G:G,MATCH($AD260,'All Trends'!$C:$C,0)),4)</f>
        <v>1.4441999999999999</v>
      </c>
      <c r="AK260" s="70">
        <f>ROUND(INDEX('All Trends'!H:H,MATCH($AD260,'All Trends'!$C:$C,0)),4)</f>
        <v>1.548</v>
      </c>
      <c r="AL260" s="74" t="s">
        <v>148</v>
      </c>
      <c r="AM260" s="92">
        <f t="shared" si="72"/>
        <v>4635582.63</v>
      </c>
      <c r="AN260" s="92">
        <f t="shared" si="73"/>
        <v>4980070.24</v>
      </c>
      <c r="AO260" s="69">
        <f t="shared" si="74"/>
        <v>0</v>
      </c>
      <c r="AP260" s="69">
        <f t="shared" si="75"/>
        <v>0</v>
      </c>
      <c r="AQ260" s="69">
        <f t="shared" si="76"/>
        <v>0</v>
      </c>
      <c r="AR260" s="69">
        <f t="shared" si="77"/>
        <v>0</v>
      </c>
      <c r="AS260" s="409"/>
      <c r="AT260" s="409"/>
      <c r="AU260" s="409"/>
    </row>
    <row r="261" spans="1:47">
      <c r="A261" s="78" t="s">
        <v>644</v>
      </c>
      <c r="B261" s="78" t="s">
        <v>644</v>
      </c>
      <c r="C261" s="78" t="s">
        <v>147</v>
      </c>
      <c r="D261" s="78" t="s">
        <v>148</v>
      </c>
      <c r="E261" s="67" t="s">
        <v>633</v>
      </c>
      <c r="F261" s="67" t="s">
        <v>162</v>
      </c>
      <c r="G261" s="67" t="str">
        <f>INDEX('[4]RT Description to Bill Matix'!$D:$D,MATCH(A261,'[4]RT Description to Bill Matix'!$M:$M,0))</f>
        <v>CDS PAS/HAB (CFC and Non-CFC)</v>
      </c>
      <c r="H261" s="65" t="s">
        <v>612</v>
      </c>
      <c r="I261" s="65" t="s">
        <v>147</v>
      </c>
      <c r="J261" s="65" t="str" cm="1">
        <f t="array" ref="J261">INDEX('Rate Table Service Desc XWalk'!F:F,MATCH(1,(G261='Rate Table Service Desc XWalk'!B:B)*(E261='Rate Table Service Desc XWalk'!A:A),0))</f>
        <v>6-5-141</v>
      </c>
      <c r="K261" s="66" t="str">
        <f>INDEX('[5]Combined Bill Code List'!$A:$A,MATCH(A261,'[5]Combined Bill Code List'!$F:$F,0))</f>
        <v>State Plan (Title XIX)</v>
      </c>
      <c r="L261" s="66" t="str">
        <f>INDEX('[6]Rate History'!$P:$P,MATCH(A261,'[6]Rate History'!$F:$F,0))</f>
        <v>15 minutes</v>
      </c>
      <c r="M261" s="77">
        <f>INDEX('[7]PDF DB Service Pivot'!$C:$C,MATCH(B261,'[7]PDF DB Service Pivot'!$B:$B,0))</f>
        <v>1095343</v>
      </c>
      <c r="N261" s="77">
        <f t="shared" si="69"/>
        <v>1095343</v>
      </c>
      <c r="O261" s="76">
        <f>INDEX('[7]PDF DB Service Pivot'!$D:$D,MATCH(B261,'[7]PDF DB Service Pivot'!$B:$B,0))</f>
        <v>3524746.3600000003</v>
      </c>
      <c r="P261" s="91">
        <v>45170</v>
      </c>
      <c r="Q261" s="81">
        <v>3.43</v>
      </c>
      <c r="R261" s="81">
        <f>11.76/4</f>
        <v>2.94</v>
      </c>
      <c r="S261" s="354">
        <f t="shared" si="65"/>
        <v>0.8571428571428571</v>
      </c>
      <c r="T261" s="339">
        <v>0.25</v>
      </c>
      <c r="U261" s="81">
        <f t="shared" si="67"/>
        <v>0</v>
      </c>
      <c r="V261" s="81" cm="1">
        <f t="array" ref="V261">_xlfn.IFS('Fiscal by Program'!$B$7&lt;10.61,0,'Fiscal by Program'!$B$7&gt;10.6,(ROUND('Fiscal by Program'!$B$7*(1+IF(D261="Yes",'Fiscal by Program'!$B$9,'Fiscal by Program'!$B$8))*T261,2)))</f>
        <v>0</v>
      </c>
      <c r="W261" s="81">
        <f t="shared" si="70"/>
        <v>0</v>
      </c>
      <c r="X261" s="81">
        <f>ROUND((R261/(1+IF(D261="Yes",'Fiscal by Program'!$B$9,'Fiscal by Program'!$B$8))),2)+0.01</f>
        <v>2.6599999999999997</v>
      </c>
      <c r="Y261" s="81">
        <f t="shared" si="71"/>
        <v>3.43</v>
      </c>
      <c r="Z261" s="88">
        <v>1</v>
      </c>
      <c r="AA261" s="90">
        <f t="shared" si="68"/>
        <v>0.25</v>
      </c>
      <c r="AB261" s="75">
        <f>INDEX('[9]Service List'!$K:$K,MATCH(A261,'[9]Service List'!$F:$F,0))</f>
        <v>1045</v>
      </c>
      <c r="AC261" s="73" t="str">
        <f>INDEX('[5]Combined Bill Code List'!$P:$P,MATCH(A261,'[5]Combined Bill Code List'!$F:$F,0))</f>
        <v>CFC</v>
      </c>
      <c r="AD261" s="67" t="s">
        <v>635</v>
      </c>
      <c r="AE261" s="79">
        <f t="shared" si="66"/>
        <v>1.095890410958904</v>
      </c>
      <c r="AF261" s="66">
        <v>-0.06</v>
      </c>
      <c r="AG261" s="70">
        <f>ROUND(INDEX('All Trends'!D:D,MATCH($AD261,'All Trends'!$C:$C,0)),4)</f>
        <v>1.1354</v>
      </c>
      <c r="AH261" s="70">
        <f>ROUND(INDEX('All Trends'!E:E,MATCH($AD261,'All Trends'!$C:$C,0)),4)</f>
        <v>1.2451000000000001</v>
      </c>
      <c r="AI261" s="70">
        <f>ROUND(INDEX('All Trends'!F:F,MATCH($AD261,'All Trends'!$C:$C,0)),4)</f>
        <v>1.3443000000000001</v>
      </c>
      <c r="AJ261" s="70">
        <f>ROUND(INDEX('All Trends'!G:G,MATCH($AD261,'All Trends'!$C:$C,0)),4)</f>
        <v>1.4441999999999999</v>
      </c>
      <c r="AK261" s="70">
        <f>ROUND(INDEX('All Trends'!H:H,MATCH($AD261,'All Trends'!$C:$C,0)),4)</f>
        <v>1.548</v>
      </c>
      <c r="AL261" s="74" t="s">
        <v>148</v>
      </c>
      <c r="AM261" s="92">
        <f t="shared" si="72"/>
        <v>368117.4</v>
      </c>
      <c r="AN261" s="92">
        <f t="shared" si="73"/>
        <v>395473.59</v>
      </c>
      <c r="AO261" s="69">
        <f t="shared" si="74"/>
        <v>0</v>
      </c>
      <c r="AP261" s="69">
        <f t="shared" si="75"/>
        <v>0</v>
      </c>
      <c r="AQ261" s="69">
        <f t="shared" si="76"/>
        <v>0</v>
      </c>
      <c r="AR261" s="69">
        <f t="shared" si="77"/>
        <v>0</v>
      </c>
      <c r="AS261" s="409"/>
      <c r="AT261" s="409"/>
      <c r="AU261" s="409"/>
    </row>
    <row r="262" spans="1:47">
      <c r="A262" s="78" t="s">
        <v>645</v>
      </c>
      <c r="B262" s="78" t="s">
        <v>645</v>
      </c>
      <c r="C262" s="78" t="s">
        <v>147</v>
      </c>
      <c r="D262" s="78" t="s">
        <v>148</v>
      </c>
      <c r="E262" s="67" t="s">
        <v>633</v>
      </c>
      <c r="F262" s="67" t="s">
        <v>162</v>
      </c>
      <c r="G262" s="67" t="str">
        <f>INDEX('[4]RT Description to Bill Matix'!$D:$D,MATCH(A262,'[4]RT Description to Bill Matix'!$M:$M,0))</f>
        <v>PAS/HAB (CFC and Non-CFC)</v>
      </c>
      <c r="H262" s="65" t="s">
        <v>621</v>
      </c>
      <c r="I262" s="65"/>
      <c r="J262" s="65" t="str" cm="1">
        <f t="array" ref="J262">INDEX('Rate Table Service Desc XWalk'!F:F,MATCH(1,(G262='Rate Table Service Desc XWalk'!B:B)*(E262='Rate Table Service Desc XWalk'!A:A),0))</f>
        <v>6-1-77</v>
      </c>
      <c r="K262" s="66" t="str">
        <f>INDEX('[5]Combined Bill Code List'!$A:$A,MATCH(A262,'[5]Combined Bill Code List'!$F:$F,0))</f>
        <v>State Plan (Title XIX)</v>
      </c>
      <c r="L262" s="66" t="str">
        <f>INDEX('[6]Rate History'!$P:$P,MATCH(A262,'[6]Rate History'!$F:$F,0))</f>
        <v>15 minutes</v>
      </c>
      <c r="M262" s="77">
        <f>INDEX('[7]PDF DB Service Pivot'!$C:$C,MATCH(B262,'[7]PDF DB Service Pivot'!$B:$B,0))</f>
        <v>13098</v>
      </c>
      <c r="N262" s="77">
        <f t="shared" si="69"/>
        <v>13098</v>
      </c>
      <c r="O262" s="76">
        <f>INDEX('[7]PDF DB Service Pivot'!$D:$D,MATCH(B262,'[7]PDF DB Service Pivot'!$B:$B,0))</f>
        <v>45540.909999999996</v>
      </c>
      <c r="P262" s="91">
        <v>45170</v>
      </c>
      <c r="Q262" s="81">
        <v>3.63</v>
      </c>
      <c r="R262" s="81">
        <f>11.76/4</f>
        <v>2.94</v>
      </c>
      <c r="S262" s="354">
        <f t="shared" si="65"/>
        <v>0.80991735537190079</v>
      </c>
      <c r="T262" s="339">
        <f>INDEX('[8]Billable Services'!$P:$P,MATCH(A262,'[8]Billable Services'!$T:$T,0))</f>
        <v>0.25</v>
      </c>
      <c r="U262" s="81">
        <f t="shared" si="67"/>
        <v>0</v>
      </c>
      <c r="V262" s="81" cm="1">
        <f t="array" ref="V262">_xlfn.IFS('Fiscal by Program'!$B$7&lt;10.61,0,'Fiscal by Program'!$B$7&gt;10.6,(ROUND('Fiscal by Program'!$B$7*(1+IF(D262="Yes",'Fiscal by Program'!$B$9,'Fiscal by Program'!$B$8))*T262,2)))</f>
        <v>0</v>
      </c>
      <c r="W262" s="81">
        <f t="shared" si="70"/>
        <v>0</v>
      </c>
      <c r="X262" s="81">
        <f>ROUND((R262/(1+IF(D262="Yes",'Fiscal by Program'!$B$9,'Fiscal by Program'!$B$8))),2)+0.01</f>
        <v>2.6599999999999997</v>
      </c>
      <c r="Y262" s="81">
        <f t="shared" si="71"/>
        <v>3.63</v>
      </c>
      <c r="Z262" s="88">
        <v>1</v>
      </c>
      <c r="AA262" s="90">
        <f t="shared" si="68"/>
        <v>0.25</v>
      </c>
      <c r="AB262" s="75">
        <f>INDEX('[9]Service List'!$K:$K,MATCH(A262,'[9]Service List'!$F:$F,0))</f>
        <v>1049</v>
      </c>
      <c r="AC262" s="73" t="str">
        <f>INDEX('[5]Combined Bill Code List'!$P:$P,MATCH(A262,'[5]Combined Bill Code List'!$F:$F,0))</f>
        <v>CFC</v>
      </c>
      <c r="AD262" s="67" t="s">
        <v>635</v>
      </c>
      <c r="AE262" s="79">
        <f t="shared" si="66"/>
        <v>1.095890410958904</v>
      </c>
      <c r="AF262" s="66">
        <v>-0.06</v>
      </c>
      <c r="AG262" s="70">
        <f>ROUND(INDEX('All Trends'!D:D,MATCH($AD262,'All Trends'!$C:$C,0)),4)</f>
        <v>1.1354</v>
      </c>
      <c r="AH262" s="70">
        <f>ROUND(INDEX('All Trends'!E:E,MATCH($AD262,'All Trends'!$C:$C,0)),4)</f>
        <v>1.2451000000000001</v>
      </c>
      <c r="AI262" s="70">
        <f>ROUND(INDEX('All Trends'!F:F,MATCH($AD262,'All Trends'!$C:$C,0)),4)</f>
        <v>1.3443000000000001</v>
      </c>
      <c r="AJ262" s="70">
        <f>ROUND(INDEX('All Trends'!G:G,MATCH($AD262,'All Trends'!$C:$C,0)),4)</f>
        <v>1.4441999999999999</v>
      </c>
      <c r="AK262" s="70">
        <f>ROUND(INDEX('All Trends'!H:H,MATCH($AD262,'All Trends'!$C:$C,0)),4)</f>
        <v>1.548</v>
      </c>
      <c r="AL262" s="74" t="s">
        <v>148</v>
      </c>
      <c r="AM262" s="92">
        <f t="shared" si="72"/>
        <v>4401.91</v>
      </c>
      <c r="AN262" s="92">
        <f t="shared" si="73"/>
        <v>4729.03</v>
      </c>
      <c r="AO262" s="69">
        <f t="shared" si="74"/>
        <v>0</v>
      </c>
      <c r="AP262" s="69">
        <f t="shared" si="75"/>
        <v>0</v>
      </c>
      <c r="AQ262" s="69">
        <f t="shared" si="76"/>
        <v>0</v>
      </c>
      <c r="AR262" s="69">
        <f t="shared" si="77"/>
        <v>0</v>
      </c>
      <c r="AS262" s="409"/>
      <c r="AT262" s="409"/>
      <c r="AU262" s="409"/>
    </row>
    <row r="263" spans="1:47">
      <c r="A263" s="78" t="s">
        <v>646</v>
      </c>
      <c r="B263" s="78" t="s">
        <v>646</v>
      </c>
      <c r="C263" s="78" t="s">
        <v>147</v>
      </c>
      <c r="D263" s="78" t="s">
        <v>148</v>
      </c>
      <c r="E263" s="67" t="s">
        <v>633</v>
      </c>
      <c r="F263" s="67" t="s">
        <v>162</v>
      </c>
      <c r="G263" s="67" t="str">
        <f>INDEX('[4]RT Description to Bill Matix'!$D:$D,MATCH(A263,'[4]RT Description to Bill Matix'!$M:$M,0))</f>
        <v>CDS PAS/HAB (CFC and Non-CFC)</v>
      </c>
      <c r="H263" s="65" t="s">
        <v>647</v>
      </c>
      <c r="I263" s="65" t="s">
        <v>147</v>
      </c>
      <c r="J263" s="65" t="str" cm="1">
        <f t="array" ref="J263">INDEX('Rate Table Service Desc XWalk'!F:F,MATCH(1,(G263='Rate Table Service Desc XWalk'!B:B)*(E263='Rate Table Service Desc XWalk'!A:A),0))</f>
        <v>6-5-141</v>
      </c>
      <c r="K263" s="66" t="str">
        <f>INDEX('[5]Combined Bill Code List'!$A:$A,MATCH(A263,'[5]Combined Bill Code List'!$F:$F,0))</f>
        <v>1115 Waiver</v>
      </c>
      <c r="L263" s="66" t="str">
        <f>INDEX('[6]Rate History'!$P:$P,MATCH(A263,'[6]Rate History'!$F:$F,0))</f>
        <v>15 minutes</v>
      </c>
      <c r="M263" s="77">
        <f>INDEX('[7]PDF DB Service Pivot'!$C:$C,MATCH(B263,'[7]PDF DB Service Pivot'!$B:$B,0))</f>
        <v>307909.90000000002</v>
      </c>
      <c r="N263" s="77">
        <f t="shared" si="69"/>
        <v>307909.90000000002</v>
      </c>
      <c r="O263" s="76">
        <f>INDEX('[7]PDF DB Service Pivot'!$D:$D,MATCH(B263,'[7]PDF DB Service Pivot'!$B:$B,0))</f>
        <v>919612.46999999986</v>
      </c>
      <c r="P263" s="91">
        <v>45170</v>
      </c>
      <c r="Q263" s="81">
        <v>3.48</v>
      </c>
      <c r="R263" s="81">
        <f>11.75/4</f>
        <v>2.9375</v>
      </c>
      <c r="S263" s="354">
        <f t="shared" si="65"/>
        <v>0.8441091954022989</v>
      </c>
      <c r="T263" s="339">
        <v>0.25</v>
      </c>
      <c r="U263" s="81">
        <f t="shared" si="67"/>
        <v>0</v>
      </c>
      <c r="V263" s="81" cm="1">
        <f t="array" ref="V263">_xlfn.IFS('Fiscal by Program'!$B$7&lt;10.61,0,'Fiscal by Program'!$B$7&gt;10.6,(ROUND('Fiscal by Program'!$B$7*(1+IF(D263="Yes",'Fiscal by Program'!$B$9,'Fiscal by Program'!$B$8))*T263,2)))</f>
        <v>0</v>
      </c>
      <c r="W263" s="81">
        <f t="shared" si="70"/>
        <v>0</v>
      </c>
      <c r="X263" s="81">
        <f>ROUND((R263/(1+IF(D263="Yes",'Fiscal by Program'!$B$9,'Fiscal by Program'!$B$8))),2)+0.01</f>
        <v>2.6599999999999997</v>
      </c>
      <c r="Y263" s="81">
        <f t="shared" si="71"/>
        <v>3.48</v>
      </c>
      <c r="Z263" s="88">
        <v>1</v>
      </c>
      <c r="AA263" s="90">
        <f t="shared" si="68"/>
        <v>0.25</v>
      </c>
      <c r="AB263" s="75">
        <f>INDEX('[9]Service List'!$K:$K,MATCH(A263,'[9]Service List'!$F:$F,0))</f>
        <v>1043</v>
      </c>
      <c r="AC263" s="73">
        <f>INDEX('[5]Combined Bill Code List'!$P:$P,MATCH(A263,'[5]Combined Bill Code List'!$F:$F,0))</f>
        <v>0</v>
      </c>
      <c r="AD263" s="67" t="s">
        <v>635</v>
      </c>
      <c r="AE263" s="79">
        <f t="shared" si="66"/>
        <v>1.095890410958904</v>
      </c>
      <c r="AF263" s="66">
        <v>0</v>
      </c>
      <c r="AG263" s="70">
        <f>ROUND(INDEX('All Trends'!D:D,MATCH($AD263,'All Trends'!$C:$C,0)),4)</f>
        <v>1.1354</v>
      </c>
      <c r="AH263" s="70">
        <f>ROUND(INDEX('All Trends'!E:E,MATCH($AD263,'All Trends'!$C:$C,0)),4)</f>
        <v>1.2451000000000001</v>
      </c>
      <c r="AI263" s="70">
        <f>ROUND(INDEX('All Trends'!F:F,MATCH($AD263,'All Trends'!$C:$C,0)),4)</f>
        <v>1.3443000000000001</v>
      </c>
      <c r="AJ263" s="70">
        <f>ROUND(INDEX('All Trends'!G:G,MATCH($AD263,'All Trends'!$C:$C,0)),4)</f>
        <v>1.4441999999999999</v>
      </c>
      <c r="AK263" s="70">
        <f>ROUND(INDEX('All Trends'!H:H,MATCH($AD263,'All Trends'!$C:$C,0)),4)</f>
        <v>1.548</v>
      </c>
      <c r="AL263" s="74" t="s">
        <v>148</v>
      </c>
      <c r="AM263" s="92">
        <f t="shared" si="72"/>
        <v>103480.82</v>
      </c>
      <c r="AN263" s="92">
        <f t="shared" si="73"/>
        <v>111170.87</v>
      </c>
      <c r="AO263" s="69">
        <f t="shared" si="74"/>
        <v>0</v>
      </c>
      <c r="AP263" s="69">
        <f t="shared" si="75"/>
        <v>0</v>
      </c>
      <c r="AQ263" s="69">
        <f t="shared" si="76"/>
        <v>0</v>
      </c>
      <c r="AR263" s="69">
        <f t="shared" si="77"/>
        <v>0</v>
      </c>
      <c r="AS263" s="409"/>
      <c r="AT263" s="409"/>
      <c r="AU263" s="409"/>
    </row>
    <row r="264" spans="1:47">
      <c r="A264" s="67" t="s">
        <v>648</v>
      </c>
      <c r="B264" s="67" t="s">
        <v>648</v>
      </c>
      <c r="C264" s="78" t="s">
        <v>147</v>
      </c>
      <c r="D264" s="78" t="s">
        <v>148</v>
      </c>
      <c r="E264" s="67" t="s">
        <v>633</v>
      </c>
      <c r="F264" s="67" t="s">
        <v>162</v>
      </c>
      <c r="G264" s="67" t="str">
        <f>INDEX('[4]RT Description to Bill Matix'!$D:$D,MATCH(A264,'[4]RT Description to Bill Matix'!$M:$M,0))</f>
        <v>PAS/HAB (CFC and Non-CFC)</v>
      </c>
      <c r="H264" s="65" t="s">
        <v>649</v>
      </c>
      <c r="I264" s="65"/>
      <c r="J264" s="65" t="str" cm="1">
        <f t="array" ref="J264">INDEX('Rate Table Service Desc XWalk'!F:F,MATCH(1,(G264='Rate Table Service Desc XWalk'!B:B)*(E264='Rate Table Service Desc XWalk'!A:A),0))</f>
        <v>6-1-77</v>
      </c>
      <c r="K264" s="66" t="str">
        <f>INDEX('[5]Combined Bill Code List'!$A:$A,MATCH(A264,'[5]Combined Bill Code List'!$F:$F,0))</f>
        <v>1115 Waiver</v>
      </c>
      <c r="L264" s="66" t="str">
        <f>INDEX('[6]Rate History'!$P:$P,MATCH(A264,'[6]Rate History'!$F:$F,0))</f>
        <v>15 minutes</v>
      </c>
      <c r="M264" s="77">
        <f>INDEX('[7]PDF DB Service Pivot'!$C:$C,MATCH(B264,'[7]PDF DB Service Pivot'!$B:$B,0))</f>
        <v>368</v>
      </c>
      <c r="N264" s="77">
        <f t="shared" si="69"/>
        <v>368</v>
      </c>
      <c r="O264" s="76">
        <f>INDEX('[7]PDF DB Service Pivot'!$D:$D,MATCH(B264,'[7]PDF DB Service Pivot'!$B:$B,0))</f>
        <v>1067.2</v>
      </c>
      <c r="P264" s="91">
        <v>45170</v>
      </c>
      <c r="Q264" s="81">
        <v>3.57</v>
      </c>
      <c r="R264" s="81">
        <f>11.77/4</f>
        <v>2.9424999999999999</v>
      </c>
      <c r="S264" s="354">
        <f t="shared" si="65"/>
        <v>0.82422969187675066</v>
      </c>
      <c r="T264" s="339">
        <f>INDEX('[8]Billable Services'!$P:$P,MATCH(A264,'[8]Billable Services'!$T:$T,0))</f>
        <v>0.25</v>
      </c>
      <c r="U264" s="81">
        <f t="shared" si="67"/>
        <v>0</v>
      </c>
      <c r="V264" s="81" cm="1">
        <f t="array" ref="V264">_xlfn.IFS('Fiscal by Program'!$B$7&lt;10.61,0,'Fiscal by Program'!$B$7&gt;10.6,(ROUND('Fiscal by Program'!$B$7*(1+IF(D264="Yes",'Fiscal by Program'!$B$9,'Fiscal by Program'!$B$8))*T264,2)))</f>
        <v>0</v>
      </c>
      <c r="W264" s="81">
        <f t="shared" si="70"/>
        <v>0</v>
      </c>
      <c r="X264" s="81">
        <f>ROUND((R264/(1+IF(D264="Yes",'Fiscal by Program'!$B$9,'Fiscal by Program'!$B$8))),2)+0.01</f>
        <v>2.67</v>
      </c>
      <c r="Y264" s="81">
        <f t="shared" si="71"/>
        <v>3.57</v>
      </c>
      <c r="Z264" s="88">
        <v>1</v>
      </c>
      <c r="AA264" s="90">
        <f t="shared" si="68"/>
        <v>0.25</v>
      </c>
      <c r="AB264" s="75">
        <f>INDEX('[9]Service List'!$K:$K,MATCH(A264,'[9]Service List'!$F:$F,0))</f>
        <v>1047</v>
      </c>
      <c r="AC264" s="73">
        <f>INDEX('[5]Combined Bill Code List'!$P:$P,MATCH(A264,'[5]Combined Bill Code List'!$F:$F,0))</f>
        <v>0</v>
      </c>
      <c r="AD264" s="67" t="s">
        <v>635</v>
      </c>
      <c r="AE264" s="79">
        <f t="shared" si="66"/>
        <v>1.095890410958904</v>
      </c>
      <c r="AF264" s="66">
        <v>0</v>
      </c>
      <c r="AG264" s="70">
        <f>ROUND(INDEX('All Trends'!D:D,MATCH($AD264,'All Trends'!$C:$C,0)),4)</f>
        <v>1.1354</v>
      </c>
      <c r="AH264" s="70">
        <f>ROUND(INDEX('All Trends'!E:E,MATCH($AD264,'All Trends'!$C:$C,0)),4)</f>
        <v>1.2451000000000001</v>
      </c>
      <c r="AI264" s="70">
        <f>ROUND(INDEX('All Trends'!F:F,MATCH($AD264,'All Trends'!$C:$C,0)),4)</f>
        <v>1.3443000000000001</v>
      </c>
      <c r="AJ264" s="70">
        <f>ROUND(INDEX('All Trends'!G:G,MATCH($AD264,'All Trends'!$C:$C,0)),4)</f>
        <v>1.4441999999999999</v>
      </c>
      <c r="AK264" s="70">
        <f>ROUND(INDEX('All Trends'!H:H,MATCH($AD264,'All Trends'!$C:$C,0)),4)</f>
        <v>1.548</v>
      </c>
      <c r="AL264" s="74" t="s">
        <v>148</v>
      </c>
      <c r="AM264" s="92">
        <f t="shared" si="72"/>
        <v>123.68</v>
      </c>
      <c r="AN264" s="92">
        <f t="shared" si="73"/>
        <v>132.87</v>
      </c>
      <c r="AO264" s="69">
        <f t="shared" si="74"/>
        <v>0</v>
      </c>
      <c r="AP264" s="69">
        <f t="shared" si="75"/>
        <v>0</v>
      </c>
      <c r="AQ264" s="69">
        <f t="shared" si="76"/>
        <v>0</v>
      </c>
      <c r="AR264" s="69">
        <f t="shared" si="77"/>
        <v>0</v>
      </c>
      <c r="AS264" s="409"/>
      <c r="AT264" s="409"/>
      <c r="AU264" s="409"/>
    </row>
    <row r="265" spans="1:47">
      <c r="A265" s="67" t="s">
        <v>650</v>
      </c>
      <c r="B265" s="67" t="s">
        <v>650</v>
      </c>
      <c r="C265" s="78" t="s">
        <v>147</v>
      </c>
      <c r="D265" s="78" t="s">
        <v>148</v>
      </c>
      <c r="E265" s="67" t="s">
        <v>633</v>
      </c>
      <c r="F265" s="67" t="s">
        <v>162</v>
      </c>
      <c r="G265" s="67" t="str">
        <f>INDEX('[4]RT Description to Bill Matix'!$D:$D,MATCH(A265,'[4]RT Description to Bill Matix'!$M:$M,0))</f>
        <v>PAS/HAB (CFC and Non-CFC)</v>
      </c>
      <c r="H265" s="65" t="s">
        <v>637</v>
      </c>
      <c r="I265" s="65"/>
      <c r="J265" s="65" t="str" cm="1">
        <f t="array" ref="J265">INDEX('Rate Table Service Desc XWalk'!F:F,MATCH(1,(G265='Rate Table Service Desc XWalk'!B:B)*(E265='Rate Table Service Desc XWalk'!A:A),0))</f>
        <v>6-1-77</v>
      </c>
      <c r="K265" s="66" t="str">
        <f>INDEX('[5]Combined Bill Code List'!$A:$A,MATCH(A265,'[5]Combined Bill Code List'!$F:$F,0))</f>
        <v>1115 Waiver</v>
      </c>
      <c r="L265" s="66" t="str">
        <f>INDEX('[6]Rate History'!$P:$P,MATCH(A265,'[6]Rate History'!$F:$F,0))</f>
        <v>15 minutes</v>
      </c>
      <c r="M265" s="77">
        <f>INDEX('[7]PDF DB Service Pivot'!$C:$C,MATCH(B265,'[7]PDF DB Service Pivot'!$B:$B,0))</f>
        <v>66443619.5</v>
      </c>
      <c r="N265" s="77">
        <f t="shared" si="69"/>
        <v>66443619.5</v>
      </c>
      <c r="O265" s="76">
        <f>INDEX('[7]PDF DB Service Pivot'!$D:$D,MATCH(B265,'[7]PDF DB Service Pivot'!$B:$B,0))</f>
        <v>219266310.97</v>
      </c>
      <c r="P265" s="91">
        <v>45170</v>
      </c>
      <c r="Q265" s="81">
        <v>3.57</v>
      </c>
      <c r="R265" s="81">
        <f>11.77/4</f>
        <v>2.9424999999999999</v>
      </c>
      <c r="S265" s="354">
        <f t="shared" si="65"/>
        <v>0.82422969187675066</v>
      </c>
      <c r="T265" s="339">
        <f>INDEX('[8]Billable Services'!$P:$P,MATCH(A265,'[8]Billable Services'!$S:$S,0))</f>
        <v>0.25</v>
      </c>
      <c r="U265" s="81">
        <f t="shared" si="67"/>
        <v>0</v>
      </c>
      <c r="V265" s="81" cm="1">
        <f t="array" ref="V265">_xlfn.IFS('Fiscal by Program'!$B$7&lt;10.61,0,'Fiscal by Program'!$B$7&gt;10.6,(ROUND('Fiscal by Program'!$B$7*(1+IF(D265="Yes",'Fiscal by Program'!$B$9,'Fiscal by Program'!$B$8))*T265,2)))</f>
        <v>0</v>
      </c>
      <c r="W265" s="81">
        <f t="shared" si="70"/>
        <v>0</v>
      </c>
      <c r="X265" s="81">
        <f>ROUND((R265/(1+IF(D265="Yes",'Fiscal by Program'!$B$9,'Fiscal by Program'!$B$8))),2)+0.01</f>
        <v>2.67</v>
      </c>
      <c r="Y265" s="81">
        <f t="shared" si="71"/>
        <v>3.57</v>
      </c>
      <c r="Z265" s="88">
        <v>1</v>
      </c>
      <c r="AA265" s="90">
        <f t="shared" si="68"/>
        <v>0.25</v>
      </c>
      <c r="AB265" s="75">
        <f>INDEX('[9]Service List'!$K:$K,MATCH(A265,'[9]Service List'!$F:$F,0))</f>
        <v>1050</v>
      </c>
      <c r="AC265" s="73">
        <f>INDEX('[5]Combined Bill Code List'!$P:$P,MATCH(A265,'[5]Combined Bill Code List'!$F:$F,0))</f>
        <v>0</v>
      </c>
      <c r="AD265" s="67" t="s">
        <v>635</v>
      </c>
      <c r="AE265" s="79">
        <f t="shared" si="66"/>
        <v>1.095890410958904</v>
      </c>
      <c r="AF265" s="66">
        <v>0</v>
      </c>
      <c r="AG265" s="70">
        <f>ROUND(INDEX('All Trends'!D:D,MATCH($AD265,'All Trends'!$C:$C,0)),4)</f>
        <v>1.1354</v>
      </c>
      <c r="AH265" s="70">
        <f>ROUND(INDEX('All Trends'!E:E,MATCH($AD265,'All Trends'!$C:$C,0)),4)</f>
        <v>1.2451000000000001</v>
      </c>
      <c r="AI265" s="70">
        <f>ROUND(INDEX('All Trends'!F:F,MATCH($AD265,'All Trends'!$C:$C,0)),4)</f>
        <v>1.3443000000000001</v>
      </c>
      <c r="AJ265" s="70">
        <f>ROUND(INDEX('All Trends'!G:G,MATCH($AD265,'All Trends'!$C:$C,0)),4)</f>
        <v>1.4441999999999999</v>
      </c>
      <c r="AK265" s="70">
        <f>ROUND(INDEX('All Trends'!H:H,MATCH($AD265,'All Trends'!$C:$C,0)),4)</f>
        <v>1.548</v>
      </c>
      <c r="AL265" s="74" t="s">
        <v>148</v>
      </c>
      <c r="AM265" s="92">
        <f t="shared" si="72"/>
        <v>22330039.420000002</v>
      </c>
      <c r="AN265" s="92">
        <f t="shared" si="73"/>
        <v>23989468.82</v>
      </c>
      <c r="AO265" s="69">
        <f t="shared" si="74"/>
        <v>0</v>
      </c>
      <c r="AP265" s="69">
        <f t="shared" si="75"/>
        <v>0</v>
      </c>
      <c r="AQ265" s="69">
        <f t="shared" si="76"/>
        <v>0</v>
      </c>
      <c r="AR265" s="69">
        <f t="shared" si="77"/>
        <v>0</v>
      </c>
      <c r="AS265" s="409"/>
      <c r="AT265" s="409"/>
      <c r="AU265" s="409"/>
    </row>
    <row r="266" spans="1:47">
      <c r="A266" s="67" t="s">
        <v>651</v>
      </c>
      <c r="B266" s="67" t="s">
        <v>651</v>
      </c>
      <c r="C266" s="78" t="s">
        <v>147</v>
      </c>
      <c r="D266" s="78" t="s">
        <v>148</v>
      </c>
      <c r="E266" s="67" t="s">
        <v>633</v>
      </c>
      <c r="F266" s="67" t="s">
        <v>162</v>
      </c>
      <c r="G266" s="67" t="str">
        <f>INDEX('[4]RT Description to Bill Matix'!$D:$D,MATCH(A266,'[4]RT Description to Bill Matix'!$M:$M,0))</f>
        <v>PAS/HAB (CFC and Non-CFC)</v>
      </c>
      <c r="H266" s="65" t="s">
        <v>639</v>
      </c>
      <c r="I266" s="65"/>
      <c r="J266" s="65" t="str" cm="1">
        <f t="array" ref="J266">INDEX('Rate Table Service Desc XWalk'!F:F,MATCH(1,(G266='Rate Table Service Desc XWalk'!B:B)*(E266='Rate Table Service Desc XWalk'!A:A),0))</f>
        <v>6-1-77</v>
      </c>
      <c r="K266" s="66" t="str">
        <f>INDEX('[5]Combined Bill Code List'!$A:$A,MATCH(A266,'[5]Combined Bill Code List'!$F:$F,0))</f>
        <v>1115 Waiver</v>
      </c>
      <c r="L266" s="66" t="str">
        <f>INDEX('[6]Rate History'!$P:$P,MATCH(A266,'[6]Rate History'!$F:$F,0))</f>
        <v>15 minutes</v>
      </c>
      <c r="M266" s="77">
        <f>INDEX('[7]PDF DB Service Pivot'!$C:$C,MATCH(B266,'[7]PDF DB Service Pivot'!$B:$B,0))</f>
        <v>16007062.9</v>
      </c>
      <c r="N266" s="77">
        <f t="shared" si="69"/>
        <v>16007062.9</v>
      </c>
      <c r="O266" s="76">
        <f>INDEX('[7]PDF DB Service Pivot'!$D:$D,MATCH(B266,'[7]PDF DB Service Pivot'!$B:$B,0))</f>
        <v>50070569.489999995</v>
      </c>
      <c r="P266" s="91">
        <v>45170</v>
      </c>
      <c r="Q266" s="81">
        <v>3.57</v>
      </c>
      <c r="R266" s="81">
        <f>11.77/4</f>
        <v>2.9424999999999999</v>
      </c>
      <c r="S266" s="354">
        <f t="shared" si="65"/>
        <v>0.82422969187675066</v>
      </c>
      <c r="T266" s="339">
        <f>INDEX('[8]Billable Services'!$P:$P,MATCH(A266,'[8]Billable Services'!$S:$S,0))</f>
        <v>0.25</v>
      </c>
      <c r="U266" s="81">
        <f t="shared" si="67"/>
        <v>0</v>
      </c>
      <c r="V266" s="81" cm="1">
        <f t="array" ref="V266">_xlfn.IFS('Fiscal by Program'!$B$7&lt;10.61,0,'Fiscal by Program'!$B$7&gt;10.6,(ROUND('Fiscal by Program'!$B$7*(1+IF(D266="Yes",'Fiscal by Program'!$B$9,'Fiscal by Program'!$B$8))*T266,2)))</f>
        <v>0</v>
      </c>
      <c r="W266" s="81">
        <f t="shared" si="70"/>
        <v>0</v>
      </c>
      <c r="X266" s="81">
        <f>ROUND((R266/(1+IF(D266="Yes",'Fiscal by Program'!$B$9,'Fiscal by Program'!$B$8))),2)+0.01</f>
        <v>2.67</v>
      </c>
      <c r="Y266" s="81">
        <f t="shared" si="71"/>
        <v>3.57</v>
      </c>
      <c r="Z266" s="88">
        <v>1</v>
      </c>
      <c r="AA266" s="90">
        <f t="shared" si="68"/>
        <v>0.25</v>
      </c>
      <c r="AB266" s="75">
        <f>INDEX('[9]Service List'!$K:$K,MATCH(A266,'[9]Service List'!$F:$F,0))</f>
        <v>1058</v>
      </c>
      <c r="AC266" s="73">
        <f>INDEX('[5]Combined Bill Code List'!$P:$P,MATCH(A266,'[5]Combined Bill Code List'!$F:$F,0))</f>
        <v>0</v>
      </c>
      <c r="AD266" s="67" t="s">
        <v>635</v>
      </c>
      <c r="AE266" s="79">
        <f t="shared" si="66"/>
        <v>1.095890410958904</v>
      </c>
      <c r="AF266" s="66">
        <v>0</v>
      </c>
      <c r="AG266" s="70">
        <f>ROUND(INDEX('All Trends'!D:D,MATCH($AD266,'All Trends'!$C:$C,0)),4)</f>
        <v>1.1354</v>
      </c>
      <c r="AH266" s="70">
        <f>ROUND(INDEX('All Trends'!E:E,MATCH($AD266,'All Trends'!$C:$C,0)),4)</f>
        <v>1.2451000000000001</v>
      </c>
      <c r="AI266" s="70">
        <f>ROUND(INDEX('All Trends'!F:F,MATCH($AD266,'All Trends'!$C:$C,0)),4)</f>
        <v>1.3443000000000001</v>
      </c>
      <c r="AJ266" s="70">
        <f>ROUND(INDEX('All Trends'!G:G,MATCH($AD266,'All Trends'!$C:$C,0)),4)</f>
        <v>1.4441999999999999</v>
      </c>
      <c r="AK266" s="70">
        <f>ROUND(INDEX('All Trends'!H:H,MATCH($AD266,'All Trends'!$C:$C,0)),4)</f>
        <v>1.548</v>
      </c>
      <c r="AL266" s="74" t="s">
        <v>148</v>
      </c>
      <c r="AM266" s="92">
        <f t="shared" si="72"/>
        <v>5379573.6600000001</v>
      </c>
      <c r="AN266" s="92">
        <f t="shared" si="73"/>
        <v>5779350.0599999996</v>
      </c>
      <c r="AO266" s="69">
        <f t="shared" si="74"/>
        <v>0</v>
      </c>
      <c r="AP266" s="69">
        <f t="shared" si="75"/>
        <v>0</v>
      </c>
      <c r="AQ266" s="69">
        <f t="shared" si="76"/>
        <v>0</v>
      </c>
      <c r="AR266" s="69">
        <f t="shared" si="77"/>
        <v>0</v>
      </c>
      <c r="AS266" s="409"/>
      <c r="AT266" s="409"/>
      <c r="AU266" s="409"/>
    </row>
    <row r="267" spans="1:47">
      <c r="A267" s="67" t="s">
        <v>652</v>
      </c>
      <c r="B267" s="67" t="s">
        <v>652</v>
      </c>
      <c r="C267" s="78" t="s">
        <v>147</v>
      </c>
      <c r="D267" s="78" t="s">
        <v>148</v>
      </c>
      <c r="E267" s="67" t="s">
        <v>633</v>
      </c>
      <c r="F267" s="67" t="s">
        <v>162</v>
      </c>
      <c r="G267" s="67" t="str">
        <f>INDEX('[4]RT Description to Bill Matix'!$D:$D,MATCH(A267,'[4]RT Description to Bill Matix'!$M:$M,0))</f>
        <v>CDS PAS/HAB (CFC and Non-CFC)</v>
      </c>
      <c r="H267" s="65" t="s">
        <v>641</v>
      </c>
      <c r="I267" s="65" t="s">
        <v>147</v>
      </c>
      <c r="J267" s="65" t="str" cm="1">
        <f t="array" ref="J267">INDEX('Rate Table Service Desc XWalk'!F:F,MATCH(1,(G267='Rate Table Service Desc XWalk'!B:B)*(E267='Rate Table Service Desc XWalk'!A:A),0))</f>
        <v>6-5-141</v>
      </c>
      <c r="K267" s="66" t="str">
        <f>INDEX('[5]Combined Bill Code List'!$A:$A,MATCH(A267,'[5]Combined Bill Code List'!$F:$F,0))</f>
        <v>1115 Waiver</v>
      </c>
      <c r="L267" s="66" t="str">
        <f>INDEX('[6]Rate History'!$P:$P,MATCH(A267,'[6]Rate History'!$F:$F,0))</f>
        <v>15 minutes</v>
      </c>
      <c r="M267" s="77">
        <f>INDEX('[7]PDF DB Service Pivot'!$C:$C,MATCH(B267,'[7]PDF DB Service Pivot'!$B:$B,0))</f>
        <v>2631560.7999999998</v>
      </c>
      <c r="N267" s="77">
        <f t="shared" si="69"/>
        <v>2631560.7999999998</v>
      </c>
      <c r="O267" s="76">
        <f>INDEX('[7]PDF DB Service Pivot'!$D:$D,MATCH(B267,'[7]PDF DB Service Pivot'!$B:$B,0))</f>
        <v>7524640.2899999991</v>
      </c>
      <c r="P267" s="91">
        <v>45170</v>
      </c>
      <c r="Q267" s="81">
        <v>3.48</v>
      </c>
      <c r="R267" s="81">
        <f>11.75/4</f>
        <v>2.9375</v>
      </c>
      <c r="S267" s="354">
        <f t="shared" si="65"/>
        <v>0.8441091954022989</v>
      </c>
      <c r="T267" s="339">
        <v>0.25</v>
      </c>
      <c r="U267" s="81">
        <f t="shared" si="67"/>
        <v>0</v>
      </c>
      <c r="V267" s="81" cm="1">
        <f t="array" ref="V267">_xlfn.IFS('Fiscal by Program'!$B$7&lt;10.61,0,'Fiscal by Program'!$B$7&gt;10.6,(ROUND('Fiscal by Program'!$B$7*(1+IF(D267="Yes",'Fiscal by Program'!$B$9,'Fiscal by Program'!$B$8))*T267,2)))</f>
        <v>0</v>
      </c>
      <c r="W267" s="81">
        <f t="shared" si="70"/>
        <v>0</v>
      </c>
      <c r="X267" s="81">
        <f>ROUND((R267/(1+IF(D267="Yes",'Fiscal by Program'!$B$9,'Fiscal by Program'!$B$8))),2)+0.01</f>
        <v>2.6599999999999997</v>
      </c>
      <c r="Y267" s="81">
        <f t="shared" si="71"/>
        <v>3.48</v>
      </c>
      <c r="Z267" s="88">
        <v>1</v>
      </c>
      <c r="AA267" s="90">
        <f t="shared" si="68"/>
        <v>0.25</v>
      </c>
      <c r="AB267" s="75">
        <f>INDEX('[9]Service List'!$K:$K,MATCH(A267,'[9]Service List'!$F:$F,0))</f>
        <v>1054</v>
      </c>
      <c r="AC267" s="73">
        <f>INDEX('[5]Combined Bill Code List'!$P:$P,MATCH(A267,'[5]Combined Bill Code List'!$F:$F,0))</f>
        <v>0</v>
      </c>
      <c r="AD267" s="67" t="s">
        <v>635</v>
      </c>
      <c r="AE267" s="79">
        <f t="shared" si="66"/>
        <v>1.095890410958904</v>
      </c>
      <c r="AF267" s="66">
        <v>0</v>
      </c>
      <c r="AG267" s="70">
        <f>ROUND(INDEX('All Trends'!D:D,MATCH($AD267,'All Trends'!$C:$C,0)),4)</f>
        <v>1.1354</v>
      </c>
      <c r="AH267" s="70">
        <f>ROUND(INDEX('All Trends'!E:E,MATCH($AD267,'All Trends'!$C:$C,0)),4)</f>
        <v>1.2451000000000001</v>
      </c>
      <c r="AI267" s="70">
        <f>ROUND(INDEX('All Trends'!F:F,MATCH($AD267,'All Trends'!$C:$C,0)),4)</f>
        <v>1.3443000000000001</v>
      </c>
      <c r="AJ267" s="70">
        <f>ROUND(INDEX('All Trends'!G:G,MATCH($AD267,'All Trends'!$C:$C,0)),4)</f>
        <v>1.4441999999999999</v>
      </c>
      <c r="AK267" s="70">
        <f>ROUND(INDEX('All Trends'!H:H,MATCH($AD267,'All Trends'!$C:$C,0)),4)</f>
        <v>1.548</v>
      </c>
      <c r="AL267" s="74" t="s">
        <v>148</v>
      </c>
      <c r="AM267" s="92">
        <f t="shared" si="72"/>
        <v>884401.8</v>
      </c>
      <c r="AN267" s="92">
        <f t="shared" si="73"/>
        <v>950125.03</v>
      </c>
      <c r="AO267" s="69">
        <f t="shared" si="74"/>
        <v>0</v>
      </c>
      <c r="AP267" s="69">
        <f t="shared" si="75"/>
        <v>0</v>
      </c>
      <c r="AQ267" s="69">
        <f t="shared" si="76"/>
        <v>0</v>
      </c>
      <c r="AR267" s="69">
        <f t="shared" si="77"/>
        <v>0</v>
      </c>
      <c r="AS267" s="409"/>
      <c r="AT267" s="409"/>
      <c r="AU267" s="409"/>
    </row>
    <row r="268" spans="1:47">
      <c r="A268" s="67" t="s">
        <v>653</v>
      </c>
      <c r="B268" s="67" t="s">
        <v>653</v>
      </c>
      <c r="C268" s="78" t="s">
        <v>147</v>
      </c>
      <c r="D268" s="78" t="s">
        <v>148</v>
      </c>
      <c r="E268" s="67" t="s">
        <v>633</v>
      </c>
      <c r="F268" s="67" t="s">
        <v>162</v>
      </c>
      <c r="G268" s="67" t="str">
        <f>INDEX('[4]RT Description to Bill Matix'!$D:$D,MATCH(A268,'[4]RT Description to Bill Matix'!$M:$M,0))</f>
        <v>PAS/HAB (CFC and Non-CFC)</v>
      </c>
      <c r="H268" s="65" t="s">
        <v>654</v>
      </c>
      <c r="I268" s="65"/>
      <c r="J268" s="65" t="str" cm="1">
        <f t="array" ref="J268">INDEX('Rate Table Service Desc XWalk'!F:F,MATCH(1,(G268='Rate Table Service Desc XWalk'!B:B)*(E268='Rate Table Service Desc XWalk'!A:A),0))</f>
        <v>6-1-77</v>
      </c>
      <c r="K268" s="66" t="str">
        <f>INDEX('[5]Combined Bill Code List'!$A:$A,MATCH(A268,'[5]Combined Bill Code List'!$F:$F,0))</f>
        <v>1115 Waiver</v>
      </c>
      <c r="L268" s="66" t="str">
        <f>INDEX('[6]Rate History'!$P:$P,MATCH(A268,'[6]Rate History'!$F:$F,0))</f>
        <v>15 minutes</v>
      </c>
      <c r="M268" s="77">
        <f>INDEX('[7]PDF DB Service Pivot'!$C:$C,MATCH(B268,'[7]PDF DB Service Pivot'!$B:$B,0))</f>
        <v>4392</v>
      </c>
      <c r="N268" s="77">
        <f t="shared" si="69"/>
        <v>4392</v>
      </c>
      <c r="O268" s="76">
        <f>INDEX('[7]PDF DB Service Pivot'!$D:$D,MATCH(B268,'[7]PDF DB Service Pivot'!$B:$B,0))</f>
        <v>14125.56</v>
      </c>
      <c r="P268" s="91">
        <v>45170</v>
      </c>
      <c r="Q268" s="81">
        <v>3.57</v>
      </c>
      <c r="R268" s="81">
        <f>11.77/4</f>
        <v>2.9424999999999999</v>
      </c>
      <c r="S268" s="354">
        <f t="shared" ref="S268:S288" si="78">_xlfn.IFNA(R268/Q268,"")</f>
        <v>0.82422969187675066</v>
      </c>
      <c r="T268" s="339">
        <f>INDEX('[8]Billable Services'!$P:$P,MATCH(A268,'[8]Billable Services'!$S:$S,0))</f>
        <v>0.25</v>
      </c>
      <c r="U268" s="81">
        <f t="shared" si="67"/>
        <v>0</v>
      </c>
      <c r="V268" s="81" cm="1">
        <f t="array" ref="V268">_xlfn.IFS('Fiscal by Program'!$B$7&lt;10.61,0,'Fiscal by Program'!$B$7&gt;10.6,(ROUND('Fiscal by Program'!$B$7*(1+IF(D268="Yes",'Fiscal by Program'!$B$9,'Fiscal by Program'!$B$8))*T268,2)))</f>
        <v>0</v>
      </c>
      <c r="W268" s="81">
        <f t="shared" si="70"/>
        <v>0</v>
      </c>
      <c r="X268" s="81">
        <f>ROUND((R268/(1+IF(D268="Yes",'Fiscal by Program'!$B$9,'Fiscal by Program'!$B$8))),2)+0.01</f>
        <v>2.67</v>
      </c>
      <c r="Y268" s="81">
        <f t="shared" si="71"/>
        <v>3.57</v>
      </c>
      <c r="Z268" s="88">
        <v>1</v>
      </c>
      <c r="AA268" s="90">
        <f t="shared" si="68"/>
        <v>0.25</v>
      </c>
      <c r="AB268" s="75">
        <f>INDEX('[9]Service List'!$K:$K,MATCH(A268,'[9]Service List'!$F:$F,0))</f>
        <v>1056</v>
      </c>
      <c r="AC268" s="73">
        <f>INDEX('[5]Combined Bill Code List'!$P:$P,MATCH(A268,'[5]Combined Bill Code List'!$F:$F,0))</f>
        <v>0</v>
      </c>
      <c r="AD268" s="67" t="s">
        <v>635</v>
      </c>
      <c r="AE268" s="79">
        <f t="shared" si="66"/>
        <v>1.095890410958904</v>
      </c>
      <c r="AF268" s="66">
        <v>0</v>
      </c>
      <c r="AG268" s="70">
        <f>ROUND(INDEX('All Trends'!D:D,MATCH($AD268,'All Trends'!$C:$C,0)),4)</f>
        <v>1.1354</v>
      </c>
      <c r="AH268" s="70">
        <f>ROUND(INDEX('All Trends'!E:E,MATCH($AD268,'All Trends'!$C:$C,0)),4)</f>
        <v>1.2451000000000001</v>
      </c>
      <c r="AI268" s="70">
        <f>ROUND(INDEX('All Trends'!F:F,MATCH($AD268,'All Trends'!$C:$C,0)),4)</f>
        <v>1.3443000000000001</v>
      </c>
      <c r="AJ268" s="70">
        <f>ROUND(INDEX('All Trends'!G:G,MATCH($AD268,'All Trends'!$C:$C,0)),4)</f>
        <v>1.4441999999999999</v>
      </c>
      <c r="AK268" s="70">
        <f>ROUND(INDEX('All Trends'!H:H,MATCH($AD268,'All Trends'!$C:$C,0)),4)</f>
        <v>1.548</v>
      </c>
      <c r="AL268" s="74" t="s">
        <v>148</v>
      </c>
      <c r="AM268" s="92">
        <f t="shared" si="72"/>
        <v>1476.04</v>
      </c>
      <c r="AN268" s="92">
        <f t="shared" si="73"/>
        <v>1585.73</v>
      </c>
      <c r="AO268" s="69">
        <f t="shared" si="74"/>
        <v>0</v>
      </c>
      <c r="AP268" s="69">
        <f t="shared" si="75"/>
        <v>0</v>
      </c>
      <c r="AQ268" s="69">
        <f t="shared" si="76"/>
        <v>0</v>
      </c>
      <c r="AR268" s="69">
        <f t="shared" si="77"/>
        <v>0</v>
      </c>
      <c r="AS268" s="409"/>
      <c r="AT268" s="409"/>
      <c r="AU268" s="409"/>
    </row>
    <row r="269" spans="1:47">
      <c r="A269" s="67" t="s">
        <v>655</v>
      </c>
      <c r="B269" s="67" t="s">
        <v>655</v>
      </c>
      <c r="C269" s="78" t="s">
        <v>147</v>
      </c>
      <c r="D269" s="78" t="s">
        <v>148</v>
      </c>
      <c r="E269" s="67" t="s">
        <v>633</v>
      </c>
      <c r="F269" s="67" t="s">
        <v>162</v>
      </c>
      <c r="G269" s="67" t="str">
        <f>INDEX('[4]RT Description to Bill Matix'!$D:$D,MATCH(A269,'[4]RT Description to Bill Matix'!$M:$M,0))</f>
        <v>PAS/HAB (CFC and Non-CFC)</v>
      </c>
      <c r="H269" s="65" t="s">
        <v>643</v>
      </c>
      <c r="I269" s="65"/>
      <c r="J269" s="65" t="str" cm="1">
        <f t="array" ref="J269">INDEX('Rate Table Service Desc XWalk'!F:F,MATCH(1,(G269='Rate Table Service Desc XWalk'!B:B)*(E269='Rate Table Service Desc XWalk'!A:A),0))</f>
        <v>6-1-77</v>
      </c>
      <c r="K269" s="66" t="str">
        <f>INDEX('[5]Combined Bill Code List'!$A:$A,MATCH(A269,'[5]Combined Bill Code List'!$F:$F,0))</f>
        <v>State Plan (Title XIX)</v>
      </c>
      <c r="L269" s="66" t="str">
        <f>INDEX('[6]Rate History'!$P:$P,MATCH(A269,'[6]Rate History'!$F:$F,0))</f>
        <v>15 minutes</v>
      </c>
      <c r="M269" s="77">
        <f>INDEX('[7]PDF DB Service Pivot'!$C:$C,MATCH(B269,'[7]PDF DB Service Pivot'!$B:$B,0))</f>
        <v>178126101.30000001</v>
      </c>
      <c r="N269" s="77">
        <f t="shared" si="69"/>
        <v>178126101.30000001</v>
      </c>
      <c r="O269" s="76">
        <f>INDEX('[7]PDF DB Service Pivot'!$D:$D,MATCH(B269,'[7]PDF DB Service Pivot'!$B:$B,0))</f>
        <v>636433761.62999988</v>
      </c>
      <c r="P269" s="91">
        <v>45170</v>
      </c>
      <c r="Q269" s="81">
        <v>3.63</v>
      </c>
      <c r="R269" s="81">
        <f>11.76/4</f>
        <v>2.94</v>
      </c>
      <c r="S269" s="354">
        <f t="shared" si="78"/>
        <v>0.80991735537190079</v>
      </c>
      <c r="T269" s="339">
        <f>INDEX('[8]Billable Services'!$P:$P,MATCH(A269,'[8]Billable Services'!$S:$S,0))</f>
        <v>0.25</v>
      </c>
      <c r="U269" s="81">
        <f t="shared" si="67"/>
        <v>0</v>
      </c>
      <c r="V269" s="81" cm="1">
        <f t="array" ref="V269">_xlfn.IFS('Fiscal by Program'!$B$7&lt;10.61,0,'Fiscal by Program'!$B$7&gt;10.6,(ROUND('Fiscal by Program'!$B$7*(1+IF(D269="Yes",'Fiscal by Program'!$B$9,'Fiscal by Program'!$B$8))*T269,2)))</f>
        <v>0</v>
      </c>
      <c r="W269" s="81">
        <f t="shared" si="70"/>
        <v>0</v>
      </c>
      <c r="X269" s="81">
        <f>ROUND((R269/(1+IF(D269="Yes",'Fiscal by Program'!$B$9,'Fiscal by Program'!$B$8))),2)+0.01</f>
        <v>2.6599999999999997</v>
      </c>
      <c r="Y269" s="81">
        <f t="shared" si="71"/>
        <v>3.63</v>
      </c>
      <c r="Z269" s="88">
        <v>1</v>
      </c>
      <c r="AA269" s="90">
        <f t="shared" si="68"/>
        <v>0.25</v>
      </c>
      <c r="AB269" s="75">
        <f>INDEX('[9]Service List'!$K:$K,MATCH(A269,'[9]Service List'!$F:$F,0))</f>
        <v>1052</v>
      </c>
      <c r="AC269" s="73" t="str">
        <f>INDEX('[5]Combined Bill Code List'!$P:$P,MATCH(A269,'[5]Combined Bill Code List'!$F:$F,0))</f>
        <v>CFC</v>
      </c>
      <c r="AD269" s="67" t="s">
        <v>635</v>
      </c>
      <c r="AE269" s="79">
        <f t="shared" si="66"/>
        <v>1.095890410958904</v>
      </c>
      <c r="AF269" s="66">
        <v>-0.06</v>
      </c>
      <c r="AG269" s="70">
        <f>ROUND(INDEX('All Trends'!D:D,MATCH($AD269,'All Trends'!$C:$C,0)),4)</f>
        <v>1.1354</v>
      </c>
      <c r="AH269" s="70">
        <f>ROUND(INDEX('All Trends'!E:E,MATCH($AD269,'All Trends'!$C:$C,0)),4)</f>
        <v>1.2451000000000001</v>
      </c>
      <c r="AI269" s="70">
        <f>ROUND(INDEX('All Trends'!F:F,MATCH($AD269,'All Trends'!$C:$C,0)),4)</f>
        <v>1.3443000000000001</v>
      </c>
      <c r="AJ269" s="70">
        <f>ROUND(INDEX('All Trends'!G:G,MATCH($AD269,'All Trends'!$C:$C,0)),4)</f>
        <v>1.4441999999999999</v>
      </c>
      <c r="AK269" s="70">
        <f>ROUND(INDEX('All Trends'!H:H,MATCH($AD269,'All Trends'!$C:$C,0)),4)</f>
        <v>1.548</v>
      </c>
      <c r="AL269" s="74" t="s">
        <v>148</v>
      </c>
      <c r="AM269" s="92">
        <f t="shared" si="72"/>
        <v>59863729.490000002</v>
      </c>
      <c r="AN269" s="92">
        <f t="shared" si="73"/>
        <v>64312428.869999997</v>
      </c>
      <c r="AO269" s="69">
        <f t="shared" si="74"/>
        <v>0</v>
      </c>
      <c r="AP269" s="69">
        <f t="shared" si="75"/>
        <v>0</v>
      </c>
      <c r="AQ269" s="69">
        <f t="shared" si="76"/>
        <v>0</v>
      </c>
      <c r="AR269" s="69">
        <f t="shared" si="77"/>
        <v>0</v>
      </c>
      <c r="AS269" s="409"/>
      <c r="AT269" s="409"/>
      <c r="AU269" s="409"/>
    </row>
    <row r="270" spans="1:47">
      <c r="A270" s="67" t="s">
        <v>656</v>
      </c>
      <c r="B270" s="67" t="s">
        <v>656</v>
      </c>
      <c r="C270" s="78" t="s">
        <v>147</v>
      </c>
      <c r="D270" s="78" t="s">
        <v>148</v>
      </c>
      <c r="E270" s="67" t="s">
        <v>633</v>
      </c>
      <c r="F270" s="67" t="s">
        <v>162</v>
      </c>
      <c r="G270" s="67" t="str">
        <f>INDEX('[4]RT Description to Bill Matix'!$D:$D,MATCH(A270,'[4]RT Description to Bill Matix'!$M:$M,0))</f>
        <v>CDS PAS/HAB (CFC and Non-CFC)</v>
      </c>
      <c r="H270" s="65" t="s">
        <v>612</v>
      </c>
      <c r="I270" s="65" t="s">
        <v>147</v>
      </c>
      <c r="J270" s="65" t="str" cm="1">
        <f t="array" ref="J270">INDEX('Rate Table Service Desc XWalk'!F:F,MATCH(1,(G270='Rate Table Service Desc XWalk'!B:B)*(E270='Rate Table Service Desc XWalk'!A:A),0))</f>
        <v>6-5-141</v>
      </c>
      <c r="K270" s="66" t="str">
        <f>INDEX('[5]Combined Bill Code List'!$A:$A,MATCH(A270,'[5]Combined Bill Code List'!$F:$F,0))</f>
        <v>State Plan (Title XIX)</v>
      </c>
      <c r="L270" s="66" t="str">
        <f>INDEX('[6]Rate History'!$P:$P,MATCH(A270,'[6]Rate History'!$F:$F,0))</f>
        <v>15 minutes</v>
      </c>
      <c r="M270" s="77">
        <f>INDEX('[7]PDF DB Service Pivot'!$C:$C,MATCH(B270,'[7]PDF DB Service Pivot'!$B:$B,0))</f>
        <v>18440139.199999999</v>
      </c>
      <c r="N270" s="77">
        <f t="shared" si="69"/>
        <v>18440139.199999999</v>
      </c>
      <c r="O270" s="76">
        <f>INDEX('[7]PDF DB Service Pivot'!$D:$D,MATCH(B270,'[7]PDF DB Service Pivot'!$B:$B,0))</f>
        <v>58466411.580000021</v>
      </c>
      <c r="P270" s="91">
        <v>45170</v>
      </c>
      <c r="Q270" s="81">
        <v>3.43</v>
      </c>
      <c r="R270" s="81">
        <f>11.76/4</f>
        <v>2.94</v>
      </c>
      <c r="S270" s="354">
        <f t="shared" si="78"/>
        <v>0.8571428571428571</v>
      </c>
      <c r="T270" s="339">
        <v>0.25</v>
      </c>
      <c r="U270" s="81">
        <f t="shared" si="67"/>
        <v>0</v>
      </c>
      <c r="V270" s="81" cm="1">
        <f t="array" ref="V270">_xlfn.IFS('Fiscal by Program'!$B$7&lt;10.61,0,'Fiscal by Program'!$B$7&gt;10.6,(ROUND('Fiscal by Program'!$B$7*(1+IF(D270="Yes",'Fiscal by Program'!$B$9,'Fiscal by Program'!$B$8))*T270,2)))</f>
        <v>0</v>
      </c>
      <c r="W270" s="81">
        <f t="shared" si="70"/>
        <v>0</v>
      </c>
      <c r="X270" s="81">
        <f>ROUND((R270/(1+IF(D270="Yes",'Fiscal by Program'!$B$9,'Fiscal by Program'!$B$8))),2)+0.01</f>
        <v>2.6599999999999997</v>
      </c>
      <c r="Y270" s="81">
        <f t="shared" si="71"/>
        <v>3.43</v>
      </c>
      <c r="Z270" s="88">
        <v>1</v>
      </c>
      <c r="AA270" s="90">
        <f t="shared" si="68"/>
        <v>0.25</v>
      </c>
      <c r="AB270" s="75">
        <f>INDEX('[9]Service List'!$K:$K,MATCH(A270,'[9]Service List'!$F:$F,0))</f>
        <v>1044</v>
      </c>
      <c r="AC270" s="73" t="str">
        <f>INDEX('[5]Combined Bill Code List'!$P:$P,MATCH(A270,'[5]Combined Bill Code List'!$F:$F,0))</f>
        <v>CFC</v>
      </c>
      <c r="AD270" s="67" t="s">
        <v>635</v>
      </c>
      <c r="AE270" s="79">
        <f t="shared" ref="AE270:AE301" si="79" xml:space="preserve"> 1 / (1-0.0875)</f>
        <v>1.095890410958904</v>
      </c>
      <c r="AF270" s="66">
        <v>-0.06</v>
      </c>
      <c r="AG270" s="70">
        <f>ROUND(INDEX('All Trends'!D:D,MATCH($AD270,'All Trends'!$C:$C,0)),4)</f>
        <v>1.1354</v>
      </c>
      <c r="AH270" s="70">
        <f>ROUND(INDEX('All Trends'!E:E,MATCH($AD270,'All Trends'!$C:$C,0)),4)</f>
        <v>1.2451000000000001</v>
      </c>
      <c r="AI270" s="70">
        <f>ROUND(INDEX('All Trends'!F:F,MATCH($AD270,'All Trends'!$C:$C,0)),4)</f>
        <v>1.3443000000000001</v>
      </c>
      <c r="AJ270" s="70">
        <f>ROUND(INDEX('All Trends'!G:G,MATCH($AD270,'All Trends'!$C:$C,0)),4)</f>
        <v>1.4441999999999999</v>
      </c>
      <c r="AK270" s="70">
        <f>ROUND(INDEX('All Trends'!H:H,MATCH($AD270,'All Trends'!$C:$C,0)),4)</f>
        <v>1.548</v>
      </c>
      <c r="AL270" s="74" t="s">
        <v>148</v>
      </c>
      <c r="AM270" s="92">
        <f t="shared" si="72"/>
        <v>6197269.7800000003</v>
      </c>
      <c r="AN270" s="92">
        <f t="shared" si="73"/>
        <v>6657812.2599999998</v>
      </c>
      <c r="AO270" s="69">
        <f t="shared" si="74"/>
        <v>0</v>
      </c>
      <c r="AP270" s="69">
        <f t="shared" si="75"/>
        <v>0</v>
      </c>
      <c r="AQ270" s="69">
        <f t="shared" si="76"/>
        <v>0</v>
      </c>
      <c r="AR270" s="69">
        <f t="shared" si="77"/>
        <v>0</v>
      </c>
      <c r="AS270" s="409"/>
      <c r="AT270" s="409"/>
      <c r="AU270" s="409"/>
    </row>
    <row r="271" spans="1:47">
      <c r="A271" s="67" t="s">
        <v>657</v>
      </c>
      <c r="B271" s="67" t="s">
        <v>657</v>
      </c>
      <c r="C271" s="78" t="s">
        <v>147</v>
      </c>
      <c r="D271" s="78" t="s">
        <v>148</v>
      </c>
      <c r="E271" s="67" t="s">
        <v>633</v>
      </c>
      <c r="F271" s="67" t="s">
        <v>162</v>
      </c>
      <c r="G271" s="67" t="str">
        <f>INDEX('[4]RT Description to Bill Matix'!$D:$D,MATCH(A271,'[4]RT Description to Bill Matix'!$M:$M,0))</f>
        <v>PAS/HAB (CFC and Non-CFC)</v>
      </c>
      <c r="H271" s="65" t="s">
        <v>621</v>
      </c>
      <c r="I271" s="65"/>
      <c r="J271" s="65" t="str" cm="1">
        <f t="array" ref="J271">INDEX('Rate Table Service Desc XWalk'!F:F,MATCH(1,(G271='Rate Table Service Desc XWalk'!B:B)*(E271='Rate Table Service Desc XWalk'!A:A),0))</f>
        <v>6-1-77</v>
      </c>
      <c r="K271" s="66" t="str">
        <f>INDEX('[5]Combined Bill Code List'!$A:$A,MATCH(A271,'[5]Combined Bill Code List'!$F:$F,0))</f>
        <v>State Plan (Title XIX)</v>
      </c>
      <c r="L271" s="66" t="str">
        <f>INDEX('[6]Rate History'!$P:$P,MATCH(A271,'[6]Rate History'!$F:$F,0))</f>
        <v>15 minutes</v>
      </c>
      <c r="M271" s="77">
        <f>INDEX('[7]PDF DB Service Pivot'!$C:$C,MATCH(B271,'[7]PDF DB Service Pivot'!$B:$B,0))</f>
        <v>178353</v>
      </c>
      <c r="N271" s="77">
        <f t="shared" si="69"/>
        <v>178353</v>
      </c>
      <c r="O271" s="76">
        <f>INDEX('[7]PDF DB Service Pivot'!$D:$D,MATCH(B271,'[7]PDF DB Service Pivot'!$B:$B,0))</f>
        <v>609965.13</v>
      </c>
      <c r="P271" s="91">
        <v>45170</v>
      </c>
      <c r="Q271" s="81">
        <v>3.63</v>
      </c>
      <c r="R271" s="81">
        <f>11.76/4</f>
        <v>2.94</v>
      </c>
      <c r="S271" s="354">
        <f t="shared" si="78"/>
        <v>0.80991735537190079</v>
      </c>
      <c r="T271" s="339">
        <f>INDEX('[8]Billable Services'!$P:$P,MATCH(A271,'[8]Billable Services'!$S:$S,0))</f>
        <v>0.25</v>
      </c>
      <c r="U271" s="81">
        <f t="shared" si="67"/>
        <v>0</v>
      </c>
      <c r="V271" s="81" cm="1">
        <f t="array" ref="V271">_xlfn.IFS('Fiscal by Program'!$B$7&lt;10.61,0,'Fiscal by Program'!$B$7&gt;10.6,(ROUND('Fiscal by Program'!$B$7*(1+IF(D271="Yes",'Fiscal by Program'!$B$9,'Fiscal by Program'!$B$8))*T271,2)))</f>
        <v>0</v>
      </c>
      <c r="W271" s="81">
        <f t="shared" si="70"/>
        <v>0</v>
      </c>
      <c r="X271" s="81">
        <f>ROUND((R271/(1+IF(D271="Yes",'Fiscal by Program'!$B$9,'Fiscal by Program'!$B$8))),2)+0.01</f>
        <v>2.6599999999999997</v>
      </c>
      <c r="Y271" s="81">
        <f t="shared" si="71"/>
        <v>3.63</v>
      </c>
      <c r="Z271" s="88">
        <v>1</v>
      </c>
      <c r="AA271" s="90">
        <f t="shared" si="68"/>
        <v>0.25</v>
      </c>
      <c r="AB271" s="75">
        <f>INDEX('[9]Service List'!$K:$K,MATCH(A271,'[9]Service List'!$F:$F,0))</f>
        <v>1048</v>
      </c>
      <c r="AC271" s="73" t="str">
        <f>INDEX('[5]Combined Bill Code List'!$P:$P,MATCH(A271,'[5]Combined Bill Code List'!$F:$F,0))</f>
        <v>CFC</v>
      </c>
      <c r="AD271" s="67" t="s">
        <v>635</v>
      </c>
      <c r="AE271" s="79">
        <f t="shared" si="79"/>
        <v>1.095890410958904</v>
      </c>
      <c r="AF271" s="66">
        <v>-0.06</v>
      </c>
      <c r="AG271" s="70">
        <f>ROUND(INDEX('All Trends'!D:D,MATCH($AD271,'All Trends'!$C:$C,0)),4)</f>
        <v>1.1354</v>
      </c>
      <c r="AH271" s="70">
        <f>ROUND(INDEX('All Trends'!E:E,MATCH($AD271,'All Trends'!$C:$C,0)),4)</f>
        <v>1.2451000000000001</v>
      </c>
      <c r="AI271" s="70">
        <f>ROUND(INDEX('All Trends'!F:F,MATCH($AD271,'All Trends'!$C:$C,0)),4)</f>
        <v>1.3443000000000001</v>
      </c>
      <c r="AJ271" s="70">
        <f>ROUND(INDEX('All Trends'!G:G,MATCH($AD271,'All Trends'!$C:$C,0)),4)</f>
        <v>1.4441999999999999</v>
      </c>
      <c r="AK271" s="70">
        <f>ROUND(INDEX('All Trends'!H:H,MATCH($AD271,'All Trends'!$C:$C,0)),4)</f>
        <v>1.548</v>
      </c>
      <c r="AL271" s="74" t="s">
        <v>148</v>
      </c>
      <c r="AM271" s="92">
        <f t="shared" si="72"/>
        <v>59939.98</v>
      </c>
      <c r="AN271" s="92">
        <f t="shared" si="73"/>
        <v>64394.35</v>
      </c>
      <c r="AO271" s="69">
        <f t="shared" si="74"/>
        <v>0</v>
      </c>
      <c r="AP271" s="69">
        <f t="shared" si="75"/>
        <v>0</v>
      </c>
      <c r="AQ271" s="69">
        <f t="shared" si="76"/>
        <v>0</v>
      </c>
      <c r="AR271" s="69">
        <f t="shared" si="77"/>
        <v>0</v>
      </c>
      <c r="AS271" s="409"/>
      <c r="AT271" s="409"/>
      <c r="AU271" s="409"/>
    </row>
    <row r="272" spans="1:47">
      <c r="A272" s="67" t="s">
        <v>658</v>
      </c>
      <c r="B272" s="67" t="s">
        <v>658</v>
      </c>
      <c r="C272" s="78" t="s">
        <v>147</v>
      </c>
      <c r="D272" s="78" t="s">
        <v>148</v>
      </c>
      <c r="E272" s="67" t="s">
        <v>633</v>
      </c>
      <c r="F272" s="67" t="s">
        <v>162</v>
      </c>
      <c r="G272" s="67" t="str">
        <f>INDEX('[4]RT Description to Bill Matix'!$D:$D,MATCH(A272,'[4]RT Description to Bill Matix'!$M:$M,0))</f>
        <v>CDS PAS/HAB (CFC and Non-CFC)</v>
      </c>
      <c r="H272" s="65" t="s">
        <v>647</v>
      </c>
      <c r="I272" s="65" t="s">
        <v>147</v>
      </c>
      <c r="J272" s="65" t="str" cm="1">
        <f t="array" ref="J272">INDEX('Rate Table Service Desc XWalk'!F:F,MATCH(1,(G272='Rate Table Service Desc XWalk'!B:B)*(E272='Rate Table Service Desc XWalk'!A:A),0))</f>
        <v>6-5-141</v>
      </c>
      <c r="K272" s="66" t="str">
        <f>INDEX('[5]Combined Bill Code List'!$A:$A,MATCH(A272,'[5]Combined Bill Code List'!$F:$F,0))</f>
        <v>1115 Waiver</v>
      </c>
      <c r="L272" s="66" t="str">
        <f>INDEX('[6]Rate History'!$P:$P,MATCH(A272,'[6]Rate History'!$F:$F,0))</f>
        <v>15 minutes</v>
      </c>
      <c r="M272" s="77">
        <f>INDEX('[7]PDF DB Service Pivot'!$C:$C,MATCH(B272,'[7]PDF DB Service Pivot'!$B:$B,0))</f>
        <v>6646700.6000000006</v>
      </c>
      <c r="N272" s="77">
        <f t="shared" si="69"/>
        <v>6646700.6000000006</v>
      </c>
      <c r="O272" s="76">
        <f>INDEX('[7]PDF DB Service Pivot'!$D:$D,MATCH(B272,'[7]PDF DB Service Pivot'!$B:$B,0))</f>
        <v>19275958.220000003</v>
      </c>
      <c r="P272" s="91">
        <v>45170</v>
      </c>
      <c r="Q272" s="81">
        <v>3.48</v>
      </c>
      <c r="R272" s="81">
        <f>11.75/4</f>
        <v>2.9375</v>
      </c>
      <c r="S272" s="354">
        <f t="shared" si="78"/>
        <v>0.8441091954022989</v>
      </c>
      <c r="T272" s="339">
        <v>0.25</v>
      </c>
      <c r="U272" s="81">
        <f t="shared" si="67"/>
        <v>0</v>
      </c>
      <c r="V272" s="81" cm="1">
        <f t="array" ref="V272">_xlfn.IFS('Fiscal by Program'!$B$7&lt;10.61,0,'Fiscal by Program'!$B$7&gt;10.6,(ROUND('Fiscal by Program'!$B$7*(1+IF(D272="Yes",'Fiscal by Program'!$B$9,'Fiscal by Program'!$B$8))*T272,2)))</f>
        <v>0</v>
      </c>
      <c r="W272" s="81">
        <f t="shared" si="70"/>
        <v>0</v>
      </c>
      <c r="X272" s="81">
        <f>ROUND((R272/(1+IF(D272="Yes",'Fiscal by Program'!$B$9,'Fiscal by Program'!$B$8))),2)+0.01</f>
        <v>2.6599999999999997</v>
      </c>
      <c r="Y272" s="81">
        <f t="shared" si="71"/>
        <v>3.48</v>
      </c>
      <c r="Z272" s="88">
        <v>1</v>
      </c>
      <c r="AA272" s="90">
        <f t="shared" si="68"/>
        <v>0.25</v>
      </c>
      <c r="AB272" s="75">
        <f>INDEX('[9]Service List'!$K:$K,MATCH(A272,'[9]Service List'!$F:$F,0))</f>
        <v>1042</v>
      </c>
      <c r="AC272" s="73">
        <f>INDEX('[5]Combined Bill Code List'!$P:$P,MATCH(A272,'[5]Combined Bill Code List'!$F:$F,0))</f>
        <v>0</v>
      </c>
      <c r="AD272" s="67" t="s">
        <v>635</v>
      </c>
      <c r="AE272" s="79">
        <f t="shared" si="79"/>
        <v>1.095890410958904</v>
      </c>
      <c r="AF272" s="66">
        <v>0</v>
      </c>
      <c r="AG272" s="70">
        <f>ROUND(INDEX('All Trends'!D:D,MATCH($AD272,'All Trends'!$C:$C,0)),4)</f>
        <v>1.1354</v>
      </c>
      <c r="AH272" s="70">
        <f>ROUND(INDEX('All Trends'!E:E,MATCH($AD272,'All Trends'!$C:$C,0)),4)</f>
        <v>1.2451000000000001</v>
      </c>
      <c r="AI272" s="70">
        <f>ROUND(INDEX('All Trends'!F:F,MATCH($AD272,'All Trends'!$C:$C,0)),4)</f>
        <v>1.3443000000000001</v>
      </c>
      <c r="AJ272" s="70">
        <f>ROUND(INDEX('All Trends'!G:G,MATCH($AD272,'All Trends'!$C:$C,0)),4)</f>
        <v>1.4441999999999999</v>
      </c>
      <c r="AK272" s="70">
        <f>ROUND(INDEX('All Trends'!H:H,MATCH($AD272,'All Trends'!$C:$C,0)),4)</f>
        <v>1.548</v>
      </c>
      <c r="AL272" s="74" t="s">
        <v>148</v>
      </c>
      <c r="AM272" s="92">
        <f t="shared" si="72"/>
        <v>2233789.9</v>
      </c>
      <c r="AN272" s="92">
        <f t="shared" si="73"/>
        <v>2399791.25</v>
      </c>
      <c r="AO272" s="69">
        <f t="shared" si="74"/>
        <v>0</v>
      </c>
      <c r="AP272" s="69">
        <f t="shared" si="75"/>
        <v>0</v>
      </c>
      <c r="AQ272" s="69">
        <f t="shared" si="76"/>
        <v>0</v>
      </c>
      <c r="AR272" s="69">
        <f t="shared" si="77"/>
        <v>0</v>
      </c>
      <c r="AS272" s="409"/>
      <c r="AT272" s="409"/>
      <c r="AU272" s="409"/>
    </row>
    <row r="273" spans="1:47">
      <c r="A273" s="67" t="s">
        <v>659</v>
      </c>
      <c r="B273" s="67" t="s">
        <v>659</v>
      </c>
      <c r="C273" s="78" t="s">
        <v>147</v>
      </c>
      <c r="D273" s="78" t="s">
        <v>148</v>
      </c>
      <c r="E273" s="67" t="s">
        <v>633</v>
      </c>
      <c r="F273" s="67" t="s">
        <v>162</v>
      </c>
      <c r="G273" s="67" t="str">
        <f>INDEX('[4]RT Description to Bill Matix'!$D:$D,MATCH(A273,'[4]RT Description to Bill Matix'!$M:$M,0))</f>
        <v>PAS/HAB (CFC and Non-CFC)</v>
      </c>
      <c r="H273" s="65" t="s">
        <v>649</v>
      </c>
      <c r="I273" s="65"/>
      <c r="J273" s="65" t="str" cm="1">
        <f t="array" ref="J273">INDEX('Rate Table Service Desc XWalk'!F:F,MATCH(1,(G273='Rate Table Service Desc XWalk'!B:B)*(E273='Rate Table Service Desc XWalk'!A:A),0))</f>
        <v>6-1-77</v>
      </c>
      <c r="K273" s="66" t="str">
        <f>INDEX('[5]Combined Bill Code List'!$A:$A,MATCH(A273,'[5]Combined Bill Code List'!$F:$F,0))</f>
        <v>1115 Waiver</v>
      </c>
      <c r="L273" s="66" t="str">
        <f>INDEX('[6]Rate History'!$P:$P,MATCH(A273,'[6]Rate History'!$F:$F,0))</f>
        <v>15 minutes</v>
      </c>
      <c r="M273" s="77">
        <f>INDEX('[7]PDF DB Service Pivot'!$C:$C,MATCH(B273,'[7]PDF DB Service Pivot'!$B:$B,0))</f>
        <v>23819</v>
      </c>
      <c r="N273" s="77">
        <f t="shared" si="69"/>
        <v>23819</v>
      </c>
      <c r="O273" s="76">
        <f>INDEX('[7]PDF DB Service Pivot'!$D:$D,MATCH(B273,'[7]PDF DB Service Pivot'!$B:$B,0))</f>
        <v>72844.399999999994</v>
      </c>
      <c r="P273" s="91">
        <v>45170</v>
      </c>
      <c r="Q273" s="81">
        <v>3.57</v>
      </c>
      <c r="R273" s="81">
        <f>11.77/4</f>
        <v>2.9424999999999999</v>
      </c>
      <c r="S273" s="354">
        <f t="shared" si="78"/>
        <v>0.82422969187675066</v>
      </c>
      <c r="T273" s="339">
        <f>INDEX('[8]Billable Services'!$P:$P,MATCH(A273,'[8]Billable Services'!$S:$S,0))</f>
        <v>0.25</v>
      </c>
      <c r="U273" s="81">
        <f t="shared" si="67"/>
        <v>0</v>
      </c>
      <c r="V273" s="81" cm="1">
        <f t="array" ref="V273">_xlfn.IFS('Fiscal by Program'!$B$7&lt;10.61,0,'Fiscal by Program'!$B$7&gt;10.6,(ROUND('Fiscal by Program'!$B$7*(1+IF(D273="Yes",'Fiscal by Program'!$B$9,'Fiscal by Program'!$B$8))*T273,2)))</f>
        <v>0</v>
      </c>
      <c r="W273" s="81">
        <f t="shared" si="70"/>
        <v>0</v>
      </c>
      <c r="X273" s="81">
        <f>ROUND((R273/(1+IF(D273="Yes",'Fiscal by Program'!$B$9,'Fiscal by Program'!$B$8))),2)+0.01</f>
        <v>2.67</v>
      </c>
      <c r="Y273" s="81">
        <f t="shared" si="71"/>
        <v>3.57</v>
      </c>
      <c r="Z273" s="88">
        <v>1</v>
      </c>
      <c r="AA273" s="90">
        <f t="shared" si="68"/>
        <v>0.25</v>
      </c>
      <c r="AB273" s="75">
        <f>INDEX('[9]Service List'!$K:$K,MATCH(A273,'[9]Service List'!$F:$F,0))</f>
        <v>1046</v>
      </c>
      <c r="AC273" s="73">
        <f>INDEX('[5]Combined Bill Code List'!$P:$P,MATCH(A273,'[5]Combined Bill Code List'!$F:$F,0))</f>
        <v>0</v>
      </c>
      <c r="AD273" s="67" t="s">
        <v>635</v>
      </c>
      <c r="AE273" s="79">
        <f t="shared" si="79"/>
        <v>1.095890410958904</v>
      </c>
      <c r="AF273" s="66">
        <v>0</v>
      </c>
      <c r="AG273" s="70">
        <f>ROUND(INDEX('All Trends'!D:D,MATCH($AD273,'All Trends'!$C:$C,0)),4)</f>
        <v>1.1354</v>
      </c>
      <c r="AH273" s="70">
        <f>ROUND(INDEX('All Trends'!E:E,MATCH($AD273,'All Trends'!$C:$C,0)),4)</f>
        <v>1.2451000000000001</v>
      </c>
      <c r="AI273" s="70">
        <f>ROUND(INDEX('All Trends'!F:F,MATCH($AD273,'All Trends'!$C:$C,0)),4)</f>
        <v>1.3443000000000001</v>
      </c>
      <c r="AJ273" s="70">
        <f>ROUND(INDEX('All Trends'!G:G,MATCH($AD273,'All Trends'!$C:$C,0)),4)</f>
        <v>1.4441999999999999</v>
      </c>
      <c r="AK273" s="70">
        <f>ROUND(INDEX('All Trends'!H:H,MATCH($AD273,'All Trends'!$C:$C,0)),4)</f>
        <v>1.548</v>
      </c>
      <c r="AL273" s="74" t="s">
        <v>148</v>
      </c>
      <c r="AM273" s="92">
        <f t="shared" si="72"/>
        <v>8004.97</v>
      </c>
      <c r="AN273" s="92">
        <f t="shared" si="73"/>
        <v>8599.85</v>
      </c>
      <c r="AO273" s="69">
        <f t="shared" si="74"/>
        <v>0</v>
      </c>
      <c r="AP273" s="69">
        <f t="shared" si="75"/>
        <v>0</v>
      </c>
      <c r="AQ273" s="69">
        <f t="shared" si="76"/>
        <v>0</v>
      </c>
      <c r="AR273" s="69">
        <f t="shared" si="77"/>
        <v>0</v>
      </c>
      <c r="AS273" s="409"/>
      <c r="AT273" s="409"/>
      <c r="AU273" s="409"/>
    </row>
    <row r="274" spans="1:47">
      <c r="A274" s="67" t="s">
        <v>660</v>
      </c>
      <c r="B274" s="67" t="s">
        <v>660</v>
      </c>
      <c r="C274" s="78" t="s">
        <v>147</v>
      </c>
      <c r="D274" s="78" t="s">
        <v>148</v>
      </c>
      <c r="E274" s="67" t="s">
        <v>633</v>
      </c>
      <c r="F274" s="67" t="s">
        <v>26</v>
      </c>
      <c r="G274" s="67" t="str">
        <f>INDEX('[4]RT Description to Bill Matix'!$D:$D,MATCH(A274,'[4]RT Description to Bill Matix'!$M:$M,0))</f>
        <v>In Home Respite</v>
      </c>
      <c r="H274" s="65" t="s">
        <v>661</v>
      </c>
      <c r="I274" s="65"/>
      <c r="J274" s="358" t="str" cm="1">
        <f t="array" ref="J274">INDEX('Rate Table Service Desc XWalk'!F:F,MATCH(1,(G274='Rate Table Service Desc XWalk'!B:B)*(E274='Rate Table Service Desc XWalk'!A:A),0))</f>
        <v>6-1-55</v>
      </c>
      <c r="K274" s="66" t="str">
        <f>INDEX('[5]Combined Bill Code List'!$A:$A,MATCH(A274,'[5]Combined Bill Code List'!$F:$F,0))</f>
        <v>1115 Waiver</v>
      </c>
      <c r="L274" s="66" t="str">
        <f>INDEX('[6]Rate History'!$P:$P,MATCH(A274,'[6]Rate History'!$F:$F,0))</f>
        <v>15 minutes</v>
      </c>
      <c r="M274" s="77">
        <f>INDEX('[7]PDF DB Service Pivot'!$C:$C,MATCH(B274,'[7]PDF DB Service Pivot'!$B:$B,0))</f>
        <v>3039164</v>
      </c>
      <c r="N274" s="77">
        <f t="shared" si="69"/>
        <v>3039164</v>
      </c>
      <c r="O274" s="76">
        <f>INDEX('[7]PDF DB Service Pivot'!$D:$D,MATCH(B274,'[7]PDF DB Service Pivot'!$B:$B,0))</f>
        <v>7630445.7500000009</v>
      </c>
      <c r="P274" s="356">
        <v>45170</v>
      </c>
      <c r="Q274" s="72">
        <v>3.56</v>
      </c>
      <c r="R274" s="81">
        <v>2.94</v>
      </c>
      <c r="S274" s="354">
        <f t="shared" si="78"/>
        <v>0.8258426966292135</v>
      </c>
      <c r="T274" s="339">
        <v>0.25</v>
      </c>
      <c r="U274" s="81">
        <f t="shared" si="67"/>
        <v>0</v>
      </c>
      <c r="V274" s="81" cm="1">
        <f t="array" ref="V274">_xlfn.IFS('Fiscal by Program'!$B$7&lt;10.61,0,'Fiscal by Program'!$B$7&gt;10.6,(ROUND('Fiscal by Program'!$B$7*(1+IF(D274="Yes",'Fiscal by Program'!$B$9,'Fiscal by Program'!$B$8))*T274,2)))</f>
        <v>0</v>
      </c>
      <c r="W274" s="81">
        <f t="shared" si="70"/>
        <v>0</v>
      </c>
      <c r="X274" s="81">
        <f>ROUND((R274/(1+IF(D274="Yes",'Fiscal by Program'!$B$9,'Fiscal by Program'!$B$8))),2)+0.01</f>
        <v>2.6599999999999997</v>
      </c>
      <c r="Y274" s="81">
        <f t="shared" si="71"/>
        <v>3.56</v>
      </c>
      <c r="Z274" s="88">
        <v>1</v>
      </c>
      <c r="AA274" s="90">
        <f t="shared" si="68"/>
        <v>0.25</v>
      </c>
      <c r="AB274" s="75">
        <f>INDEX('[9]Service List'!$K:$K,MATCH(A274,'[9]Service List'!$F:$F,0))</f>
        <v>965</v>
      </c>
      <c r="AC274" s="73">
        <f>INDEX('[5]Combined Bill Code List'!$P:$P,MATCH(A274,'[5]Combined Bill Code List'!$F:$F,0))</f>
        <v>0</v>
      </c>
      <c r="AD274" s="67" t="s">
        <v>635</v>
      </c>
      <c r="AE274" s="79">
        <f t="shared" si="79"/>
        <v>1.095890410958904</v>
      </c>
      <c r="AF274" s="66">
        <v>0</v>
      </c>
      <c r="AG274" s="70">
        <f>ROUND(INDEX('All Trends'!D:D,MATCH($AD274,'All Trends'!$C:$C,0)),4)</f>
        <v>1.1354</v>
      </c>
      <c r="AH274" s="70">
        <f>ROUND(INDEX('All Trends'!E:E,MATCH($AD274,'All Trends'!$C:$C,0)),4)</f>
        <v>1.2451000000000001</v>
      </c>
      <c r="AI274" s="70">
        <f>ROUND(INDEX('All Trends'!F:F,MATCH($AD274,'All Trends'!$C:$C,0)),4)</f>
        <v>1.3443000000000001</v>
      </c>
      <c r="AJ274" s="70">
        <f>ROUND(INDEX('All Trends'!G:G,MATCH($AD274,'All Trends'!$C:$C,0)),4)</f>
        <v>1.4441999999999999</v>
      </c>
      <c r="AK274" s="70">
        <f>ROUND(INDEX('All Trends'!H:H,MATCH($AD274,'All Trends'!$C:$C,0)),4)</f>
        <v>1.548</v>
      </c>
      <c r="AL274" s="74" t="s">
        <v>148</v>
      </c>
      <c r="AM274" s="92">
        <f t="shared" si="72"/>
        <v>1021387.04</v>
      </c>
      <c r="AN274" s="92">
        <f t="shared" si="73"/>
        <v>1097290.1599999999</v>
      </c>
      <c r="AO274" s="69">
        <f t="shared" si="74"/>
        <v>0</v>
      </c>
      <c r="AP274" s="69">
        <f t="shared" si="75"/>
        <v>0</v>
      </c>
      <c r="AQ274" s="69">
        <f t="shared" si="76"/>
        <v>0</v>
      </c>
      <c r="AR274" s="69">
        <f t="shared" si="77"/>
        <v>0</v>
      </c>
      <c r="AS274" s="409"/>
      <c r="AT274" s="409"/>
      <c r="AU274" s="409"/>
    </row>
    <row r="275" spans="1:47">
      <c r="A275" s="67" t="s">
        <v>662</v>
      </c>
      <c r="B275" s="67" t="s">
        <v>662</v>
      </c>
      <c r="C275" s="78" t="s">
        <v>147</v>
      </c>
      <c r="D275" s="78" t="s">
        <v>148</v>
      </c>
      <c r="E275" s="67" t="s">
        <v>633</v>
      </c>
      <c r="F275" s="67" t="s">
        <v>26</v>
      </c>
      <c r="G275" s="67" t="str">
        <f>INDEX('[4]RT Description to Bill Matix'!$D:$D,MATCH(A275,'[4]RT Description to Bill Matix'!$M:$M,0))</f>
        <v>CDS In Home Respite</v>
      </c>
      <c r="H275" s="65" t="s">
        <v>663</v>
      </c>
      <c r="I275" s="65" t="s">
        <v>147</v>
      </c>
      <c r="J275" s="358" t="str" cm="1">
        <f t="array" ref="J275">INDEX('Rate Table Service Desc XWalk'!F:F,MATCH(1,(G275='Rate Table Service Desc XWalk'!B:B)*(E275='Rate Table Service Desc XWalk'!A:A),0))</f>
        <v>6-5-136</v>
      </c>
      <c r="K275" s="66" t="str">
        <f>INDEX('[5]Combined Bill Code List'!$A:$A,MATCH(A275,'[5]Combined Bill Code List'!$F:$F,0))</f>
        <v>1115 Waiver</v>
      </c>
      <c r="L275" s="66" t="str">
        <f>INDEX('[6]Rate History'!$P:$P,MATCH(A275,'[6]Rate History'!$F:$F,0))</f>
        <v>15 minutes</v>
      </c>
      <c r="M275" s="77">
        <f>INDEX('[7]PDF DB Service Pivot'!$C:$C,MATCH(B275,'[7]PDF DB Service Pivot'!$B:$B,0))</f>
        <v>234995.20000000001</v>
      </c>
      <c r="N275" s="77">
        <f t="shared" si="69"/>
        <v>234995.20000000001</v>
      </c>
      <c r="O275" s="76">
        <f>INDEX('[7]PDF DB Service Pivot'!$D:$D,MATCH(B275,'[7]PDF DB Service Pivot'!$B:$B,0))</f>
        <v>571192.8600000001</v>
      </c>
      <c r="P275" s="356">
        <v>45171</v>
      </c>
      <c r="Q275" s="72">
        <v>3.31</v>
      </c>
      <c r="R275" s="81">
        <v>2.94</v>
      </c>
      <c r="S275" s="354">
        <f t="shared" si="78"/>
        <v>0.8882175226586102</v>
      </c>
      <c r="T275" s="339">
        <v>0.25</v>
      </c>
      <c r="U275" s="81">
        <f t="shared" si="67"/>
        <v>0</v>
      </c>
      <c r="V275" s="81" cm="1">
        <f t="array" ref="V275">_xlfn.IFS('Fiscal by Program'!$B$7&lt;10.61,0,'Fiscal by Program'!$B$7&gt;10.6,(ROUND('Fiscal by Program'!$B$7*(1+IF(D275="Yes",'Fiscal by Program'!$B$9,'Fiscal by Program'!$B$8))*T275,2)))</f>
        <v>0</v>
      </c>
      <c r="W275" s="81">
        <f t="shared" si="70"/>
        <v>0</v>
      </c>
      <c r="X275" s="81">
        <f>ROUND((R275/(1+IF(D275="Yes",'Fiscal by Program'!$B$9,'Fiscal by Program'!$B$8))),2)+0.01</f>
        <v>2.6599999999999997</v>
      </c>
      <c r="Y275" s="81">
        <f t="shared" si="71"/>
        <v>3.31</v>
      </c>
      <c r="Z275" s="88">
        <v>1</v>
      </c>
      <c r="AA275" s="90">
        <f t="shared" si="68"/>
        <v>0.25</v>
      </c>
      <c r="AB275" s="75">
        <f>INDEX('[9]Service List'!$K:$K,MATCH(A275,'[9]Service List'!$F:$F,0))</f>
        <v>961</v>
      </c>
      <c r="AC275" s="73">
        <f>INDEX('[5]Combined Bill Code List'!$P:$P,MATCH(A275,'[5]Combined Bill Code List'!$F:$F,0))</f>
        <v>0</v>
      </c>
      <c r="AD275" s="67" t="s">
        <v>635</v>
      </c>
      <c r="AE275" s="79">
        <f t="shared" si="79"/>
        <v>1.095890410958904</v>
      </c>
      <c r="AF275" s="66">
        <v>0</v>
      </c>
      <c r="AG275" s="70">
        <f>ROUND(INDEX('All Trends'!D:D,MATCH($AD275,'All Trends'!$C:$C,0)),4)</f>
        <v>1.1354</v>
      </c>
      <c r="AH275" s="70">
        <f>ROUND(INDEX('All Trends'!E:E,MATCH($AD275,'All Trends'!$C:$C,0)),4)</f>
        <v>1.2451000000000001</v>
      </c>
      <c r="AI275" s="70">
        <f>ROUND(INDEX('All Trends'!F:F,MATCH($AD275,'All Trends'!$C:$C,0)),4)</f>
        <v>1.3443000000000001</v>
      </c>
      <c r="AJ275" s="70">
        <f>ROUND(INDEX('All Trends'!G:G,MATCH($AD275,'All Trends'!$C:$C,0)),4)</f>
        <v>1.4441999999999999</v>
      </c>
      <c r="AK275" s="70">
        <f>ROUND(INDEX('All Trends'!H:H,MATCH($AD275,'All Trends'!$C:$C,0)),4)</f>
        <v>1.548</v>
      </c>
      <c r="AL275" s="74" t="s">
        <v>148</v>
      </c>
      <c r="AM275" s="92">
        <f t="shared" si="72"/>
        <v>78976.009999999995</v>
      </c>
      <c r="AN275" s="92">
        <f t="shared" si="73"/>
        <v>84845.02</v>
      </c>
      <c r="AO275" s="69">
        <f t="shared" si="74"/>
        <v>0</v>
      </c>
      <c r="AP275" s="69">
        <f t="shared" si="75"/>
        <v>0</v>
      </c>
      <c r="AQ275" s="69">
        <f t="shared" si="76"/>
        <v>0</v>
      </c>
      <c r="AR275" s="69">
        <f t="shared" si="77"/>
        <v>0</v>
      </c>
      <c r="AS275" s="409"/>
      <c r="AT275" s="409"/>
      <c r="AU275" s="409"/>
    </row>
    <row r="276" spans="1:47">
      <c r="A276" s="67" t="s">
        <v>664</v>
      </c>
      <c r="B276" s="67" t="s">
        <v>664</v>
      </c>
      <c r="C276" s="78" t="s">
        <v>147</v>
      </c>
      <c r="D276" s="78" t="s">
        <v>148</v>
      </c>
      <c r="E276" s="67" t="s">
        <v>633</v>
      </c>
      <c r="F276" s="67" t="s">
        <v>26</v>
      </c>
      <c r="G276" s="67" t="str">
        <f>INDEX('[4]RT Description to Bill Matix'!$D:$D,MATCH(A276,'[4]RT Description to Bill Matix'!$M:$M,0))</f>
        <v>In Home Respite</v>
      </c>
      <c r="H276" s="65" t="s">
        <v>665</v>
      </c>
      <c r="I276" s="65"/>
      <c r="J276" s="358" t="str" cm="1">
        <f t="array" ref="J276">INDEX('Rate Table Service Desc XWalk'!F:F,MATCH(1,(G276='Rate Table Service Desc XWalk'!B:B)*(E276='Rate Table Service Desc XWalk'!A:A),0))</f>
        <v>6-1-55</v>
      </c>
      <c r="K276" s="66" t="str">
        <f>INDEX('[5]Combined Bill Code List'!$A:$A,MATCH(A276,'[5]Combined Bill Code List'!$F:$F,0))</f>
        <v>1115 Waiver</v>
      </c>
      <c r="L276" s="66" t="str">
        <f>INDEX('[6]Rate History'!$P:$P,MATCH(A276,'[6]Rate History'!$F:$F,0))</f>
        <v>15 minutes</v>
      </c>
      <c r="M276" s="77">
        <f>INDEX('[7]PDF DB Service Pivot'!$C:$C,MATCH(B276,'[7]PDF DB Service Pivot'!$B:$B,0))</f>
        <v>4327</v>
      </c>
      <c r="N276" s="77">
        <f t="shared" si="69"/>
        <v>4327</v>
      </c>
      <c r="O276" s="76">
        <f>INDEX('[7]PDF DB Service Pivot'!$D:$D,MATCH(B276,'[7]PDF DB Service Pivot'!$B:$B,0))</f>
        <v>5719.83</v>
      </c>
      <c r="P276" s="356">
        <v>45172</v>
      </c>
      <c r="Q276" s="72">
        <v>3.56</v>
      </c>
      <c r="R276" s="81">
        <v>2.94</v>
      </c>
      <c r="S276" s="354">
        <f t="shared" si="78"/>
        <v>0.8258426966292135</v>
      </c>
      <c r="T276" s="339">
        <v>0.25</v>
      </c>
      <c r="U276" s="81">
        <f t="shared" si="67"/>
        <v>0</v>
      </c>
      <c r="V276" s="81" cm="1">
        <f t="array" ref="V276">_xlfn.IFS('Fiscal by Program'!$B$7&lt;10.61,0,'Fiscal by Program'!$B$7&gt;10.6,(ROUND('Fiscal by Program'!$B$7*(1+IF(D276="Yes",'Fiscal by Program'!$B$9,'Fiscal by Program'!$B$8))*T276,2)))</f>
        <v>0</v>
      </c>
      <c r="W276" s="81">
        <f t="shared" si="70"/>
        <v>0</v>
      </c>
      <c r="X276" s="81">
        <f>ROUND((R276/(1+IF(D276="Yes",'Fiscal by Program'!$B$9,'Fiscal by Program'!$B$8))),2)+0.01</f>
        <v>2.6599999999999997</v>
      </c>
      <c r="Y276" s="81">
        <f t="shared" si="71"/>
        <v>3.56</v>
      </c>
      <c r="Z276" s="88">
        <v>1</v>
      </c>
      <c r="AA276" s="90">
        <f t="shared" si="68"/>
        <v>0.25</v>
      </c>
      <c r="AB276" s="75">
        <f>INDEX('[9]Service List'!$K:$K,MATCH(A276,'[9]Service List'!$F:$F,0))</f>
        <v>963</v>
      </c>
      <c r="AC276" s="73">
        <f>INDEX('[5]Combined Bill Code List'!$P:$P,MATCH(A276,'[5]Combined Bill Code List'!$F:$F,0))</f>
        <v>0</v>
      </c>
      <c r="AD276" s="67" t="s">
        <v>635</v>
      </c>
      <c r="AE276" s="79">
        <f t="shared" si="79"/>
        <v>1.095890410958904</v>
      </c>
      <c r="AF276" s="66">
        <v>0</v>
      </c>
      <c r="AG276" s="70">
        <f>ROUND(INDEX('All Trends'!D:D,MATCH($AD276,'All Trends'!$C:$C,0)),4)</f>
        <v>1.1354</v>
      </c>
      <c r="AH276" s="70">
        <f>ROUND(INDEX('All Trends'!E:E,MATCH($AD276,'All Trends'!$C:$C,0)),4)</f>
        <v>1.2451000000000001</v>
      </c>
      <c r="AI276" s="70">
        <f>ROUND(INDEX('All Trends'!F:F,MATCH($AD276,'All Trends'!$C:$C,0)),4)</f>
        <v>1.3443000000000001</v>
      </c>
      <c r="AJ276" s="70">
        <f>ROUND(INDEX('All Trends'!G:G,MATCH($AD276,'All Trends'!$C:$C,0)),4)</f>
        <v>1.4441999999999999</v>
      </c>
      <c r="AK276" s="70">
        <f>ROUND(INDEX('All Trends'!H:H,MATCH($AD276,'All Trends'!$C:$C,0)),4)</f>
        <v>1.548</v>
      </c>
      <c r="AL276" s="74" t="s">
        <v>148</v>
      </c>
      <c r="AM276" s="92">
        <f t="shared" si="72"/>
        <v>1454.2</v>
      </c>
      <c r="AN276" s="92">
        <f t="shared" si="73"/>
        <v>1562.26</v>
      </c>
      <c r="AO276" s="69">
        <f t="shared" si="74"/>
        <v>0</v>
      </c>
      <c r="AP276" s="69">
        <f t="shared" si="75"/>
        <v>0</v>
      </c>
      <c r="AQ276" s="69">
        <f t="shared" si="76"/>
        <v>0</v>
      </c>
      <c r="AR276" s="69">
        <f t="shared" si="77"/>
        <v>0</v>
      </c>
      <c r="AS276" s="409"/>
      <c r="AT276" s="409"/>
      <c r="AU276" s="409"/>
    </row>
    <row r="277" spans="1:47">
      <c r="A277" s="67" t="s">
        <v>666</v>
      </c>
      <c r="B277" s="67" t="s">
        <v>666</v>
      </c>
      <c r="C277" s="78" t="s">
        <v>147</v>
      </c>
      <c r="D277" s="78" t="s">
        <v>148</v>
      </c>
      <c r="E277" s="67" t="s">
        <v>633</v>
      </c>
      <c r="F277" s="67" t="s">
        <v>26</v>
      </c>
      <c r="G277" s="67" t="str">
        <f>INDEX('[4]RT Description to Bill Matix'!$D:$D,MATCH(A277,'[4]RT Description to Bill Matix'!$M:$M,0))</f>
        <v>In Home Respite</v>
      </c>
      <c r="H277" s="65" t="s">
        <v>661</v>
      </c>
      <c r="I277" s="65"/>
      <c r="J277" s="358" t="str" cm="1">
        <f t="array" ref="J277">INDEX('Rate Table Service Desc XWalk'!F:F,MATCH(1,(G277='Rate Table Service Desc XWalk'!B:B)*(E277='Rate Table Service Desc XWalk'!A:A),0))</f>
        <v>6-1-55</v>
      </c>
      <c r="K277" s="66" t="str">
        <f>INDEX('[5]Combined Bill Code List'!$A:$A,MATCH(A277,'[5]Combined Bill Code List'!$F:$F,0))</f>
        <v>1115 Waiver</v>
      </c>
      <c r="L277" s="66" t="str">
        <f>INDEX('[6]Rate History'!$P:$P,MATCH(A277,'[6]Rate History'!$F:$F,0))</f>
        <v>15 minutes</v>
      </c>
      <c r="M277" s="77">
        <f>INDEX('[7]PDF DB Service Pivot'!$C:$C,MATCH(B277,'[7]PDF DB Service Pivot'!$B:$B,0))</f>
        <v>33240428.800000001</v>
      </c>
      <c r="N277" s="77">
        <f t="shared" si="69"/>
        <v>33240428.800000001</v>
      </c>
      <c r="O277" s="76">
        <f>INDEX('[7]PDF DB Service Pivot'!$D:$D,MATCH(B277,'[7]PDF DB Service Pivot'!$B:$B,0))</f>
        <v>84658930.139999986</v>
      </c>
      <c r="P277" s="91">
        <v>45170</v>
      </c>
      <c r="Q277" s="81">
        <v>3.56</v>
      </c>
      <c r="R277" s="81">
        <f>281.77/96</f>
        <v>2.9351041666666666</v>
      </c>
      <c r="S277" s="354">
        <f t="shared" si="78"/>
        <v>0.82446746254681647</v>
      </c>
      <c r="T277" s="339">
        <v>0.25</v>
      </c>
      <c r="U277" s="81">
        <f t="shared" si="67"/>
        <v>0</v>
      </c>
      <c r="V277" s="81" cm="1">
        <f t="array" ref="V277">_xlfn.IFS('Fiscal by Program'!$B$7&lt;10.61,0,'Fiscal by Program'!$B$7&gt;10.6,(ROUND('Fiscal by Program'!$B$7*(1+IF(D277="Yes",'Fiscal by Program'!$B$9,'Fiscal by Program'!$B$8))*T277,2)))</f>
        <v>0</v>
      </c>
      <c r="W277" s="81">
        <f t="shared" si="70"/>
        <v>0</v>
      </c>
      <c r="X277" s="81">
        <f>ROUND((R277/(1+IF(D277="Yes",'Fiscal by Program'!$B$9,'Fiscal by Program'!$B$8))),2)+0.01</f>
        <v>2.6599999999999997</v>
      </c>
      <c r="Y277" s="81">
        <f t="shared" si="71"/>
        <v>3.56</v>
      </c>
      <c r="Z277" s="88">
        <v>1</v>
      </c>
      <c r="AA277" s="90">
        <f t="shared" si="68"/>
        <v>0.25</v>
      </c>
      <c r="AB277" s="75">
        <f>INDEX('[9]Service List'!$K:$K,MATCH(A277,'[9]Service List'!$F:$F,0))</f>
        <v>964</v>
      </c>
      <c r="AC277" s="73">
        <f>INDEX('[5]Combined Bill Code List'!$P:$P,MATCH(A277,'[5]Combined Bill Code List'!$F:$F,0))</f>
        <v>0</v>
      </c>
      <c r="AD277" s="67" t="s">
        <v>635</v>
      </c>
      <c r="AE277" s="79">
        <f t="shared" si="79"/>
        <v>1.095890410958904</v>
      </c>
      <c r="AF277" s="66">
        <v>0</v>
      </c>
      <c r="AG277" s="70">
        <f>ROUND(INDEX('All Trends'!D:D,MATCH($AD277,'All Trends'!$C:$C,0)),4)</f>
        <v>1.1354</v>
      </c>
      <c r="AH277" s="70">
        <f>ROUND(INDEX('All Trends'!E:E,MATCH($AD277,'All Trends'!$C:$C,0)),4)</f>
        <v>1.2451000000000001</v>
      </c>
      <c r="AI277" s="70">
        <f>ROUND(INDEX('All Trends'!F:F,MATCH($AD277,'All Trends'!$C:$C,0)),4)</f>
        <v>1.3443000000000001</v>
      </c>
      <c r="AJ277" s="70">
        <f>ROUND(INDEX('All Trends'!G:G,MATCH($AD277,'All Trends'!$C:$C,0)),4)</f>
        <v>1.4441999999999999</v>
      </c>
      <c r="AK277" s="70">
        <f>ROUND(INDEX('All Trends'!H:H,MATCH($AD277,'All Trends'!$C:$C,0)),4)</f>
        <v>1.548</v>
      </c>
      <c r="AL277" s="74" t="s">
        <v>148</v>
      </c>
      <c r="AM277" s="92">
        <f t="shared" si="72"/>
        <v>11171277.109999999</v>
      </c>
      <c r="AN277" s="92">
        <f t="shared" si="73"/>
        <v>12001456.82</v>
      </c>
      <c r="AO277" s="69">
        <f t="shared" si="74"/>
        <v>0</v>
      </c>
      <c r="AP277" s="69">
        <f t="shared" si="75"/>
        <v>0</v>
      </c>
      <c r="AQ277" s="69">
        <f t="shared" si="76"/>
        <v>0</v>
      </c>
      <c r="AR277" s="69">
        <f t="shared" si="77"/>
        <v>0</v>
      </c>
      <c r="AS277" s="409"/>
      <c r="AT277" s="409"/>
      <c r="AU277" s="409"/>
    </row>
    <row r="278" spans="1:47">
      <c r="A278" s="67" t="s">
        <v>667</v>
      </c>
      <c r="B278" s="67" t="s">
        <v>667</v>
      </c>
      <c r="C278" s="78" t="s">
        <v>147</v>
      </c>
      <c r="D278" s="78" t="s">
        <v>148</v>
      </c>
      <c r="E278" s="67" t="s">
        <v>633</v>
      </c>
      <c r="F278" s="67" t="s">
        <v>26</v>
      </c>
      <c r="G278" s="67" t="str">
        <f>INDEX('[4]RT Description to Bill Matix'!$D:$D,MATCH(A278,'[4]RT Description to Bill Matix'!$M:$M,0))</f>
        <v>CDS In Home Respite</v>
      </c>
      <c r="H278" s="65" t="s">
        <v>663</v>
      </c>
      <c r="I278" s="65" t="s">
        <v>147</v>
      </c>
      <c r="J278" s="358" t="str" cm="1">
        <f t="array" ref="J278">INDEX('Rate Table Service Desc XWalk'!F:F,MATCH(1,(G278='Rate Table Service Desc XWalk'!B:B)*(E278='Rate Table Service Desc XWalk'!A:A),0))</f>
        <v>6-5-136</v>
      </c>
      <c r="K278" s="66" t="str">
        <f>INDEX('[5]Combined Bill Code List'!$A:$A,MATCH(A278,'[5]Combined Bill Code List'!$F:$F,0))</f>
        <v>1115 Waiver</v>
      </c>
      <c r="L278" s="66" t="str">
        <f>INDEX('[6]Rate History'!$P:$P,MATCH(A278,'[6]Rate History'!$F:$F,0))</f>
        <v>15 minutes</v>
      </c>
      <c r="M278" s="77">
        <f>INDEX('[7]PDF DB Service Pivot'!$C:$C,MATCH(B278,'[7]PDF DB Service Pivot'!$B:$B,0))</f>
        <v>3695491.7</v>
      </c>
      <c r="N278" s="77">
        <f t="shared" si="69"/>
        <v>3695491.7</v>
      </c>
      <c r="O278" s="76">
        <f>INDEX('[7]PDF DB Service Pivot'!$D:$D,MATCH(B278,'[7]PDF DB Service Pivot'!$B:$B,0))</f>
        <v>8876055.2100000009</v>
      </c>
      <c r="P278" s="91">
        <v>45170</v>
      </c>
      <c r="Q278" s="81">
        <v>3.31</v>
      </c>
      <c r="R278" s="81">
        <f>281.77/96</f>
        <v>2.9351041666666666</v>
      </c>
      <c r="S278" s="354">
        <f t="shared" si="78"/>
        <v>0.88673841893252769</v>
      </c>
      <c r="T278" s="339">
        <v>0.25</v>
      </c>
      <c r="U278" s="81">
        <f t="shared" si="67"/>
        <v>0</v>
      </c>
      <c r="V278" s="81" cm="1">
        <f t="array" ref="V278">_xlfn.IFS('Fiscal by Program'!$B$7&lt;10.61,0,'Fiscal by Program'!$B$7&gt;10.6,(ROUND('Fiscal by Program'!$B$7*(1+IF(D278="Yes",'Fiscal by Program'!$B$9,'Fiscal by Program'!$B$8))*T278,2)))</f>
        <v>0</v>
      </c>
      <c r="W278" s="81">
        <f t="shared" si="70"/>
        <v>0</v>
      </c>
      <c r="X278" s="81">
        <f>ROUND((R278/(1+IF(D278="Yes",'Fiscal by Program'!$B$9,'Fiscal by Program'!$B$8))),2)+0.01</f>
        <v>2.6599999999999997</v>
      </c>
      <c r="Y278" s="81">
        <f t="shared" si="71"/>
        <v>3.31</v>
      </c>
      <c r="Z278" s="88">
        <v>1</v>
      </c>
      <c r="AA278" s="90">
        <f t="shared" si="68"/>
        <v>0.25</v>
      </c>
      <c r="AB278" s="75">
        <f>INDEX('[9]Service List'!$K:$K,MATCH(A278,'[9]Service List'!$F:$F,0))</f>
        <v>960</v>
      </c>
      <c r="AC278" s="73">
        <f>INDEX('[5]Combined Bill Code List'!$P:$P,MATCH(A278,'[5]Combined Bill Code List'!$F:$F,0))</f>
        <v>0</v>
      </c>
      <c r="AD278" s="67" t="s">
        <v>635</v>
      </c>
      <c r="AE278" s="79">
        <f t="shared" si="79"/>
        <v>1.095890410958904</v>
      </c>
      <c r="AF278" s="66">
        <v>0</v>
      </c>
      <c r="AG278" s="70">
        <f>ROUND(INDEX('All Trends'!D:D,MATCH($AD278,'All Trends'!$C:$C,0)),4)</f>
        <v>1.1354</v>
      </c>
      <c r="AH278" s="70">
        <f>ROUND(INDEX('All Trends'!E:E,MATCH($AD278,'All Trends'!$C:$C,0)),4)</f>
        <v>1.2451000000000001</v>
      </c>
      <c r="AI278" s="70">
        <f>ROUND(INDEX('All Trends'!F:F,MATCH($AD278,'All Trends'!$C:$C,0)),4)</f>
        <v>1.3443000000000001</v>
      </c>
      <c r="AJ278" s="70">
        <f>ROUND(INDEX('All Trends'!G:G,MATCH($AD278,'All Trends'!$C:$C,0)),4)</f>
        <v>1.4441999999999999</v>
      </c>
      <c r="AK278" s="70">
        <f>ROUND(INDEX('All Trends'!H:H,MATCH($AD278,'All Trends'!$C:$C,0)),4)</f>
        <v>1.548</v>
      </c>
      <c r="AL278" s="74" t="s">
        <v>148</v>
      </c>
      <c r="AM278" s="92">
        <f t="shared" si="72"/>
        <v>1241962.3700000001</v>
      </c>
      <c r="AN278" s="92">
        <f t="shared" si="73"/>
        <v>1334257.28</v>
      </c>
      <c r="AO278" s="69">
        <f t="shared" si="74"/>
        <v>0</v>
      </c>
      <c r="AP278" s="69">
        <f t="shared" si="75"/>
        <v>0</v>
      </c>
      <c r="AQ278" s="69">
        <f t="shared" si="76"/>
        <v>0</v>
      </c>
      <c r="AR278" s="69">
        <f t="shared" si="77"/>
        <v>0</v>
      </c>
      <c r="AS278" s="409"/>
      <c r="AT278" s="409"/>
      <c r="AU278" s="409"/>
    </row>
    <row r="279" spans="1:47">
      <c r="A279" s="67" t="s">
        <v>668</v>
      </c>
      <c r="B279" s="67" t="s">
        <v>668</v>
      </c>
      <c r="C279" s="78" t="s">
        <v>147</v>
      </c>
      <c r="D279" s="78" t="s">
        <v>148</v>
      </c>
      <c r="E279" s="67" t="s">
        <v>633</v>
      </c>
      <c r="F279" s="67" t="s">
        <v>26</v>
      </c>
      <c r="G279" s="67" t="str">
        <f>INDEX('[4]RT Description to Bill Matix'!$D:$D,MATCH(A279,'[4]RT Description to Bill Matix'!$M:$M,0))</f>
        <v>In Home Respite</v>
      </c>
      <c r="H279" s="65" t="s">
        <v>665</v>
      </c>
      <c r="I279" s="65"/>
      <c r="J279" s="358" t="str" cm="1">
        <f t="array" ref="J279">INDEX('Rate Table Service Desc XWalk'!F:F,MATCH(1,(G279='Rate Table Service Desc XWalk'!B:B)*(E279='Rate Table Service Desc XWalk'!A:A),0))</f>
        <v>6-1-55</v>
      </c>
      <c r="K279" s="66" t="str">
        <f>INDEX('[5]Combined Bill Code List'!$A:$A,MATCH(A279,'[5]Combined Bill Code List'!$F:$F,0))</f>
        <v>1115 Waiver</v>
      </c>
      <c r="L279" s="66" t="str">
        <f>INDEX('[6]Rate History'!$P:$P,MATCH(A279,'[6]Rate History'!$F:$F,0))</f>
        <v>15 minutes</v>
      </c>
      <c r="M279" s="77">
        <f>INDEX('[7]PDF DB Service Pivot'!$C:$C,MATCH(B279,'[7]PDF DB Service Pivot'!$B:$B,0))</f>
        <v>31223</v>
      </c>
      <c r="N279" s="77">
        <f t="shared" si="69"/>
        <v>31223</v>
      </c>
      <c r="O279" s="76">
        <f>INDEX('[7]PDF DB Service Pivot'!$D:$D,MATCH(B279,'[7]PDF DB Service Pivot'!$B:$B,0))</f>
        <v>78877.509999999995</v>
      </c>
      <c r="P279" s="91">
        <v>45170</v>
      </c>
      <c r="Q279" s="81">
        <v>3.56</v>
      </c>
      <c r="R279" s="81">
        <f>281.77/96</f>
        <v>2.9351041666666666</v>
      </c>
      <c r="S279" s="354">
        <f t="shared" si="78"/>
        <v>0.82446746254681647</v>
      </c>
      <c r="T279" s="339">
        <v>0.25</v>
      </c>
      <c r="U279" s="81">
        <f t="shared" si="67"/>
        <v>0</v>
      </c>
      <c r="V279" s="81" cm="1">
        <f t="array" ref="V279">_xlfn.IFS('Fiscal by Program'!$B$7&lt;10.61,0,'Fiscal by Program'!$B$7&gt;10.6,(ROUND('Fiscal by Program'!$B$7*(1+IF(D279="Yes",'Fiscal by Program'!$B$9,'Fiscal by Program'!$B$8))*T279,2)))</f>
        <v>0</v>
      </c>
      <c r="W279" s="81">
        <f t="shared" si="70"/>
        <v>0</v>
      </c>
      <c r="X279" s="81">
        <f>ROUND((R279/(1+IF(D279="Yes",'Fiscal by Program'!$B$9,'Fiscal by Program'!$B$8))),2)+0.01</f>
        <v>2.6599999999999997</v>
      </c>
      <c r="Y279" s="81">
        <f t="shared" si="71"/>
        <v>3.56</v>
      </c>
      <c r="Z279" s="88">
        <v>1</v>
      </c>
      <c r="AA279" s="90">
        <f t="shared" si="68"/>
        <v>0.25</v>
      </c>
      <c r="AB279" s="75">
        <f>INDEX('[9]Service List'!$K:$K,MATCH(A279,'[9]Service List'!$F:$F,0))</f>
        <v>962</v>
      </c>
      <c r="AC279" s="73">
        <f>INDEX('[5]Combined Bill Code List'!$P:$P,MATCH(A279,'[5]Combined Bill Code List'!$F:$F,0))</f>
        <v>0</v>
      </c>
      <c r="AD279" s="67" t="s">
        <v>635</v>
      </c>
      <c r="AE279" s="79">
        <f t="shared" si="79"/>
        <v>1.095890410958904</v>
      </c>
      <c r="AF279" s="66">
        <v>0</v>
      </c>
      <c r="AG279" s="70">
        <f>ROUND(INDEX('All Trends'!D:D,MATCH($AD279,'All Trends'!$C:$C,0)),4)</f>
        <v>1.1354</v>
      </c>
      <c r="AH279" s="70">
        <f>ROUND(INDEX('All Trends'!E:E,MATCH($AD279,'All Trends'!$C:$C,0)),4)</f>
        <v>1.2451000000000001</v>
      </c>
      <c r="AI279" s="70">
        <f>ROUND(INDEX('All Trends'!F:F,MATCH($AD279,'All Trends'!$C:$C,0)),4)</f>
        <v>1.3443000000000001</v>
      </c>
      <c r="AJ279" s="70">
        <f>ROUND(INDEX('All Trends'!G:G,MATCH($AD279,'All Trends'!$C:$C,0)),4)</f>
        <v>1.4441999999999999</v>
      </c>
      <c r="AK279" s="70">
        <f>ROUND(INDEX('All Trends'!H:H,MATCH($AD279,'All Trends'!$C:$C,0)),4)</f>
        <v>1.548</v>
      </c>
      <c r="AL279" s="74" t="s">
        <v>148</v>
      </c>
      <c r="AM279" s="92">
        <f t="shared" si="72"/>
        <v>10493.27</v>
      </c>
      <c r="AN279" s="92">
        <f t="shared" si="73"/>
        <v>11273.06</v>
      </c>
      <c r="AO279" s="69">
        <f t="shared" si="74"/>
        <v>0</v>
      </c>
      <c r="AP279" s="69">
        <f t="shared" si="75"/>
        <v>0</v>
      </c>
      <c r="AQ279" s="69">
        <f t="shared" si="76"/>
        <v>0</v>
      </c>
      <c r="AR279" s="69">
        <f t="shared" si="77"/>
        <v>0</v>
      </c>
      <c r="AS279" s="409"/>
      <c r="AT279" s="409"/>
      <c r="AU279" s="409"/>
    </row>
    <row r="280" spans="1:47">
      <c r="A280" s="67" t="s">
        <v>669</v>
      </c>
      <c r="B280" s="67" t="s">
        <v>669</v>
      </c>
      <c r="C280" s="78" t="s">
        <v>147</v>
      </c>
      <c r="D280" s="78" t="s">
        <v>148</v>
      </c>
      <c r="E280" s="67" t="s">
        <v>633</v>
      </c>
      <c r="F280" s="67" t="s">
        <v>162</v>
      </c>
      <c r="G280" s="67" t="str">
        <f>INDEX('[4]RT Description to Bill Matix'!$D:$D,MATCH(A280,'[4]RT Description to Bill Matix'!$M:$M,0))</f>
        <v>Habilitation (CFC)</v>
      </c>
      <c r="H280" s="65" t="s">
        <v>670</v>
      </c>
      <c r="I280" s="65"/>
      <c r="J280" s="65" t="str" cm="1">
        <f t="array" ref="J280">INDEX('Rate Table Service Desc XWalk'!F:F,MATCH(1,(G280='Rate Table Service Desc XWalk'!B:B)*(E280='Rate Table Service Desc XWalk'!A:A),0))</f>
        <v>6-1-27</v>
      </c>
      <c r="K280" s="66" t="str">
        <f>INDEX('[5]Combined Bill Code List'!$A:$A,MATCH(A280,'[5]Combined Bill Code List'!$F:$F,0))</f>
        <v>State Plan (Title XIX)</v>
      </c>
      <c r="L280" s="66" t="str">
        <f>INDEX('[6]Rate History'!$P:$P,MATCH(A280,'[6]Rate History'!$F:$F,0))</f>
        <v>1 hour</v>
      </c>
      <c r="M280" s="77">
        <f>INDEX('[7]PDF DB Service Pivot'!$C:$C,MATCH(B280,'[7]PDF DB Service Pivot'!$B:$B,0))</f>
        <v>169149</v>
      </c>
      <c r="N280" s="77">
        <f t="shared" si="69"/>
        <v>169149</v>
      </c>
      <c r="O280" s="76">
        <f>INDEX('[7]PDF DB Service Pivot'!$D:$D,MATCH(B280,'[7]PDF DB Service Pivot'!$B:$B,0))</f>
        <v>603618.03999999992</v>
      </c>
      <c r="P280" s="91">
        <v>43709</v>
      </c>
      <c r="Q280" s="81">
        <v>12.8</v>
      </c>
      <c r="R280" s="81">
        <v>11.759999999999998</v>
      </c>
      <c r="S280" s="354">
        <f t="shared" si="78"/>
        <v>0.91874999999999984</v>
      </c>
      <c r="T280" s="339">
        <v>1</v>
      </c>
      <c r="U280" s="81">
        <f t="shared" si="67"/>
        <v>0</v>
      </c>
      <c r="V280" s="81" cm="1">
        <f t="array" ref="V280">_xlfn.IFS('Fiscal by Program'!$B$7&lt;10.61,0,'Fiscal by Program'!$B$7&gt;10.6,(ROUND('Fiscal by Program'!$B$7*(1+IF(D280="Yes",'Fiscal by Program'!$B$9,'Fiscal by Program'!$B$8))*T280,2)))</f>
        <v>0</v>
      </c>
      <c r="W280" s="81">
        <f t="shared" si="70"/>
        <v>0</v>
      </c>
      <c r="X280" s="81">
        <f>ROUND((R280/(1+IF(D280="Yes",'Fiscal by Program'!$B$9,'Fiscal by Program'!$B$8))),2)+0.01</f>
        <v>10.629999999999999</v>
      </c>
      <c r="Y280" s="81">
        <f t="shared" si="71"/>
        <v>12.8</v>
      </c>
      <c r="Z280" s="88">
        <v>4</v>
      </c>
      <c r="AA280" s="90">
        <f t="shared" si="68"/>
        <v>0.25</v>
      </c>
      <c r="AB280" s="75">
        <f>INDEX('[9]Service List'!$K:$K,MATCH(A280,'[9]Service List'!$F:$F,0))</f>
        <v>957</v>
      </c>
      <c r="AC280" s="73" t="str">
        <f>INDEX('[5]Combined Bill Code List'!$P:$P,MATCH(A280,'[5]Combined Bill Code List'!$F:$F,0))</f>
        <v>CFC</v>
      </c>
      <c r="AD280" s="67" t="s">
        <v>635</v>
      </c>
      <c r="AE280" s="79">
        <f t="shared" si="79"/>
        <v>1.095890410958904</v>
      </c>
      <c r="AF280" s="66">
        <v>-0.06</v>
      </c>
      <c r="AG280" s="70">
        <f>ROUND(INDEX('All Trends'!D:D,MATCH($AD280,'All Trends'!$C:$C,0)),4)</f>
        <v>1.1354</v>
      </c>
      <c r="AH280" s="70">
        <f>ROUND(INDEX('All Trends'!E:E,MATCH($AD280,'All Trends'!$C:$C,0)),4)</f>
        <v>1.2451000000000001</v>
      </c>
      <c r="AI280" s="70">
        <f>ROUND(INDEX('All Trends'!F:F,MATCH($AD280,'All Trends'!$C:$C,0)),4)</f>
        <v>1.3443000000000001</v>
      </c>
      <c r="AJ280" s="70">
        <f>ROUND(INDEX('All Trends'!G:G,MATCH($AD280,'All Trends'!$C:$C,0)),4)</f>
        <v>1.4441999999999999</v>
      </c>
      <c r="AK280" s="70">
        <f>ROUND(INDEX('All Trends'!H:H,MATCH($AD280,'All Trends'!$C:$C,0)),4)</f>
        <v>1.548</v>
      </c>
      <c r="AL280" s="74" t="s">
        <v>148</v>
      </c>
      <c r="AM280" s="92">
        <f t="shared" si="72"/>
        <v>227387</v>
      </c>
      <c r="AN280" s="92">
        <f t="shared" si="73"/>
        <v>244284.99</v>
      </c>
      <c r="AO280" s="69">
        <f t="shared" si="74"/>
        <v>0</v>
      </c>
      <c r="AP280" s="69">
        <f t="shared" si="75"/>
        <v>0</v>
      </c>
      <c r="AQ280" s="69">
        <f t="shared" si="76"/>
        <v>0</v>
      </c>
      <c r="AR280" s="69">
        <f t="shared" si="77"/>
        <v>0</v>
      </c>
      <c r="AS280" s="409"/>
      <c r="AT280" s="409"/>
      <c r="AU280" s="409"/>
    </row>
    <row r="281" spans="1:47">
      <c r="A281" s="67" t="s">
        <v>671</v>
      </c>
      <c r="B281" s="67" t="s">
        <v>671</v>
      </c>
      <c r="C281" s="78" t="s">
        <v>147</v>
      </c>
      <c r="D281" s="78" t="s">
        <v>148</v>
      </c>
      <c r="E281" s="67" t="s">
        <v>633</v>
      </c>
      <c r="F281" s="67" t="s">
        <v>162</v>
      </c>
      <c r="G281" s="67" t="str">
        <f>INDEX('[4]RT Description to Bill Matix'!$D:$D,MATCH(A281,'[4]RT Description to Bill Matix'!$M:$M,0))</f>
        <v>CDS Habilitation (CFC)</v>
      </c>
      <c r="H281" s="65" t="s">
        <v>627</v>
      </c>
      <c r="I281" s="65" t="s">
        <v>147</v>
      </c>
      <c r="J281" s="65" t="str" cm="1">
        <f t="array" ref="J281">INDEX('Rate Table Service Desc XWalk'!F:F,MATCH(1,(G281='Rate Table Service Desc XWalk'!B:B)*(E281='Rate Table Service Desc XWalk'!A:A),0))</f>
        <v>6-5-123</v>
      </c>
      <c r="K281" s="66" t="str">
        <f>INDEX('[5]Combined Bill Code List'!$A:$A,MATCH(A281,'[5]Combined Bill Code List'!$F:$F,0))</f>
        <v>State Plan (Title XIX)</v>
      </c>
      <c r="L281" s="66" t="str">
        <f>INDEX('[6]Rate History'!$P:$P,MATCH(A281,'[6]Rate History'!$F:$F,0))</f>
        <v>1 hour</v>
      </c>
      <c r="M281" s="77">
        <f>INDEX('[7]PDF DB Service Pivot'!$C:$C,MATCH(B281,'[7]PDF DB Service Pivot'!$B:$B,0))</f>
        <v>52698</v>
      </c>
      <c r="N281" s="77">
        <f t="shared" si="69"/>
        <v>52698</v>
      </c>
      <c r="O281" s="76">
        <f>INDEX('[7]PDF DB Service Pivot'!$D:$D,MATCH(B281,'[7]PDF DB Service Pivot'!$B:$B,0))</f>
        <v>166988.67000000001</v>
      </c>
      <c r="P281" s="91">
        <v>43709</v>
      </c>
      <c r="Q281" s="81">
        <v>12</v>
      </c>
      <c r="R281" s="81">
        <v>11.77</v>
      </c>
      <c r="S281" s="354">
        <f t="shared" si="78"/>
        <v>0.98083333333333333</v>
      </c>
      <c r="T281" s="339">
        <v>1</v>
      </c>
      <c r="U281" s="81">
        <f t="shared" si="67"/>
        <v>0</v>
      </c>
      <c r="V281" s="81" cm="1">
        <f t="array" ref="V281">_xlfn.IFS('Fiscal by Program'!$B$7&lt;10.61,0,'Fiscal by Program'!$B$7&gt;10.6,(ROUND('Fiscal by Program'!$B$7*(1+IF(D281="Yes",'Fiscal by Program'!$B$9,'Fiscal by Program'!$B$8))*T281,2)))</f>
        <v>0</v>
      </c>
      <c r="W281" s="81">
        <f t="shared" si="70"/>
        <v>0</v>
      </c>
      <c r="X281" s="81">
        <f>ROUND((R281/(1+IF(D281="Yes",'Fiscal by Program'!$B$9,'Fiscal by Program'!$B$8))),2)+0.01</f>
        <v>10.64</v>
      </c>
      <c r="Y281" s="81">
        <f t="shared" si="71"/>
        <v>12</v>
      </c>
      <c r="Z281" s="88">
        <v>4</v>
      </c>
      <c r="AA281" s="90">
        <f t="shared" si="68"/>
        <v>0.25</v>
      </c>
      <c r="AB281" s="75">
        <f>INDEX('[9]Service List'!$K:$K,MATCH(A281,'[9]Service List'!$F:$F,0))</f>
        <v>953</v>
      </c>
      <c r="AC281" s="73" t="str">
        <f>INDEX('[5]Combined Bill Code List'!$P:$P,MATCH(A281,'[5]Combined Bill Code List'!$F:$F,0))</f>
        <v>CFC</v>
      </c>
      <c r="AD281" s="67" t="s">
        <v>635</v>
      </c>
      <c r="AE281" s="79">
        <f t="shared" si="79"/>
        <v>1.095890410958904</v>
      </c>
      <c r="AF281" s="66">
        <v>-0.06</v>
      </c>
      <c r="AG281" s="70">
        <f>ROUND(INDEX('All Trends'!D:D,MATCH($AD281,'All Trends'!$C:$C,0)),4)</f>
        <v>1.1354</v>
      </c>
      <c r="AH281" s="70">
        <f>ROUND(INDEX('All Trends'!E:E,MATCH($AD281,'All Trends'!$C:$C,0)),4)</f>
        <v>1.2451000000000001</v>
      </c>
      <c r="AI281" s="70">
        <f>ROUND(INDEX('All Trends'!F:F,MATCH($AD281,'All Trends'!$C:$C,0)),4)</f>
        <v>1.3443000000000001</v>
      </c>
      <c r="AJ281" s="70">
        <f>ROUND(INDEX('All Trends'!G:G,MATCH($AD281,'All Trends'!$C:$C,0)),4)</f>
        <v>1.4441999999999999</v>
      </c>
      <c r="AK281" s="70">
        <f>ROUND(INDEX('All Trends'!H:H,MATCH($AD281,'All Trends'!$C:$C,0)),4)</f>
        <v>1.548</v>
      </c>
      <c r="AL281" s="74" t="s">
        <v>148</v>
      </c>
      <c r="AM281" s="92">
        <f t="shared" si="72"/>
        <v>70841.919999999998</v>
      </c>
      <c r="AN281" s="92">
        <f t="shared" si="73"/>
        <v>76106.45</v>
      </c>
      <c r="AO281" s="69">
        <f t="shared" si="74"/>
        <v>0</v>
      </c>
      <c r="AP281" s="69">
        <f t="shared" si="75"/>
        <v>0</v>
      </c>
      <c r="AQ281" s="69">
        <f t="shared" si="76"/>
        <v>0</v>
      </c>
      <c r="AR281" s="69">
        <f t="shared" si="77"/>
        <v>0</v>
      </c>
      <c r="AS281" s="409"/>
      <c r="AT281" s="409"/>
      <c r="AU281" s="409"/>
    </row>
    <row r="282" spans="1:47">
      <c r="A282" s="67" t="s">
        <v>672</v>
      </c>
      <c r="B282" s="67" t="s">
        <v>672</v>
      </c>
      <c r="C282" s="78" t="s">
        <v>147</v>
      </c>
      <c r="D282" s="78" t="s">
        <v>148</v>
      </c>
      <c r="E282" s="67" t="s">
        <v>633</v>
      </c>
      <c r="F282" s="67" t="s">
        <v>162</v>
      </c>
      <c r="G282" s="67" t="str">
        <f>INDEX('[4]RT Description to Bill Matix'!$D:$D,MATCH(A282,'[4]RT Description to Bill Matix'!$M:$M,0))</f>
        <v>Habilitation (CFC)</v>
      </c>
      <c r="H282" s="65" t="s">
        <v>631</v>
      </c>
      <c r="I282" s="65"/>
      <c r="J282" s="65" t="str" cm="1">
        <f t="array" ref="J282">INDEX('Rate Table Service Desc XWalk'!F:F,MATCH(1,(G282='Rate Table Service Desc XWalk'!B:B)*(E282='Rate Table Service Desc XWalk'!A:A),0))</f>
        <v>6-1-27</v>
      </c>
      <c r="K282" s="66" t="str">
        <f>INDEX('[5]Combined Bill Code List'!$A:$A,MATCH(A282,'[5]Combined Bill Code List'!$F:$F,0))</f>
        <v>State Plan (Title XIX)</v>
      </c>
      <c r="L282" s="66" t="str">
        <f>INDEX('[6]Rate History'!$P:$P,MATCH(A282,'[6]Rate History'!$F:$F,0))</f>
        <v>1 hour</v>
      </c>
      <c r="M282" s="77">
        <f>INDEX('[7]PDF DB Service Pivot'!$C:$C,MATCH(B282,'[7]PDF DB Service Pivot'!$B:$B,0))</f>
        <v>769</v>
      </c>
      <c r="N282" s="77">
        <f t="shared" si="69"/>
        <v>769</v>
      </c>
      <c r="O282" s="76">
        <f>INDEX('[7]PDF DB Service Pivot'!$D:$D,MATCH(B282,'[7]PDF DB Service Pivot'!$B:$B,0))</f>
        <v>2460.8000000000002</v>
      </c>
      <c r="P282" s="91">
        <v>43709</v>
      </c>
      <c r="Q282" s="81">
        <v>12.8</v>
      </c>
      <c r="R282" s="81">
        <v>11.759999999999998</v>
      </c>
      <c r="S282" s="354">
        <f t="shared" si="78"/>
        <v>0.91874999999999984</v>
      </c>
      <c r="T282" s="339">
        <v>1</v>
      </c>
      <c r="U282" s="81">
        <f t="shared" si="67"/>
        <v>0</v>
      </c>
      <c r="V282" s="81" cm="1">
        <f t="array" ref="V282">_xlfn.IFS('Fiscal by Program'!$B$7&lt;10.61,0,'Fiscal by Program'!$B$7&gt;10.6,(ROUND('Fiscal by Program'!$B$7*(1+IF(D282="Yes",'Fiscal by Program'!$B$9,'Fiscal by Program'!$B$8))*T282,2)))</f>
        <v>0</v>
      </c>
      <c r="W282" s="81">
        <f t="shared" si="70"/>
        <v>0</v>
      </c>
      <c r="X282" s="81">
        <f>ROUND((R282/(1+IF(D282="Yes",'Fiscal by Program'!$B$9,'Fiscal by Program'!$B$8))),2)+0.01</f>
        <v>10.629999999999999</v>
      </c>
      <c r="Y282" s="81">
        <f t="shared" si="71"/>
        <v>12.8</v>
      </c>
      <c r="Z282" s="88">
        <v>4</v>
      </c>
      <c r="AA282" s="90">
        <f t="shared" si="68"/>
        <v>0.25</v>
      </c>
      <c r="AB282" s="75">
        <f>INDEX('[9]Service List'!$K:$K,MATCH(A282,'[9]Service List'!$F:$F,0))</f>
        <v>955</v>
      </c>
      <c r="AC282" s="73" t="str">
        <f>INDEX('[5]Combined Bill Code List'!$P:$P,MATCH(A282,'[5]Combined Bill Code List'!$F:$F,0))</f>
        <v>CFC</v>
      </c>
      <c r="AD282" s="67" t="s">
        <v>635</v>
      </c>
      <c r="AE282" s="79">
        <f t="shared" si="79"/>
        <v>1.095890410958904</v>
      </c>
      <c r="AF282" s="66">
        <v>-0.06</v>
      </c>
      <c r="AG282" s="70">
        <f>ROUND(INDEX('All Trends'!D:D,MATCH($AD282,'All Trends'!$C:$C,0)),4)</f>
        <v>1.1354</v>
      </c>
      <c r="AH282" s="70">
        <f>ROUND(INDEX('All Trends'!E:E,MATCH($AD282,'All Trends'!$C:$C,0)),4)</f>
        <v>1.2451000000000001</v>
      </c>
      <c r="AI282" s="70">
        <f>ROUND(INDEX('All Trends'!F:F,MATCH($AD282,'All Trends'!$C:$C,0)),4)</f>
        <v>1.3443000000000001</v>
      </c>
      <c r="AJ282" s="70">
        <f>ROUND(INDEX('All Trends'!G:G,MATCH($AD282,'All Trends'!$C:$C,0)),4)</f>
        <v>1.4441999999999999</v>
      </c>
      <c r="AK282" s="70">
        <f>ROUND(INDEX('All Trends'!H:H,MATCH($AD282,'All Trends'!$C:$C,0)),4)</f>
        <v>1.548</v>
      </c>
      <c r="AL282" s="74" t="s">
        <v>148</v>
      </c>
      <c r="AM282" s="92">
        <f t="shared" si="72"/>
        <v>1033.77</v>
      </c>
      <c r="AN282" s="92">
        <f t="shared" si="73"/>
        <v>1110.5899999999999</v>
      </c>
      <c r="AO282" s="69">
        <f t="shared" si="74"/>
        <v>0</v>
      </c>
      <c r="AP282" s="69">
        <f t="shared" si="75"/>
        <v>0</v>
      </c>
      <c r="AQ282" s="69">
        <f t="shared" si="76"/>
        <v>0</v>
      </c>
      <c r="AR282" s="69">
        <f t="shared" si="77"/>
        <v>0</v>
      </c>
      <c r="AS282" s="409"/>
      <c r="AT282" s="409"/>
      <c r="AU282" s="409"/>
    </row>
    <row r="283" spans="1:47">
      <c r="A283" s="67" t="s">
        <v>673</v>
      </c>
      <c r="B283" s="67" t="s">
        <v>673</v>
      </c>
      <c r="C283" s="78" t="s">
        <v>147</v>
      </c>
      <c r="D283" s="78" t="s">
        <v>148</v>
      </c>
      <c r="E283" s="67" t="s">
        <v>633</v>
      </c>
      <c r="F283" s="67" t="s">
        <v>162</v>
      </c>
      <c r="G283" s="67" t="str">
        <f>INDEX('[4]RT Description to Bill Matix'!$D:$D,MATCH(A283,'[4]RT Description to Bill Matix'!$M:$M,0))</f>
        <v>Habilitation (CFC)</v>
      </c>
      <c r="H283" s="65" t="s">
        <v>670</v>
      </c>
      <c r="I283" s="65"/>
      <c r="J283" s="65" t="str" cm="1">
        <f t="array" ref="J283">INDEX('Rate Table Service Desc XWalk'!F:F,MATCH(1,(G283='Rate Table Service Desc XWalk'!B:B)*(E283='Rate Table Service Desc XWalk'!A:A),0))</f>
        <v>6-1-27</v>
      </c>
      <c r="K283" s="66" t="str">
        <f>INDEX('[5]Combined Bill Code List'!$A:$A,MATCH(A283,'[5]Combined Bill Code List'!$F:$F,0))</f>
        <v>State Plan (Title XIX)</v>
      </c>
      <c r="L283" s="66" t="str">
        <f>INDEX('[6]Rate History'!$P:$P,MATCH(A283,'[6]Rate History'!$F:$F,0))</f>
        <v>15 minutes</v>
      </c>
      <c r="M283" s="77">
        <f>INDEX('[7]PDF DB Service Pivot'!$C:$C,MATCH(B283,'[7]PDF DB Service Pivot'!$B:$B,0))</f>
        <v>4301206</v>
      </c>
      <c r="N283" s="77">
        <f t="shared" si="69"/>
        <v>4301206</v>
      </c>
      <c r="O283" s="76">
        <f>INDEX('[7]PDF DB Service Pivot'!$D:$D,MATCH(B283,'[7]PDF DB Service Pivot'!$B:$B,0))</f>
        <v>15215404.249999998</v>
      </c>
      <c r="P283" s="91">
        <v>45170</v>
      </c>
      <c r="Q283" s="81">
        <v>3.63</v>
      </c>
      <c r="R283" s="81">
        <f>11.76/4</f>
        <v>2.94</v>
      </c>
      <c r="S283" s="354">
        <f t="shared" si="78"/>
        <v>0.80991735537190079</v>
      </c>
      <c r="T283" s="339">
        <f>INDEX('[8]Billable Services'!$P:$P,MATCH(A283,'[8]Billable Services'!$S:$S,0))</f>
        <v>0.25</v>
      </c>
      <c r="U283" s="81">
        <f t="shared" si="67"/>
        <v>0</v>
      </c>
      <c r="V283" s="81" cm="1">
        <f t="array" ref="V283">_xlfn.IFS('Fiscal by Program'!$B$7&lt;10.61,0,'Fiscal by Program'!$B$7&gt;10.6,(ROUND('Fiscal by Program'!$B$7*(1+IF(D283="Yes",'Fiscal by Program'!$B$9,'Fiscal by Program'!$B$8))*T283,2)))</f>
        <v>0</v>
      </c>
      <c r="W283" s="81">
        <f t="shared" si="70"/>
        <v>0</v>
      </c>
      <c r="X283" s="81">
        <f>ROUND((R283/(1+IF(D283="Yes",'Fiscal by Program'!$B$9,'Fiscal by Program'!$B$8))),2)+0.01</f>
        <v>2.6599999999999997</v>
      </c>
      <c r="Y283" s="81">
        <f t="shared" si="71"/>
        <v>3.63</v>
      </c>
      <c r="Z283" s="88">
        <v>1</v>
      </c>
      <c r="AA283" s="90">
        <f t="shared" si="68"/>
        <v>0.25</v>
      </c>
      <c r="AB283" s="75">
        <f>INDEX('[9]Service List'!$K:$K,MATCH(A283,'[9]Service List'!$F:$F,0))</f>
        <v>956</v>
      </c>
      <c r="AC283" s="73" t="str">
        <f>INDEX('[5]Combined Bill Code List'!$P:$P,MATCH(A283,'[5]Combined Bill Code List'!$F:$F,0))</f>
        <v>CFC</v>
      </c>
      <c r="AD283" s="67" t="s">
        <v>635</v>
      </c>
      <c r="AE283" s="79">
        <f t="shared" si="79"/>
        <v>1.095890410958904</v>
      </c>
      <c r="AF283" s="66">
        <v>-0.06</v>
      </c>
      <c r="AG283" s="70">
        <f>ROUND(INDEX('All Trends'!D:D,MATCH($AD283,'All Trends'!$C:$C,0)),4)</f>
        <v>1.1354</v>
      </c>
      <c r="AH283" s="70">
        <f>ROUND(INDEX('All Trends'!E:E,MATCH($AD283,'All Trends'!$C:$C,0)),4)</f>
        <v>1.2451000000000001</v>
      </c>
      <c r="AI283" s="70">
        <f>ROUND(INDEX('All Trends'!F:F,MATCH($AD283,'All Trends'!$C:$C,0)),4)</f>
        <v>1.3443000000000001</v>
      </c>
      <c r="AJ283" s="70">
        <f>ROUND(INDEX('All Trends'!G:G,MATCH($AD283,'All Trends'!$C:$C,0)),4)</f>
        <v>1.4441999999999999</v>
      </c>
      <c r="AK283" s="70">
        <f>ROUND(INDEX('All Trends'!H:H,MATCH($AD283,'All Trends'!$C:$C,0)),4)</f>
        <v>1.548</v>
      </c>
      <c r="AL283" s="74" t="s">
        <v>148</v>
      </c>
      <c r="AM283" s="92">
        <f t="shared" si="72"/>
        <v>1445527.81</v>
      </c>
      <c r="AN283" s="92">
        <f t="shared" si="73"/>
        <v>1552950.43</v>
      </c>
      <c r="AO283" s="69">
        <f t="shared" si="74"/>
        <v>0</v>
      </c>
      <c r="AP283" s="69">
        <f t="shared" si="75"/>
        <v>0</v>
      </c>
      <c r="AQ283" s="69">
        <f t="shared" si="76"/>
        <v>0</v>
      </c>
      <c r="AR283" s="69">
        <f t="shared" si="77"/>
        <v>0</v>
      </c>
      <c r="AS283" s="409"/>
      <c r="AT283" s="409"/>
      <c r="AU283" s="409"/>
    </row>
    <row r="284" spans="1:47">
      <c r="A284" s="67" t="s">
        <v>674</v>
      </c>
      <c r="B284" s="67" t="s">
        <v>674</v>
      </c>
      <c r="C284" s="78" t="s">
        <v>147</v>
      </c>
      <c r="D284" s="78" t="s">
        <v>148</v>
      </c>
      <c r="E284" s="67" t="s">
        <v>633</v>
      </c>
      <c r="F284" s="67" t="s">
        <v>162</v>
      </c>
      <c r="G284" s="67" t="str">
        <f>INDEX('[4]RT Description to Bill Matix'!$D:$D,MATCH(A284,'[4]RT Description to Bill Matix'!$M:$M,0))</f>
        <v>CDS Habilitation (CFC)</v>
      </c>
      <c r="H284" s="65" t="s">
        <v>627</v>
      </c>
      <c r="I284" s="65" t="s">
        <v>147</v>
      </c>
      <c r="J284" s="65" t="str" cm="1">
        <f t="array" ref="J284">INDEX('Rate Table Service Desc XWalk'!F:F,MATCH(1,(G284='Rate Table Service Desc XWalk'!B:B)*(E284='Rate Table Service Desc XWalk'!A:A),0))</f>
        <v>6-5-123</v>
      </c>
      <c r="K284" s="66" t="str">
        <f>INDEX('[5]Combined Bill Code List'!$A:$A,MATCH(A284,'[5]Combined Bill Code List'!$F:$F,0))</f>
        <v>State Plan (Title XIX)</v>
      </c>
      <c r="L284" s="66" t="str">
        <f>INDEX('[6]Rate History'!$P:$P,MATCH(A284,'[6]Rate History'!$F:$F,0))</f>
        <v>15 minutes</v>
      </c>
      <c r="M284" s="77">
        <f>INDEX('[7]PDF DB Service Pivot'!$C:$C,MATCH(B284,'[7]PDF DB Service Pivot'!$B:$B,0))</f>
        <v>2528802.2999999998</v>
      </c>
      <c r="N284" s="77">
        <f t="shared" si="69"/>
        <v>2528802.2999999998</v>
      </c>
      <c r="O284" s="76">
        <f>INDEX('[7]PDF DB Service Pivot'!$D:$D,MATCH(B284,'[7]PDF DB Service Pivot'!$B:$B,0))</f>
        <v>7898241.71</v>
      </c>
      <c r="P284" s="91">
        <v>45170</v>
      </c>
      <c r="Q284" s="81">
        <v>3.59</v>
      </c>
      <c r="R284" s="81">
        <f>11.77/4</f>
        <v>2.9424999999999999</v>
      </c>
      <c r="S284" s="354">
        <f t="shared" si="78"/>
        <v>0.81963788300835649</v>
      </c>
      <c r="T284" s="339">
        <v>0.25</v>
      </c>
      <c r="U284" s="81">
        <f t="shared" si="67"/>
        <v>0</v>
      </c>
      <c r="V284" s="81" cm="1">
        <f t="array" ref="V284">_xlfn.IFS('Fiscal by Program'!$B$7&lt;10.61,0,'Fiscal by Program'!$B$7&gt;10.6,(ROUND('Fiscal by Program'!$B$7*(1+IF(D284="Yes",'Fiscal by Program'!$B$9,'Fiscal by Program'!$B$8))*T284,2)))</f>
        <v>0</v>
      </c>
      <c r="W284" s="81">
        <f t="shared" si="70"/>
        <v>0</v>
      </c>
      <c r="X284" s="81">
        <f>ROUND((R284/(1+IF(D284="Yes",'Fiscal by Program'!$B$9,'Fiscal by Program'!$B$8))),2)+0.01</f>
        <v>2.67</v>
      </c>
      <c r="Y284" s="81">
        <f t="shared" si="71"/>
        <v>3.59</v>
      </c>
      <c r="Z284" s="88">
        <v>1</v>
      </c>
      <c r="AA284" s="90">
        <f t="shared" si="68"/>
        <v>0.25</v>
      </c>
      <c r="AB284" s="75">
        <f>INDEX('[9]Service List'!$K:$K,MATCH(A284,'[9]Service List'!$F:$F,0))</f>
        <v>952</v>
      </c>
      <c r="AC284" s="73" t="str">
        <f>INDEX('[5]Combined Bill Code List'!$P:$P,MATCH(A284,'[5]Combined Bill Code List'!$F:$F,0))</f>
        <v>CFC</v>
      </c>
      <c r="AD284" s="67" t="s">
        <v>635</v>
      </c>
      <c r="AE284" s="79">
        <f t="shared" si="79"/>
        <v>1.095890410958904</v>
      </c>
      <c r="AF284" s="66">
        <v>-0.06</v>
      </c>
      <c r="AG284" s="70">
        <f>ROUND(INDEX('All Trends'!D:D,MATCH($AD284,'All Trends'!$C:$C,0)),4)</f>
        <v>1.1354</v>
      </c>
      <c r="AH284" s="70">
        <f>ROUND(INDEX('All Trends'!E:E,MATCH($AD284,'All Trends'!$C:$C,0)),4)</f>
        <v>1.2451000000000001</v>
      </c>
      <c r="AI284" s="70">
        <f>ROUND(INDEX('All Trends'!F:F,MATCH($AD284,'All Trends'!$C:$C,0)),4)</f>
        <v>1.3443000000000001</v>
      </c>
      <c r="AJ284" s="70">
        <f>ROUND(INDEX('All Trends'!G:G,MATCH($AD284,'All Trends'!$C:$C,0)),4)</f>
        <v>1.4441999999999999</v>
      </c>
      <c r="AK284" s="70">
        <f>ROUND(INDEX('All Trends'!H:H,MATCH($AD284,'All Trends'!$C:$C,0)),4)</f>
        <v>1.548</v>
      </c>
      <c r="AL284" s="74" t="s">
        <v>148</v>
      </c>
      <c r="AM284" s="92">
        <f t="shared" si="72"/>
        <v>849867.23</v>
      </c>
      <c r="AN284" s="92">
        <f t="shared" si="73"/>
        <v>913024.07</v>
      </c>
      <c r="AO284" s="69">
        <f t="shared" si="74"/>
        <v>0</v>
      </c>
      <c r="AP284" s="69">
        <f t="shared" si="75"/>
        <v>0</v>
      </c>
      <c r="AQ284" s="69">
        <f t="shared" si="76"/>
        <v>0</v>
      </c>
      <c r="AR284" s="69">
        <f t="shared" si="77"/>
        <v>0</v>
      </c>
      <c r="AS284" s="409"/>
      <c r="AT284" s="409"/>
      <c r="AU284" s="409"/>
    </row>
    <row r="285" spans="1:47">
      <c r="A285" s="67" t="s">
        <v>675</v>
      </c>
      <c r="B285" s="67" t="s">
        <v>675</v>
      </c>
      <c r="C285" s="78" t="s">
        <v>147</v>
      </c>
      <c r="D285" s="78" t="s">
        <v>148</v>
      </c>
      <c r="E285" s="67" t="s">
        <v>633</v>
      </c>
      <c r="F285" s="67" t="s">
        <v>162</v>
      </c>
      <c r="G285" s="67" t="str">
        <f>INDEX('[4]RT Description to Bill Matix'!$D:$D,MATCH(A285,'[4]RT Description to Bill Matix'!$M:$M,0))</f>
        <v>Habilitation (CFC)</v>
      </c>
      <c r="H285" s="65" t="s">
        <v>631</v>
      </c>
      <c r="I285" s="65"/>
      <c r="J285" s="65" t="str" cm="1">
        <f t="array" ref="J285">INDEX('Rate Table Service Desc XWalk'!F:F,MATCH(1,(G285='Rate Table Service Desc XWalk'!B:B)*(E285='Rate Table Service Desc XWalk'!A:A),0))</f>
        <v>6-1-27</v>
      </c>
      <c r="K285" s="66" t="str">
        <f>INDEX('[5]Combined Bill Code List'!$A:$A,MATCH(A285,'[5]Combined Bill Code List'!$F:$F,0))</f>
        <v>State Plan (Title XIX)</v>
      </c>
      <c r="L285" s="66" t="str">
        <f>INDEX('[6]Rate History'!$P:$P,MATCH(A285,'[6]Rate History'!$F:$F,0))</f>
        <v>15 minutes</v>
      </c>
      <c r="M285" s="77">
        <f>INDEX('[7]PDF DB Service Pivot'!$C:$C,MATCH(B285,'[7]PDF DB Service Pivot'!$B:$B,0))</f>
        <v>29433</v>
      </c>
      <c r="N285" s="77">
        <f t="shared" si="69"/>
        <v>29433</v>
      </c>
      <c r="O285" s="76">
        <f>INDEX('[7]PDF DB Service Pivot'!$D:$D,MATCH(B285,'[7]PDF DB Service Pivot'!$B:$B,0))</f>
        <v>106663.19999999998</v>
      </c>
      <c r="P285" s="91">
        <v>45170</v>
      </c>
      <c r="Q285" s="81">
        <v>3.63</v>
      </c>
      <c r="R285" s="81">
        <f>11.76/4</f>
        <v>2.94</v>
      </c>
      <c r="S285" s="354">
        <f t="shared" si="78"/>
        <v>0.80991735537190079</v>
      </c>
      <c r="T285" s="339">
        <f>INDEX('[8]Billable Services'!$P:$P,MATCH(A285,'[8]Billable Services'!$S:$S,0))</f>
        <v>0.25</v>
      </c>
      <c r="U285" s="81">
        <f t="shared" si="67"/>
        <v>0</v>
      </c>
      <c r="V285" s="81" cm="1">
        <f t="array" ref="V285">_xlfn.IFS('Fiscal by Program'!$B$7&lt;10.61,0,'Fiscal by Program'!$B$7&gt;10.6,(ROUND('Fiscal by Program'!$B$7*(1+IF(D285="Yes",'Fiscal by Program'!$B$9,'Fiscal by Program'!$B$8))*T285,2)))</f>
        <v>0</v>
      </c>
      <c r="W285" s="81">
        <f t="shared" si="70"/>
        <v>0</v>
      </c>
      <c r="X285" s="81">
        <f>ROUND((R285/(1+IF(D285="Yes",'Fiscal by Program'!$B$9,'Fiscal by Program'!$B$8))),2)+0.01</f>
        <v>2.6599999999999997</v>
      </c>
      <c r="Y285" s="81">
        <f t="shared" si="71"/>
        <v>3.63</v>
      </c>
      <c r="Z285" s="88">
        <v>1</v>
      </c>
      <c r="AA285" s="90">
        <f t="shared" si="68"/>
        <v>0.25</v>
      </c>
      <c r="AB285" s="75">
        <f>INDEX('[9]Service List'!$K:$K,MATCH(A285,'[9]Service List'!$F:$F,0))</f>
        <v>954</v>
      </c>
      <c r="AC285" s="73" t="str">
        <f>INDEX('[5]Combined Bill Code List'!$P:$P,MATCH(A285,'[5]Combined Bill Code List'!$F:$F,0))</f>
        <v>CFC</v>
      </c>
      <c r="AD285" s="67" t="s">
        <v>635</v>
      </c>
      <c r="AE285" s="79">
        <f t="shared" si="79"/>
        <v>1.095890410958904</v>
      </c>
      <c r="AF285" s="66">
        <v>-0.06</v>
      </c>
      <c r="AG285" s="70">
        <f>ROUND(INDEX('All Trends'!D:D,MATCH($AD285,'All Trends'!$C:$C,0)),4)</f>
        <v>1.1354</v>
      </c>
      <c r="AH285" s="70">
        <f>ROUND(INDEX('All Trends'!E:E,MATCH($AD285,'All Trends'!$C:$C,0)),4)</f>
        <v>1.2451000000000001</v>
      </c>
      <c r="AI285" s="70">
        <f>ROUND(INDEX('All Trends'!F:F,MATCH($AD285,'All Trends'!$C:$C,0)),4)</f>
        <v>1.3443000000000001</v>
      </c>
      <c r="AJ285" s="70">
        <f>ROUND(INDEX('All Trends'!G:G,MATCH($AD285,'All Trends'!$C:$C,0)),4)</f>
        <v>1.4441999999999999</v>
      </c>
      <c r="AK285" s="70">
        <f>ROUND(INDEX('All Trends'!H:H,MATCH($AD285,'All Trends'!$C:$C,0)),4)</f>
        <v>1.548</v>
      </c>
      <c r="AL285" s="74" t="s">
        <v>148</v>
      </c>
      <c r="AM285" s="92">
        <f t="shared" si="72"/>
        <v>9891.7000000000007</v>
      </c>
      <c r="AN285" s="92">
        <f t="shared" si="73"/>
        <v>10626.78</v>
      </c>
      <c r="AO285" s="69">
        <f t="shared" si="74"/>
        <v>0</v>
      </c>
      <c r="AP285" s="69">
        <f t="shared" si="75"/>
        <v>0</v>
      </c>
      <c r="AQ285" s="69">
        <f t="shared" si="76"/>
        <v>0</v>
      </c>
      <c r="AR285" s="69">
        <f t="shared" si="77"/>
        <v>0</v>
      </c>
      <c r="AS285" s="409"/>
      <c r="AT285" s="409"/>
      <c r="AU285" s="409"/>
    </row>
    <row r="286" spans="1:47" ht="13.15">
      <c r="A286" s="67" t="s">
        <v>676</v>
      </c>
      <c r="B286" s="67" t="s">
        <v>676</v>
      </c>
      <c r="C286" s="78" t="s">
        <v>147</v>
      </c>
      <c r="D286" s="78" t="s">
        <v>147</v>
      </c>
      <c r="E286" s="67" t="s">
        <v>633</v>
      </c>
      <c r="F286" s="67" t="s">
        <v>34</v>
      </c>
      <c r="G286" s="67" t="str">
        <f>INDEX('[4]RT Description to Bill Matix'!$D:$D,MATCH(A286,'[4]RT Description to Bill Matix'!$M:$M,0))</f>
        <v>Assisted Living Services</v>
      </c>
      <c r="H286" s="65" t="s">
        <v>677</v>
      </c>
      <c r="I286" s="65"/>
      <c r="J286" s="65" t="str" cm="1">
        <f t="array" ref="J286">INDEX('Rate Table Service Desc XWalk'!F:F,MATCH(1,(G286='Rate Table Service Desc XWalk'!B:B)*(E286='Rate Table Service Desc XWalk'!A:A),0))</f>
        <v>6-1-4</v>
      </c>
      <c r="K286" s="66" t="str">
        <f>INDEX('[5]Combined Bill Code List'!$A:$A,MATCH(A286,'[5]Combined Bill Code List'!$F:$F,0))</f>
        <v>1115 Waiver</v>
      </c>
      <c r="L286" s="66" t="str">
        <f>INDEX('[6]Rate History'!$P:$P,MATCH(A286,'[6]Rate History'!$F:$F,0))</f>
        <v>1 day</v>
      </c>
      <c r="M286" s="77">
        <f>INDEX('[7]PDF DB Service Pivot'!$C:$C,MATCH(B286,'[7]PDF DB Service Pivot'!$B:$B,0))</f>
        <v>92</v>
      </c>
      <c r="N286" s="77">
        <f t="shared" si="69"/>
        <v>92</v>
      </c>
      <c r="O286" s="76">
        <f>INDEX('[7]PDF DB Service Pivot'!$D:$D,MATCH(B286,'[7]PDF DB Service Pivot'!$B:$B,0))</f>
        <v>5916.5199999999995</v>
      </c>
      <c r="P286" s="91">
        <v>43862</v>
      </c>
      <c r="Q286" s="81">
        <v>63.71</v>
      </c>
      <c r="R286" s="81">
        <v>32.590000000000003</v>
      </c>
      <c r="S286" s="354">
        <f t="shared" si="78"/>
        <v>0.51153665044733954</v>
      </c>
      <c r="T286">
        <v>2.5099999999999998</v>
      </c>
      <c r="U286" s="81">
        <f t="shared" si="67"/>
        <v>0</v>
      </c>
      <c r="V286" s="81" cm="1">
        <f t="array" ref="V286">_xlfn.IFS('Fiscal by Program'!$B$7&lt;10.61,0,'Fiscal by Program'!$B$7&gt;10.6,(ROUND('Fiscal by Program'!$B$7*(1+IF(D286="Yes",'Fiscal by Program'!$B$9,'Fiscal by Program'!$B$8))*T286,2)))</f>
        <v>0</v>
      </c>
      <c r="W286" s="81">
        <f t="shared" si="70"/>
        <v>0</v>
      </c>
      <c r="X286" s="81">
        <f>ROUND((R286/(1+IF(D286="Yes",'Fiscal by Program'!$B$9,'Fiscal by Program'!$B$8))),2)+0.01</f>
        <v>29.44</v>
      </c>
      <c r="Y286" s="81">
        <f t="shared" si="71"/>
        <v>63.71</v>
      </c>
      <c r="Z286" s="88">
        <v>96</v>
      </c>
      <c r="AA286" s="90">
        <f t="shared" si="68"/>
        <v>2.614583333333333E-2</v>
      </c>
      <c r="AB286" s="75">
        <f>INDEX('[9]Service List'!$K:$K,MATCH(A286,'[9]Service List'!$F:$F,0))</f>
        <v>890</v>
      </c>
      <c r="AC286" s="73">
        <f>INDEX('[5]Combined Bill Code List'!$P:$P,MATCH(A286,'[5]Combined Bill Code List'!$F:$F,0))</f>
        <v>0</v>
      </c>
      <c r="AD286" s="67" t="s">
        <v>635</v>
      </c>
      <c r="AE286" s="79">
        <f t="shared" si="79"/>
        <v>1.095890410958904</v>
      </c>
      <c r="AF286" s="66">
        <v>0</v>
      </c>
      <c r="AG286" s="70">
        <f>ROUND(INDEX('All Trends'!D:D,MATCH($AD286,'All Trends'!$C:$C,0)),4)</f>
        <v>1.1354</v>
      </c>
      <c r="AH286" s="70">
        <f>ROUND(INDEX('All Trends'!E:E,MATCH($AD286,'All Trends'!$C:$C,0)),4)</f>
        <v>1.2451000000000001</v>
      </c>
      <c r="AI286" s="70">
        <f>ROUND(INDEX('All Trends'!F:F,MATCH($AD286,'All Trends'!$C:$C,0)),4)</f>
        <v>1.3443000000000001</v>
      </c>
      <c r="AJ286" s="70">
        <f>ROUND(INDEX('All Trends'!G:G,MATCH($AD286,'All Trends'!$C:$C,0)),4)</f>
        <v>1.4441999999999999</v>
      </c>
      <c r="AK286" s="70">
        <f>ROUND(INDEX('All Trends'!H:H,MATCH($AD286,'All Trends'!$C:$C,0)),4)</f>
        <v>1.548</v>
      </c>
      <c r="AL286" s="74" t="s">
        <v>148</v>
      </c>
      <c r="AM286" s="92">
        <f t="shared" si="72"/>
        <v>310.43</v>
      </c>
      <c r="AN286" s="92">
        <f t="shared" si="73"/>
        <v>333.49</v>
      </c>
      <c r="AO286" s="69">
        <f t="shared" si="74"/>
        <v>0</v>
      </c>
      <c r="AP286" s="69">
        <f t="shared" si="75"/>
        <v>0</v>
      </c>
      <c r="AQ286" s="69">
        <f t="shared" si="76"/>
        <v>0</v>
      </c>
      <c r="AR286" s="69">
        <f t="shared" si="77"/>
        <v>0</v>
      </c>
      <c r="AS286" s="409"/>
      <c r="AT286" s="409"/>
      <c r="AU286" s="409"/>
    </row>
    <row r="287" spans="1:47" ht="13.15">
      <c r="A287" s="67" t="s">
        <v>678</v>
      </c>
      <c r="B287" s="67" t="s">
        <v>678</v>
      </c>
      <c r="C287" s="78" t="s">
        <v>147</v>
      </c>
      <c r="D287" s="78" t="s">
        <v>147</v>
      </c>
      <c r="E287" s="67" t="s">
        <v>633</v>
      </c>
      <c r="F287" s="67" t="s">
        <v>34</v>
      </c>
      <c r="G287" s="67" t="str">
        <f>INDEX('[4]RT Description to Bill Matix'!$D:$D,MATCH(A287,'[4]RT Description to Bill Matix'!$M:$M,0))</f>
        <v>Assisted Living Services</v>
      </c>
      <c r="H287" s="65" t="s">
        <v>679</v>
      </c>
      <c r="I287" s="65"/>
      <c r="J287" s="65" t="str" cm="1">
        <f t="array" ref="J287">INDEX('Rate Table Service Desc XWalk'!F:F,MATCH(1,(G287='Rate Table Service Desc XWalk'!B:B)*(E287='Rate Table Service Desc XWalk'!A:A),0))</f>
        <v>6-1-4</v>
      </c>
      <c r="K287" s="66" t="str">
        <f>INDEX('[5]Combined Bill Code List'!$A:$A,MATCH(A287,'[5]Combined Bill Code List'!$F:$F,0))</f>
        <v>1115 Waiver</v>
      </c>
      <c r="L287" s="66" t="str">
        <f>INDEX('[6]Rate History'!$P:$P,MATCH(A287,'[6]Rate History'!$F:$F,0))</f>
        <v>1 day</v>
      </c>
      <c r="M287" s="77">
        <f>INDEX('[7]PDF DB Service Pivot'!$C:$C,MATCH(B287,'[7]PDF DB Service Pivot'!$B:$B,0))</f>
        <v>4421</v>
      </c>
      <c r="N287" s="77">
        <f t="shared" si="69"/>
        <v>4421</v>
      </c>
      <c r="O287" s="76">
        <f>INDEX('[7]PDF DB Service Pivot'!$D:$D,MATCH(B287,'[7]PDF DB Service Pivot'!$B:$B,0))</f>
        <v>244321.30000000005</v>
      </c>
      <c r="P287" s="91">
        <v>43862</v>
      </c>
      <c r="Q287" s="81">
        <v>58.75</v>
      </c>
      <c r="R287" s="81">
        <v>27.75</v>
      </c>
      <c r="S287" s="354">
        <f t="shared" si="78"/>
        <v>0.47234042553191491</v>
      </c>
      <c r="T287">
        <v>2.5099999999999998</v>
      </c>
      <c r="U287" s="81">
        <f t="shared" si="67"/>
        <v>0</v>
      </c>
      <c r="V287" s="81" cm="1">
        <f t="array" ref="V287">_xlfn.IFS('Fiscal by Program'!$B$7&lt;10.61,0,'Fiscal by Program'!$B$7&gt;10.6,(ROUND('Fiscal by Program'!$B$7*(1+IF(D287="Yes",'Fiscal by Program'!$B$9,'Fiscal by Program'!$B$8))*T287,2)))</f>
        <v>0</v>
      </c>
      <c r="W287" s="81">
        <f t="shared" si="70"/>
        <v>0</v>
      </c>
      <c r="X287" s="81">
        <f>ROUND((R287/(1+IF(D287="Yes",'Fiscal by Program'!$B$9,'Fiscal by Program'!$B$8))),2)+0.01</f>
        <v>25.07</v>
      </c>
      <c r="Y287" s="81">
        <f t="shared" si="71"/>
        <v>58.75</v>
      </c>
      <c r="Z287" s="88">
        <v>96</v>
      </c>
      <c r="AA287" s="90">
        <f t="shared" si="68"/>
        <v>2.614583333333333E-2</v>
      </c>
      <c r="AB287" s="75">
        <f>INDEX('[9]Service List'!$K:$K,MATCH(A287,'[9]Service List'!$F:$F,0))</f>
        <v>896</v>
      </c>
      <c r="AC287" s="73">
        <f>INDEX('[5]Combined Bill Code List'!$P:$P,MATCH(A287,'[5]Combined Bill Code List'!$F:$F,0))</f>
        <v>0</v>
      </c>
      <c r="AD287" s="67" t="s">
        <v>635</v>
      </c>
      <c r="AE287" s="79">
        <f t="shared" si="79"/>
        <v>1.095890410958904</v>
      </c>
      <c r="AF287" s="66">
        <v>0</v>
      </c>
      <c r="AG287" s="70">
        <f>ROUND(INDEX('All Trends'!D:D,MATCH($AD287,'All Trends'!$C:$C,0)),4)</f>
        <v>1.1354</v>
      </c>
      <c r="AH287" s="70">
        <f>ROUND(INDEX('All Trends'!E:E,MATCH($AD287,'All Trends'!$C:$C,0)),4)</f>
        <v>1.2451000000000001</v>
      </c>
      <c r="AI287" s="70">
        <f>ROUND(INDEX('All Trends'!F:F,MATCH($AD287,'All Trends'!$C:$C,0)),4)</f>
        <v>1.3443000000000001</v>
      </c>
      <c r="AJ287" s="70">
        <f>ROUND(INDEX('All Trends'!G:G,MATCH($AD287,'All Trends'!$C:$C,0)),4)</f>
        <v>1.4441999999999999</v>
      </c>
      <c r="AK287" s="70">
        <f>ROUND(INDEX('All Trends'!H:H,MATCH($AD287,'All Trends'!$C:$C,0)),4)</f>
        <v>1.548</v>
      </c>
      <c r="AL287" s="74" t="s">
        <v>148</v>
      </c>
      <c r="AM287" s="92">
        <f t="shared" si="72"/>
        <v>14917.31</v>
      </c>
      <c r="AN287" s="92">
        <f t="shared" si="73"/>
        <v>16025.87</v>
      </c>
      <c r="AO287" s="69">
        <f t="shared" si="74"/>
        <v>0</v>
      </c>
      <c r="AP287" s="69">
        <f t="shared" si="75"/>
        <v>0</v>
      </c>
      <c r="AQ287" s="69">
        <f t="shared" si="76"/>
        <v>0</v>
      </c>
      <c r="AR287" s="69">
        <f t="shared" si="77"/>
        <v>0</v>
      </c>
      <c r="AS287" s="409"/>
      <c r="AT287" s="409"/>
      <c r="AU287" s="409"/>
    </row>
    <row r="288" spans="1:47" ht="13.15">
      <c r="A288" s="67" t="s">
        <v>680</v>
      </c>
      <c r="B288" s="67" t="s">
        <v>680</v>
      </c>
      <c r="C288" s="78" t="s">
        <v>147</v>
      </c>
      <c r="D288" s="78" t="s">
        <v>147</v>
      </c>
      <c r="E288" s="67" t="s">
        <v>633</v>
      </c>
      <c r="F288" s="67" t="s">
        <v>34</v>
      </c>
      <c r="G288" s="67" t="str">
        <f>INDEX('[4]RT Description to Bill Matix'!$D:$D,MATCH(A288,'[4]RT Description to Bill Matix'!$M:$M,0))</f>
        <v>Assisted Living Services</v>
      </c>
      <c r="H288" s="65" t="s">
        <v>681</v>
      </c>
      <c r="I288" s="65"/>
      <c r="J288" s="65" t="str" cm="1">
        <f t="array" ref="J288">INDEX('Rate Table Service Desc XWalk'!F:F,MATCH(1,(G288='Rate Table Service Desc XWalk'!B:B)*(E288='Rate Table Service Desc XWalk'!A:A),0))</f>
        <v>6-1-4</v>
      </c>
      <c r="K288" s="66" t="str">
        <f>INDEX('[5]Combined Bill Code List'!$A:$A,MATCH(A288,'[5]Combined Bill Code List'!$F:$F,0))</f>
        <v>1115 Waiver</v>
      </c>
      <c r="L288" s="66" t="str">
        <f>INDEX('[6]Rate History'!$P:$P,MATCH(A288,'[6]Rate History'!$F:$F,0))</f>
        <v>1 day</v>
      </c>
      <c r="M288" s="77">
        <f>INDEX('[7]PDF DB Service Pivot'!$C:$C,MATCH(B288,'[7]PDF DB Service Pivot'!$B:$B,0))</f>
        <v>5578</v>
      </c>
      <c r="N288" s="77">
        <f t="shared" si="69"/>
        <v>5578</v>
      </c>
      <c r="O288" s="76">
        <f>INDEX('[7]PDF DB Service Pivot'!$D:$D,MATCH(B288,'[7]PDF DB Service Pivot'!$B:$B,0))</f>
        <v>263871.66000000003</v>
      </c>
      <c r="P288" s="91">
        <v>43862</v>
      </c>
      <c r="Q288" s="81">
        <v>51.99</v>
      </c>
      <c r="R288" s="81">
        <v>21.159999999999993</v>
      </c>
      <c r="S288" s="354">
        <f t="shared" si="78"/>
        <v>0.40700134641277153</v>
      </c>
      <c r="T288">
        <v>2.5099999999999998</v>
      </c>
      <c r="U288" s="81">
        <f t="shared" si="67"/>
        <v>0</v>
      </c>
      <c r="V288" s="81" cm="1">
        <f t="array" ref="V288">_xlfn.IFS('Fiscal by Program'!$B$7&lt;10.61,0,'Fiscal by Program'!$B$7&gt;10.6,(ROUND('Fiscal by Program'!$B$7*(1+IF(D288="Yes",'Fiscal by Program'!$B$9,'Fiscal by Program'!$B$8))*T288,2)))</f>
        <v>0</v>
      </c>
      <c r="W288" s="81">
        <f t="shared" si="70"/>
        <v>0</v>
      </c>
      <c r="X288" s="81">
        <f>ROUND((R288/(1+IF(D288="Yes",'Fiscal by Program'!$B$9,'Fiscal by Program'!$B$8))),2)+0.01</f>
        <v>19.12</v>
      </c>
      <c r="Y288" s="81">
        <f t="shared" si="71"/>
        <v>51.99</v>
      </c>
      <c r="Z288" s="88">
        <v>96</v>
      </c>
      <c r="AA288" s="90">
        <f t="shared" si="68"/>
        <v>2.614583333333333E-2</v>
      </c>
      <c r="AB288" s="75">
        <f>INDEX('[9]Service List'!$K:$K,MATCH(A288,'[9]Service List'!$F:$F,0))</f>
        <v>902</v>
      </c>
      <c r="AC288" s="73">
        <f>INDEX('[5]Combined Bill Code List'!$P:$P,MATCH(A288,'[5]Combined Bill Code List'!$F:$F,0))</f>
        <v>0</v>
      </c>
      <c r="AD288" s="67" t="s">
        <v>635</v>
      </c>
      <c r="AE288" s="79">
        <f t="shared" si="79"/>
        <v>1.095890410958904</v>
      </c>
      <c r="AF288" s="66">
        <v>0</v>
      </c>
      <c r="AG288" s="70">
        <f>ROUND(INDEX('All Trends'!D:D,MATCH($AD288,'All Trends'!$C:$C,0)),4)</f>
        <v>1.1354</v>
      </c>
      <c r="AH288" s="70">
        <f>ROUND(INDEX('All Trends'!E:E,MATCH($AD288,'All Trends'!$C:$C,0)),4)</f>
        <v>1.2451000000000001</v>
      </c>
      <c r="AI288" s="70">
        <f>ROUND(INDEX('All Trends'!F:F,MATCH($AD288,'All Trends'!$C:$C,0)),4)</f>
        <v>1.3443000000000001</v>
      </c>
      <c r="AJ288" s="70">
        <f>ROUND(INDEX('All Trends'!G:G,MATCH($AD288,'All Trends'!$C:$C,0)),4)</f>
        <v>1.4441999999999999</v>
      </c>
      <c r="AK288" s="70">
        <f>ROUND(INDEX('All Trends'!H:H,MATCH($AD288,'All Trends'!$C:$C,0)),4)</f>
        <v>1.548</v>
      </c>
      <c r="AL288" s="74" t="s">
        <v>148</v>
      </c>
      <c r="AM288" s="92">
        <f t="shared" si="72"/>
        <v>18821.25</v>
      </c>
      <c r="AN288" s="92">
        <f t="shared" si="73"/>
        <v>20219.93</v>
      </c>
      <c r="AO288" s="69">
        <f t="shared" si="74"/>
        <v>0</v>
      </c>
      <c r="AP288" s="69">
        <f t="shared" si="75"/>
        <v>0</v>
      </c>
      <c r="AQ288" s="69">
        <f t="shared" si="76"/>
        <v>0</v>
      </c>
      <c r="AR288" s="69">
        <f t="shared" si="77"/>
        <v>0</v>
      </c>
      <c r="AS288" s="409"/>
      <c r="AT288" s="409"/>
      <c r="AU288" s="409"/>
    </row>
    <row r="289" spans="1:47" ht="13.15">
      <c r="A289" s="67" t="s">
        <v>682</v>
      </c>
      <c r="B289" s="67" t="s">
        <v>682</v>
      </c>
      <c r="C289" s="78" t="s">
        <v>147</v>
      </c>
      <c r="D289" s="78" t="s">
        <v>147</v>
      </c>
      <c r="E289" s="67" t="s">
        <v>633</v>
      </c>
      <c r="F289" s="67" t="s">
        <v>34</v>
      </c>
      <c r="G289" s="67" t="str">
        <f>INDEX('[4]RT Description to Bill Matix'!$D:$D,MATCH(A289,'[4]RT Description to Bill Matix'!$M:$M,0))</f>
        <v>Assisted Living Services</v>
      </c>
      <c r="H289" s="65" t="s">
        <v>683</v>
      </c>
      <c r="I289" s="65"/>
      <c r="J289" s="65" t="str" cm="1">
        <f t="array" ref="J289">INDEX('Rate Table Service Desc XWalk'!F:F,MATCH(1,(G289='Rate Table Service Desc XWalk'!B:B)*(E289='Rate Table Service Desc XWalk'!A:A),0))</f>
        <v>6-1-4</v>
      </c>
      <c r="K289" s="66" t="str">
        <f>INDEX('[5]Combined Bill Code List'!$A:$A,MATCH(A289,'[5]Combined Bill Code List'!$F:$F,0))</f>
        <v>1115 Waiver</v>
      </c>
      <c r="L289" s="66" t="str">
        <f>INDEX('[6]Rate History'!$P:$P,MATCH(A289,'[6]Rate History'!$F:$F,0))</f>
        <v>1 day</v>
      </c>
      <c r="M289" s="77">
        <f>INDEX('[7]PDF DB Service Pivot'!$C:$C,MATCH(B289,'[7]PDF DB Service Pivot'!$B:$B,0))</f>
        <v>1839</v>
      </c>
      <c r="N289" s="77">
        <f t="shared" si="69"/>
        <v>1839</v>
      </c>
      <c r="O289" s="76">
        <f>INDEX('[7]PDF DB Service Pivot'!$D:$D,MATCH(B289,'[7]PDF DB Service Pivot'!$B:$B,0))</f>
        <v>88935.57</v>
      </c>
      <c r="P289" s="91">
        <v>43862</v>
      </c>
      <c r="Q289" s="81">
        <v>54.58</v>
      </c>
      <c r="R289" s="81">
        <f t="shared" ref="R289:R319" si="80">ROUND(Q289*S289,2)</f>
        <v>27.92</v>
      </c>
      <c r="S289" s="407">
        <v>0.51153665044733954</v>
      </c>
      <c r="T289">
        <v>2.5099999999999998</v>
      </c>
      <c r="U289" s="81">
        <f t="shared" si="67"/>
        <v>0</v>
      </c>
      <c r="V289" s="81" cm="1">
        <f t="array" ref="V289">_xlfn.IFS('Fiscal by Program'!$B$7&lt;10.61,0,'Fiscal by Program'!$B$7&gt;10.6,(ROUND('Fiscal by Program'!$B$7*(1+IF(D289="Yes",'Fiscal by Program'!$B$9,'Fiscal by Program'!$B$8))*T289,2)))</f>
        <v>0</v>
      </c>
      <c r="W289" s="81">
        <f t="shared" si="70"/>
        <v>0</v>
      </c>
      <c r="X289" s="81">
        <f>ROUND((R289/(1+IF(D289="Yes",'Fiscal by Program'!$B$9,'Fiscal by Program'!$B$8))),2)+0.01</f>
        <v>25.220000000000002</v>
      </c>
      <c r="Y289" s="81">
        <f t="shared" si="71"/>
        <v>54.58</v>
      </c>
      <c r="Z289" s="88">
        <v>96</v>
      </c>
      <c r="AA289" s="90">
        <f t="shared" si="68"/>
        <v>2.614583333333333E-2</v>
      </c>
      <c r="AB289" s="75">
        <f>INDEX('[9]Service List'!$K:$K,MATCH(A289,'[9]Service List'!$F:$F,0))</f>
        <v>908</v>
      </c>
      <c r="AC289" s="73">
        <f>INDEX('[5]Combined Bill Code List'!$P:$P,MATCH(A289,'[5]Combined Bill Code List'!$F:$F,0))</f>
        <v>0</v>
      </c>
      <c r="AD289" s="67" t="s">
        <v>635</v>
      </c>
      <c r="AE289" s="79">
        <f t="shared" si="79"/>
        <v>1.095890410958904</v>
      </c>
      <c r="AF289" s="66">
        <v>0</v>
      </c>
      <c r="AG289" s="70">
        <f>ROUND(INDEX('All Trends'!D:D,MATCH($AD289,'All Trends'!$C:$C,0)),4)</f>
        <v>1.1354</v>
      </c>
      <c r="AH289" s="70">
        <f>ROUND(INDEX('All Trends'!E:E,MATCH($AD289,'All Trends'!$C:$C,0)),4)</f>
        <v>1.2451000000000001</v>
      </c>
      <c r="AI289" s="70">
        <f>ROUND(INDEX('All Trends'!F:F,MATCH($AD289,'All Trends'!$C:$C,0)),4)</f>
        <v>1.3443000000000001</v>
      </c>
      <c r="AJ289" s="70">
        <f>ROUND(INDEX('All Trends'!G:G,MATCH($AD289,'All Trends'!$C:$C,0)),4)</f>
        <v>1.4441999999999999</v>
      </c>
      <c r="AK289" s="70">
        <f>ROUND(INDEX('All Trends'!H:H,MATCH($AD289,'All Trends'!$C:$C,0)),4)</f>
        <v>1.548</v>
      </c>
      <c r="AL289" s="74" t="s">
        <v>148</v>
      </c>
      <c r="AM289" s="92">
        <f t="shared" si="72"/>
        <v>6205.14</v>
      </c>
      <c r="AN289" s="92">
        <f t="shared" si="73"/>
        <v>6666.27</v>
      </c>
      <c r="AO289" s="69">
        <f t="shared" si="74"/>
        <v>0</v>
      </c>
      <c r="AP289" s="69">
        <f t="shared" si="75"/>
        <v>0</v>
      </c>
      <c r="AQ289" s="69">
        <f t="shared" si="76"/>
        <v>0</v>
      </c>
      <c r="AR289" s="69">
        <f t="shared" si="77"/>
        <v>0</v>
      </c>
      <c r="AS289" s="409"/>
      <c r="AT289" s="409"/>
      <c r="AU289" s="409"/>
    </row>
    <row r="290" spans="1:47" ht="13.15">
      <c r="A290" s="67" t="s">
        <v>684</v>
      </c>
      <c r="B290" s="67" t="s">
        <v>684</v>
      </c>
      <c r="C290" s="78" t="s">
        <v>147</v>
      </c>
      <c r="D290" s="78" t="s">
        <v>147</v>
      </c>
      <c r="E290" s="67" t="s">
        <v>633</v>
      </c>
      <c r="F290" s="67" t="s">
        <v>34</v>
      </c>
      <c r="G290" s="67" t="str">
        <f>INDEX('[4]RT Description to Bill Matix'!$D:$D,MATCH(A290,'[4]RT Description to Bill Matix'!$M:$M,0))</f>
        <v>Assisted Living Services</v>
      </c>
      <c r="H290" s="65" t="s">
        <v>685</v>
      </c>
      <c r="I290" s="65"/>
      <c r="J290" s="65" t="str" cm="1">
        <f t="array" ref="J290">INDEX('Rate Table Service Desc XWalk'!F:F,MATCH(1,(G290='Rate Table Service Desc XWalk'!B:B)*(E290='Rate Table Service Desc XWalk'!A:A),0))</f>
        <v>6-1-4</v>
      </c>
      <c r="K290" s="66" t="str">
        <f>INDEX('[5]Combined Bill Code List'!$A:$A,MATCH(A290,'[5]Combined Bill Code List'!$F:$F,0))</f>
        <v>1115 Waiver</v>
      </c>
      <c r="L290" s="66" t="str">
        <f>INDEX('[6]Rate History'!$P:$P,MATCH(A290,'[6]Rate History'!$F:$F,0))</f>
        <v>1 day</v>
      </c>
      <c r="M290" s="77">
        <f>INDEX('[7]PDF DB Service Pivot'!$C:$C,MATCH(B290,'[7]PDF DB Service Pivot'!$B:$B,0))</f>
        <v>6559</v>
      </c>
      <c r="N290" s="77">
        <f t="shared" si="69"/>
        <v>6559</v>
      </c>
      <c r="O290" s="76">
        <f>INDEX('[7]PDF DB Service Pivot'!$D:$D,MATCH(B290,'[7]PDF DB Service Pivot'!$B:$B,0))</f>
        <v>268780.23999999993</v>
      </c>
      <c r="P290" s="91">
        <v>43862</v>
      </c>
      <c r="Q290" s="81">
        <v>48.35</v>
      </c>
      <c r="R290" s="81">
        <f t="shared" si="80"/>
        <v>22.84</v>
      </c>
      <c r="S290" s="354">
        <v>0.47234042553191491</v>
      </c>
      <c r="T290">
        <v>2.5099999999999998</v>
      </c>
      <c r="U290" s="81">
        <f t="shared" si="67"/>
        <v>0</v>
      </c>
      <c r="V290" s="81" cm="1">
        <f t="array" ref="V290">_xlfn.IFS('Fiscal by Program'!$B$7&lt;10.61,0,'Fiscal by Program'!$B$7&gt;10.6,(ROUND('Fiscal by Program'!$B$7*(1+IF(D290="Yes",'Fiscal by Program'!$B$9,'Fiscal by Program'!$B$8))*T290,2)))</f>
        <v>0</v>
      </c>
      <c r="W290" s="81">
        <f t="shared" si="70"/>
        <v>0</v>
      </c>
      <c r="X290" s="81">
        <f>ROUND((R290/(1+IF(D290="Yes",'Fiscal by Program'!$B$9,'Fiscal by Program'!$B$8))),2)+0.01</f>
        <v>20.630000000000003</v>
      </c>
      <c r="Y290" s="81">
        <f t="shared" si="71"/>
        <v>48.35</v>
      </c>
      <c r="Z290" s="88">
        <v>96</v>
      </c>
      <c r="AA290" s="90">
        <f t="shared" si="68"/>
        <v>2.614583333333333E-2</v>
      </c>
      <c r="AB290" s="75">
        <f>INDEX('[9]Service List'!$K:$K,MATCH(A290,'[9]Service List'!$F:$F,0))</f>
        <v>914</v>
      </c>
      <c r="AC290" s="73">
        <f>INDEX('[5]Combined Bill Code List'!$P:$P,MATCH(A290,'[5]Combined Bill Code List'!$F:$F,0))</f>
        <v>0</v>
      </c>
      <c r="AD290" s="67" t="s">
        <v>635</v>
      </c>
      <c r="AE290" s="79">
        <f t="shared" si="79"/>
        <v>1.095890410958904</v>
      </c>
      <c r="AF290" s="66">
        <v>0</v>
      </c>
      <c r="AG290" s="70">
        <f>ROUND(INDEX('All Trends'!D:D,MATCH($AD290,'All Trends'!$C:$C,0)),4)</f>
        <v>1.1354</v>
      </c>
      <c r="AH290" s="70">
        <f>ROUND(INDEX('All Trends'!E:E,MATCH($AD290,'All Trends'!$C:$C,0)),4)</f>
        <v>1.2451000000000001</v>
      </c>
      <c r="AI290" s="70">
        <f>ROUND(INDEX('All Trends'!F:F,MATCH($AD290,'All Trends'!$C:$C,0)),4)</f>
        <v>1.3443000000000001</v>
      </c>
      <c r="AJ290" s="70">
        <f>ROUND(INDEX('All Trends'!G:G,MATCH($AD290,'All Trends'!$C:$C,0)),4)</f>
        <v>1.4441999999999999</v>
      </c>
      <c r="AK290" s="70">
        <f>ROUND(INDEX('All Trends'!H:H,MATCH($AD290,'All Trends'!$C:$C,0)),4)</f>
        <v>1.548</v>
      </c>
      <c r="AL290" s="74" t="s">
        <v>148</v>
      </c>
      <c r="AM290" s="92">
        <f t="shared" si="72"/>
        <v>22131.33</v>
      </c>
      <c r="AN290" s="92">
        <f t="shared" si="73"/>
        <v>23775.99</v>
      </c>
      <c r="AO290" s="69">
        <f t="shared" si="74"/>
        <v>0</v>
      </c>
      <c r="AP290" s="69">
        <f t="shared" si="75"/>
        <v>0</v>
      </c>
      <c r="AQ290" s="69">
        <f t="shared" si="76"/>
        <v>0</v>
      </c>
      <c r="AR290" s="69">
        <f t="shared" si="77"/>
        <v>0</v>
      </c>
      <c r="AS290" s="409"/>
      <c r="AT290" s="409"/>
      <c r="AU290" s="409"/>
    </row>
    <row r="291" spans="1:47" ht="13.15">
      <c r="A291" s="67" t="s">
        <v>686</v>
      </c>
      <c r="B291" s="67" t="s">
        <v>686</v>
      </c>
      <c r="C291" s="78" t="s">
        <v>147</v>
      </c>
      <c r="D291" s="78" t="s">
        <v>147</v>
      </c>
      <c r="E291" s="67" t="s">
        <v>633</v>
      </c>
      <c r="F291" s="67" t="s">
        <v>34</v>
      </c>
      <c r="G291" s="67" t="str">
        <f>INDEX('[4]RT Description to Bill Matix'!$D:$D,MATCH(A291,'[4]RT Description to Bill Matix'!$M:$M,0))</f>
        <v>Assisted Living Services</v>
      </c>
      <c r="H291" s="65" t="s">
        <v>687</v>
      </c>
      <c r="I291" s="65"/>
      <c r="J291" s="65" t="str" cm="1">
        <f t="array" ref="J291">INDEX('Rate Table Service Desc XWalk'!F:F,MATCH(1,(G291='Rate Table Service Desc XWalk'!B:B)*(E291='Rate Table Service Desc XWalk'!A:A),0))</f>
        <v>6-1-4</v>
      </c>
      <c r="K291" s="66" t="str">
        <f>INDEX('[5]Combined Bill Code List'!$A:$A,MATCH(A291,'[5]Combined Bill Code List'!$F:$F,0))</f>
        <v>1115 Waiver</v>
      </c>
      <c r="L291" s="66" t="str">
        <f>INDEX('[6]Rate History'!$P:$P,MATCH(A291,'[6]Rate History'!$F:$F,0))</f>
        <v>1 day</v>
      </c>
      <c r="M291" s="77">
        <f>INDEX('[7]PDF DB Service Pivot'!$C:$C,MATCH(B291,'[7]PDF DB Service Pivot'!$B:$B,0))</f>
        <v>22305</v>
      </c>
      <c r="N291" s="77">
        <f t="shared" si="69"/>
        <v>22305</v>
      </c>
      <c r="O291" s="76">
        <f>INDEX('[7]PDF DB Service Pivot'!$D:$D,MATCH(B291,'[7]PDF DB Service Pivot'!$B:$B,0))</f>
        <v>974868.44000000018</v>
      </c>
      <c r="P291" s="91">
        <v>43862</v>
      </c>
      <c r="Q291" s="81">
        <v>46.63</v>
      </c>
      <c r="R291" s="81">
        <f t="shared" si="80"/>
        <v>18.98</v>
      </c>
      <c r="S291" s="354">
        <v>0.40700134641277153</v>
      </c>
      <c r="T291">
        <v>2.5099999999999998</v>
      </c>
      <c r="U291" s="81">
        <f t="shared" si="67"/>
        <v>0</v>
      </c>
      <c r="V291" s="81" cm="1">
        <f t="array" ref="V291">_xlfn.IFS('Fiscal by Program'!$B$7&lt;10.61,0,'Fiscal by Program'!$B$7&gt;10.6,(ROUND('Fiscal by Program'!$B$7*(1+IF(D291="Yes",'Fiscal by Program'!$B$9,'Fiscal by Program'!$B$8))*T291,2)))</f>
        <v>0</v>
      </c>
      <c r="W291" s="81">
        <f t="shared" si="70"/>
        <v>0</v>
      </c>
      <c r="X291" s="81">
        <f>ROUND((R291/(1+IF(D291="Yes",'Fiscal by Program'!$B$9,'Fiscal by Program'!$B$8))),2)+0.01</f>
        <v>17.150000000000002</v>
      </c>
      <c r="Y291" s="81">
        <f t="shared" si="71"/>
        <v>46.63</v>
      </c>
      <c r="Z291" s="88">
        <v>96</v>
      </c>
      <c r="AA291" s="90">
        <f t="shared" si="68"/>
        <v>2.614583333333333E-2</v>
      </c>
      <c r="AB291" s="75">
        <f>INDEX('[9]Service List'!$K:$K,MATCH(A291,'[9]Service List'!$F:$F,0))</f>
        <v>920</v>
      </c>
      <c r="AC291" s="73">
        <f>INDEX('[5]Combined Bill Code List'!$P:$P,MATCH(A291,'[5]Combined Bill Code List'!$F:$F,0))</f>
        <v>0</v>
      </c>
      <c r="AD291" s="67" t="s">
        <v>635</v>
      </c>
      <c r="AE291" s="79">
        <f t="shared" si="79"/>
        <v>1.095890410958904</v>
      </c>
      <c r="AF291" s="66">
        <v>0</v>
      </c>
      <c r="AG291" s="70">
        <f>ROUND(INDEX('All Trends'!D:D,MATCH($AD291,'All Trends'!$C:$C,0)),4)</f>
        <v>1.1354</v>
      </c>
      <c r="AH291" s="70">
        <f>ROUND(INDEX('All Trends'!E:E,MATCH($AD291,'All Trends'!$C:$C,0)),4)</f>
        <v>1.2451000000000001</v>
      </c>
      <c r="AI291" s="70">
        <f>ROUND(INDEX('All Trends'!F:F,MATCH($AD291,'All Trends'!$C:$C,0)),4)</f>
        <v>1.3443000000000001</v>
      </c>
      <c r="AJ291" s="70">
        <f>ROUND(INDEX('All Trends'!G:G,MATCH($AD291,'All Trends'!$C:$C,0)),4)</f>
        <v>1.4441999999999999</v>
      </c>
      <c r="AK291" s="70">
        <f>ROUND(INDEX('All Trends'!H:H,MATCH($AD291,'All Trends'!$C:$C,0)),4)</f>
        <v>1.548</v>
      </c>
      <c r="AL291" s="74" t="s">
        <v>148</v>
      </c>
      <c r="AM291" s="92">
        <f t="shared" si="72"/>
        <v>75261.37</v>
      </c>
      <c r="AN291" s="92">
        <f t="shared" si="73"/>
        <v>80854.33</v>
      </c>
      <c r="AO291" s="69">
        <f t="shared" si="74"/>
        <v>0</v>
      </c>
      <c r="AP291" s="69">
        <f t="shared" si="75"/>
        <v>0</v>
      </c>
      <c r="AQ291" s="69">
        <f t="shared" si="76"/>
        <v>0</v>
      </c>
      <c r="AR291" s="69">
        <f t="shared" si="77"/>
        <v>0</v>
      </c>
      <c r="AS291" s="409"/>
      <c r="AT291" s="409"/>
      <c r="AU291" s="409"/>
    </row>
    <row r="292" spans="1:47" ht="13.15">
      <c r="A292" s="67" t="s">
        <v>688</v>
      </c>
      <c r="B292" s="67" t="s">
        <v>688</v>
      </c>
      <c r="C292" s="78" t="s">
        <v>147</v>
      </c>
      <c r="D292" s="78" t="s">
        <v>147</v>
      </c>
      <c r="E292" s="67" t="s">
        <v>633</v>
      </c>
      <c r="F292" s="67" t="s">
        <v>34</v>
      </c>
      <c r="G292" s="67" t="str">
        <f>INDEX('[4]RT Description to Bill Matix'!$D:$D,MATCH(A292,'[4]RT Description to Bill Matix'!$M:$M,0))</f>
        <v>Assisted Living Services</v>
      </c>
      <c r="H292" s="65" t="s">
        <v>689</v>
      </c>
      <c r="I292" s="65"/>
      <c r="J292" s="65" t="str" cm="1">
        <f t="array" ref="J292">INDEX('Rate Table Service Desc XWalk'!F:F,MATCH(1,(G292='Rate Table Service Desc XWalk'!B:B)*(E292='Rate Table Service Desc XWalk'!A:A),0))</f>
        <v>6-1-4</v>
      </c>
      <c r="K292" s="66" t="str">
        <f>INDEX('[5]Combined Bill Code List'!$A:$A,MATCH(A292,'[5]Combined Bill Code List'!$F:$F,0))</f>
        <v>1115 Waiver</v>
      </c>
      <c r="L292" s="66" t="str">
        <f>INDEX('[6]Rate History'!$P:$P,MATCH(A292,'[6]Rate History'!$F:$F,0))</f>
        <v>1 day</v>
      </c>
      <c r="M292" s="77">
        <f>INDEX('[7]PDF DB Service Pivot'!$C:$C,MATCH(B292,'[7]PDF DB Service Pivot'!$B:$B,0))</f>
        <v>31</v>
      </c>
      <c r="N292" s="77">
        <f t="shared" si="69"/>
        <v>31</v>
      </c>
      <c r="O292" s="76">
        <f>INDEX('[7]PDF DB Service Pivot'!$D:$D,MATCH(B292,'[7]PDF DB Service Pivot'!$B:$B,0))</f>
        <v>1201.56</v>
      </c>
      <c r="P292" s="91">
        <v>43862</v>
      </c>
      <c r="Q292" s="81">
        <v>38.159999999999997</v>
      </c>
      <c r="R292" s="81">
        <f t="shared" si="80"/>
        <v>16.5</v>
      </c>
      <c r="S292" s="354">
        <v>0.43239281788200806</v>
      </c>
      <c r="T292">
        <v>2.5099999999999998</v>
      </c>
      <c r="U292" s="81">
        <f t="shared" si="67"/>
        <v>0</v>
      </c>
      <c r="V292" s="81" cm="1">
        <f t="array" ref="V292">_xlfn.IFS('Fiscal by Program'!$B$7&lt;10.61,0,'Fiscal by Program'!$B$7&gt;10.6,(ROUND('Fiscal by Program'!$B$7*(1+IF(D292="Yes",'Fiscal by Program'!$B$9,'Fiscal by Program'!$B$8))*T292,2)))</f>
        <v>0</v>
      </c>
      <c r="W292" s="81">
        <f t="shared" si="70"/>
        <v>0</v>
      </c>
      <c r="X292" s="81">
        <f>ROUND((R292/(1+IF(D292="Yes",'Fiscal by Program'!$B$9,'Fiscal by Program'!$B$8))),2)+0.01</f>
        <v>14.91</v>
      </c>
      <c r="Y292" s="81">
        <f t="shared" si="71"/>
        <v>38.159999999999997</v>
      </c>
      <c r="Z292" s="88">
        <v>96</v>
      </c>
      <c r="AA292" s="90">
        <f t="shared" si="68"/>
        <v>2.614583333333333E-2</v>
      </c>
      <c r="AB292" s="75">
        <f>INDEX('[9]Service List'!$K:$K,MATCH(A292,'[9]Service List'!$F:$F,0))</f>
        <v>892</v>
      </c>
      <c r="AC292" s="73">
        <f>INDEX('[5]Combined Bill Code List'!$P:$P,MATCH(A292,'[5]Combined Bill Code List'!$F:$F,0))</f>
        <v>0</v>
      </c>
      <c r="AD292" s="67" t="s">
        <v>635</v>
      </c>
      <c r="AE292" s="79">
        <f t="shared" si="79"/>
        <v>1.095890410958904</v>
      </c>
      <c r="AF292" s="66">
        <v>0</v>
      </c>
      <c r="AG292" s="70">
        <f>ROUND(INDEX('All Trends'!D:D,MATCH($AD292,'All Trends'!$C:$C,0)),4)</f>
        <v>1.1354</v>
      </c>
      <c r="AH292" s="70">
        <f>ROUND(INDEX('All Trends'!E:E,MATCH($AD292,'All Trends'!$C:$C,0)),4)</f>
        <v>1.2451000000000001</v>
      </c>
      <c r="AI292" s="70">
        <f>ROUND(INDEX('All Trends'!F:F,MATCH($AD292,'All Trends'!$C:$C,0)),4)</f>
        <v>1.3443000000000001</v>
      </c>
      <c r="AJ292" s="70">
        <f>ROUND(INDEX('All Trends'!G:G,MATCH($AD292,'All Trends'!$C:$C,0)),4)</f>
        <v>1.4441999999999999</v>
      </c>
      <c r="AK292" s="70">
        <f>ROUND(INDEX('All Trends'!H:H,MATCH($AD292,'All Trends'!$C:$C,0)),4)</f>
        <v>1.548</v>
      </c>
      <c r="AL292" s="74" t="s">
        <v>148</v>
      </c>
      <c r="AM292" s="92">
        <f t="shared" si="72"/>
        <v>104.6</v>
      </c>
      <c r="AN292" s="92">
        <f t="shared" si="73"/>
        <v>112.37</v>
      </c>
      <c r="AO292" s="69">
        <f t="shared" si="74"/>
        <v>0</v>
      </c>
      <c r="AP292" s="69">
        <f t="shared" si="75"/>
        <v>0</v>
      </c>
      <c r="AQ292" s="69">
        <f t="shared" si="76"/>
        <v>0</v>
      </c>
      <c r="AR292" s="69">
        <f t="shared" si="77"/>
        <v>0</v>
      </c>
      <c r="AS292" s="409"/>
      <c r="AT292" s="409"/>
      <c r="AU292" s="409"/>
    </row>
    <row r="293" spans="1:47" ht="13.15">
      <c r="A293" s="67" t="s">
        <v>690</v>
      </c>
      <c r="B293" s="67" t="s">
        <v>690</v>
      </c>
      <c r="C293" s="78" t="s">
        <v>147</v>
      </c>
      <c r="D293" s="78" t="s">
        <v>147</v>
      </c>
      <c r="E293" s="67" t="s">
        <v>633</v>
      </c>
      <c r="F293" s="67" t="s">
        <v>34</v>
      </c>
      <c r="G293" s="67" t="str">
        <f>INDEX('[4]RT Description to Bill Matix'!$D:$D,MATCH(A293,'[4]RT Description to Bill Matix'!$M:$M,0))</f>
        <v>Assisted Living Services</v>
      </c>
      <c r="H293" s="65" t="s">
        <v>691</v>
      </c>
      <c r="I293" s="65"/>
      <c r="J293" s="65" t="str" cm="1">
        <f t="array" ref="J293">INDEX('Rate Table Service Desc XWalk'!F:F,MATCH(1,(G293='Rate Table Service Desc XWalk'!B:B)*(E293='Rate Table Service Desc XWalk'!A:A),0))</f>
        <v>6-1-4</v>
      </c>
      <c r="K293" s="66" t="str">
        <f>INDEX('[5]Combined Bill Code List'!$A:$A,MATCH(A293,'[5]Combined Bill Code List'!$F:$F,0))</f>
        <v>1115 Waiver</v>
      </c>
      <c r="L293" s="66" t="str">
        <f>INDEX('[6]Rate History'!$P:$P,MATCH(A293,'[6]Rate History'!$F:$F,0))</f>
        <v>1 day</v>
      </c>
      <c r="M293" s="77">
        <f>INDEX('[7]PDF DB Service Pivot'!$C:$C,MATCH(B293,'[7]PDF DB Service Pivot'!$B:$B,0))</f>
        <v>1596</v>
      </c>
      <c r="N293" s="77">
        <f t="shared" si="69"/>
        <v>1596</v>
      </c>
      <c r="O293" s="76">
        <f>INDEX('[7]PDF DB Service Pivot'!$D:$D,MATCH(B293,'[7]PDF DB Service Pivot'!$B:$B,0))</f>
        <v>47550.649999999994</v>
      </c>
      <c r="P293" s="91">
        <v>43862</v>
      </c>
      <c r="Q293" s="81">
        <v>26.45</v>
      </c>
      <c r="R293" s="81">
        <f t="shared" si="80"/>
        <v>9.6300000000000008</v>
      </c>
      <c r="S293" s="354">
        <v>0.36421923474663892</v>
      </c>
      <c r="T293">
        <v>2.5099999999999998</v>
      </c>
      <c r="U293" s="81">
        <f t="shared" si="67"/>
        <v>0</v>
      </c>
      <c r="V293" s="81" cm="1">
        <f t="array" ref="V293">_xlfn.IFS('Fiscal by Program'!$B$7&lt;10.61,0,'Fiscal by Program'!$B$7&gt;10.6,(ROUND('Fiscal by Program'!$B$7*(1+IF(D293="Yes",'Fiscal by Program'!$B$9,'Fiscal by Program'!$B$8))*T293,2)))</f>
        <v>0</v>
      </c>
      <c r="W293" s="81">
        <f t="shared" si="70"/>
        <v>0</v>
      </c>
      <c r="X293" s="81">
        <f>ROUND((R293/(1+IF(D293="Yes",'Fiscal by Program'!$B$9,'Fiscal by Program'!$B$8))),2)+0.01</f>
        <v>8.7099999999999991</v>
      </c>
      <c r="Y293" s="81">
        <f t="shared" si="71"/>
        <v>26.45</v>
      </c>
      <c r="Z293" s="88">
        <v>96</v>
      </c>
      <c r="AA293" s="90">
        <f t="shared" si="68"/>
        <v>2.614583333333333E-2</v>
      </c>
      <c r="AB293" s="75">
        <f>INDEX('[9]Service List'!$K:$K,MATCH(A293,'[9]Service List'!$F:$F,0))</f>
        <v>904</v>
      </c>
      <c r="AC293" s="73">
        <f>INDEX('[5]Combined Bill Code List'!$P:$P,MATCH(A293,'[5]Combined Bill Code List'!$F:$F,0))</f>
        <v>0</v>
      </c>
      <c r="AD293" s="67" t="s">
        <v>635</v>
      </c>
      <c r="AE293" s="79">
        <f t="shared" si="79"/>
        <v>1.095890410958904</v>
      </c>
      <c r="AF293" s="66">
        <v>0</v>
      </c>
      <c r="AG293" s="70">
        <f>ROUND(INDEX('All Trends'!D:D,MATCH($AD293,'All Trends'!$C:$C,0)),4)</f>
        <v>1.1354</v>
      </c>
      <c r="AH293" s="70">
        <f>ROUND(INDEX('All Trends'!E:E,MATCH($AD293,'All Trends'!$C:$C,0)),4)</f>
        <v>1.2451000000000001</v>
      </c>
      <c r="AI293" s="70">
        <f>ROUND(INDEX('All Trends'!F:F,MATCH($AD293,'All Trends'!$C:$C,0)),4)</f>
        <v>1.3443000000000001</v>
      </c>
      <c r="AJ293" s="70">
        <f>ROUND(INDEX('All Trends'!G:G,MATCH($AD293,'All Trends'!$C:$C,0)),4)</f>
        <v>1.4441999999999999</v>
      </c>
      <c r="AK293" s="70">
        <f>ROUND(INDEX('All Trends'!H:H,MATCH($AD293,'All Trends'!$C:$C,0)),4)</f>
        <v>1.548</v>
      </c>
      <c r="AL293" s="74" t="s">
        <v>148</v>
      </c>
      <c r="AM293" s="92">
        <f t="shared" si="72"/>
        <v>5385.21</v>
      </c>
      <c r="AN293" s="92">
        <f t="shared" si="73"/>
        <v>5785.41</v>
      </c>
      <c r="AO293" s="69">
        <f t="shared" si="74"/>
        <v>0</v>
      </c>
      <c r="AP293" s="69">
        <f t="shared" si="75"/>
        <v>0</v>
      </c>
      <c r="AQ293" s="69">
        <f t="shared" si="76"/>
        <v>0</v>
      </c>
      <c r="AR293" s="69">
        <f t="shared" si="77"/>
        <v>0</v>
      </c>
      <c r="AS293" s="409"/>
      <c r="AT293" s="409"/>
      <c r="AU293" s="409"/>
    </row>
    <row r="294" spans="1:47" ht="13.15">
      <c r="A294" s="67" t="s">
        <v>692</v>
      </c>
      <c r="B294" s="67" t="s">
        <v>692</v>
      </c>
      <c r="C294" s="78" t="s">
        <v>147</v>
      </c>
      <c r="D294" s="78" t="s">
        <v>147</v>
      </c>
      <c r="E294" s="67" t="s">
        <v>633</v>
      </c>
      <c r="F294" s="67" t="s">
        <v>34</v>
      </c>
      <c r="G294" s="67" t="str">
        <f>INDEX('[4]RT Description to Bill Matix'!$D:$D,MATCH(A294,'[4]RT Description to Bill Matix'!$M:$M,0))</f>
        <v>Assisted Living Services</v>
      </c>
      <c r="H294" s="65" t="s">
        <v>693</v>
      </c>
      <c r="I294" s="65"/>
      <c r="J294" s="65" t="str" cm="1">
        <f t="array" ref="J294">INDEX('Rate Table Service Desc XWalk'!F:F,MATCH(1,(G294='Rate Table Service Desc XWalk'!B:B)*(E294='Rate Table Service Desc XWalk'!A:A),0))</f>
        <v>6-1-4</v>
      </c>
      <c r="K294" s="66" t="str">
        <f>INDEX('[5]Combined Bill Code List'!$A:$A,MATCH(A294,'[5]Combined Bill Code List'!$F:$F,0))</f>
        <v>1115 Waiver</v>
      </c>
      <c r="L294" s="66" t="str">
        <f>INDEX('[6]Rate History'!$P:$P,MATCH(A294,'[6]Rate History'!$F:$F,0))</f>
        <v>1 day</v>
      </c>
      <c r="M294" s="77">
        <f>INDEX('[7]PDF DB Service Pivot'!$C:$C,MATCH(B294,'[7]PDF DB Service Pivot'!$B:$B,0))</f>
        <v>92</v>
      </c>
      <c r="N294" s="77">
        <f t="shared" si="69"/>
        <v>92</v>
      </c>
      <c r="O294" s="76">
        <f>INDEX('[7]PDF DB Service Pivot'!$D:$D,MATCH(B294,'[7]PDF DB Service Pivot'!$B:$B,0))</f>
        <v>3043.36</v>
      </c>
      <c r="P294" s="91">
        <v>43862</v>
      </c>
      <c r="Q294" s="81">
        <v>29.03</v>
      </c>
      <c r="R294" s="81">
        <f t="shared" si="80"/>
        <v>9.91</v>
      </c>
      <c r="S294" s="354">
        <v>0.34141110872828639</v>
      </c>
      <c r="T294">
        <v>2.5099999999999998</v>
      </c>
      <c r="U294" s="81">
        <f t="shared" si="67"/>
        <v>0</v>
      </c>
      <c r="V294" s="81" cm="1">
        <f t="array" ref="V294">_xlfn.IFS('Fiscal by Program'!$B$7&lt;10.61,0,'Fiscal by Program'!$B$7&gt;10.6,(ROUND('Fiscal by Program'!$B$7*(1+IF(D294="Yes",'Fiscal by Program'!$B$9,'Fiscal by Program'!$B$8))*T294,2)))</f>
        <v>0</v>
      </c>
      <c r="W294" s="81">
        <f t="shared" si="70"/>
        <v>0</v>
      </c>
      <c r="X294" s="81">
        <f>ROUND((R294/(1+IF(D294="Yes",'Fiscal by Program'!$B$9,'Fiscal by Program'!$B$8))),2)+0.01</f>
        <v>8.9599999999999991</v>
      </c>
      <c r="Y294" s="81">
        <f t="shared" si="71"/>
        <v>29.03</v>
      </c>
      <c r="Z294" s="88">
        <v>96</v>
      </c>
      <c r="AA294" s="90">
        <f t="shared" si="68"/>
        <v>2.614583333333333E-2</v>
      </c>
      <c r="AB294" s="75">
        <f>INDEX('[9]Service List'!$K:$K,MATCH(A294,'[9]Service List'!$F:$F,0))</f>
        <v>910</v>
      </c>
      <c r="AC294" s="73">
        <f>INDEX('[5]Combined Bill Code List'!$P:$P,MATCH(A294,'[5]Combined Bill Code List'!$F:$F,0))</f>
        <v>0</v>
      </c>
      <c r="AD294" s="67" t="s">
        <v>635</v>
      </c>
      <c r="AE294" s="79">
        <f t="shared" si="79"/>
        <v>1.095890410958904</v>
      </c>
      <c r="AF294" s="66">
        <v>0</v>
      </c>
      <c r="AG294" s="70">
        <f>ROUND(INDEX('All Trends'!D:D,MATCH($AD294,'All Trends'!$C:$C,0)),4)</f>
        <v>1.1354</v>
      </c>
      <c r="AH294" s="70">
        <f>ROUND(INDEX('All Trends'!E:E,MATCH($AD294,'All Trends'!$C:$C,0)),4)</f>
        <v>1.2451000000000001</v>
      </c>
      <c r="AI294" s="70">
        <f>ROUND(INDEX('All Trends'!F:F,MATCH($AD294,'All Trends'!$C:$C,0)),4)</f>
        <v>1.3443000000000001</v>
      </c>
      <c r="AJ294" s="70">
        <f>ROUND(INDEX('All Trends'!G:G,MATCH($AD294,'All Trends'!$C:$C,0)),4)</f>
        <v>1.4441999999999999</v>
      </c>
      <c r="AK294" s="70">
        <f>ROUND(INDEX('All Trends'!H:H,MATCH($AD294,'All Trends'!$C:$C,0)),4)</f>
        <v>1.548</v>
      </c>
      <c r="AL294" s="74" t="s">
        <v>148</v>
      </c>
      <c r="AM294" s="92">
        <f t="shared" si="72"/>
        <v>310.43</v>
      </c>
      <c r="AN294" s="92">
        <f t="shared" si="73"/>
        <v>333.49</v>
      </c>
      <c r="AO294" s="69">
        <f t="shared" si="74"/>
        <v>0</v>
      </c>
      <c r="AP294" s="69">
        <f t="shared" si="75"/>
        <v>0</v>
      </c>
      <c r="AQ294" s="69">
        <f t="shared" si="76"/>
        <v>0</v>
      </c>
      <c r="AR294" s="69">
        <f t="shared" si="77"/>
        <v>0</v>
      </c>
      <c r="AS294" s="409"/>
      <c r="AT294" s="409"/>
      <c r="AU294" s="409"/>
    </row>
    <row r="295" spans="1:47" ht="13.15">
      <c r="A295" s="67" t="s">
        <v>694</v>
      </c>
      <c r="B295" s="67" t="s">
        <v>694</v>
      </c>
      <c r="C295" s="78" t="s">
        <v>147</v>
      </c>
      <c r="D295" s="78" t="s">
        <v>147</v>
      </c>
      <c r="E295" s="67" t="s">
        <v>633</v>
      </c>
      <c r="F295" s="67" t="s">
        <v>34</v>
      </c>
      <c r="G295" s="67" t="str">
        <f>INDEX('[4]RT Description to Bill Matix'!$D:$D,MATCH(A295,'[4]RT Description to Bill Matix'!$M:$M,0))</f>
        <v>Assisted Living Services</v>
      </c>
      <c r="H295" s="65" t="s">
        <v>695</v>
      </c>
      <c r="I295" s="65"/>
      <c r="J295" s="65" t="str" cm="1">
        <f t="array" ref="J295">INDEX('Rate Table Service Desc XWalk'!F:F,MATCH(1,(G295='Rate Table Service Desc XWalk'!B:B)*(E295='Rate Table Service Desc XWalk'!A:A),0))</f>
        <v>6-1-4</v>
      </c>
      <c r="K295" s="66" t="str">
        <f>INDEX('[5]Combined Bill Code List'!$A:$A,MATCH(A295,'[5]Combined Bill Code List'!$F:$F,0))</f>
        <v>1115 Waiver</v>
      </c>
      <c r="L295" s="66" t="str">
        <f>INDEX('[6]Rate History'!$P:$P,MATCH(A295,'[6]Rate History'!$F:$F,0))</f>
        <v>1 day</v>
      </c>
      <c r="M295" s="77">
        <f>INDEX('[7]PDF DB Service Pivot'!$C:$C,MATCH(B295,'[7]PDF DB Service Pivot'!$B:$B,0))</f>
        <v>564</v>
      </c>
      <c r="N295" s="77">
        <f t="shared" si="69"/>
        <v>564</v>
      </c>
      <c r="O295" s="76">
        <f>INDEX('[7]PDF DB Service Pivot'!$D:$D,MATCH(B295,'[7]PDF DB Service Pivot'!$B:$B,0))</f>
        <v>13093.64</v>
      </c>
      <c r="P295" s="91">
        <v>43862</v>
      </c>
      <c r="Q295" s="81">
        <v>22.81</v>
      </c>
      <c r="R295" s="81">
        <f t="shared" si="80"/>
        <v>19.47</v>
      </c>
      <c r="S295" s="354">
        <v>0.85377358490566035</v>
      </c>
      <c r="T295">
        <v>2.5099999999999998</v>
      </c>
      <c r="U295" s="81">
        <f t="shared" si="67"/>
        <v>0</v>
      </c>
      <c r="V295" s="81" cm="1">
        <f t="array" ref="V295">_xlfn.IFS('Fiscal by Program'!$B$7&lt;10.61,0,'Fiscal by Program'!$B$7&gt;10.6,(ROUND('Fiscal by Program'!$B$7*(1+IF(D295="Yes",'Fiscal by Program'!$B$9,'Fiscal by Program'!$B$8))*T295,2)))</f>
        <v>0</v>
      </c>
      <c r="W295" s="81">
        <f t="shared" si="70"/>
        <v>0</v>
      </c>
      <c r="X295" s="81">
        <f>ROUND((R295/(1+IF(D295="Yes",'Fiscal by Program'!$B$9,'Fiscal by Program'!$B$8))),2)+0.01</f>
        <v>17.59</v>
      </c>
      <c r="Y295" s="81">
        <f t="shared" si="71"/>
        <v>22.81</v>
      </c>
      <c r="Z295" s="88">
        <v>96</v>
      </c>
      <c r="AA295" s="90">
        <f t="shared" si="68"/>
        <v>2.614583333333333E-2</v>
      </c>
      <c r="AB295" s="75">
        <f>INDEX('[9]Service List'!$K:$K,MATCH(A295,'[9]Service List'!$F:$F,0))</f>
        <v>916</v>
      </c>
      <c r="AC295" s="73">
        <f>INDEX('[5]Combined Bill Code List'!$P:$P,MATCH(A295,'[5]Combined Bill Code List'!$F:$F,0))</f>
        <v>0</v>
      </c>
      <c r="AD295" s="67" t="s">
        <v>635</v>
      </c>
      <c r="AE295" s="79">
        <f t="shared" si="79"/>
        <v>1.095890410958904</v>
      </c>
      <c r="AF295" s="66">
        <v>0</v>
      </c>
      <c r="AG295" s="70">
        <f>ROUND(INDEX('All Trends'!D:D,MATCH($AD295,'All Trends'!$C:$C,0)),4)</f>
        <v>1.1354</v>
      </c>
      <c r="AH295" s="70">
        <f>ROUND(INDEX('All Trends'!E:E,MATCH($AD295,'All Trends'!$C:$C,0)),4)</f>
        <v>1.2451000000000001</v>
      </c>
      <c r="AI295" s="70">
        <f>ROUND(INDEX('All Trends'!F:F,MATCH($AD295,'All Trends'!$C:$C,0)),4)</f>
        <v>1.3443000000000001</v>
      </c>
      <c r="AJ295" s="70">
        <f>ROUND(INDEX('All Trends'!G:G,MATCH($AD295,'All Trends'!$C:$C,0)),4)</f>
        <v>1.4441999999999999</v>
      </c>
      <c r="AK295" s="70">
        <f>ROUND(INDEX('All Trends'!H:H,MATCH($AD295,'All Trends'!$C:$C,0)),4)</f>
        <v>1.548</v>
      </c>
      <c r="AL295" s="74" t="s">
        <v>148</v>
      </c>
      <c r="AM295" s="92">
        <f t="shared" si="72"/>
        <v>1903.04</v>
      </c>
      <c r="AN295" s="92">
        <f t="shared" si="73"/>
        <v>2044.47</v>
      </c>
      <c r="AO295" s="69">
        <f t="shared" si="74"/>
        <v>0</v>
      </c>
      <c r="AP295" s="69">
        <f t="shared" si="75"/>
        <v>0</v>
      </c>
      <c r="AQ295" s="69">
        <f t="shared" si="76"/>
        <v>0</v>
      </c>
      <c r="AR295" s="69">
        <f t="shared" si="77"/>
        <v>0</v>
      </c>
      <c r="AS295" s="409"/>
      <c r="AT295" s="409"/>
      <c r="AU295" s="409"/>
    </row>
    <row r="296" spans="1:47" ht="13.15">
      <c r="A296" s="67" t="s">
        <v>696</v>
      </c>
      <c r="B296" s="67" t="s">
        <v>696</v>
      </c>
      <c r="C296" s="78" t="s">
        <v>147</v>
      </c>
      <c r="D296" s="78" t="s">
        <v>147</v>
      </c>
      <c r="E296" s="67" t="s">
        <v>633</v>
      </c>
      <c r="F296" s="67" t="s">
        <v>34</v>
      </c>
      <c r="G296" s="67" t="str">
        <f>INDEX('[4]RT Description to Bill Matix'!$D:$D,MATCH(A296,'[4]RT Description to Bill Matix'!$M:$M,0))</f>
        <v>Assisted Living Services</v>
      </c>
      <c r="H296" s="65" t="s">
        <v>697</v>
      </c>
      <c r="I296" s="65"/>
      <c r="J296" s="65" t="str" cm="1">
        <f t="array" ref="J296">INDEX('Rate Table Service Desc XWalk'!F:F,MATCH(1,(G296='Rate Table Service Desc XWalk'!B:B)*(E296='Rate Table Service Desc XWalk'!A:A),0))</f>
        <v>6-1-4</v>
      </c>
      <c r="K296" s="66" t="str">
        <f>INDEX('[5]Combined Bill Code List'!$A:$A,MATCH(A296,'[5]Combined Bill Code List'!$F:$F,0))</f>
        <v>1115 Waiver</v>
      </c>
      <c r="L296" s="66" t="str">
        <f>INDEX('[6]Rate History'!$P:$P,MATCH(A296,'[6]Rate History'!$F:$F,0))</f>
        <v>1 day</v>
      </c>
      <c r="M296" s="77">
        <f>INDEX('[7]PDF DB Service Pivot'!$C:$C,MATCH(B296,'[7]PDF DB Service Pivot'!$B:$B,0))</f>
        <v>6260</v>
      </c>
      <c r="N296" s="77">
        <f t="shared" si="69"/>
        <v>6260</v>
      </c>
      <c r="O296" s="76">
        <f>INDEX('[7]PDF DB Service Pivot'!$D:$D,MATCH(B296,'[7]PDF DB Service Pivot'!$B:$B,0))</f>
        <v>138204.92000000001</v>
      </c>
      <c r="P296" s="91">
        <v>43862</v>
      </c>
      <c r="Q296" s="81">
        <v>21.08</v>
      </c>
      <c r="R296" s="81">
        <f t="shared" si="80"/>
        <v>16.88</v>
      </c>
      <c r="S296" s="354">
        <v>0.80075614366729675</v>
      </c>
      <c r="T296">
        <v>2.5099999999999998</v>
      </c>
      <c r="U296" s="81">
        <f t="shared" si="67"/>
        <v>0</v>
      </c>
      <c r="V296" s="81" cm="1">
        <f t="array" ref="V296">_xlfn.IFS('Fiscal by Program'!$B$7&lt;10.61,0,'Fiscal by Program'!$B$7&gt;10.6,(ROUND('Fiscal by Program'!$B$7*(1+IF(D296="Yes",'Fiscal by Program'!$B$9,'Fiscal by Program'!$B$8))*T296,2)))</f>
        <v>0</v>
      </c>
      <c r="W296" s="81">
        <f t="shared" si="70"/>
        <v>0</v>
      </c>
      <c r="X296" s="81">
        <f>ROUND((R296/(1+IF(D296="Yes",'Fiscal by Program'!$B$9,'Fiscal by Program'!$B$8))),2)+0.01</f>
        <v>15.25</v>
      </c>
      <c r="Y296" s="81">
        <f t="shared" si="71"/>
        <v>21.08</v>
      </c>
      <c r="Z296" s="88">
        <v>96</v>
      </c>
      <c r="AA296" s="90">
        <f t="shared" si="68"/>
        <v>2.614583333333333E-2</v>
      </c>
      <c r="AB296" s="75">
        <f>INDEX('[9]Service List'!$K:$K,MATCH(A296,'[9]Service List'!$F:$F,0))</f>
        <v>922</v>
      </c>
      <c r="AC296" s="73">
        <f>INDEX('[5]Combined Bill Code List'!$P:$P,MATCH(A296,'[5]Combined Bill Code List'!$F:$F,0))</f>
        <v>0</v>
      </c>
      <c r="AD296" s="67" t="s">
        <v>635</v>
      </c>
      <c r="AE296" s="79">
        <f t="shared" si="79"/>
        <v>1.095890410958904</v>
      </c>
      <c r="AF296" s="66">
        <v>0</v>
      </c>
      <c r="AG296" s="70">
        <f>ROUND(INDEX('All Trends'!D:D,MATCH($AD296,'All Trends'!$C:$C,0)),4)</f>
        <v>1.1354</v>
      </c>
      <c r="AH296" s="70">
        <f>ROUND(INDEX('All Trends'!E:E,MATCH($AD296,'All Trends'!$C:$C,0)),4)</f>
        <v>1.2451000000000001</v>
      </c>
      <c r="AI296" s="70">
        <f>ROUND(INDEX('All Trends'!F:F,MATCH($AD296,'All Trends'!$C:$C,0)),4)</f>
        <v>1.3443000000000001</v>
      </c>
      <c r="AJ296" s="70">
        <f>ROUND(INDEX('All Trends'!G:G,MATCH($AD296,'All Trends'!$C:$C,0)),4)</f>
        <v>1.4441999999999999</v>
      </c>
      <c r="AK296" s="70">
        <f>ROUND(INDEX('All Trends'!H:H,MATCH($AD296,'All Trends'!$C:$C,0)),4)</f>
        <v>1.548</v>
      </c>
      <c r="AL296" s="74" t="s">
        <v>148</v>
      </c>
      <c r="AM296" s="92">
        <f t="shared" si="72"/>
        <v>21122.45</v>
      </c>
      <c r="AN296" s="92">
        <f t="shared" si="73"/>
        <v>22692.14</v>
      </c>
      <c r="AO296" s="69">
        <f t="shared" si="74"/>
        <v>0</v>
      </c>
      <c r="AP296" s="69">
        <f t="shared" si="75"/>
        <v>0</v>
      </c>
      <c r="AQ296" s="69">
        <f t="shared" si="76"/>
        <v>0</v>
      </c>
      <c r="AR296" s="69">
        <f t="shared" si="77"/>
        <v>0</v>
      </c>
      <c r="AS296" s="409"/>
      <c r="AT296" s="409"/>
      <c r="AU296" s="409"/>
    </row>
    <row r="297" spans="1:47" ht="13.15">
      <c r="A297" s="67" t="s">
        <v>698</v>
      </c>
      <c r="B297" s="67" t="s">
        <v>698</v>
      </c>
      <c r="C297" s="78" t="s">
        <v>147</v>
      </c>
      <c r="D297" s="78" t="s">
        <v>147</v>
      </c>
      <c r="E297" s="67" t="s">
        <v>633</v>
      </c>
      <c r="F297" s="67" t="s">
        <v>34</v>
      </c>
      <c r="G297" s="67" t="str">
        <f>INDEX('[4]RT Description to Bill Matix'!$D:$D,MATCH(A297,'[4]RT Description to Bill Matix'!$M:$M,0))</f>
        <v>Assisted Living Services</v>
      </c>
      <c r="H297" s="65" t="s">
        <v>699</v>
      </c>
      <c r="I297" s="65"/>
      <c r="J297" s="65" t="str" cm="1">
        <f t="array" ref="J297">INDEX('Rate Table Service Desc XWalk'!F:F,MATCH(1,(G297='Rate Table Service Desc XWalk'!B:B)*(E297='Rate Table Service Desc XWalk'!A:A),0))</f>
        <v>6-1-4</v>
      </c>
      <c r="K297" s="66" t="str">
        <f>INDEX('[5]Combined Bill Code List'!$A:$A,MATCH(A297,'[5]Combined Bill Code List'!$F:$F,0))</f>
        <v>1115 Waiver</v>
      </c>
      <c r="L297" s="66" t="str">
        <f>INDEX('[6]Rate History'!$P:$P,MATCH(A297,'[6]Rate History'!$F:$F,0))</f>
        <v>1 day</v>
      </c>
      <c r="M297" s="77">
        <f>INDEX('[7]PDF DB Service Pivot'!$C:$C,MATCH(B297,'[7]PDF DB Service Pivot'!$B:$B,0))</f>
        <v>988</v>
      </c>
      <c r="N297" s="77">
        <f t="shared" si="69"/>
        <v>988</v>
      </c>
      <c r="O297" s="76">
        <f>INDEX('[7]PDF DB Service Pivot'!$D:$D,MATCH(B297,'[7]PDF DB Service Pivot'!$B:$B,0))</f>
        <v>49667.060000000005</v>
      </c>
      <c r="P297" s="91">
        <v>43862</v>
      </c>
      <c r="Q297" s="81">
        <v>51.76</v>
      </c>
      <c r="R297" s="81">
        <f t="shared" si="80"/>
        <v>42.06</v>
      </c>
      <c r="S297" s="354">
        <v>0.81260764726145363</v>
      </c>
      <c r="T297">
        <v>2.5099999999999998</v>
      </c>
      <c r="U297" s="81">
        <f t="shared" si="67"/>
        <v>0</v>
      </c>
      <c r="V297" s="81" cm="1">
        <f t="array" ref="V297">_xlfn.IFS('Fiscal by Program'!$B$7&lt;10.61,0,'Fiscal by Program'!$B$7&gt;10.6,(ROUND('Fiscal by Program'!$B$7*(1+IF(D297="Yes",'Fiscal by Program'!$B$9,'Fiscal by Program'!$B$8))*T297,2)))</f>
        <v>0</v>
      </c>
      <c r="W297" s="81">
        <f t="shared" si="70"/>
        <v>0</v>
      </c>
      <c r="X297" s="81">
        <f>ROUND((R297/(1+IF(D297="Yes",'Fiscal by Program'!$B$9,'Fiscal by Program'!$B$8))),2)+0.01</f>
        <v>37.989999999999995</v>
      </c>
      <c r="Y297" s="81">
        <f t="shared" si="71"/>
        <v>51.76</v>
      </c>
      <c r="Z297" s="88">
        <v>96</v>
      </c>
      <c r="AA297" s="90">
        <f t="shared" si="68"/>
        <v>2.614583333333333E-2</v>
      </c>
      <c r="AB297" s="75">
        <f>INDEX('[9]Service List'!$K:$K,MATCH(A297,'[9]Service List'!$F:$F,0))</f>
        <v>894</v>
      </c>
      <c r="AC297" s="73">
        <f>INDEX('[5]Combined Bill Code List'!$P:$P,MATCH(A297,'[5]Combined Bill Code List'!$F:$F,0))</f>
        <v>0</v>
      </c>
      <c r="AD297" s="67" t="s">
        <v>635</v>
      </c>
      <c r="AE297" s="79">
        <f t="shared" si="79"/>
        <v>1.095890410958904</v>
      </c>
      <c r="AF297" s="66">
        <v>0</v>
      </c>
      <c r="AG297" s="70">
        <f>ROUND(INDEX('All Trends'!D:D,MATCH($AD297,'All Trends'!$C:$C,0)),4)</f>
        <v>1.1354</v>
      </c>
      <c r="AH297" s="70">
        <f>ROUND(INDEX('All Trends'!E:E,MATCH($AD297,'All Trends'!$C:$C,0)),4)</f>
        <v>1.2451000000000001</v>
      </c>
      <c r="AI297" s="70">
        <f>ROUND(INDEX('All Trends'!F:F,MATCH($AD297,'All Trends'!$C:$C,0)),4)</f>
        <v>1.3443000000000001</v>
      </c>
      <c r="AJ297" s="70">
        <f>ROUND(INDEX('All Trends'!G:G,MATCH($AD297,'All Trends'!$C:$C,0)),4)</f>
        <v>1.4441999999999999</v>
      </c>
      <c r="AK297" s="70">
        <f>ROUND(INDEX('All Trends'!H:H,MATCH($AD297,'All Trends'!$C:$C,0)),4)</f>
        <v>1.548</v>
      </c>
      <c r="AL297" s="74" t="s">
        <v>148</v>
      </c>
      <c r="AM297" s="92">
        <f t="shared" si="72"/>
        <v>3333.7</v>
      </c>
      <c r="AN297" s="92">
        <f t="shared" si="73"/>
        <v>3581.44</v>
      </c>
      <c r="AO297" s="69">
        <f t="shared" si="74"/>
        <v>0</v>
      </c>
      <c r="AP297" s="69">
        <f t="shared" si="75"/>
        <v>0</v>
      </c>
      <c r="AQ297" s="69">
        <f t="shared" si="76"/>
        <v>0</v>
      </c>
      <c r="AR297" s="69">
        <f t="shared" si="77"/>
        <v>0</v>
      </c>
      <c r="AS297" s="409"/>
      <c r="AT297" s="409"/>
      <c r="AU297" s="409"/>
    </row>
    <row r="298" spans="1:47" ht="13.15">
      <c r="A298" s="67" t="s">
        <v>700</v>
      </c>
      <c r="B298" s="67" t="s">
        <v>700</v>
      </c>
      <c r="C298" s="78" t="s">
        <v>147</v>
      </c>
      <c r="D298" s="78" t="s">
        <v>147</v>
      </c>
      <c r="E298" s="67" t="s">
        <v>633</v>
      </c>
      <c r="F298" s="67" t="s">
        <v>34</v>
      </c>
      <c r="G298" s="67" t="str">
        <f>INDEX('[4]RT Description to Bill Matix'!$D:$D,MATCH(A298,'[4]RT Description to Bill Matix'!$M:$M,0))</f>
        <v>Assisted Living Services</v>
      </c>
      <c r="H298" s="65" t="s">
        <v>701</v>
      </c>
      <c r="I298" s="65"/>
      <c r="J298" s="65" t="str" cm="1">
        <f t="array" ref="J298">INDEX('Rate Table Service Desc XWalk'!F:F,MATCH(1,(G298='Rate Table Service Desc XWalk'!B:B)*(E298='Rate Table Service Desc XWalk'!A:A),0))</f>
        <v>6-1-4</v>
      </c>
      <c r="K298" s="66" t="str">
        <f>INDEX('[5]Combined Bill Code List'!$A:$A,MATCH(A298,'[5]Combined Bill Code List'!$F:$F,0))</f>
        <v>1115 Waiver</v>
      </c>
      <c r="L298" s="66" t="str">
        <f>INDEX('[6]Rate History'!$P:$P,MATCH(A298,'[6]Rate History'!$F:$F,0))</f>
        <v>1 day</v>
      </c>
      <c r="M298" s="77">
        <f>INDEX('[7]PDF DB Service Pivot'!$C:$C,MATCH(B298,'[7]PDF DB Service Pivot'!$B:$B,0))</f>
        <v>3918</v>
      </c>
      <c r="N298" s="77">
        <f t="shared" si="69"/>
        <v>3918</v>
      </c>
      <c r="O298" s="76">
        <f>INDEX('[7]PDF DB Service Pivot'!$D:$D,MATCH(B298,'[7]PDF DB Service Pivot'!$B:$B,0))</f>
        <v>176357.12000000002</v>
      </c>
      <c r="P298" s="91">
        <v>43862</v>
      </c>
      <c r="Q298" s="81">
        <v>45</v>
      </c>
      <c r="R298" s="81">
        <f t="shared" si="80"/>
        <v>34.78</v>
      </c>
      <c r="S298" s="354">
        <v>0.77290661990355125</v>
      </c>
      <c r="T298">
        <v>2.5099999999999998</v>
      </c>
      <c r="U298" s="81">
        <f t="shared" si="67"/>
        <v>0</v>
      </c>
      <c r="V298" s="81" cm="1">
        <f t="array" ref="V298">_xlfn.IFS('Fiscal by Program'!$B$7&lt;10.61,0,'Fiscal by Program'!$B$7&gt;10.6,(ROUND('Fiscal by Program'!$B$7*(1+IF(D298="Yes",'Fiscal by Program'!$B$9,'Fiscal by Program'!$B$8))*T298,2)))</f>
        <v>0</v>
      </c>
      <c r="W298" s="81">
        <f t="shared" si="70"/>
        <v>0</v>
      </c>
      <c r="X298" s="81">
        <f>ROUND((R298/(1+IF(D298="Yes",'Fiscal by Program'!$B$9,'Fiscal by Program'!$B$8))),2)+0.01</f>
        <v>31.41</v>
      </c>
      <c r="Y298" s="81">
        <f t="shared" si="71"/>
        <v>45</v>
      </c>
      <c r="Z298" s="88">
        <v>96</v>
      </c>
      <c r="AA298" s="90">
        <f t="shared" si="68"/>
        <v>2.614583333333333E-2</v>
      </c>
      <c r="AB298" s="75">
        <f>INDEX('[9]Service List'!$K:$K,MATCH(A298,'[9]Service List'!$F:$F,0))</f>
        <v>900</v>
      </c>
      <c r="AC298" s="73">
        <f>INDEX('[5]Combined Bill Code List'!$P:$P,MATCH(A298,'[5]Combined Bill Code List'!$F:$F,0))</f>
        <v>0</v>
      </c>
      <c r="AD298" s="67" t="s">
        <v>635</v>
      </c>
      <c r="AE298" s="79">
        <f t="shared" si="79"/>
        <v>1.095890410958904</v>
      </c>
      <c r="AF298" s="66">
        <v>0</v>
      </c>
      <c r="AG298" s="70">
        <f>ROUND(INDEX('All Trends'!D:D,MATCH($AD298,'All Trends'!$C:$C,0)),4)</f>
        <v>1.1354</v>
      </c>
      <c r="AH298" s="70">
        <f>ROUND(INDEX('All Trends'!E:E,MATCH($AD298,'All Trends'!$C:$C,0)),4)</f>
        <v>1.2451000000000001</v>
      </c>
      <c r="AI298" s="70">
        <f>ROUND(INDEX('All Trends'!F:F,MATCH($AD298,'All Trends'!$C:$C,0)),4)</f>
        <v>1.3443000000000001</v>
      </c>
      <c r="AJ298" s="70">
        <f>ROUND(INDEX('All Trends'!G:G,MATCH($AD298,'All Trends'!$C:$C,0)),4)</f>
        <v>1.4441999999999999</v>
      </c>
      <c r="AK298" s="70">
        <f>ROUND(INDEX('All Trends'!H:H,MATCH($AD298,'All Trends'!$C:$C,0)),4)</f>
        <v>1.548</v>
      </c>
      <c r="AL298" s="74" t="s">
        <v>148</v>
      </c>
      <c r="AM298" s="92">
        <f t="shared" si="72"/>
        <v>13220.09</v>
      </c>
      <c r="AN298" s="92">
        <f t="shared" si="73"/>
        <v>14202.52</v>
      </c>
      <c r="AO298" s="69">
        <f t="shared" si="74"/>
        <v>0</v>
      </c>
      <c r="AP298" s="69">
        <f t="shared" si="75"/>
        <v>0</v>
      </c>
      <c r="AQ298" s="69">
        <f t="shared" si="76"/>
        <v>0</v>
      </c>
      <c r="AR298" s="69">
        <f t="shared" si="77"/>
        <v>0</v>
      </c>
      <c r="AS298" s="409"/>
      <c r="AT298" s="409"/>
      <c r="AU298" s="409"/>
    </row>
    <row r="299" spans="1:47" ht="13.15">
      <c r="A299" s="67" t="s">
        <v>702</v>
      </c>
      <c r="B299" s="67" t="s">
        <v>702</v>
      </c>
      <c r="C299" s="78" t="s">
        <v>147</v>
      </c>
      <c r="D299" s="78" t="s">
        <v>147</v>
      </c>
      <c r="E299" s="67" t="s">
        <v>633</v>
      </c>
      <c r="F299" s="67" t="s">
        <v>34</v>
      </c>
      <c r="G299" s="67" t="str">
        <f>INDEX('[4]RT Description to Bill Matix'!$D:$D,MATCH(A299,'[4]RT Description to Bill Matix'!$M:$M,0))</f>
        <v>Assisted Living Services</v>
      </c>
      <c r="H299" s="65" t="s">
        <v>703</v>
      </c>
      <c r="I299" s="65"/>
      <c r="J299" s="65" t="str" cm="1">
        <f t="array" ref="J299">INDEX('Rate Table Service Desc XWalk'!F:F,MATCH(1,(G299='Rate Table Service Desc XWalk'!B:B)*(E299='Rate Table Service Desc XWalk'!A:A),0))</f>
        <v>6-1-4</v>
      </c>
      <c r="K299" s="66" t="str">
        <f>INDEX('[5]Combined Bill Code List'!$A:$A,MATCH(A299,'[5]Combined Bill Code List'!$F:$F,0))</f>
        <v>1115 Waiver</v>
      </c>
      <c r="L299" s="66" t="str">
        <f>INDEX('[6]Rate History'!$P:$P,MATCH(A299,'[6]Rate History'!$F:$F,0))</f>
        <v>1 day</v>
      </c>
      <c r="M299" s="77">
        <f>INDEX('[7]PDF DB Service Pivot'!$C:$C,MATCH(B299,'[7]PDF DB Service Pivot'!$B:$B,0))</f>
        <v>11119</v>
      </c>
      <c r="N299" s="77">
        <f t="shared" si="69"/>
        <v>11119</v>
      </c>
      <c r="O299" s="76">
        <f>INDEX('[7]PDF DB Service Pivot'!$D:$D,MATCH(B299,'[7]PDF DB Service Pivot'!$B:$B,0))</f>
        <v>53677.659999999996</v>
      </c>
      <c r="P299" s="91">
        <v>43862</v>
      </c>
      <c r="Q299" s="81">
        <v>47.59</v>
      </c>
      <c r="R299" s="81">
        <f t="shared" si="80"/>
        <v>35.92</v>
      </c>
      <c r="S299" s="354">
        <v>0.75474383301707804</v>
      </c>
      <c r="T299">
        <v>2.5099999999999998</v>
      </c>
      <c r="U299" s="81">
        <f t="shared" si="67"/>
        <v>0</v>
      </c>
      <c r="V299" s="81" cm="1">
        <f t="array" ref="V299">_xlfn.IFS('Fiscal by Program'!$B$7&lt;10.61,0,'Fiscal by Program'!$B$7&gt;10.6,(ROUND('Fiscal by Program'!$B$7*(1+IF(D299="Yes",'Fiscal by Program'!$B$9,'Fiscal by Program'!$B$8))*T299,2)))</f>
        <v>0</v>
      </c>
      <c r="W299" s="81">
        <f t="shared" si="70"/>
        <v>0</v>
      </c>
      <c r="X299" s="81">
        <f>ROUND((R299/(1+IF(D299="Yes",'Fiscal by Program'!$B$9,'Fiscal by Program'!$B$8))),2)+0.01</f>
        <v>32.44</v>
      </c>
      <c r="Y299" s="81">
        <f t="shared" si="71"/>
        <v>47.59</v>
      </c>
      <c r="Z299" s="88">
        <v>96</v>
      </c>
      <c r="AA299" s="90">
        <f t="shared" si="68"/>
        <v>2.614583333333333E-2</v>
      </c>
      <c r="AB299" s="75">
        <f>INDEX('[9]Service List'!$K:$K,MATCH(A299,'[9]Service List'!$F:$F,0))</f>
        <v>906</v>
      </c>
      <c r="AC299" s="73">
        <f>INDEX('[5]Combined Bill Code List'!$P:$P,MATCH(A299,'[5]Combined Bill Code List'!$F:$F,0))</f>
        <v>0</v>
      </c>
      <c r="AD299" s="67" t="s">
        <v>635</v>
      </c>
      <c r="AE299" s="79">
        <f t="shared" si="79"/>
        <v>1.095890410958904</v>
      </c>
      <c r="AF299" s="66">
        <v>0</v>
      </c>
      <c r="AG299" s="70">
        <f>ROUND(INDEX('All Trends'!D:D,MATCH($AD299,'All Trends'!$C:$C,0)),4)</f>
        <v>1.1354</v>
      </c>
      <c r="AH299" s="70">
        <f>ROUND(INDEX('All Trends'!E:E,MATCH($AD299,'All Trends'!$C:$C,0)),4)</f>
        <v>1.2451000000000001</v>
      </c>
      <c r="AI299" s="70">
        <f>ROUND(INDEX('All Trends'!F:F,MATCH($AD299,'All Trends'!$C:$C,0)),4)</f>
        <v>1.3443000000000001</v>
      </c>
      <c r="AJ299" s="70">
        <f>ROUND(INDEX('All Trends'!G:G,MATCH($AD299,'All Trends'!$C:$C,0)),4)</f>
        <v>1.4441999999999999</v>
      </c>
      <c r="AK299" s="70">
        <f>ROUND(INDEX('All Trends'!H:H,MATCH($AD299,'All Trends'!$C:$C,0)),4)</f>
        <v>1.548</v>
      </c>
      <c r="AL299" s="74" t="s">
        <v>148</v>
      </c>
      <c r="AM299" s="92">
        <f t="shared" si="72"/>
        <v>37517.65</v>
      </c>
      <c r="AN299" s="92">
        <f t="shared" si="73"/>
        <v>40305.730000000003</v>
      </c>
      <c r="AO299" s="69">
        <f t="shared" si="74"/>
        <v>0</v>
      </c>
      <c r="AP299" s="69">
        <f t="shared" si="75"/>
        <v>0</v>
      </c>
      <c r="AQ299" s="69">
        <f t="shared" si="76"/>
        <v>0</v>
      </c>
      <c r="AR299" s="69">
        <f t="shared" si="77"/>
        <v>0</v>
      </c>
      <c r="AS299" s="409"/>
      <c r="AT299" s="409"/>
      <c r="AU299" s="409"/>
    </row>
    <row r="300" spans="1:47" ht="13.15">
      <c r="A300" s="67" t="s">
        <v>704</v>
      </c>
      <c r="B300" s="67" t="s">
        <v>704</v>
      </c>
      <c r="C300" s="78" t="s">
        <v>147</v>
      </c>
      <c r="D300" s="78" t="s">
        <v>147</v>
      </c>
      <c r="E300" s="67" t="s">
        <v>633</v>
      </c>
      <c r="F300" s="67" t="s">
        <v>34</v>
      </c>
      <c r="G300" s="67" t="str">
        <f>INDEX('[4]RT Description to Bill Matix'!$D:$D,MATCH(A300,'[4]RT Description to Bill Matix'!$M:$M,0))</f>
        <v>Assisted Living Services</v>
      </c>
      <c r="H300" s="65" t="s">
        <v>705</v>
      </c>
      <c r="I300" s="65"/>
      <c r="J300" s="65" t="str" cm="1">
        <f t="array" ref="J300">INDEX('Rate Table Service Desc XWalk'!F:F,MATCH(1,(G300='Rate Table Service Desc XWalk'!B:B)*(E300='Rate Table Service Desc XWalk'!A:A),0))</f>
        <v>6-1-4</v>
      </c>
      <c r="K300" s="66" t="str">
        <f>INDEX('[5]Combined Bill Code List'!$A:$A,MATCH(A300,'[5]Combined Bill Code List'!$F:$F,0))</f>
        <v>1115 Waiver</v>
      </c>
      <c r="L300" s="66" t="str">
        <f>INDEX('[6]Rate History'!$P:$P,MATCH(A300,'[6]Rate History'!$F:$F,0))</f>
        <v>1 day</v>
      </c>
      <c r="M300" s="77">
        <f>INDEX('[7]PDF DB Service Pivot'!$C:$C,MATCH(B300,'[7]PDF DB Service Pivot'!$B:$B,0))</f>
        <v>7970</v>
      </c>
      <c r="N300" s="77">
        <f t="shared" si="69"/>
        <v>7970</v>
      </c>
      <c r="O300" s="76">
        <f>INDEX('[7]PDF DB Service Pivot'!$D:$D,MATCH(B300,'[7]PDF DB Service Pivot'!$B:$B,0))</f>
        <v>336456.11999999994</v>
      </c>
      <c r="P300" s="91">
        <v>43862</v>
      </c>
      <c r="Q300" s="81">
        <v>41.37</v>
      </c>
      <c r="R300" s="81">
        <f t="shared" si="80"/>
        <v>22.17</v>
      </c>
      <c r="S300" s="354">
        <v>0.53593508500772802</v>
      </c>
      <c r="T300">
        <v>2.5099999999999998</v>
      </c>
      <c r="U300" s="81">
        <f t="shared" si="67"/>
        <v>0</v>
      </c>
      <c r="V300" s="81" cm="1">
        <f t="array" ref="V300">_xlfn.IFS('Fiscal by Program'!$B$7&lt;10.61,0,'Fiscal by Program'!$B$7&gt;10.6,(ROUND('Fiscal by Program'!$B$7*(1+IF(D300="Yes",'Fiscal by Program'!$B$9,'Fiscal by Program'!$B$8))*T300,2)))</f>
        <v>0</v>
      </c>
      <c r="W300" s="81">
        <f t="shared" si="70"/>
        <v>0</v>
      </c>
      <c r="X300" s="81">
        <f>ROUND((R300/(1+IF(D300="Yes",'Fiscal by Program'!$B$9,'Fiscal by Program'!$B$8))),2)+0.01</f>
        <v>20.03</v>
      </c>
      <c r="Y300" s="81">
        <f t="shared" si="71"/>
        <v>41.37</v>
      </c>
      <c r="Z300" s="88">
        <v>96</v>
      </c>
      <c r="AA300" s="90">
        <f t="shared" si="68"/>
        <v>2.614583333333333E-2</v>
      </c>
      <c r="AB300" s="75">
        <f>INDEX('[9]Service List'!$K:$K,MATCH(A300,'[9]Service List'!$F:$F,0))</f>
        <v>912</v>
      </c>
      <c r="AC300" s="73">
        <f>INDEX('[5]Combined Bill Code List'!$P:$P,MATCH(A300,'[5]Combined Bill Code List'!$F:$F,0))</f>
        <v>0</v>
      </c>
      <c r="AD300" s="67" t="s">
        <v>635</v>
      </c>
      <c r="AE300" s="79">
        <f t="shared" si="79"/>
        <v>1.095890410958904</v>
      </c>
      <c r="AF300" s="66">
        <v>0</v>
      </c>
      <c r="AG300" s="70">
        <f>ROUND(INDEX('All Trends'!D:D,MATCH($AD300,'All Trends'!$C:$C,0)),4)</f>
        <v>1.1354</v>
      </c>
      <c r="AH300" s="70">
        <f>ROUND(INDEX('All Trends'!E:E,MATCH($AD300,'All Trends'!$C:$C,0)),4)</f>
        <v>1.2451000000000001</v>
      </c>
      <c r="AI300" s="70">
        <f>ROUND(INDEX('All Trends'!F:F,MATCH($AD300,'All Trends'!$C:$C,0)),4)</f>
        <v>1.3443000000000001</v>
      </c>
      <c r="AJ300" s="70">
        <f>ROUND(INDEX('All Trends'!G:G,MATCH($AD300,'All Trends'!$C:$C,0)),4)</f>
        <v>1.4441999999999999</v>
      </c>
      <c r="AK300" s="70">
        <f>ROUND(INDEX('All Trends'!H:H,MATCH($AD300,'All Trends'!$C:$C,0)),4)</f>
        <v>1.548</v>
      </c>
      <c r="AL300" s="74" t="s">
        <v>148</v>
      </c>
      <c r="AM300" s="92">
        <f t="shared" si="72"/>
        <v>26892.32</v>
      </c>
      <c r="AN300" s="92">
        <f t="shared" si="73"/>
        <v>28890.79</v>
      </c>
      <c r="AO300" s="69">
        <f t="shared" si="74"/>
        <v>0</v>
      </c>
      <c r="AP300" s="69">
        <f t="shared" si="75"/>
        <v>0</v>
      </c>
      <c r="AQ300" s="69">
        <f t="shared" si="76"/>
        <v>0</v>
      </c>
      <c r="AR300" s="69">
        <f t="shared" si="77"/>
        <v>0</v>
      </c>
      <c r="AS300" s="409"/>
      <c r="AT300" s="409"/>
      <c r="AU300" s="409"/>
    </row>
    <row r="301" spans="1:47" ht="13.15">
      <c r="A301" s="67" t="s">
        <v>706</v>
      </c>
      <c r="B301" s="67" t="s">
        <v>706</v>
      </c>
      <c r="C301" s="78" t="s">
        <v>147</v>
      </c>
      <c r="D301" s="78" t="s">
        <v>147</v>
      </c>
      <c r="E301" s="67" t="s">
        <v>633</v>
      </c>
      <c r="F301" s="67" t="s">
        <v>34</v>
      </c>
      <c r="G301" s="67" t="str">
        <f>INDEX('[4]RT Description to Bill Matix'!$D:$D,MATCH(A301,'[4]RT Description to Bill Matix'!$M:$M,0))</f>
        <v>Assisted Living Services</v>
      </c>
      <c r="H301" s="65" t="s">
        <v>707</v>
      </c>
      <c r="I301" s="65"/>
      <c r="J301" s="65" t="str" cm="1">
        <f t="array" ref="J301">INDEX('Rate Table Service Desc XWalk'!F:F,MATCH(1,(G301='Rate Table Service Desc XWalk'!B:B)*(E301='Rate Table Service Desc XWalk'!A:A),0))</f>
        <v>6-1-4</v>
      </c>
      <c r="K301" s="66" t="str">
        <f>INDEX('[5]Combined Bill Code List'!$A:$A,MATCH(A301,'[5]Combined Bill Code List'!$F:$F,0))</f>
        <v>1115 Waiver</v>
      </c>
      <c r="L301" s="66" t="str">
        <f>INDEX('[6]Rate History'!$P:$P,MATCH(A301,'[6]Rate History'!$F:$F,0))</f>
        <v>1 day</v>
      </c>
      <c r="M301" s="77">
        <f>INDEX('[7]PDF DB Service Pivot'!$C:$C,MATCH(B301,'[7]PDF DB Service Pivot'!$B:$B,0))</f>
        <v>11364</v>
      </c>
      <c r="N301" s="77">
        <f t="shared" si="69"/>
        <v>11364</v>
      </c>
      <c r="O301" s="76">
        <f>INDEX('[7]PDF DB Service Pivot'!$D:$D,MATCH(B301,'[7]PDF DB Service Pivot'!$B:$B,0))</f>
        <v>439410.50000000012</v>
      </c>
      <c r="P301" s="91">
        <v>43862</v>
      </c>
      <c r="Q301" s="81">
        <v>39.64</v>
      </c>
      <c r="R301" s="81">
        <f t="shared" si="80"/>
        <v>18.63</v>
      </c>
      <c r="S301" s="354">
        <v>0.47000000000000003</v>
      </c>
      <c r="T301">
        <v>2.5099999999999998</v>
      </c>
      <c r="U301" s="81">
        <f t="shared" si="67"/>
        <v>0</v>
      </c>
      <c r="V301" s="81" cm="1">
        <f t="array" ref="V301">_xlfn.IFS('Fiscal by Program'!$B$7&lt;10.61,0,'Fiscal by Program'!$B$7&gt;10.6,(ROUND('Fiscal by Program'!$B$7*(1+IF(D301="Yes",'Fiscal by Program'!$B$9,'Fiscal by Program'!$B$8))*T301,2)))</f>
        <v>0</v>
      </c>
      <c r="W301" s="81">
        <f t="shared" si="70"/>
        <v>0</v>
      </c>
      <c r="X301" s="81">
        <f>ROUND((R301/(1+IF(D301="Yes",'Fiscal by Program'!$B$9,'Fiscal by Program'!$B$8))),2)+0.01</f>
        <v>16.830000000000002</v>
      </c>
      <c r="Y301" s="81">
        <f t="shared" si="71"/>
        <v>39.64</v>
      </c>
      <c r="Z301" s="88">
        <v>96</v>
      </c>
      <c r="AA301" s="90">
        <f t="shared" si="68"/>
        <v>2.614583333333333E-2</v>
      </c>
      <c r="AB301" s="75">
        <f>INDEX('[9]Service List'!$K:$K,MATCH(A301,'[9]Service List'!$F:$F,0))</f>
        <v>918</v>
      </c>
      <c r="AC301" s="73">
        <f>INDEX('[5]Combined Bill Code List'!$P:$P,MATCH(A301,'[5]Combined Bill Code List'!$F:$F,0))</f>
        <v>0</v>
      </c>
      <c r="AD301" s="67" t="s">
        <v>635</v>
      </c>
      <c r="AE301" s="79">
        <f t="shared" si="79"/>
        <v>1.095890410958904</v>
      </c>
      <c r="AF301" s="66">
        <v>0</v>
      </c>
      <c r="AG301" s="70">
        <f>ROUND(INDEX('All Trends'!D:D,MATCH($AD301,'All Trends'!$C:$C,0)),4)</f>
        <v>1.1354</v>
      </c>
      <c r="AH301" s="70">
        <f>ROUND(INDEX('All Trends'!E:E,MATCH($AD301,'All Trends'!$C:$C,0)),4)</f>
        <v>1.2451000000000001</v>
      </c>
      <c r="AI301" s="70">
        <f>ROUND(INDEX('All Trends'!F:F,MATCH($AD301,'All Trends'!$C:$C,0)),4)</f>
        <v>1.3443000000000001</v>
      </c>
      <c r="AJ301" s="70">
        <f>ROUND(INDEX('All Trends'!G:G,MATCH($AD301,'All Trends'!$C:$C,0)),4)</f>
        <v>1.4441999999999999</v>
      </c>
      <c r="AK301" s="70">
        <f>ROUND(INDEX('All Trends'!H:H,MATCH($AD301,'All Trends'!$C:$C,0)),4)</f>
        <v>1.548</v>
      </c>
      <c r="AL301" s="74" t="s">
        <v>148</v>
      </c>
      <c r="AM301" s="92">
        <f t="shared" si="72"/>
        <v>38344.33</v>
      </c>
      <c r="AN301" s="92">
        <f t="shared" si="73"/>
        <v>41193.839999999997</v>
      </c>
      <c r="AO301" s="69">
        <f t="shared" si="74"/>
        <v>0</v>
      </c>
      <c r="AP301" s="69">
        <f t="shared" si="75"/>
        <v>0</v>
      </c>
      <c r="AQ301" s="69">
        <f t="shared" si="76"/>
        <v>0</v>
      </c>
      <c r="AR301" s="69">
        <f t="shared" si="77"/>
        <v>0</v>
      </c>
      <c r="AS301" s="409"/>
      <c r="AT301" s="409"/>
      <c r="AU301" s="409"/>
    </row>
    <row r="302" spans="1:47" ht="13.15">
      <c r="A302" s="67" t="s">
        <v>708</v>
      </c>
      <c r="B302" s="67" t="s">
        <v>708</v>
      </c>
      <c r="C302" s="78" t="s">
        <v>147</v>
      </c>
      <c r="D302" s="78" t="s">
        <v>147</v>
      </c>
      <c r="E302" s="67" t="s">
        <v>633</v>
      </c>
      <c r="F302" s="67" t="s">
        <v>34</v>
      </c>
      <c r="G302" s="67" t="str">
        <f>INDEX('[4]RT Description to Bill Matix'!$D:$D,MATCH(A302,'[4]RT Description to Bill Matix'!$M:$M,0))</f>
        <v>Assisted Living Services</v>
      </c>
      <c r="H302" s="65" t="s">
        <v>677</v>
      </c>
      <c r="I302" s="65"/>
      <c r="J302" s="65" t="str" cm="1">
        <f t="array" ref="J302">INDEX('Rate Table Service Desc XWalk'!F:F,MATCH(1,(G302='Rate Table Service Desc XWalk'!B:B)*(E302='Rate Table Service Desc XWalk'!A:A),0))</f>
        <v>6-1-4</v>
      </c>
      <c r="K302" s="66" t="str">
        <f>INDEX('[5]Combined Bill Code List'!$A:$A,MATCH(A302,'[5]Combined Bill Code List'!$F:$F,0))</f>
        <v>1115 Waiver</v>
      </c>
      <c r="L302" s="66" t="str">
        <f>INDEX('[6]Rate History'!$P:$P,MATCH(A302,'[6]Rate History'!$F:$F,0))</f>
        <v>1 day</v>
      </c>
      <c r="M302" s="77">
        <f>INDEX('[7]PDF DB Service Pivot'!$C:$C,MATCH(B302,'[7]PDF DB Service Pivot'!$B:$B,0))</f>
        <v>9887</v>
      </c>
      <c r="N302" s="77">
        <f t="shared" si="69"/>
        <v>9887</v>
      </c>
      <c r="O302" s="76">
        <f>INDEX('[7]PDF DB Service Pivot'!$D:$D,MATCH(B302,'[7]PDF DB Service Pivot'!$B:$B,0))</f>
        <v>605828.65</v>
      </c>
      <c r="P302" s="91">
        <v>45170</v>
      </c>
      <c r="Q302" s="81">
        <v>67.56</v>
      </c>
      <c r="R302" s="81">
        <f t="shared" si="80"/>
        <v>33.49</v>
      </c>
      <c r="S302" s="354">
        <v>0.49569237234713154</v>
      </c>
      <c r="T302">
        <v>2.5099999999999998</v>
      </c>
      <c r="U302" s="81">
        <f t="shared" si="67"/>
        <v>0</v>
      </c>
      <c r="V302" s="81" cm="1">
        <f t="array" ref="V302">_xlfn.IFS('Fiscal by Program'!$B$7&lt;10.61,0,'Fiscal by Program'!$B$7&gt;10.6,(ROUND('Fiscal by Program'!$B$7*(1+IF(D302="Yes",'Fiscal by Program'!$B$9,'Fiscal by Program'!$B$8))*T302,2)))</f>
        <v>0</v>
      </c>
      <c r="W302" s="81">
        <f t="shared" si="70"/>
        <v>0</v>
      </c>
      <c r="X302" s="81">
        <f>ROUND((R302/(1+IF(D302="Yes",'Fiscal by Program'!$B$9,'Fiscal by Program'!$B$8))),2)+0.01</f>
        <v>30.25</v>
      </c>
      <c r="Y302" s="81">
        <f t="shared" si="71"/>
        <v>67.56</v>
      </c>
      <c r="Z302" s="88">
        <v>96</v>
      </c>
      <c r="AA302" s="90">
        <f t="shared" si="68"/>
        <v>2.614583333333333E-2</v>
      </c>
      <c r="AB302" s="75">
        <f>INDEX('[9]Service List'!$K:$K,MATCH(A302,'[9]Service List'!$F:$F,0))</f>
        <v>891</v>
      </c>
      <c r="AC302" s="73">
        <f>INDEX('[5]Combined Bill Code List'!$P:$P,MATCH(A302,'[5]Combined Bill Code List'!$F:$F,0))</f>
        <v>0</v>
      </c>
      <c r="AD302" s="67" t="s">
        <v>635</v>
      </c>
      <c r="AE302" s="79">
        <f t="shared" ref="AE302:AE319" si="81" xml:space="preserve"> 1 / (1-0.0875)</f>
        <v>1.095890410958904</v>
      </c>
      <c r="AF302" s="66">
        <v>0</v>
      </c>
      <c r="AG302" s="70">
        <f>ROUND(INDEX('All Trends'!D:D,MATCH($AD302,'All Trends'!$C:$C,0)),4)</f>
        <v>1.1354</v>
      </c>
      <c r="AH302" s="70">
        <f>ROUND(INDEX('All Trends'!E:E,MATCH($AD302,'All Trends'!$C:$C,0)),4)</f>
        <v>1.2451000000000001</v>
      </c>
      <c r="AI302" s="70">
        <f>ROUND(INDEX('All Trends'!F:F,MATCH($AD302,'All Trends'!$C:$C,0)),4)</f>
        <v>1.3443000000000001</v>
      </c>
      <c r="AJ302" s="70">
        <f>ROUND(INDEX('All Trends'!G:G,MATCH($AD302,'All Trends'!$C:$C,0)),4)</f>
        <v>1.4441999999999999</v>
      </c>
      <c r="AK302" s="70">
        <f>ROUND(INDEX('All Trends'!H:H,MATCH($AD302,'All Trends'!$C:$C,0)),4)</f>
        <v>1.548</v>
      </c>
      <c r="AL302" s="74" t="s">
        <v>148</v>
      </c>
      <c r="AM302" s="92">
        <f t="shared" si="72"/>
        <v>33360.65</v>
      </c>
      <c r="AN302" s="92">
        <f t="shared" si="73"/>
        <v>35839.800000000003</v>
      </c>
      <c r="AO302" s="69">
        <f t="shared" si="74"/>
        <v>0</v>
      </c>
      <c r="AP302" s="69">
        <f t="shared" si="75"/>
        <v>0</v>
      </c>
      <c r="AQ302" s="69">
        <f t="shared" si="76"/>
        <v>0</v>
      </c>
      <c r="AR302" s="69">
        <f t="shared" si="77"/>
        <v>0</v>
      </c>
      <c r="AS302" s="409"/>
      <c r="AT302" s="409"/>
      <c r="AU302" s="409"/>
    </row>
    <row r="303" spans="1:47" ht="13.15">
      <c r="A303" s="67" t="s">
        <v>709</v>
      </c>
      <c r="B303" s="67" t="s">
        <v>709</v>
      </c>
      <c r="C303" s="78" t="s">
        <v>147</v>
      </c>
      <c r="D303" s="78" t="s">
        <v>147</v>
      </c>
      <c r="E303" s="67" t="s">
        <v>633</v>
      </c>
      <c r="F303" s="67" t="s">
        <v>34</v>
      </c>
      <c r="G303" s="67" t="str">
        <f>INDEX('[4]RT Description to Bill Matix'!$D:$D,MATCH(A303,'[4]RT Description to Bill Matix'!$M:$M,0))</f>
        <v>Assisted Living Services</v>
      </c>
      <c r="H303" s="65" t="s">
        <v>679</v>
      </c>
      <c r="I303" s="65"/>
      <c r="J303" s="65" t="str" cm="1">
        <f t="array" ref="J303">INDEX('Rate Table Service Desc XWalk'!F:F,MATCH(1,(G303='Rate Table Service Desc XWalk'!B:B)*(E303='Rate Table Service Desc XWalk'!A:A),0))</f>
        <v>6-1-4</v>
      </c>
      <c r="K303" s="66" t="str">
        <f>INDEX('[5]Combined Bill Code List'!$A:$A,MATCH(A303,'[5]Combined Bill Code List'!$F:$F,0))</f>
        <v>1115 Waiver</v>
      </c>
      <c r="L303" s="66" t="str">
        <f>INDEX('[6]Rate History'!$P:$P,MATCH(A303,'[6]Rate History'!$F:$F,0))</f>
        <v>1 day</v>
      </c>
      <c r="M303" s="77">
        <f>INDEX('[7]PDF DB Service Pivot'!$C:$C,MATCH(B303,'[7]PDF DB Service Pivot'!$B:$B,0))</f>
        <v>61918</v>
      </c>
      <c r="N303" s="77">
        <f t="shared" si="69"/>
        <v>61918</v>
      </c>
      <c r="O303" s="76">
        <f>INDEX('[7]PDF DB Service Pivot'!$D:$D,MATCH(B303,'[7]PDF DB Service Pivot'!$B:$B,0))</f>
        <v>3363472.9799999995</v>
      </c>
      <c r="P303" s="91">
        <v>45170</v>
      </c>
      <c r="Q303" s="81">
        <v>62.6</v>
      </c>
      <c r="R303" s="81">
        <f t="shared" si="80"/>
        <v>26.68</v>
      </c>
      <c r="S303" s="354">
        <v>0.42615421803239073</v>
      </c>
      <c r="T303">
        <v>2.5099999999999998</v>
      </c>
      <c r="U303" s="81">
        <f t="shared" si="67"/>
        <v>0</v>
      </c>
      <c r="V303" s="81" cm="1">
        <f t="array" ref="V303">_xlfn.IFS('Fiscal by Program'!$B$7&lt;10.61,0,'Fiscal by Program'!$B$7&gt;10.6,(ROUND('Fiscal by Program'!$B$7*(1+IF(D303="Yes",'Fiscal by Program'!$B$9,'Fiscal by Program'!$B$8))*T303,2)))</f>
        <v>0</v>
      </c>
      <c r="W303" s="81">
        <f t="shared" si="70"/>
        <v>0</v>
      </c>
      <c r="X303" s="81">
        <f>ROUND((R303/(1+IF(D303="Yes",'Fiscal by Program'!$B$9,'Fiscal by Program'!$B$8))),2)+0.01</f>
        <v>24.1</v>
      </c>
      <c r="Y303" s="81">
        <f t="shared" si="71"/>
        <v>62.6</v>
      </c>
      <c r="Z303" s="88">
        <v>96</v>
      </c>
      <c r="AA303" s="90">
        <f t="shared" si="68"/>
        <v>2.614583333333333E-2</v>
      </c>
      <c r="AB303" s="75">
        <f>INDEX('[9]Service List'!$K:$K,MATCH(A303,'[9]Service List'!$F:$F,0))</f>
        <v>897</v>
      </c>
      <c r="AC303" s="73">
        <f>INDEX('[5]Combined Bill Code List'!$P:$P,MATCH(A303,'[5]Combined Bill Code List'!$F:$F,0))</f>
        <v>0</v>
      </c>
      <c r="AD303" s="67" t="s">
        <v>635</v>
      </c>
      <c r="AE303" s="79">
        <f t="shared" si="81"/>
        <v>1.095890410958904</v>
      </c>
      <c r="AF303" s="66">
        <v>0</v>
      </c>
      <c r="AG303" s="70">
        <f>ROUND(INDEX('All Trends'!D:D,MATCH($AD303,'All Trends'!$C:$C,0)),4)</f>
        <v>1.1354</v>
      </c>
      <c r="AH303" s="70">
        <f>ROUND(INDEX('All Trends'!E:E,MATCH($AD303,'All Trends'!$C:$C,0)),4)</f>
        <v>1.2451000000000001</v>
      </c>
      <c r="AI303" s="70">
        <f>ROUND(INDEX('All Trends'!F:F,MATCH($AD303,'All Trends'!$C:$C,0)),4)</f>
        <v>1.3443000000000001</v>
      </c>
      <c r="AJ303" s="70">
        <f>ROUND(INDEX('All Trends'!G:G,MATCH($AD303,'All Trends'!$C:$C,0)),4)</f>
        <v>1.4441999999999999</v>
      </c>
      <c r="AK303" s="70">
        <f>ROUND(INDEX('All Trends'!H:H,MATCH($AD303,'All Trends'!$C:$C,0)),4)</f>
        <v>1.548</v>
      </c>
      <c r="AL303" s="74" t="s">
        <v>148</v>
      </c>
      <c r="AM303" s="92">
        <f t="shared" si="72"/>
        <v>208923.28</v>
      </c>
      <c r="AN303" s="92">
        <f t="shared" si="73"/>
        <v>224449.16</v>
      </c>
      <c r="AO303" s="69">
        <f t="shared" si="74"/>
        <v>0</v>
      </c>
      <c r="AP303" s="69">
        <f t="shared" si="75"/>
        <v>0</v>
      </c>
      <c r="AQ303" s="69">
        <f t="shared" si="76"/>
        <v>0</v>
      </c>
      <c r="AR303" s="69">
        <f t="shared" si="77"/>
        <v>0</v>
      </c>
      <c r="AS303" s="409"/>
      <c r="AT303" s="409"/>
      <c r="AU303" s="409"/>
    </row>
    <row r="304" spans="1:47" ht="13.15">
      <c r="A304" s="67" t="s">
        <v>710</v>
      </c>
      <c r="B304" s="67" t="s">
        <v>710</v>
      </c>
      <c r="C304" s="78" t="s">
        <v>147</v>
      </c>
      <c r="D304" s="78" t="s">
        <v>147</v>
      </c>
      <c r="E304" s="67" t="s">
        <v>633</v>
      </c>
      <c r="F304" s="67" t="s">
        <v>34</v>
      </c>
      <c r="G304" s="67" t="str">
        <f>INDEX('[4]RT Description to Bill Matix'!$D:$D,MATCH(A304,'[4]RT Description to Bill Matix'!$M:$M,0))</f>
        <v>Assisted Living Services</v>
      </c>
      <c r="H304" s="65" t="s">
        <v>681</v>
      </c>
      <c r="I304" s="65"/>
      <c r="J304" s="65" t="str" cm="1">
        <f t="array" ref="J304">INDEX('Rate Table Service Desc XWalk'!F:F,MATCH(1,(G304='Rate Table Service Desc XWalk'!B:B)*(E304='Rate Table Service Desc XWalk'!A:A),0))</f>
        <v>6-1-4</v>
      </c>
      <c r="K304" s="66" t="str">
        <f>INDEX('[5]Combined Bill Code List'!$A:$A,MATCH(A304,'[5]Combined Bill Code List'!$F:$F,0))</f>
        <v>1115 Waiver</v>
      </c>
      <c r="L304" s="66" t="str">
        <f>INDEX('[6]Rate History'!$P:$P,MATCH(A304,'[6]Rate History'!$F:$F,0))</f>
        <v>1 day</v>
      </c>
      <c r="M304" s="77">
        <f>INDEX('[7]PDF DB Service Pivot'!$C:$C,MATCH(B304,'[7]PDF DB Service Pivot'!$B:$B,0))</f>
        <v>77670</v>
      </c>
      <c r="N304" s="77">
        <f t="shared" si="69"/>
        <v>77670</v>
      </c>
      <c r="O304" s="76">
        <f>INDEX('[7]PDF DB Service Pivot'!$D:$D,MATCH(B304,'[7]PDF DB Service Pivot'!$B:$B,0))</f>
        <v>3711098.1999999997</v>
      </c>
      <c r="P304" s="91">
        <v>45170</v>
      </c>
      <c r="Q304" s="81">
        <v>55.84</v>
      </c>
      <c r="R304" s="81">
        <f t="shared" si="80"/>
        <v>22.41</v>
      </c>
      <c r="S304" s="354">
        <v>0.4013622603430877</v>
      </c>
      <c r="T304">
        <v>2.5099999999999998</v>
      </c>
      <c r="U304" s="81">
        <f t="shared" si="67"/>
        <v>0</v>
      </c>
      <c r="V304" s="81" cm="1">
        <f t="array" ref="V304">_xlfn.IFS('Fiscal by Program'!$B$7&lt;10.61,0,'Fiscal by Program'!$B$7&gt;10.6,(ROUND('Fiscal by Program'!$B$7*(1+IF(D304="Yes",'Fiscal by Program'!$B$9,'Fiscal by Program'!$B$8))*T304,2)))</f>
        <v>0</v>
      </c>
      <c r="W304" s="81">
        <f t="shared" si="70"/>
        <v>0</v>
      </c>
      <c r="X304" s="81">
        <f>ROUND((R304/(1+IF(D304="Yes",'Fiscal by Program'!$B$9,'Fiscal by Program'!$B$8))),2)+0.01</f>
        <v>20.240000000000002</v>
      </c>
      <c r="Y304" s="81">
        <f t="shared" si="71"/>
        <v>55.84</v>
      </c>
      <c r="Z304" s="88">
        <v>96</v>
      </c>
      <c r="AA304" s="90">
        <f t="shared" si="68"/>
        <v>2.614583333333333E-2</v>
      </c>
      <c r="AB304" s="75">
        <f>INDEX('[9]Service List'!$K:$K,MATCH(A304,'[9]Service List'!$F:$F,0))</f>
        <v>903</v>
      </c>
      <c r="AC304" s="73">
        <f>INDEX('[5]Combined Bill Code List'!$P:$P,MATCH(A304,'[5]Combined Bill Code List'!$F:$F,0))</f>
        <v>0</v>
      </c>
      <c r="AD304" s="67" t="s">
        <v>635</v>
      </c>
      <c r="AE304" s="79">
        <f t="shared" si="81"/>
        <v>1.095890410958904</v>
      </c>
      <c r="AF304" s="66">
        <v>0</v>
      </c>
      <c r="AG304" s="70">
        <f>ROUND(INDEX('All Trends'!D:D,MATCH($AD304,'All Trends'!$C:$C,0)),4)</f>
        <v>1.1354</v>
      </c>
      <c r="AH304" s="70">
        <f>ROUND(INDEX('All Trends'!E:E,MATCH($AD304,'All Trends'!$C:$C,0)),4)</f>
        <v>1.2451000000000001</v>
      </c>
      <c r="AI304" s="70">
        <f>ROUND(INDEX('All Trends'!F:F,MATCH($AD304,'All Trends'!$C:$C,0)),4)</f>
        <v>1.3443000000000001</v>
      </c>
      <c r="AJ304" s="70">
        <f>ROUND(INDEX('All Trends'!G:G,MATCH($AD304,'All Trends'!$C:$C,0)),4)</f>
        <v>1.4441999999999999</v>
      </c>
      <c r="AK304" s="70">
        <f>ROUND(INDEX('All Trends'!H:H,MATCH($AD304,'All Trends'!$C:$C,0)),4)</f>
        <v>1.548</v>
      </c>
      <c r="AL304" s="74" t="s">
        <v>148</v>
      </c>
      <c r="AM304" s="92">
        <f t="shared" si="72"/>
        <v>262073.57</v>
      </c>
      <c r="AN304" s="92">
        <f t="shared" si="73"/>
        <v>281549.25</v>
      </c>
      <c r="AO304" s="69">
        <f t="shared" si="74"/>
        <v>0</v>
      </c>
      <c r="AP304" s="69">
        <f t="shared" si="75"/>
        <v>0</v>
      </c>
      <c r="AQ304" s="69">
        <f t="shared" si="76"/>
        <v>0</v>
      </c>
      <c r="AR304" s="69">
        <f t="shared" si="77"/>
        <v>0</v>
      </c>
      <c r="AS304" s="409"/>
      <c r="AT304" s="409"/>
      <c r="AU304" s="409"/>
    </row>
    <row r="305" spans="1:47" ht="13.15">
      <c r="A305" s="67" t="s">
        <v>711</v>
      </c>
      <c r="B305" s="67" t="s">
        <v>711</v>
      </c>
      <c r="C305" s="78" t="s">
        <v>147</v>
      </c>
      <c r="D305" s="78" t="s">
        <v>147</v>
      </c>
      <c r="E305" s="67" t="s">
        <v>633</v>
      </c>
      <c r="F305" s="67" t="s">
        <v>34</v>
      </c>
      <c r="G305" s="67" t="str">
        <f>INDEX('[4]RT Description to Bill Matix'!$D:$D,MATCH(A305,'[4]RT Description to Bill Matix'!$M:$M,0))</f>
        <v>Assisted Living Services</v>
      </c>
      <c r="H305" s="65" t="s">
        <v>683</v>
      </c>
      <c r="I305" s="65"/>
      <c r="J305" s="65" t="str" cm="1">
        <f t="array" ref="J305">INDEX('Rate Table Service Desc XWalk'!F:F,MATCH(1,(G305='Rate Table Service Desc XWalk'!B:B)*(E305='Rate Table Service Desc XWalk'!A:A),0))</f>
        <v>6-1-4</v>
      </c>
      <c r="K305" s="66" t="str">
        <f>INDEX('[5]Combined Bill Code List'!$A:$A,MATCH(A305,'[5]Combined Bill Code List'!$F:$F,0))</f>
        <v>1115 Waiver</v>
      </c>
      <c r="L305" s="66" t="str">
        <f>INDEX('[6]Rate History'!$P:$P,MATCH(A305,'[6]Rate History'!$F:$F,0))</f>
        <v>1 day</v>
      </c>
      <c r="M305" s="77">
        <f>INDEX('[7]PDF DB Service Pivot'!$C:$C,MATCH(B305,'[7]PDF DB Service Pivot'!$B:$B,0))</f>
        <v>29637</v>
      </c>
      <c r="N305" s="77">
        <f t="shared" si="69"/>
        <v>29637</v>
      </c>
      <c r="O305" s="76">
        <f>INDEX('[7]PDF DB Service Pivot'!$D:$D,MATCH(B305,'[7]PDF DB Service Pivot'!$B:$B,0))</f>
        <v>1421451.7000000002</v>
      </c>
      <c r="P305" s="91">
        <v>45170</v>
      </c>
      <c r="Q305" s="81">
        <v>58.44</v>
      </c>
      <c r="R305" s="81">
        <f t="shared" si="80"/>
        <v>28.19</v>
      </c>
      <c r="S305" s="354">
        <v>0.48238602723505036</v>
      </c>
      <c r="T305">
        <v>2.5099999999999998</v>
      </c>
      <c r="U305" s="81">
        <f t="shared" si="67"/>
        <v>0</v>
      </c>
      <c r="V305" s="81" cm="1">
        <f t="array" ref="V305">_xlfn.IFS('Fiscal by Program'!$B$7&lt;10.61,0,'Fiscal by Program'!$B$7&gt;10.6,(ROUND('Fiscal by Program'!$B$7*(1+IF(D305="Yes",'Fiscal by Program'!$B$9,'Fiscal by Program'!$B$8))*T305,2)))</f>
        <v>0</v>
      </c>
      <c r="W305" s="81">
        <f t="shared" si="70"/>
        <v>0</v>
      </c>
      <c r="X305" s="81">
        <f>ROUND((R305/(1+IF(D305="Yes",'Fiscal by Program'!$B$9,'Fiscal by Program'!$B$8))),2)+0.01</f>
        <v>25.46</v>
      </c>
      <c r="Y305" s="81">
        <f t="shared" si="71"/>
        <v>58.44</v>
      </c>
      <c r="Z305" s="88">
        <v>96</v>
      </c>
      <c r="AA305" s="90">
        <f t="shared" si="68"/>
        <v>2.614583333333333E-2</v>
      </c>
      <c r="AB305" s="75">
        <f>INDEX('[9]Service List'!$K:$K,MATCH(A305,'[9]Service List'!$F:$F,0))</f>
        <v>909</v>
      </c>
      <c r="AC305" s="73">
        <f>INDEX('[5]Combined Bill Code List'!$P:$P,MATCH(A305,'[5]Combined Bill Code List'!$F:$F,0))</f>
        <v>0</v>
      </c>
      <c r="AD305" s="67" t="s">
        <v>635</v>
      </c>
      <c r="AE305" s="79">
        <f t="shared" si="81"/>
        <v>1.095890410958904</v>
      </c>
      <c r="AF305" s="66">
        <v>0</v>
      </c>
      <c r="AG305" s="70">
        <f>ROUND(INDEX('All Trends'!D:D,MATCH($AD305,'All Trends'!$C:$C,0)),4)</f>
        <v>1.1354</v>
      </c>
      <c r="AH305" s="70">
        <f>ROUND(INDEX('All Trends'!E:E,MATCH($AD305,'All Trends'!$C:$C,0)),4)</f>
        <v>1.2451000000000001</v>
      </c>
      <c r="AI305" s="70">
        <f>ROUND(INDEX('All Trends'!F:F,MATCH($AD305,'All Trends'!$C:$C,0)),4)</f>
        <v>1.3443000000000001</v>
      </c>
      <c r="AJ305" s="70">
        <f>ROUND(INDEX('All Trends'!G:G,MATCH($AD305,'All Trends'!$C:$C,0)),4)</f>
        <v>1.4441999999999999</v>
      </c>
      <c r="AK305" s="70">
        <f>ROUND(INDEX('All Trends'!H:H,MATCH($AD305,'All Trends'!$C:$C,0)),4)</f>
        <v>1.548</v>
      </c>
      <c r="AL305" s="74" t="s">
        <v>148</v>
      </c>
      <c r="AM305" s="92">
        <f t="shared" si="72"/>
        <v>100000.96000000001</v>
      </c>
      <c r="AN305" s="92">
        <f t="shared" si="73"/>
        <v>107432.41</v>
      </c>
      <c r="AO305" s="69">
        <f t="shared" si="74"/>
        <v>0</v>
      </c>
      <c r="AP305" s="69">
        <f t="shared" si="75"/>
        <v>0</v>
      </c>
      <c r="AQ305" s="69">
        <f t="shared" si="76"/>
        <v>0</v>
      </c>
      <c r="AR305" s="69">
        <f t="shared" si="77"/>
        <v>0</v>
      </c>
      <c r="AS305" s="409"/>
      <c r="AT305" s="409"/>
      <c r="AU305" s="409"/>
    </row>
    <row r="306" spans="1:47" ht="13.15">
      <c r="A306" s="67" t="s">
        <v>712</v>
      </c>
      <c r="B306" s="67" t="s">
        <v>712</v>
      </c>
      <c r="C306" s="78" t="s">
        <v>147</v>
      </c>
      <c r="D306" s="78" t="s">
        <v>147</v>
      </c>
      <c r="E306" s="67" t="s">
        <v>633</v>
      </c>
      <c r="F306" s="67" t="s">
        <v>34</v>
      </c>
      <c r="G306" s="67" t="str">
        <f>INDEX('[4]RT Description to Bill Matix'!$D:$D,MATCH(A306,'[4]RT Description to Bill Matix'!$M:$M,0))</f>
        <v>Assisted Living Services</v>
      </c>
      <c r="H306" s="65" t="s">
        <v>685</v>
      </c>
      <c r="I306" s="65"/>
      <c r="J306" s="65" t="str" cm="1">
        <f t="array" ref="J306">INDEX('Rate Table Service Desc XWalk'!F:F,MATCH(1,(G306='Rate Table Service Desc XWalk'!B:B)*(E306='Rate Table Service Desc XWalk'!A:A),0))</f>
        <v>6-1-4</v>
      </c>
      <c r="K306" s="66" t="str">
        <f>INDEX('[5]Combined Bill Code List'!$A:$A,MATCH(A306,'[5]Combined Bill Code List'!$F:$F,0))</f>
        <v>1115 Waiver</v>
      </c>
      <c r="L306" s="66" t="str">
        <f>INDEX('[6]Rate History'!$P:$P,MATCH(A306,'[6]Rate History'!$F:$F,0))</f>
        <v>1 day</v>
      </c>
      <c r="M306" s="77">
        <f>INDEX('[7]PDF DB Service Pivot'!$C:$C,MATCH(B306,'[7]PDF DB Service Pivot'!$B:$B,0))</f>
        <v>97092</v>
      </c>
      <c r="N306" s="77">
        <f t="shared" si="69"/>
        <v>97092</v>
      </c>
      <c r="O306" s="76">
        <f>INDEX('[7]PDF DB Service Pivot'!$D:$D,MATCH(B306,'[7]PDF DB Service Pivot'!$B:$B,0))</f>
        <v>4372915.74</v>
      </c>
      <c r="P306" s="91">
        <v>45170</v>
      </c>
      <c r="Q306" s="81">
        <v>52.2</v>
      </c>
      <c r="R306" s="81">
        <f t="shared" si="80"/>
        <v>23.14</v>
      </c>
      <c r="S306" s="354">
        <v>0.44329073482428116</v>
      </c>
      <c r="T306">
        <v>2.5099999999999998</v>
      </c>
      <c r="U306" s="81">
        <f t="shared" si="67"/>
        <v>0</v>
      </c>
      <c r="V306" s="81" cm="1">
        <f t="array" ref="V306">_xlfn.IFS('Fiscal by Program'!$B$7&lt;10.61,0,'Fiscal by Program'!$B$7&gt;10.6,(ROUND('Fiscal by Program'!$B$7*(1+IF(D306="Yes",'Fiscal by Program'!$B$9,'Fiscal by Program'!$B$8))*T306,2)))</f>
        <v>0</v>
      </c>
      <c r="W306" s="81">
        <f t="shared" si="70"/>
        <v>0</v>
      </c>
      <c r="X306" s="81">
        <f>ROUND((R306/(1+IF(D306="Yes",'Fiscal by Program'!$B$9,'Fiscal by Program'!$B$8))),2)+0.01</f>
        <v>20.900000000000002</v>
      </c>
      <c r="Y306" s="81">
        <f t="shared" si="71"/>
        <v>52.2</v>
      </c>
      <c r="Z306" s="88">
        <v>96</v>
      </c>
      <c r="AA306" s="90">
        <f t="shared" si="68"/>
        <v>2.614583333333333E-2</v>
      </c>
      <c r="AB306" s="75">
        <f>INDEX('[9]Service List'!$K:$K,MATCH(A306,'[9]Service List'!$F:$F,0))</f>
        <v>915</v>
      </c>
      <c r="AC306" s="73">
        <f>INDEX('[5]Combined Bill Code List'!$P:$P,MATCH(A306,'[5]Combined Bill Code List'!$F:$F,0))</f>
        <v>0</v>
      </c>
      <c r="AD306" s="67" t="s">
        <v>635</v>
      </c>
      <c r="AE306" s="79">
        <f t="shared" si="81"/>
        <v>1.095890410958904</v>
      </c>
      <c r="AF306" s="66">
        <v>0</v>
      </c>
      <c r="AG306" s="70">
        <f>ROUND(INDEX('All Trends'!D:D,MATCH($AD306,'All Trends'!$C:$C,0)),4)</f>
        <v>1.1354</v>
      </c>
      <c r="AH306" s="70">
        <f>ROUND(INDEX('All Trends'!E:E,MATCH($AD306,'All Trends'!$C:$C,0)),4)</f>
        <v>1.2451000000000001</v>
      </c>
      <c r="AI306" s="70">
        <f>ROUND(INDEX('All Trends'!F:F,MATCH($AD306,'All Trends'!$C:$C,0)),4)</f>
        <v>1.3443000000000001</v>
      </c>
      <c r="AJ306" s="70">
        <f>ROUND(INDEX('All Trends'!G:G,MATCH($AD306,'All Trends'!$C:$C,0)),4)</f>
        <v>1.4441999999999999</v>
      </c>
      <c r="AK306" s="70">
        <f>ROUND(INDEX('All Trends'!H:H,MATCH($AD306,'All Trends'!$C:$C,0)),4)</f>
        <v>1.548</v>
      </c>
      <c r="AL306" s="74" t="s">
        <v>148</v>
      </c>
      <c r="AM306" s="92">
        <f t="shared" si="72"/>
        <v>327607.15000000002</v>
      </c>
      <c r="AN306" s="92">
        <f t="shared" si="73"/>
        <v>351952.87</v>
      </c>
      <c r="AO306" s="69">
        <f t="shared" si="74"/>
        <v>0</v>
      </c>
      <c r="AP306" s="69">
        <f t="shared" si="75"/>
        <v>0</v>
      </c>
      <c r="AQ306" s="69">
        <f t="shared" si="76"/>
        <v>0</v>
      </c>
      <c r="AR306" s="69">
        <f t="shared" si="77"/>
        <v>0</v>
      </c>
      <c r="AS306" s="409"/>
      <c r="AT306" s="409"/>
      <c r="AU306" s="409"/>
    </row>
    <row r="307" spans="1:47" ht="13.15">
      <c r="A307" s="67" t="s">
        <v>713</v>
      </c>
      <c r="B307" s="67" t="s">
        <v>713</v>
      </c>
      <c r="C307" s="78" t="s">
        <v>147</v>
      </c>
      <c r="D307" s="78" t="s">
        <v>147</v>
      </c>
      <c r="E307" s="67" t="s">
        <v>633</v>
      </c>
      <c r="F307" s="67" t="s">
        <v>34</v>
      </c>
      <c r="G307" s="67" t="str">
        <f>INDEX('[4]RT Description to Bill Matix'!$D:$D,MATCH(A307,'[4]RT Description to Bill Matix'!$M:$M,0))</f>
        <v>Assisted Living Services</v>
      </c>
      <c r="H307" s="65" t="s">
        <v>687</v>
      </c>
      <c r="I307" s="65"/>
      <c r="J307" s="65" t="str" cm="1">
        <f t="array" ref="J307">INDEX('Rate Table Service Desc XWalk'!F:F,MATCH(1,(G307='Rate Table Service Desc XWalk'!B:B)*(E307='Rate Table Service Desc XWalk'!A:A),0))</f>
        <v>6-1-4</v>
      </c>
      <c r="K307" s="66" t="str">
        <f>INDEX('[5]Combined Bill Code List'!$A:$A,MATCH(A307,'[5]Combined Bill Code List'!$F:$F,0))</f>
        <v>1115 Waiver</v>
      </c>
      <c r="L307" s="66" t="str">
        <f>INDEX('[6]Rate History'!$P:$P,MATCH(A307,'[6]Rate History'!$F:$F,0))</f>
        <v>1 day</v>
      </c>
      <c r="M307" s="77">
        <f>INDEX('[7]PDF DB Service Pivot'!$C:$C,MATCH(B307,'[7]PDF DB Service Pivot'!$B:$B,0))</f>
        <v>324165</v>
      </c>
      <c r="N307" s="77">
        <f t="shared" si="69"/>
        <v>324165</v>
      </c>
      <c r="O307" s="76">
        <f>INDEX('[7]PDF DB Service Pivot'!$D:$D,MATCH(B307,'[7]PDF DB Service Pivot'!$B:$B,0))</f>
        <v>14268143.869999999</v>
      </c>
      <c r="P307" s="91">
        <v>45170</v>
      </c>
      <c r="Q307" s="81">
        <v>50.48</v>
      </c>
      <c r="R307" s="81">
        <f t="shared" si="80"/>
        <v>19.13</v>
      </c>
      <c r="S307" s="354">
        <v>0.37893982808022908</v>
      </c>
      <c r="T307">
        <v>2.5099999999999998</v>
      </c>
      <c r="U307" s="81">
        <f t="shared" si="67"/>
        <v>0</v>
      </c>
      <c r="V307" s="81" cm="1">
        <f t="array" ref="V307">_xlfn.IFS('Fiscal by Program'!$B$7&lt;10.61,0,'Fiscal by Program'!$B$7&gt;10.6,(ROUND('Fiscal by Program'!$B$7*(1+IF(D307="Yes",'Fiscal by Program'!$B$9,'Fiscal by Program'!$B$8))*T307,2)))</f>
        <v>0</v>
      </c>
      <c r="W307" s="81">
        <f t="shared" si="70"/>
        <v>0</v>
      </c>
      <c r="X307" s="81">
        <f>ROUND((R307/(1+IF(D307="Yes",'Fiscal by Program'!$B$9,'Fiscal by Program'!$B$8))),2)+0.01</f>
        <v>17.28</v>
      </c>
      <c r="Y307" s="81">
        <f t="shared" si="71"/>
        <v>50.48</v>
      </c>
      <c r="Z307" s="88">
        <v>96</v>
      </c>
      <c r="AA307" s="90">
        <f t="shared" si="68"/>
        <v>2.614583333333333E-2</v>
      </c>
      <c r="AB307" s="75">
        <f>INDEX('[9]Service List'!$K:$K,MATCH(A307,'[9]Service List'!$F:$F,0))</f>
        <v>921</v>
      </c>
      <c r="AC307" s="73">
        <f>INDEX('[5]Combined Bill Code List'!$P:$P,MATCH(A307,'[5]Combined Bill Code List'!$F:$F,0))</f>
        <v>0</v>
      </c>
      <c r="AD307" s="67" t="s">
        <v>635</v>
      </c>
      <c r="AE307" s="79">
        <f t="shared" si="81"/>
        <v>1.095890410958904</v>
      </c>
      <c r="AF307" s="66">
        <v>0</v>
      </c>
      <c r="AG307" s="70">
        <f>ROUND(INDEX('All Trends'!D:D,MATCH($AD307,'All Trends'!$C:$C,0)),4)</f>
        <v>1.1354</v>
      </c>
      <c r="AH307" s="70">
        <f>ROUND(INDEX('All Trends'!E:E,MATCH($AD307,'All Trends'!$C:$C,0)),4)</f>
        <v>1.2451000000000001</v>
      </c>
      <c r="AI307" s="70">
        <f>ROUND(INDEX('All Trends'!F:F,MATCH($AD307,'All Trends'!$C:$C,0)),4)</f>
        <v>1.3443000000000001</v>
      </c>
      <c r="AJ307" s="70">
        <f>ROUND(INDEX('All Trends'!G:G,MATCH($AD307,'All Trends'!$C:$C,0)),4)</f>
        <v>1.4441999999999999</v>
      </c>
      <c r="AK307" s="70">
        <f>ROUND(INDEX('All Trends'!H:H,MATCH($AD307,'All Trends'!$C:$C,0)),4)</f>
        <v>1.548</v>
      </c>
      <c r="AL307" s="74" t="s">
        <v>148</v>
      </c>
      <c r="AM307" s="92">
        <f t="shared" si="72"/>
        <v>1093795.27</v>
      </c>
      <c r="AN307" s="92">
        <f t="shared" si="73"/>
        <v>1175079.32</v>
      </c>
      <c r="AO307" s="69">
        <f t="shared" si="74"/>
        <v>0</v>
      </c>
      <c r="AP307" s="69">
        <f t="shared" si="75"/>
        <v>0</v>
      </c>
      <c r="AQ307" s="69">
        <f t="shared" si="76"/>
        <v>0</v>
      </c>
      <c r="AR307" s="69">
        <f t="shared" si="77"/>
        <v>0</v>
      </c>
      <c r="AS307" s="409"/>
      <c r="AT307" s="409"/>
      <c r="AU307" s="409"/>
    </row>
    <row r="308" spans="1:47" ht="13.15">
      <c r="A308" s="67" t="s">
        <v>714</v>
      </c>
      <c r="B308" s="67" t="s">
        <v>714</v>
      </c>
      <c r="C308" s="78" t="s">
        <v>147</v>
      </c>
      <c r="D308" s="78" t="s">
        <v>147</v>
      </c>
      <c r="E308" s="67" t="s">
        <v>633</v>
      </c>
      <c r="F308" s="67" t="s">
        <v>34</v>
      </c>
      <c r="G308" s="67" t="str">
        <f>INDEX('[4]RT Description to Bill Matix'!$D:$D,MATCH(A308,'[4]RT Description to Bill Matix'!$M:$M,0))</f>
        <v>Assisted Living Services</v>
      </c>
      <c r="H308" s="65" t="s">
        <v>689</v>
      </c>
      <c r="I308" s="65"/>
      <c r="J308" s="65" t="str" cm="1">
        <f t="array" ref="J308">INDEX('Rate Table Service Desc XWalk'!F:F,MATCH(1,(G308='Rate Table Service Desc XWalk'!B:B)*(E308='Rate Table Service Desc XWalk'!A:A),0))</f>
        <v>6-1-4</v>
      </c>
      <c r="K308" s="66" t="str">
        <f>INDEX('[5]Combined Bill Code List'!$A:$A,MATCH(A308,'[5]Combined Bill Code List'!$F:$F,0))</f>
        <v>1115 Waiver</v>
      </c>
      <c r="L308" s="66" t="str">
        <f>INDEX('[6]Rate History'!$P:$P,MATCH(A308,'[6]Rate History'!$F:$F,0))</f>
        <v>1 day</v>
      </c>
      <c r="M308" s="77">
        <f>INDEX('[7]PDF DB Service Pivot'!$C:$C,MATCH(B308,'[7]PDF DB Service Pivot'!$B:$B,0))</f>
        <v>469</v>
      </c>
      <c r="N308" s="77">
        <f t="shared" si="69"/>
        <v>469</v>
      </c>
      <c r="O308" s="76">
        <f>INDEX('[7]PDF DB Service Pivot'!$D:$D,MATCH(B308,'[7]PDF DB Service Pivot'!$B:$B,0))</f>
        <v>18121.259999999998</v>
      </c>
      <c r="P308" s="91">
        <v>45170</v>
      </c>
      <c r="Q308" s="81">
        <v>42</v>
      </c>
      <c r="R308" s="81">
        <f t="shared" si="80"/>
        <v>16.96</v>
      </c>
      <c r="S308" s="354">
        <v>0.4038329911019849</v>
      </c>
      <c r="T308">
        <v>2.5099999999999998</v>
      </c>
      <c r="U308" s="81">
        <f t="shared" si="67"/>
        <v>0</v>
      </c>
      <c r="V308" s="81" cm="1">
        <f t="array" ref="V308">_xlfn.IFS('Fiscal by Program'!$B$7&lt;10.61,0,'Fiscal by Program'!$B$7&gt;10.6,(ROUND('Fiscal by Program'!$B$7*(1+IF(D308="Yes",'Fiscal by Program'!$B$9,'Fiscal by Program'!$B$8))*T308,2)))</f>
        <v>0</v>
      </c>
      <c r="W308" s="81">
        <f t="shared" si="70"/>
        <v>0</v>
      </c>
      <c r="X308" s="81">
        <f>ROUND((R308/(1+IF(D308="Yes",'Fiscal by Program'!$B$9,'Fiscal by Program'!$B$8))),2)+0.01</f>
        <v>15.32</v>
      </c>
      <c r="Y308" s="81">
        <f t="shared" si="71"/>
        <v>42</v>
      </c>
      <c r="Z308" s="88">
        <v>96</v>
      </c>
      <c r="AA308" s="90">
        <f t="shared" si="68"/>
        <v>2.614583333333333E-2</v>
      </c>
      <c r="AB308" s="75">
        <f>INDEX('[9]Service List'!$K:$K,MATCH(A308,'[9]Service List'!$F:$F,0))</f>
        <v>893</v>
      </c>
      <c r="AC308" s="73">
        <f>INDEX('[5]Combined Bill Code List'!$P:$P,MATCH(A308,'[5]Combined Bill Code List'!$F:$F,0))</f>
        <v>0</v>
      </c>
      <c r="AD308" s="67" t="s">
        <v>635</v>
      </c>
      <c r="AE308" s="79">
        <f t="shared" si="81"/>
        <v>1.095890410958904</v>
      </c>
      <c r="AF308" s="66">
        <v>0</v>
      </c>
      <c r="AG308" s="70">
        <f>ROUND(INDEX('All Trends'!D:D,MATCH($AD308,'All Trends'!$C:$C,0)),4)</f>
        <v>1.1354</v>
      </c>
      <c r="AH308" s="70">
        <f>ROUND(INDEX('All Trends'!E:E,MATCH($AD308,'All Trends'!$C:$C,0)),4)</f>
        <v>1.2451000000000001</v>
      </c>
      <c r="AI308" s="70">
        <f>ROUND(INDEX('All Trends'!F:F,MATCH($AD308,'All Trends'!$C:$C,0)),4)</f>
        <v>1.3443000000000001</v>
      </c>
      <c r="AJ308" s="70">
        <f>ROUND(INDEX('All Trends'!G:G,MATCH($AD308,'All Trends'!$C:$C,0)),4)</f>
        <v>1.4441999999999999</v>
      </c>
      <c r="AK308" s="70">
        <f>ROUND(INDEX('All Trends'!H:H,MATCH($AD308,'All Trends'!$C:$C,0)),4)</f>
        <v>1.548</v>
      </c>
      <c r="AL308" s="74" t="s">
        <v>148</v>
      </c>
      <c r="AM308" s="92">
        <f t="shared" si="72"/>
        <v>1582.5</v>
      </c>
      <c r="AN308" s="92">
        <f t="shared" si="73"/>
        <v>1700.1</v>
      </c>
      <c r="AO308" s="69">
        <f t="shared" si="74"/>
        <v>0</v>
      </c>
      <c r="AP308" s="69">
        <f t="shared" si="75"/>
        <v>0</v>
      </c>
      <c r="AQ308" s="69">
        <f t="shared" si="76"/>
        <v>0</v>
      </c>
      <c r="AR308" s="69">
        <f t="shared" si="77"/>
        <v>0</v>
      </c>
      <c r="AS308" s="409"/>
      <c r="AT308" s="409"/>
      <c r="AU308" s="409"/>
    </row>
    <row r="309" spans="1:47" ht="13.15">
      <c r="A309" s="67" t="s">
        <v>715</v>
      </c>
      <c r="B309" s="67" t="s">
        <v>715</v>
      </c>
      <c r="C309" s="78" t="s">
        <v>147</v>
      </c>
      <c r="D309" s="78" t="s">
        <v>147</v>
      </c>
      <c r="E309" s="67" t="s">
        <v>633</v>
      </c>
      <c r="F309" s="67" t="s">
        <v>34</v>
      </c>
      <c r="G309" s="67" t="str">
        <f>INDEX('[4]RT Description to Bill Matix'!$D:$D,MATCH(A309,'[4]RT Description to Bill Matix'!$M:$M,0))</f>
        <v>Assisted Living Services</v>
      </c>
      <c r="H309" s="65" t="s">
        <v>716</v>
      </c>
      <c r="I309" s="65"/>
      <c r="J309" s="65" t="str" cm="1">
        <f t="array" ref="J309">INDEX('Rate Table Service Desc XWalk'!F:F,MATCH(1,(G309='Rate Table Service Desc XWalk'!B:B)*(E309='Rate Table Service Desc XWalk'!A:A),0))</f>
        <v>6-1-4</v>
      </c>
      <c r="K309" s="66" t="str">
        <f>INDEX('[5]Combined Bill Code List'!$A:$A,MATCH(A309,'[5]Combined Bill Code List'!$F:$F,0))</f>
        <v>1115 Waiver</v>
      </c>
      <c r="L309" s="66" t="str">
        <f>INDEX('[6]Rate History'!$P:$P,MATCH(A309,'[6]Rate History'!$F:$F,0))</f>
        <v>1 day</v>
      </c>
      <c r="M309" s="77">
        <f>INDEX('[7]PDF DB Service Pivot'!$C:$C,MATCH(B309,'[7]PDF DB Service Pivot'!$B:$B,0))</f>
        <v>1927</v>
      </c>
      <c r="N309" s="77">
        <f t="shared" si="69"/>
        <v>1927</v>
      </c>
      <c r="O309" s="76">
        <f>INDEX('[7]PDF DB Service Pivot'!$D:$D,MATCH(B309,'[7]PDF DB Service Pivot'!$B:$B,0))</f>
        <v>73024.67</v>
      </c>
      <c r="P309" s="91">
        <v>45170</v>
      </c>
      <c r="Q309" s="81">
        <v>37.04</v>
      </c>
      <c r="R309" s="81">
        <f t="shared" si="80"/>
        <v>12.5</v>
      </c>
      <c r="S309" s="354">
        <v>0.33735632183908032</v>
      </c>
      <c r="T309">
        <v>2.5099999999999998</v>
      </c>
      <c r="U309" s="81">
        <f t="shared" si="67"/>
        <v>0</v>
      </c>
      <c r="V309" s="81" cm="1">
        <f t="array" ref="V309">_xlfn.IFS('Fiscal by Program'!$B$7&lt;10.61,0,'Fiscal by Program'!$B$7&gt;10.6,(ROUND('Fiscal by Program'!$B$7*(1+IF(D309="Yes",'Fiscal by Program'!$B$9,'Fiscal by Program'!$B$8))*T309,2)))</f>
        <v>0</v>
      </c>
      <c r="W309" s="81">
        <f t="shared" si="70"/>
        <v>0</v>
      </c>
      <c r="X309" s="81">
        <f>ROUND((R309/(1+IF(D309="Yes",'Fiscal by Program'!$B$9,'Fiscal by Program'!$B$8))),2)+0.01</f>
        <v>11.299999999999999</v>
      </c>
      <c r="Y309" s="81">
        <f t="shared" si="71"/>
        <v>37.04</v>
      </c>
      <c r="Z309" s="88">
        <v>96</v>
      </c>
      <c r="AA309" s="90">
        <f t="shared" si="68"/>
        <v>2.614583333333333E-2</v>
      </c>
      <c r="AB309" s="75">
        <f>INDEX('[9]Service List'!$K:$K,MATCH(A309,'[9]Service List'!$F:$F,0))</f>
        <v>899</v>
      </c>
      <c r="AC309" s="73">
        <f>INDEX('[5]Combined Bill Code List'!$P:$P,MATCH(A309,'[5]Combined Bill Code List'!$F:$F,0))</f>
        <v>0</v>
      </c>
      <c r="AD309" s="67" t="s">
        <v>635</v>
      </c>
      <c r="AE309" s="79">
        <f t="shared" si="81"/>
        <v>1.095890410958904</v>
      </c>
      <c r="AF309" s="66">
        <v>0</v>
      </c>
      <c r="AG309" s="70">
        <f>ROUND(INDEX('All Trends'!D:D,MATCH($AD309,'All Trends'!$C:$C,0)),4)</f>
        <v>1.1354</v>
      </c>
      <c r="AH309" s="70">
        <f>ROUND(INDEX('All Trends'!E:E,MATCH($AD309,'All Trends'!$C:$C,0)),4)</f>
        <v>1.2451000000000001</v>
      </c>
      <c r="AI309" s="70">
        <f>ROUND(INDEX('All Trends'!F:F,MATCH($AD309,'All Trends'!$C:$C,0)),4)</f>
        <v>1.3443000000000001</v>
      </c>
      <c r="AJ309" s="70">
        <f>ROUND(INDEX('All Trends'!G:G,MATCH($AD309,'All Trends'!$C:$C,0)),4)</f>
        <v>1.4441999999999999</v>
      </c>
      <c r="AK309" s="70">
        <f>ROUND(INDEX('All Trends'!H:H,MATCH($AD309,'All Trends'!$C:$C,0)),4)</f>
        <v>1.548</v>
      </c>
      <c r="AL309" s="74" t="s">
        <v>148</v>
      </c>
      <c r="AM309" s="92">
        <f t="shared" si="72"/>
        <v>6502.07</v>
      </c>
      <c r="AN309" s="92">
        <f t="shared" si="73"/>
        <v>6985.26</v>
      </c>
      <c r="AO309" s="69">
        <f t="shared" si="74"/>
        <v>0</v>
      </c>
      <c r="AP309" s="69">
        <f t="shared" si="75"/>
        <v>0</v>
      </c>
      <c r="AQ309" s="69">
        <f t="shared" si="76"/>
        <v>0</v>
      </c>
      <c r="AR309" s="69">
        <f t="shared" si="77"/>
        <v>0</v>
      </c>
      <c r="AS309" s="409"/>
      <c r="AT309" s="409"/>
      <c r="AU309" s="409"/>
    </row>
    <row r="310" spans="1:47" ht="13.15">
      <c r="A310" s="67" t="s">
        <v>717</v>
      </c>
      <c r="B310" s="67" t="s">
        <v>717</v>
      </c>
      <c r="C310" s="78" t="s">
        <v>147</v>
      </c>
      <c r="D310" s="78" t="s">
        <v>147</v>
      </c>
      <c r="E310" s="67" t="s">
        <v>633</v>
      </c>
      <c r="F310" s="67" t="s">
        <v>34</v>
      </c>
      <c r="G310" s="67" t="str">
        <f>INDEX('[4]RT Description to Bill Matix'!$D:$D,MATCH(A310,'[4]RT Description to Bill Matix'!$M:$M,0))</f>
        <v>Assisted Living Services</v>
      </c>
      <c r="H310" s="65" t="s">
        <v>691</v>
      </c>
      <c r="I310" s="65"/>
      <c r="J310" s="65" t="str" cm="1">
        <f t="array" ref="J310">INDEX('Rate Table Service Desc XWalk'!F:F,MATCH(1,(G310='Rate Table Service Desc XWalk'!B:B)*(E310='Rate Table Service Desc XWalk'!A:A),0))</f>
        <v>6-1-4</v>
      </c>
      <c r="K310" s="66" t="str">
        <f>INDEX('[5]Combined Bill Code List'!$A:$A,MATCH(A310,'[5]Combined Bill Code List'!$F:$F,0))</f>
        <v>1115 Waiver</v>
      </c>
      <c r="L310" s="66" t="str">
        <f>INDEX('[6]Rate History'!$P:$P,MATCH(A310,'[6]Rate History'!$F:$F,0))</f>
        <v>1 day</v>
      </c>
      <c r="M310" s="77">
        <f>INDEX('[7]PDF DB Service Pivot'!$C:$C,MATCH(B310,'[7]PDF DB Service Pivot'!$B:$B,0))</f>
        <v>17239</v>
      </c>
      <c r="N310" s="77">
        <f t="shared" si="69"/>
        <v>17239</v>
      </c>
      <c r="O310" s="76">
        <f>INDEX('[7]PDF DB Service Pivot'!$D:$D,MATCH(B310,'[7]PDF DB Service Pivot'!$B:$B,0))</f>
        <v>458270.05999999994</v>
      </c>
      <c r="P310" s="91">
        <v>45170</v>
      </c>
      <c r="Q310" s="81">
        <v>30.32</v>
      </c>
      <c r="R310" s="81">
        <f t="shared" si="80"/>
        <v>9.56</v>
      </c>
      <c r="S310" s="354">
        <v>0.31537242472266236</v>
      </c>
      <c r="T310">
        <v>2.5099999999999998</v>
      </c>
      <c r="U310" s="81">
        <f t="shared" si="67"/>
        <v>0</v>
      </c>
      <c r="V310" s="81" cm="1">
        <f t="array" ref="V310">_xlfn.IFS('Fiscal by Program'!$B$7&lt;10.61,0,'Fiscal by Program'!$B$7&gt;10.6,(ROUND('Fiscal by Program'!$B$7*(1+IF(D310="Yes",'Fiscal by Program'!$B$9,'Fiscal by Program'!$B$8))*T310,2)))</f>
        <v>0</v>
      </c>
      <c r="W310" s="81">
        <f t="shared" si="70"/>
        <v>0</v>
      </c>
      <c r="X310" s="81">
        <f>ROUND((R310/(1+IF(D310="Yes",'Fiscal by Program'!$B$9,'Fiscal by Program'!$B$8))),2)+0.01</f>
        <v>8.64</v>
      </c>
      <c r="Y310" s="81">
        <f t="shared" si="71"/>
        <v>30.32</v>
      </c>
      <c r="Z310" s="88">
        <v>96</v>
      </c>
      <c r="AA310" s="90">
        <f t="shared" si="68"/>
        <v>2.614583333333333E-2</v>
      </c>
      <c r="AB310" s="75">
        <f>INDEX('[9]Service List'!$K:$K,MATCH(A310,'[9]Service List'!$F:$F,0))</f>
        <v>905</v>
      </c>
      <c r="AC310" s="73">
        <f>INDEX('[5]Combined Bill Code List'!$P:$P,MATCH(A310,'[5]Combined Bill Code List'!$F:$F,0))</f>
        <v>0</v>
      </c>
      <c r="AD310" s="67" t="s">
        <v>635</v>
      </c>
      <c r="AE310" s="79">
        <f t="shared" si="81"/>
        <v>1.095890410958904</v>
      </c>
      <c r="AF310" s="66">
        <v>0</v>
      </c>
      <c r="AG310" s="70">
        <f>ROUND(INDEX('All Trends'!D:D,MATCH($AD310,'All Trends'!$C:$C,0)),4)</f>
        <v>1.1354</v>
      </c>
      <c r="AH310" s="70">
        <f>ROUND(INDEX('All Trends'!E:E,MATCH($AD310,'All Trends'!$C:$C,0)),4)</f>
        <v>1.2451000000000001</v>
      </c>
      <c r="AI310" s="70">
        <f>ROUND(INDEX('All Trends'!F:F,MATCH($AD310,'All Trends'!$C:$C,0)),4)</f>
        <v>1.3443000000000001</v>
      </c>
      <c r="AJ310" s="70">
        <f>ROUND(INDEX('All Trends'!G:G,MATCH($AD310,'All Trends'!$C:$C,0)),4)</f>
        <v>1.4441999999999999</v>
      </c>
      <c r="AK310" s="70">
        <f>ROUND(INDEX('All Trends'!H:H,MATCH($AD310,'All Trends'!$C:$C,0)),4)</f>
        <v>1.548</v>
      </c>
      <c r="AL310" s="74" t="s">
        <v>148</v>
      </c>
      <c r="AM310" s="92">
        <f t="shared" si="72"/>
        <v>58167.71</v>
      </c>
      <c r="AN310" s="92">
        <f t="shared" si="73"/>
        <v>62490.38</v>
      </c>
      <c r="AO310" s="69">
        <f t="shared" si="74"/>
        <v>0</v>
      </c>
      <c r="AP310" s="69">
        <f t="shared" si="75"/>
        <v>0</v>
      </c>
      <c r="AQ310" s="69">
        <f t="shared" si="76"/>
        <v>0</v>
      </c>
      <c r="AR310" s="69">
        <f t="shared" si="77"/>
        <v>0</v>
      </c>
      <c r="AS310" s="409"/>
      <c r="AT310" s="409"/>
      <c r="AU310" s="409"/>
    </row>
    <row r="311" spans="1:47" ht="13.15">
      <c r="A311" s="67" t="s">
        <v>718</v>
      </c>
      <c r="B311" s="67" t="s">
        <v>718</v>
      </c>
      <c r="C311" s="78" t="s">
        <v>147</v>
      </c>
      <c r="D311" s="78" t="s">
        <v>147</v>
      </c>
      <c r="E311" s="67" t="s">
        <v>633</v>
      </c>
      <c r="F311" s="67" t="s">
        <v>34</v>
      </c>
      <c r="G311" s="67" t="str">
        <f>INDEX('[4]RT Description to Bill Matix'!$D:$D,MATCH(A311,'[4]RT Description to Bill Matix'!$M:$M,0))</f>
        <v>Assisted Living Services</v>
      </c>
      <c r="H311" s="65" t="s">
        <v>693</v>
      </c>
      <c r="I311" s="65"/>
      <c r="J311" s="65" t="str" cm="1">
        <f t="array" ref="J311">INDEX('Rate Table Service Desc XWalk'!F:F,MATCH(1,(G311='Rate Table Service Desc XWalk'!B:B)*(E311='Rate Table Service Desc XWalk'!A:A),0))</f>
        <v>6-1-4</v>
      </c>
      <c r="K311" s="66" t="str">
        <f>INDEX('[5]Combined Bill Code List'!$A:$A,MATCH(A311,'[5]Combined Bill Code List'!$F:$F,0))</f>
        <v>1115 Waiver</v>
      </c>
      <c r="L311" s="66" t="str">
        <f>INDEX('[6]Rate History'!$P:$P,MATCH(A311,'[6]Rate History'!$F:$F,0))</f>
        <v>1 day</v>
      </c>
      <c r="M311" s="77">
        <f>INDEX('[7]PDF DB Service Pivot'!$C:$C,MATCH(B311,'[7]PDF DB Service Pivot'!$B:$B,0))</f>
        <v>2810</v>
      </c>
      <c r="N311" s="77">
        <f t="shared" si="69"/>
        <v>2810</v>
      </c>
      <c r="O311" s="76">
        <f>INDEX('[7]PDF DB Service Pivot'!$D:$D,MATCH(B311,'[7]PDF DB Service Pivot'!$B:$B,0))</f>
        <v>78449.049999999988</v>
      </c>
      <c r="P311" s="91">
        <v>45170</v>
      </c>
      <c r="Q311" s="81">
        <v>32.880000000000003</v>
      </c>
      <c r="R311" s="81">
        <f t="shared" si="80"/>
        <v>25.51</v>
      </c>
      <c r="S311" s="354">
        <v>0.77571428571428569</v>
      </c>
      <c r="T311">
        <v>2.5099999999999998</v>
      </c>
      <c r="U311" s="81">
        <f t="shared" si="67"/>
        <v>0</v>
      </c>
      <c r="V311" s="81" cm="1">
        <f t="array" ref="V311">_xlfn.IFS('Fiscal by Program'!$B$7&lt;10.61,0,'Fiscal by Program'!$B$7&gt;10.6,(ROUND('Fiscal by Program'!$B$7*(1+IF(D311="Yes",'Fiscal by Program'!$B$9,'Fiscal by Program'!$B$8))*T311,2)))</f>
        <v>0</v>
      </c>
      <c r="W311" s="81">
        <f t="shared" si="70"/>
        <v>0</v>
      </c>
      <c r="X311" s="81">
        <f>ROUND((R311/(1+IF(D311="Yes",'Fiscal by Program'!$B$9,'Fiscal by Program'!$B$8))),2)+0.01</f>
        <v>23.040000000000003</v>
      </c>
      <c r="Y311" s="81">
        <f t="shared" si="71"/>
        <v>32.880000000000003</v>
      </c>
      <c r="Z311" s="88">
        <v>96</v>
      </c>
      <c r="AA311" s="90">
        <f t="shared" si="68"/>
        <v>2.614583333333333E-2</v>
      </c>
      <c r="AB311" s="75">
        <f>INDEX('[9]Service List'!$K:$K,MATCH(A311,'[9]Service List'!$F:$F,0))</f>
        <v>911</v>
      </c>
      <c r="AC311" s="73">
        <f>INDEX('[5]Combined Bill Code List'!$P:$P,MATCH(A311,'[5]Combined Bill Code List'!$F:$F,0))</f>
        <v>0</v>
      </c>
      <c r="AD311" s="67" t="s">
        <v>635</v>
      </c>
      <c r="AE311" s="79">
        <f t="shared" si="81"/>
        <v>1.095890410958904</v>
      </c>
      <c r="AF311" s="66">
        <v>0</v>
      </c>
      <c r="AG311" s="70">
        <f>ROUND(INDEX('All Trends'!D:D,MATCH($AD311,'All Trends'!$C:$C,0)),4)</f>
        <v>1.1354</v>
      </c>
      <c r="AH311" s="70">
        <f>ROUND(INDEX('All Trends'!E:E,MATCH($AD311,'All Trends'!$C:$C,0)),4)</f>
        <v>1.2451000000000001</v>
      </c>
      <c r="AI311" s="70">
        <f>ROUND(INDEX('All Trends'!F:F,MATCH($AD311,'All Trends'!$C:$C,0)),4)</f>
        <v>1.3443000000000001</v>
      </c>
      <c r="AJ311" s="70">
        <f>ROUND(INDEX('All Trends'!G:G,MATCH($AD311,'All Trends'!$C:$C,0)),4)</f>
        <v>1.4441999999999999</v>
      </c>
      <c r="AK311" s="70">
        <f>ROUND(INDEX('All Trends'!H:H,MATCH($AD311,'All Trends'!$C:$C,0)),4)</f>
        <v>1.548</v>
      </c>
      <c r="AL311" s="74" t="s">
        <v>148</v>
      </c>
      <c r="AM311" s="92">
        <f t="shared" si="72"/>
        <v>9481.48</v>
      </c>
      <c r="AN311" s="92">
        <f t="shared" si="73"/>
        <v>10186.09</v>
      </c>
      <c r="AO311" s="69">
        <f t="shared" si="74"/>
        <v>0</v>
      </c>
      <c r="AP311" s="69">
        <f t="shared" si="75"/>
        <v>0</v>
      </c>
      <c r="AQ311" s="69">
        <f t="shared" si="76"/>
        <v>0</v>
      </c>
      <c r="AR311" s="69">
        <f t="shared" si="77"/>
        <v>0</v>
      </c>
      <c r="AS311" s="409"/>
      <c r="AT311" s="409"/>
      <c r="AU311" s="409"/>
    </row>
    <row r="312" spans="1:47" ht="13.15">
      <c r="A312" s="67" t="s">
        <v>719</v>
      </c>
      <c r="B312" s="67" t="s">
        <v>719</v>
      </c>
      <c r="C312" s="78" t="s">
        <v>147</v>
      </c>
      <c r="D312" s="78" t="s">
        <v>147</v>
      </c>
      <c r="E312" s="67" t="s">
        <v>633</v>
      </c>
      <c r="F312" s="67" t="s">
        <v>34</v>
      </c>
      <c r="G312" s="67" t="str">
        <f>INDEX('[4]RT Description to Bill Matix'!$D:$D,MATCH(A312,'[4]RT Description to Bill Matix'!$M:$M,0))</f>
        <v>Assisted Living Services</v>
      </c>
      <c r="H312" s="65" t="s">
        <v>695</v>
      </c>
      <c r="I312" s="65"/>
      <c r="J312" s="65" t="str" cm="1">
        <f t="array" ref="J312">INDEX('Rate Table Service Desc XWalk'!F:F,MATCH(1,(G312='Rate Table Service Desc XWalk'!B:B)*(E312='Rate Table Service Desc XWalk'!A:A),0))</f>
        <v>6-1-4</v>
      </c>
      <c r="K312" s="66" t="str">
        <f>INDEX('[5]Combined Bill Code List'!$A:$A,MATCH(A312,'[5]Combined Bill Code List'!$F:$F,0))</f>
        <v>1115 Waiver</v>
      </c>
      <c r="L312" s="66" t="str">
        <f>INDEX('[6]Rate History'!$P:$P,MATCH(A312,'[6]Rate History'!$F:$F,0))</f>
        <v>1 day</v>
      </c>
      <c r="M312" s="77">
        <f>INDEX('[7]PDF DB Service Pivot'!$C:$C,MATCH(B312,'[7]PDF DB Service Pivot'!$B:$B,0))</f>
        <v>5005</v>
      </c>
      <c r="N312" s="77">
        <f t="shared" si="69"/>
        <v>5005</v>
      </c>
      <c r="O312" s="76">
        <f>INDEX('[7]PDF DB Service Pivot'!$D:$D,MATCH(B312,'[7]PDF DB Service Pivot'!$B:$B,0))</f>
        <v>114567.13</v>
      </c>
      <c r="P312" s="91">
        <v>45170</v>
      </c>
      <c r="Q312" s="81">
        <v>26.68</v>
      </c>
      <c r="R312" s="81">
        <f t="shared" si="80"/>
        <v>19.98</v>
      </c>
      <c r="S312" s="354">
        <v>0.74892008639308838</v>
      </c>
      <c r="T312">
        <v>2.5099999999999998</v>
      </c>
      <c r="U312" s="81">
        <f t="shared" si="67"/>
        <v>0</v>
      </c>
      <c r="V312" s="81" cm="1">
        <f t="array" ref="V312">_xlfn.IFS('Fiscal by Program'!$B$7&lt;10.61,0,'Fiscal by Program'!$B$7&gt;10.6,(ROUND('Fiscal by Program'!$B$7*(1+IF(D312="Yes",'Fiscal by Program'!$B$9,'Fiscal by Program'!$B$8))*T312,2)))</f>
        <v>0</v>
      </c>
      <c r="W312" s="81">
        <f t="shared" si="70"/>
        <v>0</v>
      </c>
      <c r="X312" s="81">
        <f>ROUND((R312/(1+IF(D312="Yes",'Fiscal by Program'!$B$9,'Fiscal by Program'!$B$8))),2)+0.01</f>
        <v>18.05</v>
      </c>
      <c r="Y312" s="81">
        <f t="shared" si="71"/>
        <v>26.68</v>
      </c>
      <c r="Z312" s="88">
        <v>96</v>
      </c>
      <c r="AA312" s="90">
        <f t="shared" si="68"/>
        <v>2.614583333333333E-2</v>
      </c>
      <c r="AB312" s="75">
        <f>INDEX('[9]Service List'!$K:$K,MATCH(A312,'[9]Service List'!$F:$F,0))</f>
        <v>917</v>
      </c>
      <c r="AC312" s="73">
        <f>INDEX('[5]Combined Bill Code List'!$P:$P,MATCH(A312,'[5]Combined Bill Code List'!$F:$F,0))</f>
        <v>0</v>
      </c>
      <c r="AD312" s="67" t="s">
        <v>635</v>
      </c>
      <c r="AE312" s="79">
        <f t="shared" si="81"/>
        <v>1.095890410958904</v>
      </c>
      <c r="AF312" s="66">
        <v>0</v>
      </c>
      <c r="AG312" s="70">
        <f>ROUND(INDEX('All Trends'!D:D,MATCH($AD312,'All Trends'!$C:$C,0)),4)</f>
        <v>1.1354</v>
      </c>
      <c r="AH312" s="70">
        <f>ROUND(INDEX('All Trends'!E:E,MATCH($AD312,'All Trends'!$C:$C,0)),4)</f>
        <v>1.2451000000000001</v>
      </c>
      <c r="AI312" s="70">
        <f>ROUND(INDEX('All Trends'!F:F,MATCH($AD312,'All Trends'!$C:$C,0)),4)</f>
        <v>1.3443000000000001</v>
      </c>
      <c r="AJ312" s="70">
        <f>ROUND(INDEX('All Trends'!G:G,MATCH($AD312,'All Trends'!$C:$C,0)),4)</f>
        <v>1.4441999999999999</v>
      </c>
      <c r="AK312" s="70">
        <f>ROUND(INDEX('All Trends'!H:H,MATCH($AD312,'All Trends'!$C:$C,0)),4)</f>
        <v>1.548</v>
      </c>
      <c r="AL312" s="74" t="s">
        <v>148</v>
      </c>
      <c r="AM312" s="92">
        <f t="shared" si="72"/>
        <v>16887.84</v>
      </c>
      <c r="AN312" s="92">
        <f t="shared" si="73"/>
        <v>18142.830000000002</v>
      </c>
      <c r="AO312" s="69">
        <f t="shared" si="74"/>
        <v>0</v>
      </c>
      <c r="AP312" s="69">
        <f t="shared" si="75"/>
        <v>0</v>
      </c>
      <c r="AQ312" s="69">
        <f t="shared" si="76"/>
        <v>0</v>
      </c>
      <c r="AR312" s="69">
        <f t="shared" si="77"/>
        <v>0</v>
      </c>
      <c r="AS312" s="409"/>
      <c r="AT312" s="409"/>
      <c r="AU312" s="409"/>
    </row>
    <row r="313" spans="1:47" ht="13.15">
      <c r="A313" s="67" t="s">
        <v>720</v>
      </c>
      <c r="B313" s="67" t="s">
        <v>720</v>
      </c>
      <c r="C313" s="78" t="s">
        <v>147</v>
      </c>
      <c r="D313" s="78" t="s">
        <v>147</v>
      </c>
      <c r="E313" s="67" t="s">
        <v>633</v>
      </c>
      <c r="F313" s="67" t="s">
        <v>34</v>
      </c>
      <c r="G313" s="67" t="str">
        <f>INDEX('[4]RT Description to Bill Matix'!$D:$D,MATCH(A313,'[4]RT Description to Bill Matix'!$M:$M,0))</f>
        <v>Assisted Living Services</v>
      </c>
      <c r="H313" s="65" t="s">
        <v>697</v>
      </c>
      <c r="I313" s="65"/>
      <c r="J313" s="65" t="str" cm="1">
        <f t="array" ref="J313">INDEX('Rate Table Service Desc XWalk'!F:F,MATCH(1,(G313='Rate Table Service Desc XWalk'!B:B)*(E313='Rate Table Service Desc XWalk'!A:A),0))</f>
        <v>6-1-4</v>
      </c>
      <c r="K313" s="66" t="str">
        <f>INDEX('[5]Combined Bill Code List'!$A:$A,MATCH(A313,'[5]Combined Bill Code List'!$F:$F,0))</f>
        <v>1115 Waiver</v>
      </c>
      <c r="L313" s="66" t="str">
        <f>INDEX('[6]Rate History'!$P:$P,MATCH(A313,'[6]Rate History'!$F:$F,0))</f>
        <v>1 day</v>
      </c>
      <c r="M313" s="77">
        <f>INDEX('[7]PDF DB Service Pivot'!$C:$C,MATCH(B313,'[7]PDF DB Service Pivot'!$B:$B,0))</f>
        <v>54778</v>
      </c>
      <c r="N313" s="77">
        <f t="shared" si="69"/>
        <v>54778</v>
      </c>
      <c r="O313" s="76">
        <f>INDEX('[7]PDF DB Service Pivot'!$D:$D,MATCH(B313,'[7]PDF DB Service Pivot'!$B:$B,0))</f>
        <v>1161094.8400000003</v>
      </c>
      <c r="P313" s="91">
        <v>45170</v>
      </c>
      <c r="Q313" s="81">
        <v>24.92</v>
      </c>
      <c r="R313" s="81">
        <f t="shared" si="80"/>
        <v>17.41</v>
      </c>
      <c r="S313" s="354">
        <v>0.69854881266490765</v>
      </c>
      <c r="T313">
        <v>2.5099999999999998</v>
      </c>
      <c r="U313" s="81">
        <f t="shared" si="67"/>
        <v>0</v>
      </c>
      <c r="V313" s="81" cm="1">
        <f t="array" ref="V313">_xlfn.IFS('Fiscal by Program'!$B$7&lt;10.61,0,'Fiscal by Program'!$B$7&gt;10.6,(ROUND('Fiscal by Program'!$B$7*(1+IF(D313="Yes",'Fiscal by Program'!$B$9,'Fiscal by Program'!$B$8))*T313,2)))</f>
        <v>0</v>
      </c>
      <c r="W313" s="81">
        <f t="shared" si="70"/>
        <v>0</v>
      </c>
      <c r="X313" s="81">
        <f>ROUND((R313/(1+IF(D313="Yes",'Fiscal by Program'!$B$9,'Fiscal by Program'!$B$8))),2)+0.01</f>
        <v>15.73</v>
      </c>
      <c r="Y313" s="81">
        <f t="shared" si="71"/>
        <v>24.92</v>
      </c>
      <c r="Z313" s="88">
        <v>96</v>
      </c>
      <c r="AA313" s="90">
        <f t="shared" si="68"/>
        <v>2.614583333333333E-2</v>
      </c>
      <c r="AB313" s="75">
        <f>INDEX('[9]Service List'!$K:$K,MATCH(A313,'[9]Service List'!$F:$F,0))</f>
        <v>923</v>
      </c>
      <c r="AC313" s="73">
        <f>INDEX('[5]Combined Bill Code List'!$P:$P,MATCH(A313,'[5]Combined Bill Code List'!$F:$F,0))</f>
        <v>0</v>
      </c>
      <c r="AD313" s="67" t="s">
        <v>635</v>
      </c>
      <c r="AE313" s="79">
        <f t="shared" si="81"/>
        <v>1.095890410958904</v>
      </c>
      <c r="AF313" s="66">
        <v>0</v>
      </c>
      <c r="AG313" s="70">
        <f>ROUND(INDEX('All Trends'!D:D,MATCH($AD313,'All Trends'!$C:$C,0)),4)</f>
        <v>1.1354</v>
      </c>
      <c r="AH313" s="70">
        <f>ROUND(INDEX('All Trends'!E:E,MATCH($AD313,'All Trends'!$C:$C,0)),4)</f>
        <v>1.2451000000000001</v>
      </c>
      <c r="AI313" s="70">
        <f>ROUND(INDEX('All Trends'!F:F,MATCH($AD313,'All Trends'!$C:$C,0)),4)</f>
        <v>1.3443000000000001</v>
      </c>
      <c r="AJ313" s="70">
        <f>ROUND(INDEX('All Trends'!G:G,MATCH($AD313,'All Trends'!$C:$C,0)),4)</f>
        <v>1.4441999999999999</v>
      </c>
      <c r="AK313" s="70">
        <f>ROUND(INDEX('All Trends'!H:H,MATCH($AD313,'All Trends'!$C:$C,0)),4)</f>
        <v>1.548</v>
      </c>
      <c r="AL313" s="74" t="s">
        <v>148</v>
      </c>
      <c r="AM313" s="92">
        <f t="shared" si="72"/>
        <v>184831.54</v>
      </c>
      <c r="AN313" s="92">
        <f t="shared" si="73"/>
        <v>198567.07</v>
      </c>
      <c r="AO313" s="69">
        <f t="shared" si="74"/>
        <v>0</v>
      </c>
      <c r="AP313" s="69">
        <f t="shared" si="75"/>
        <v>0</v>
      </c>
      <c r="AQ313" s="69">
        <f t="shared" si="76"/>
        <v>0</v>
      </c>
      <c r="AR313" s="69">
        <f t="shared" si="77"/>
        <v>0</v>
      </c>
      <c r="AS313" s="409"/>
      <c r="AT313" s="409"/>
      <c r="AU313" s="409"/>
    </row>
    <row r="314" spans="1:47" ht="13.15">
      <c r="A314" s="67" t="s">
        <v>721</v>
      </c>
      <c r="B314" s="67" t="s">
        <v>721</v>
      </c>
      <c r="C314" s="78" t="s">
        <v>147</v>
      </c>
      <c r="D314" s="78" t="s">
        <v>147</v>
      </c>
      <c r="E314" s="67" t="s">
        <v>633</v>
      </c>
      <c r="F314" s="67" t="s">
        <v>34</v>
      </c>
      <c r="G314" s="67" t="str">
        <f>INDEX('[4]RT Description to Bill Matix'!$D:$D,MATCH(A314,'[4]RT Description to Bill Matix'!$M:$M,0))</f>
        <v>Assisted Living Services</v>
      </c>
      <c r="H314" s="65" t="s">
        <v>722</v>
      </c>
      <c r="I314" s="65"/>
      <c r="J314" s="65" t="str" cm="1">
        <f t="array" ref="J314">INDEX('Rate Table Service Desc XWalk'!F:F,MATCH(1,(G314='Rate Table Service Desc XWalk'!B:B)*(E314='Rate Table Service Desc XWalk'!A:A),0))</f>
        <v>6-1-4</v>
      </c>
      <c r="K314" s="66" t="str">
        <f>INDEX('[5]Combined Bill Code List'!$A:$A,MATCH(A314,'[5]Combined Bill Code List'!$F:$F,0))</f>
        <v>1115 Waiver</v>
      </c>
      <c r="L314" s="66" t="str">
        <f>INDEX('[6]Rate History'!$P:$P,MATCH(A314,'[6]Rate History'!$F:$F,0))</f>
        <v>1 day</v>
      </c>
      <c r="M314" s="77">
        <f>INDEX('[7]PDF DB Service Pivot'!$C:$C,MATCH(B314,'[7]PDF DB Service Pivot'!$B:$B,0))</f>
        <v>1197</v>
      </c>
      <c r="N314" s="77">
        <f t="shared" si="69"/>
        <v>1197</v>
      </c>
      <c r="O314" s="76">
        <f>INDEX('[7]PDF DB Service Pivot'!$D:$D,MATCH(B314,'[7]PDF DB Service Pivot'!$B:$B,0))</f>
        <v>67148.069999999992</v>
      </c>
      <c r="P314" s="91">
        <v>45170</v>
      </c>
      <c r="Q314" s="81">
        <v>60.56</v>
      </c>
      <c r="R314" s="81">
        <f t="shared" si="80"/>
        <v>43.45</v>
      </c>
      <c r="S314" s="354">
        <v>0.7174574209245741</v>
      </c>
      <c r="T314">
        <v>2.5099999999999998</v>
      </c>
      <c r="U314" s="81">
        <f t="shared" si="67"/>
        <v>0</v>
      </c>
      <c r="V314" s="81" cm="1">
        <f t="array" ref="V314">_xlfn.IFS('Fiscal by Program'!$B$7&lt;10.61,0,'Fiscal by Program'!$B$7&gt;10.6,(ROUND('Fiscal by Program'!$B$7*(1+IF(D314="Yes",'Fiscal by Program'!$B$9,'Fiscal by Program'!$B$8))*T314,2)))</f>
        <v>0</v>
      </c>
      <c r="W314" s="81">
        <f t="shared" si="70"/>
        <v>0</v>
      </c>
      <c r="X314" s="81">
        <f>ROUND((R314/(1+IF(D314="Yes",'Fiscal by Program'!$B$9,'Fiscal by Program'!$B$8))),2)+0.01</f>
        <v>39.239999999999995</v>
      </c>
      <c r="Y314" s="81">
        <f t="shared" si="71"/>
        <v>60.56</v>
      </c>
      <c r="Z314" s="88">
        <v>96</v>
      </c>
      <c r="AA314" s="90">
        <f t="shared" si="68"/>
        <v>2.614583333333333E-2</v>
      </c>
      <c r="AB314" s="75">
        <f>INDEX('[9]Service List'!$K:$K,MATCH(A314,'[9]Service List'!$F:$F,0))</f>
        <v>889</v>
      </c>
      <c r="AC314" s="73">
        <f>INDEX('[5]Combined Bill Code List'!$P:$P,MATCH(A314,'[5]Combined Bill Code List'!$F:$F,0))</f>
        <v>0</v>
      </c>
      <c r="AD314" s="67" t="s">
        <v>635</v>
      </c>
      <c r="AE314" s="79">
        <f t="shared" si="81"/>
        <v>1.095890410958904</v>
      </c>
      <c r="AF314" s="66">
        <v>0</v>
      </c>
      <c r="AG314" s="70">
        <f>ROUND(INDEX('All Trends'!D:D,MATCH($AD314,'All Trends'!$C:$C,0)),4)</f>
        <v>1.1354</v>
      </c>
      <c r="AH314" s="70">
        <f>ROUND(INDEX('All Trends'!E:E,MATCH($AD314,'All Trends'!$C:$C,0)),4)</f>
        <v>1.2451000000000001</v>
      </c>
      <c r="AI314" s="70">
        <f>ROUND(INDEX('All Trends'!F:F,MATCH($AD314,'All Trends'!$C:$C,0)),4)</f>
        <v>1.3443000000000001</v>
      </c>
      <c r="AJ314" s="70">
        <f>ROUND(INDEX('All Trends'!G:G,MATCH($AD314,'All Trends'!$C:$C,0)),4)</f>
        <v>1.4441999999999999</v>
      </c>
      <c r="AK314" s="70">
        <f>ROUND(INDEX('All Trends'!H:H,MATCH($AD314,'All Trends'!$C:$C,0)),4)</f>
        <v>1.548</v>
      </c>
      <c r="AL314" s="74" t="s">
        <v>148</v>
      </c>
      <c r="AM314" s="92">
        <f t="shared" si="72"/>
        <v>4038.91</v>
      </c>
      <c r="AN314" s="92">
        <f t="shared" si="73"/>
        <v>4339.0600000000004</v>
      </c>
      <c r="AO314" s="69">
        <f t="shared" si="74"/>
        <v>0</v>
      </c>
      <c r="AP314" s="69">
        <f t="shared" si="75"/>
        <v>0</v>
      </c>
      <c r="AQ314" s="69">
        <f t="shared" si="76"/>
        <v>0</v>
      </c>
      <c r="AR314" s="69">
        <f t="shared" si="77"/>
        <v>0</v>
      </c>
      <c r="AS314" s="409"/>
      <c r="AT314" s="409"/>
      <c r="AU314" s="409"/>
    </row>
    <row r="315" spans="1:47" ht="13.15">
      <c r="A315" s="67" t="s">
        <v>723</v>
      </c>
      <c r="B315" s="67" t="s">
        <v>723</v>
      </c>
      <c r="C315" s="78" t="s">
        <v>147</v>
      </c>
      <c r="D315" s="78" t="s">
        <v>147</v>
      </c>
      <c r="E315" s="67" t="s">
        <v>633</v>
      </c>
      <c r="F315" s="67" t="s">
        <v>34</v>
      </c>
      <c r="G315" s="67" t="str">
        <f>INDEX('[4]RT Description to Bill Matix'!$D:$D,MATCH(A315,'[4]RT Description to Bill Matix'!$M:$M,0))</f>
        <v>Assisted Living Services</v>
      </c>
      <c r="H315" s="65" t="s">
        <v>699</v>
      </c>
      <c r="I315" s="65"/>
      <c r="J315" s="65" t="str" cm="1">
        <f t="array" ref="J315">INDEX('Rate Table Service Desc XWalk'!F:F,MATCH(1,(G315='Rate Table Service Desc XWalk'!B:B)*(E315='Rate Table Service Desc XWalk'!A:A),0))</f>
        <v>6-1-4</v>
      </c>
      <c r="K315" s="66" t="str">
        <f>INDEX('[5]Combined Bill Code List'!$A:$A,MATCH(A315,'[5]Combined Bill Code List'!$F:$F,0))</f>
        <v>1115 Waiver</v>
      </c>
      <c r="L315" s="66" t="str">
        <f>INDEX('[6]Rate History'!$P:$P,MATCH(A315,'[6]Rate History'!$F:$F,0))</f>
        <v>1 day</v>
      </c>
      <c r="M315" s="77">
        <f>INDEX('[7]PDF DB Service Pivot'!$C:$C,MATCH(B315,'[7]PDF DB Service Pivot'!$B:$B,0))</f>
        <v>11416</v>
      </c>
      <c r="N315" s="77">
        <f t="shared" si="69"/>
        <v>11416</v>
      </c>
      <c r="O315" s="76">
        <f>INDEX('[7]PDF DB Service Pivot'!$D:$D,MATCH(B315,'[7]PDF DB Service Pivot'!$B:$B,0))</f>
        <v>567362.46</v>
      </c>
      <c r="P315" s="91">
        <v>45170</v>
      </c>
      <c r="Q315" s="81">
        <v>55.6</v>
      </c>
      <c r="R315" s="81">
        <f t="shared" si="80"/>
        <v>36.74</v>
      </c>
      <c r="S315" s="354">
        <v>0.66079460269865076</v>
      </c>
      <c r="T315">
        <v>2.5099999999999998</v>
      </c>
      <c r="U315" s="81">
        <f t="shared" si="67"/>
        <v>0</v>
      </c>
      <c r="V315" s="81" cm="1">
        <f t="array" ref="V315">_xlfn.IFS('Fiscal by Program'!$B$7&lt;10.61,0,'Fiscal by Program'!$B$7&gt;10.6,(ROUND('Fiscal by Program'!$B$7*(1+IF(D315="Yes",'Fiscal by Program'!$B$9,'Fiscal by Program'!$B$8))*T315,2)))</f>
        <v>0</v>
      </c>
      <c r="W315" s="81">
        <f t="shared" si="70"/>
        <v>0</v>
      </c>
      <c r="X315" s="81">
        <f>ROUND((R315/(1+IF(D315="Yes",'Fiscal by Program'!$B$9,'Fiscal by Program'!$B$8))),2)+0.01</f>
        <v>33.18</v>
      </c>
      <c r="Y315" s="81">
        <f t="shared" si="71"/>
        <v>55.6</v>
      </c>
      <c r="Z315" s="88">
        <v>96</v>
      </c>
      <c r="AA315" s="90">
        <f t="shared" si="68"/>
        <v>2.614583333333333E-2</v>
      </c>
      <c r="AB315" s="75">
        <f>INDEX('[9]Service List'!$K:$K,MATCH(A315,'[9]Service List'!$F:$F,0))</f>
        <v>895</v>
      </c>
      <c r="AC315" s="73">
        <f>INDEX('[5]Combined Bill Code List'!$P:$P,MATCH(A315,'[5]Combined Bill Code List'!$F:$F,0))</f>
        <v>0</v>
      </c>
      <c r="AD315" s="67" t="s">
        <v>635</v>
      </c>
      <c r="AE315" s="79">
        <f t="shared" si="81"/>
        <v>1.095890410958904</v>
      </c>
      <c r="AF315" s="66">
        <v>0</v>
      </c>
      <c r="AG315" s="70">
        <f>ROUND(INDEX('All Trends'!D:D,MATCH($AD315,'All Trends'!$C:$C,0)),4)</f>
        <v>1.1354</v>
      </c>
      <c r="AH315" s="70">
        <f>ROUND(INDEX('All Trends'!E:E,MATCH($AD315,'All Trends'!$C:$C,0)),4)</f>
        <v>1.2451000000000001</v>
      </c>
      <c r="AI315" s="70">
        <f>ROUND(INDEX('All Trends'!F:F,MATCH($AD315,'All Trends'!$C:$C,0)),4)</f>
        <v>1.3443000000000001</v>
      </c>
      <c r="AJ315" s="70">
        <f>ROUND(INDEX('All Trends'!G:G,MATCH($AD315,'All Trends'!$C:$C,0)),4)</f>
        <v>1.4441999999999999</v>
      </c>
      <c r="AK315" s="70">
        <f>ROUND(INDEX('All Trends'!H:H,MATCH($AD315,'All Trends'!$C:$C,0)),4)</f>
        <v>1.548</v>
      </c>
      <c r="AL315" s="74" t="s">
        <v>148</v>
      </c>
      <c r="AM315" s="92">
        <f t="shared" si="72"/>
        <v>38519.79</v>
      </c>
      <c r="AN315" s="92">
        <f t="shared" si="73"/>
        <v>41382.339999999997</v>
      </c>
      <c r="AO315" s="69">
        <f t="shared" si="74"/>
        <v>0</v>
      </c>
      <c r="AP315" s="69">
        <f t="shared" si="75"/>
        <v>0</v>
      </c>
      <c r="AQ315" s="69">
        <f t="shared" si="76"/>
        <v>0</v>
      </c>
      <c r="AR315" s="69">
        <f t="shared" si="77"/>
        <v>0</v>
      </c>
      <c r="AS315" s="409"/>
      <c r="AT315" s="409"/>
      <c r="AU315" s="409"/>
    </row>
    <row r="316" spans="1:47" ht="13.15">
      <c r="A316" s="67" t="s">
        <v>724</v>
      </c>
      <c r="B316" s="67" t="s">
        <v>724</v>
      </c>
      <c r="C316" s="78" t="s">
        <v>147</v>
      </c>
      <c r="D316" s="78" t="s">
        <v>147</v>
      </c>
      <c r="E316" s="67" t="s">
        <v>633</v>
      </c>
      <c r="F316" s="67" t="s">
        <v>34</v>
      </c>
      <c r="G316" s="67" t="str">
        <f>INDEX('[4]RT Description to Bill Matix'!$D:$D,MATCH(A316,'[4]RT Description to Bill Matix'!$M:$M,0))</f>
        <v>Assisted Living Services</v>
      </c>
      <c r="H316" s="65" t="s">
        <v>701</v>
      </c>
      <c r="I316" s="65"/>
      <c r="J316" s="65" t="str" cm="1">
        <f t="array" ref="J316">INDEX('Rate Table Service Desc XWalk'!F:F,MATCH(1,(G316='Rate Table Service Desc XWalk'!B:B)*(E316='Rate Table Service Desc XWalk'!A:A),0))</f>
        <v>6-1-4</v>
      </c>
      <c r="K316" s="66" t="str">
        <f>INDEX('[5]Combined Bill Code List'!$A:$A,MATCH(A316,'[5]Combined Bill Code List'!$F:$F,0))</f>
        <v>1115 Waiver</v>
      </c>
      <c r="L316" s="66" t="str">
        <f>INDEX('[6]Rate History'!$P:$P,MATCH(A316,'[6]Rate History'!$F:$F,0))</f>
        <v>1 day</v>
      </c>
      <c r="M316" s="77">
        <f>INDEX('[7]PDF DB Service Pivot'!$C:$C,MATCH(B316,'[7]PDF DB Service Pivot'!$B:$B,0))</f>
        <v>30675</v>
      </c>
      <c r="N316" s="77">
        <f t="shared" si="69"/>
        <v>30675</v>
      </c>
      <c r="O316" s="76">
        <f>INDEX('[7]PDF DB Service Pivot'!$D:$D,MATCH(B316,'[7]PDF DB Service Pivot'!$B:$B,0))</f>
        <v>1398434.62</v>
      </c>
      <c r="P316" s="91">
        <v>45170</v>
      </c>
      <c r="Q316" s="81">
        <v>48.84</v>
      </c>
      <c r="R316" s="81">
        <f t="shared" si="80"/>
        <v>31.18</v>
      </c>
      <c r="S316" s="354">
        <v>0.63844301765650091</v>
      </c>
      <c r="T316">
        <v>2.5099999999999998</v>
      </c>
      <c r="U316" s="81">
        <f t="shared" si="67"/>
        <v>0</v>
      </c>
      <c r="V316" s="81" cm="1">
        <f t="array" ref="V316">_xlfn.IFS('Fiscal by Program'!$B$7&lt;10.61,0,'Fiscal by Program'!$B$7&gt;10.6,(ROUND('Fiscal by Program'!$B$7*(1+IF(D316="Yes",'Fiscal by Program'!$B$9,'Fiscal by Program'!$B$8))*T316,2)))</f>
        <v>0</v>
      </c>
      <c r="W316" s="81">
        <f t="shared" si="70"/>
        <v>0</v>
      </c>
      <c r="X316" s="81">
        <f>ROUND((R316/(1+IF(D316="Yes",'Fiscal by Program'!$B$9,'Fiscal by Program'!$B$8))),2)+0.01</f>
        <v>28.16</v>
      </c>
      <c r="Y316" s="81">
        <f t="shared" si="71"/>
        <v>48.84</v>
      </c>
      <c r="Z316" s="88">
        <v>96</v>
      </c>
      <c r="AA316" s="90">
        <f t="shared" si="68"/>
        <v>2.614583333333333E-2</v>
      </c>
      <c r="AB316" s="75">
        <f>INDEX('[9]Service List'!$K:$K,MATCH(A316,'[9]Service List'!$F:$F,0))</f>
        <v>901</v>
      </c>
      <c r="AC316" s="73">
        <f>INDEX('[5]Combined Bill Code List'!$P:$P,MATCH(A316,'[5]Combined Bill Code List'!$F:$F,0))</f>
        <v>0</v>
      </c>
      <c r="AD316" s="67" t="s">
        <v>635</v>
      </c>
      <c r="AE316" s="79">
        <f t="shared" si="81"/>
        <v>1.095890410958904</v>
      </c>
      <c r="AF316" s="66">
        <v>0</v>
      </c>
      <c r="AG316" s="70">
        <f>ROUND(INDEX('All Trends'!D:D,MATCH($AD316,'All Trends'!$C:$C,0)),4)</f>
        <v>1.1354</v>
      </c>
      <c r="AH316" s="70">
        <f>ROUND(INDEX('All Trends'!E:E,MATCH($AD316,'All Trends'!$C:$C,0)),4)</f>
        <v>1.2451000000000001</v>
      </c>
      <c r="AI316" s="70">
        <f>ROUND(INDEX('All Trends'!F:F,MATCH($AD316,'All Trends'!$C:$C,0)),4)</f>
        <v>1.3443000000000001</v>
      </c>
      <c r="AJ316" s="70">
        <f>ROUND(INDEX('All Trends'!G:G,MATCH($AD316,'All Trends'!$C:$C,0)),4)</f>
        <v>1.4441999999999999</v>
      </c>
      <c r="AK316" s="70">
        <f>ROUND(INDEX('All Trends'!H:H,MATCH($AD316,'All Trends'!$C:$C,0)),4)</f>
        <v>1.548</v>
      </c>
      <c r="AL316" s="74" t="s">
        <v>148</v>
      </c>
      <c r="AM316" s="92">
        <f t="shared" si="72"/>
        <v>103503.37</v>
      </c>
      <c r="AN316" s="92">
        <f t="shared" si="73"/>
        <v>111195.1</v>
      </c>
      <c r="AO316" s="69">
        <f t="shared" si="74"/>
        <v>0</v>
      </c>
      <c r="AP316" s="69">
        <f t="shared" si="75"/>
        <v>0</v>
      </c>
      <c r="AQ316" s="69">
        <f t="shared" si="76"/>
        <v>0</v>
      </c>
      <c r="AR316" s="69">
        <f t="shared" si="77"/>
        <v>0</v>
      </c>
      <c r="AS316" s="409"/>
      <c r="AT316" s="409"/>
      <c r="AU316" s="409"/>
    </row>
    <row r="317" spans="1:47" ht="13.15">
      <c r="A317" s="67" t="s">
        <v>725</v>
      </c>
      <c r="B317" s="67" t="s">
        <v>725</v>
      </c>
      <c r="C317" s="78" t="s">
        <v>147</v>
      </c>
      <c r="D317" s="78" t="s">
        <v>147</v>
      </c>
      <c r="E317" s="67" t="s">
        <v>633</v>
      </c>
      <c r="F317" s="67" t="s">
        <v>34</v>
      </c>
      <c r="G317" s="67" t="str">
        <f>INDEX('[4]RT Description to Bill Matix'!$D:$D,MATCH(A317,'[4]RT Description to Bill Matix'!$M:$M,0))</f>
        <v>Assisted Living Services</v>
      </c>
      <c r="H317" s="65" t="s">
        <v>703</v>
      </c>
      <c r="I317" s="65"/>
      <c r="J317" s="65" t="str" cm="1">
        <f t="array" ref="J317">INDEX('Rate Table Service Desc XWalk'!F:F,MATCH(1,(G317='Rate Table Service Desc XWalk'!B:B)*(E317='Rate Table Service Desc XWalk'!A:A),0))</f>
        <v>6-1-4</v>
      </c>
      <c r="K317" s="66" t="str">
        <f>INDEX('[5]Combined Bill Code List'!$A:$A,MATCH(A317,'[5]Combined Bill Code List'!$F:$F,0))</f>
        <v>1115 Waiver</v>
      </c>
      <c r="L317" s="66" t="str">
        <f>INDEX('[6]Rate History'!$P:$P,MATCH(A317,'[6]Rate History'!$F:$F,0))</f>
        <v>1 day</v>
      </c>
      <c r="M317" s="77">
        <f>INDEX('[7]PDF DB Service Pivot'!$C:$C,MATCH(B317,'[7]PDF DB Service Pivot'!$B:$B,0))</f>
        <v>9342</v>
      </c>
      <c r="N317" s="77">
        <f t="shared" si="69"/>
        <v>9342</v>
      </c>
      <c r="O317" s="76">
        <f>INDEX('[7]PDF DB Service Pivot'!$D:$D,MATCH(B317,'[7]PDF DB Service Pivot'!$B:$B,0))</f>
        <v>432784.44</v>
      </c>
      <c r="P317" s="91">
        <v>45170</v>
      </c>
      <c r="Q317" s="81">
        <v>51.44</v>
      </c>
      <c r="R317" s="81">
        <f t="shared" si="80"/>
        <v>27.68</v>
      </c>
      <c r="S317" s="354">
        <v>0.53814398943196828</v>
      </c>
      <c r="T317">
        <v>2.5099999999999998</v>
      </c>
      <c r="U317" s="81">
        <f t="shared" ref="U317:U356" si="82">ROUND(V317/Z317,2)</f>
        <v>0</v>
      </c>
      <c r="V317" s="81" cm="1">
        <f t="array" ref="V317">_xlfn.IFS('Fiscal by Program'!$B$7&lt;10.61,0,'Fiscal by Program'!$B$7&gt;10.6,(ROUND('Fiscal by Program'!$B$7*(1+IF(D317="Yes",'Fiscal by Program'!$B$9,'Fiscal by Program'!$B$8))*T317,2)))</f>
        <v>0</v>
      </c>
      <c r="W317" s="81">
        <f t="shared" si="70"/>
        <v>0</v>
      </c>
      <c r="X317" s="81">
        <f>ROUND((R317/(1+IF(D317="Yes",'Fiscal by Program'!$B$9,'Fiscal by Program'!$B$8))),2)+0.01</f>
        <v>25</v>
      </c>
      <c r="Y317" s="81">
        <f t="shared" si="71"/>
        <v>51.44</v>
      </c>
      <c r="Z317" s="88">
        <v>96</v>
      </c>
      <c r="AA317" s="90">
        <f t="shared" ref="AA317:AA356" si="83">T317/Z317</f>
        <v>2.614583333333333E-2</v>
      </c>
      <c r="AB317" s="75">
        <f>INDEX('[9]Service List'!$K:$K,MATCH(A317,'[9]Service List'!$F:$F,0))</f>
        <v>907</v>
      </c>
      <c r="AC317" s="73">
        <f>INDEX('[5]Combined Bill Code List'!$P:$P,MATCH(A317,'[5]Combined Bill Code List'!$F:$F,0))</f>
        <v>0</v>
      </c>
      <c r="AD317" s="67" t="s">
        <v>635</v>
      </c>
      <c r="AE317" s="79">
        <f t="shared" si="81"/>
        <v>1.095890410958904</v>
      </c>
      <c r="AF317" s="66">
        <v>0</v>
      </c>
      <c r="AG317" s="70">
        <f>ROUND(INDEX('All Trends'!D:D,MATCH($AD317,'All Trends'!$C:$C,0)),4)</f>
        <v>1.1354</v>
      </c>
      <c r="AH317" s="70">
        <f>ROUND(INDEX('All Trends'!E:E,MATCH($AD317,'All Trends'!$C:$C,0)),4)</f>
        <v>1.2451000000000001</v>
      </c>
      <c r="AI317" s="70">
        <f>ROUND(INDEX('All Trends'!F:F,MATCH($AD317,'All Trends'!$C:$C,0)),4)</f>
        <v>1.3443000000000001</v>
      </c>
      <c r="AJ317" s="70">
        <f>ROUND(INDEX('All Trends'!G:G,MATCH($AD317,'All Trends'!$C:$C,0)),4)</f>
        <v>1.4441999999999999</v>
      </c>
      <c r="AK317" s="70">
        <f>ROUND(INDEX('All Trends'!H:H,MATCH($AD317,'All Trends'!$C:$C,0)),4)</f>
        <v>1.548</v>
      </c>
      <c r="AL317" s="74" t="s">
        <v>148</v>
      </c>
      <c r="AM317" s="92">
        <f t="shared" si="72"/>
        <v>31521.71</v>
      </c>
      <c r="AN317" s="92">
        <f t="shared" si="73"/>
        <v>33864.21</v>
      </c>
      <c r="AO317" s="69">
        <f t="shared" si="74"/>
        <v>0</v>
      </c>
      <c r="AP317" s="69">
        <f t="shared" si="75"/>
        <v>0</v>
      </c>
      <c r="AQ317" s="69">
        <f t="shared" si="76"/>
        <v>0</v>
      </c>
      <c r="AR317" s="69">
        <f t="shared" si="77"/>
        <v>0</v>
      </c>
      <c r="AS317" s="409"/>
      <c r="AT317" s="409"/>
      <c r="AU317" s="409"/>
    </row>
    <row r="318" spans="1:47" ht="13.15">
      <c r="A318" s="67" t="s">
        <v>726</v>
      </c>
      <c r="B318" s="67" t="s">
        <v>726</v>
      </c>
      <c r="C318" s="78" t="s">
        <v>147</v>
      </c>
      <c r="D318" s="78" t="s">
        <v>147</v>
      </c>
      <c r="E318" s="67" t="s">
        <v>633</v>
      </c>
      <c r="F318" s="67" t="s">
        <v>34</v>
      </c>
      <c r="G318" s="67" t="str">
        <f>INDEX('[4]RT Description to Bill Matix'!$D:$D,MATCH(A318,'[4]RT Description to Bill Matix'!$M:$M,0))</f>
        <v>Assisted Living Services</v>
      </c>
      <c r="H318" s="65" t="s">
        <v>705</v>
      </c>
      <c r="I318" s="65"/>
      <c r="J318" s="65" t="str" cm="1">
        <f t="array" ref="J318">INDEX('Rate Table Service Desc XWalk'!F:F,MATCH(1,(G318='Rate Table Service Desc XWalk'!B:B)*(E318='Rate Table Service Desc XWalk'!A:A),0))</f>
        <v>6-1-4</v>
      </c>
      <c r="K318" s="66" t="str">
        <f>INDEX('[5]Combined Bill Code List'!$A:$A,MATCH(A318,'[5]Combined Bill Code List'!$F:$F,0))</f>
        <v>1115 Waiver</v>
      </c>
      <c r="L318" s="66" t="str">
        <f>INDEX('[6]Rate History'!$P:$P,MATCH(A318,'[6]Rate History'!$F:$F,0))</f>
        <v>1 day</v>
      </c>
      <c r="M318" s="77">
        <f>INDEX('[7]PDF DB Service Pivot'!$C:$C,MATCH(B318,'[7]PDF DB Service Pivot'!$B:$B,0))</f>
        <v>19361</v>
      </c>
      <c r="N318" s="77">
        <f t="shared" si="69"/>
        <v>19361</v>
      </c>
      <c r="O318" s="76">
        <f>INDEX('[7]PDF DB Service Pivot'!$D:$D,MATCH(B318,'[7]PDF DB Service Pivot'!$B:$B,0))</f>
        <v>805707.78000000014</v>
      </c>
      <c r="P318" s="91">
        <v>45170</v>
      </c>
      <c r="Q318" s="81">
        <v>45.24</v>
      </c>
      <c r="R318" s="81">
        <f t="shared" si="80"/>
        <v>22.57</v>
      </c>
      <c r="S318" s="354">
        <v>0.49892086330935254</v>
      </c>
      <c r="T318">
        <v>2.5099999999999998</v>
      </c>
      <c r="U318" s="81">
        <f t="shared" si="82"/>
        <v>0</v>
      </c>
      <c r="V318" s="81" cm="1">
        <f t="array" ref="V318">_xlfn.IFS('Fiscal by Program'!$B$7&lt;10.61,0,'Fiscal by Program'!$B$7&gt;10.6,(ROUND('Fiscal by Program'!$B$7*(1+IF(D318="Yes",'Fiscal by Program'!$B$9,'Fiscal by Program'!$B$8))*T318,2)))</f>
        <v>0</v>
      </c>
      <c r="W318" s="81">
        <f t="shared" si="70"/>
        <v>0</v>
      </c>
      <c r="X318" s="81">
        <f>ROUND((R318/(1+IF(D318="Yes",'Fiscal by Program'!$B$9,'Fiscal by Program'!$B$8))),2)+0.01</f>
        <v>20.39</v>
      </c>
      <c r="Y318" s="81">
        <f t="shared" si="71"/>
        <v>45.24</v>
      </c>
      <c r="Z318" s="88">
        <v>96</v>
      </c>
      <c r="AA318" s="90">
        <f t="shared" si="83"/>
        <v>2.614583333333333E-2</v>
      </c>
      <c r="AB318" s="75">
        <f>INDEX('[9]Service List'!$K:$K,MATCH(A318,'[9]Service List'!$F:$F,0))</f>
        <v>913</v>
      </c>
      <c r="AC318" s="73">
        <f>INDEX('[5]Combined Bill Code List'!$P:$P,MATCH(A318,'[5]Combined Bill Code List'!$F:$F,0))</f>
        <v>0</v>
      </c>
      <c r="AD318" s="67" t="s">
        <v>635</v>
      </c>
      <c r="AE318" s="79">
        <f t="shared" si="81"/>
        <v>1.095890410958904</v>
      </c>
      <c r="AF318" s="66">
        <v>0</v>
      </c>
      <c r="AG318" s="70">
        <f>ROUND(INDEX('All Trends'!D:D,MATCH($AD318,'All Trends'!$C:$C,0)),4)</f>
        <v>1.1354</v>
      </c>
      <c r="AH318" s="70">
        <f>ROUND(INDEX('All Trends'!E:E,MATCH($AD318,'All Trends'!$C:$C,0)),4)</f>
        <v>1.2451000000000001</v>
      </c>
      <c r="AI318" s="70">
        <f>ROUND(INDEX('All Trends'!F:F,MATCH($AD318,'All Trends'!$C:$C,0)),4)</f>
        <v>1.3443000000000001</v>
      </c>
      <c r="AJ318" s="70">
        <f>ROUND(INDEX('All Trends'!G:G,MATCH($AD318,'All Trends'!$C:$C,0)),4)</f>
        <v>1.4441999999999999</v>
      </c>
      <c r="AK318" s="70">
        <f>ROUND(INDEX('All Trends'!H:H,MATCH($AD318,'All Trends'!$C:$C,0)),4)</f>
        <v>1.548</v>
      </c>
      <c r="AL318" s="74" t="s">
        <v>148</v>
      </c>
      <c r="AM318" s="92">
        <f t="shared" si="72"/>
        <v>65327.75</v>
      </c>
      <c r="AN318" s="92">
        <f t="shared" si="73"/>
        <v>70182.5</v>
      </c>
      <c r="AO318" s="69">
        <f t="shared" si="74"/>
        <v>0</v>
      </c>
      <c r="AP318" s="69">
        <f t="shared" si="75"/>
        <v>0</v>
      </c>
      <c r="AQ318" s="69">
        <f t="shared" si="76"/>
        <v>0</v>
      </c>
      <c r="AR318" s="69">
        <f t="shared" si="77"/>
        <v>0</v>
      </c>
      <c r="AS318" s="409"/>
      <c r="AT318" s="409"/>
      <c r="AU318" s="409"/>
    </row>
    <row r="319" spans="1:47" ht="13.15">
      <c r="A319" s="67" t="s">
        <v>727</v>
      </c>
      <c r="B319" s="67" t="s">
        <v>727</v>
      </c>
      <c r="C319" s="78" t="s">
        <v>147</v>
      </c>
      <c r="D319" s="78" t="s">
        <v>147</v>
      </c>
      <c r="E319" s="67" t="s">
        <v>633</v>
      </c>
      <c r="F319" s="67" t="s">
        <v>34</v>
      </c>
      <c r="G319" s="67" t="str">
        <f>INDEX('[4]RT Description to Bill Matix'!$D:$D,MATCH(A319,'[4]RT Description to Bill Matix'!$M:$M,0))</f>
        <v>Assisted Living Services</v>
      </c>
      <c r="H319" s="65" t="s">
        <v>707</v>
      </c>
      <c r="I319" s="65"/>
      <c r="J319" s="65" t="str" cm="1">
        <f t="array" ref="J319">INDEX('Rate Table Service Desc XWalk'!F:F,MATCH(1,(G319='Rate Table Service Desc XWalk'!B:B)*(E319='Rate Table Service Desc XWalk'!A:A),0))</f>
        <v>6-1-4</v>
      </c>
      <c r="K319" s="66" t="str">
        <f>INDEX('[5]Combined Bill Code List'!$A:$A,MATCH(A319,'[5]Combined Bill Code List'!$F:$F,0))</f>
        <v>1115 Waiver</v>
      </c>
      <c r="L319" s="66" t="str">
        <f>INDEX('[6]Rate History'!$P:$P,MATCH(A319,'[6]Rate History'!$F:$F,0))</f>
        <v>1 day</v>
      </c>
      <c r="M319" s="77">
        <f>INDEX('[7]PDF DB Service Pivot'!$C:$C,MATCH(B319,'[7]PDF DB Service Pivot'!$B:$B,0))</f>
        <v>114176</v>
      </c>
      <c r="N319" s="77">
        <f t="shared" si="69"/>
        <v>114176</v>
      </c>
      <c r="O319" s="76">
        <f>INDEX('[7]PDF DB Service Pivot'!$D:$D,MATCH(B319,'[7]PDF DB Service Pivot'!$B:$B,0))</f>
        <v>4500862.8299999991</v>
      </c>
      <c r="P319" s="91">
        <v>45170</v>
      </c>
      <c r="Q319" s="81">
        <v>43.48</v>
      </c>
      <c r="R319" s="81">
        <f t="shared" si="80"/>
        <v>18.829999999999998</v>
      </c>
      <c r="S319" s="354">
        <v>0.43304668304668303</v>
      </c>
      <c r="T319">
        <v>2.5099999999999998</v>
      </c>
      <c r="U319" s="81">
        <f t="shared" si="82"/>
        <v>0</v>
      </c>
      <c r="V319" s="81" cm="1">
        <f t="array" ref="V319">_xlfn.IFS('Fiscal by Program'!$B$7&lt;10.61,0,'Fiscal by Program'!$B$7&gt;10.6,(ROUND('Fiscal by Program'!$B$7*(1+IF(D319="Yes",'Fiscal by Program'!$B$9,'Fiscal by Program'!$B$8))*T319,2)))</f>
        <v>0</v>
      </c>
      <c r="W319" s="81">
        <f t="shared" si="70"/>
        <v>0</v>
      </c>
      <c r="X319" s="81">
        <f>ROUND((R319/(1+IF(D319="Yes",'Fiscal by Program'!$B$9,'Fiscal by Program'!$B$8))),2)+0.01</f>
        <v>17.010000000000002</v>
      </c>
      <c r="Y319" s="81">
        <f t="shared" si="71"/>
        <v>43.48</v>
      </c>
      <c r="Z319" s="88">
        <v>96</v>
      </c>
      <c r="AA319" s="90">
        <f t="shared" si="83"/>
        <v>2.614583333333333E-2</v>
      </c>
      <c r="AB319" s="75">
        <f>INDEX('[9]Service List'!$K:$K,MATCH(A319,'[9]Service List'!$F:$F,0))</f>
        <v>919</v>
      </c>
      <c r="AC319" s="73">
        <f>INDEX('[5]Combined Bill Code List'!$P:$P,MATCH(A319,'[5]Combined Bill Code List'!$F:$F,0))</f>
        <v>0</v>
      </c>
      <c r="AD319" s="67" t="s">
        <v>635</v>
      </c>
      <c r="AE319" s="79">
        <f t="shared" si="81"/>
        <v>1.095890410958904</v>
      </c>
      <c r="AF319" s="66">
        <v>0</v>
      </c>
      <c r="AG319" s="70">
        <f>ROUND(INDEX('All Trends'!D:D,MATCH($AD319,'All Trends'!$C:$C,0)),4)</f>
        <v>1.1354</v>
      </c>
      <c r="AH319" s="70">
        <f>ROUND(INDEX('All Trends'!E:E,MATCH($AD319,'All Trends'!$C:$C,0)),4)</f>
        <v>1.2451000000000001</v>
      </c>
      <c r="AI319" s="70">
        <f>ROUND(INDEX('All Trends'!F:F,MATCH($AD319,'All Trends'!$C:$C,0)),4)</f>
        <v>1.3443000000000001</v>
      </c>
      <c r="AJ319" s="70">
        <f>ROUND(INDEX('All Trends'!G:G,MATCH($AD319,'All Trends'!$C:$C,0)),4)</f>
        <v>1.4441999999999999</v>
      </c>
      <c r="AK319" s="70">
        <f>ROUND(INDEX('All Trends'!H:H,MATCH($AD319,'All Trends'!$C:$C,0)),4)</f>
        <v>1.548</v>
      </c>
      <c r="AL319" s="74" t="s">
        <v>148</v>
      </c>
      <c r="AM319" s="92">
        <f t="shared" si="72"/>
        <v>385251.86</v>
      </c>
      <c r="AN319" s="92">
        <f t="shared" si="73"/>
        <v>413881.38</v>
      </c>
      <c r="AO319" s="69">
        <f t="shared" si="74"/>
        <v>0</v>
      </c>
      <c r="AP319" s="69">
        <f t="shared" si="75"/>
        <v>0</v>
      </c>
      <c r="AQ319" s="69">
        <f t="shared" si="76"/>
        <v>0</v>
      </c>
      <c r="AR319" s="69">
        <f t="shared" si="77"/>
        <v>0</v>
      </c>
      <c r="AS319" s="409"/>
      <c r="AT319" s="409"/>
      <c r="AU319" s="409"/>
    </row>
    <row r="320" spans="1:47">
      <c r="A320" s="78" t="s">
        <v>728</v>
      </c>
      <c r="B320" s="78" t="s">
        <v>728</v>
      </c>
      <c r="C320" s="78" t="s">
        <v>147</v>
      </c>
      <c r="D320" s="78" t="s">
        <v>148</v>
      </c>
      <c r="E320" s="67" t="s">
        <v>729</v>
      </c>
      <c r="F320" s="67" t="s">
        <v>162</v>
      </c>
      <c r="G320" s="67" t="str">
        <f>INDEX('[4]RT Description to Bill Matix'!$D:$D,MATCH(A320,'[4]RT Description to Bill Matix'!$M:$M,0))</f>
        <v>PAS/HAB (CFC) and Transportation</v>
      </c>
      <c r="H320" s="65" t="s">
        <v>165</v>
      </c>
      <c r="I320" s="65"/>
      <c r="J320" s="65" t="str" cm="1">
        <f t="array" ref="J320">INDEX('Rate Table Service Desc XWalk'!F:F,MATCH(1,(G320='Rate Table Service Desc XWalk'!B:B)*(E320='Rate Table Service Desc XWalk'!A:A),0))</f>
        <v>4-1-79</v>
      </c>
      <c r="K320" s="66" t="str">
        <f>INDEX('[5]Combined Bill Code List'!$A:$A,MATCH(A320,'[5]Combined Bill Code List'!$F:$F,0))</f>
        <v>State Plan (Title XIX)</v>
      </c>
      <c r="L320" s="66" t="str">
        <f>INDEX('[6]Rate History'!$P:$P,MATCH(A320,'[6]Rate History'!$F:$F,0))</f>
        <v>1 hour</v>
      </c>
      <c r="M320" s="77">
        <f>INDEX('[7]PDF DB Service Pivot'!$C:$C,MATCH(B320,'[7]PDF DB Service Pivot'!$B:$B,0))</f>
        <v>1303526.8400000001</v>
      </c>
      <c r="N320" s="77">
        <f t="shared" si="69"/>
        <v>1303526.8400000001</v>
      </c>
      <c r="O320" s="76">
        <f>INDEX('[7]PDF DB Service Pivot'!$D:$D,MATCH(B320,'[7]PDF DB Service Pivot'!$B:$B,0))</f>
        <v>23638565.149999999</v>
      </c>
      <c r="P320" s="91">
        <v>45170</v>
      </c>
      <c r="Q320" s="81">
        <v>17.88</v>
      </c>
      <c r="R320" s="81">
        <v>14.67</v>
      </c>
      <c r="S320" s="354">
        <f t="shared" ref="S320:S356" si="84">_xlfn.IFNA(R320/Q320,"")</f>
        <v>0.82046979865771819</v>
      </c>
      <c r="T320" s="339">
        <f>INDEX('[10]Billable Services'!$L:$L,MATCH(B320,'[10]Billable Services'!$O:$O,0))</f>
        <v>1</v>
      </c>
      <c r="U320" s="81">
        <f t="shared" si="82"/>
        <v>0</v>
      </c>
      <c r="V320" s="81" cm="1">
        <f t="array" ref="V320">_xlfn.IFS('Fiscal by Program'!$B$7&lt;10.61,0,'Fiscal by Program'!$B$7&gt;10.6,(ROUND('Fiscal by Program'!$B$7*(1+IF(D320="Yes",'Fiscal by Program'!$B$9,'Fiscal by Program'!$B$8))*T320,2)))</f>
        <v>0</v>
      </c>
      <c r="W320" s="81">
        <f t="shared" si="70"/>
        <v>0</v>
      </c>
      <c r="X320" s="81">
        <f>ROUND((R320/(1+IF(D320="Yes",'Fiscal by Program'!$B$9,'Fiscal by Program'!$B$8))),2)+0.01</f>
        <v>13.26</v>
      </c>
      <c r="Y320" s="81">
        <f t="shared" si="71"/>
        <v>17.88</v>
      </c>
      <c r="Z320" s="88">
        <v>4</v>
      </c>
      <c r="AA320" s="90">
        <f t="shared" si="83"/>
        <v>0.25</v>
      </c>
      <c r="AB320" s="75">
        <f>INDEX('[9]Service List'!$K:$K,MATCH(A320,'[9]Service List'!$F:$F,0))</f>
        <v>1144</v>
      </c>
      <c r="AC320" s="73" t="str">
        <f>INDEX('[5]Combined Bill Code List'!$P:$P,MATCH(A320,'[5]Combined Bill Code List'!$F:$F,0))</f>
        <v>CFC</v>
      </c>
      <c r="AD320" s="80" t="s">
        <v>729</v>
      </c>
      <c r="AE320" s="79">
        <v>1</v>
      </c>
      <c r="AF320" s="66">
        <v>-0.06</v>
      </c>
      <c r="AG320" s="70">
        <f>ROUND(INDEX('All Trends'!D:D,MATCH($AD320,'All Trends'!$C:$C,0)),4)</f>
        <v>0.93489999999999995</v>
      </c>
      <c r="AH320" s="70">
        <f>ROUND(INDEX('All Trends'!E:E,MATCH($AD320,'All Trends'!$C:$C,0)),4)</f>
        <v>1.0002</v>
      </c>
      <c r="AI320" s="70">
        <f>ROUND(INDEX('All Trends'!F:F,MATCH($AD320,'All Trends'!$C:$C,0)),4)</f>
        <v>1.0754999999999999</v>
      </c>
      <c r="AJ320" s="70">
        <f>ROUND(INDEX('All Trends'!G:G,MATCH($AD320,'All Trends'!$C:$C,0)),4)</f>
        <v>1.0754999999999999</v>
      </c>
      <c r="AK320" s="70">
        <f>ROUND(INDEX('All Trends'!H:H,MATCH($AD320,'All Trends'!$C:$C,0)),4)</f>
        <v>1.0754999999999999</v>
      </c>
      <c r="AL320" s="74" t="s">
        <v>148</v>
      </c>
      <c r="AM320" s="92">
        <f t="shared" si="72"/>
        <v>1401943.12</v>
      </c>
      <c r="AN320" s="92">
        <f t="shared" si="73"/>
        <v>1401943.12</v>
      </c>
      <c r="AO320" s="69">
        <f t="shared" si="74"/>
        <v>0</v>
      </c>
      <c r="AP320" s="69">
        <f t="shared" si="75"/>
        <v>0</v>
      </c>
      <c r="AQ320" s="69">
        <f t="shared" si="76"/>
        <v>0</v>
      </c>
      <c r="AR320" s="69">
        <f t="shared" si="77"/>
        <v>0</v>
      </c>
      <c r="AS320" s="409"/>
      <c r="AT320" s="409"/>
      <c r="AU320" s="409"/>
    </row>
    <row r="321" spans="1:47">
      <c r="A321" s="78" t="s">
        <v>730</v>
      </c>
      <c r="B321" s="78" t="s">
        <v>730</v>
      </c>
      <c r="C321" s="78" t="s">
        <v>147</v>
      </c>
      <c r="D321" s="78" t="s">
        <v>148</v>
      </c>
      <c r="E321" s="67" t="s">
        <v>729</v>
      </c>
      <c r="F321" s="67" t="s">
        <v>162</v>
      </c>
      <c r="G321" s="67" t="str">
        <f>INDEX('[4]RT Description to Bill Matix'!$D:$D,MATCH(A321,'[4]RT Description to Bill Matix'!$M:$M,0))</f>
        <v>CDS PAS/HAB (CFC) and Transportation</v>
      </c>
      <c r="H321" s="65" t="s">
        <v>731</v>
      </c>
      <c r="I321" s="65" t="s">
        <v>147</v>
      </c>
      <c r="J321" s="65" t="str" cm="1">
        <f t="array" ref="J321">INDEX('Rate Table Service Desc XWalk'!F:F,MATCH(1,(G321='Rate Table Service Desc XWalk'!B:B)*(E321='Rate Table Service Desc XWalk'!A:A),0))</f>
        <v>4-5-143</v>
      </c>
      <c r="K321" s="66" t="str">
        <f>INDEX('[5]Combined Bill Code List'!$A:$A,MATCH(A321,'[5]Combined Bill Code List'!$F:$F,0))</f>
        <v>State Plan (Title XIX)</v>
      </c>
      <c r="L321" s="66" t="str">
        <f>INDEX('[6]Rate History'!$P:$P,MATCH(A321,'[6]Rate History'!$F:$F,0))</f>
        <v>1 hour</v>
      </c>
      <c r="M321" s="77">
        <f>INDEX('[7]PDF DB Service Pivot'!$C:$C,MATCH(B321,'[7]PDF DB Service Pivot'!$B:$B,0))</f>
        <v>21436040.300000001</v>
      </c>
      <c r="N321" s="77">
        <f t="shared" si="69"/>
        <v>967330.33844765346</v>
      </c>
      <c r="O321" s="76">
        <f>INDEX('[7]PDF DB Service Pivot'!$D:$D,MATCH(B321,'[7]PDF DB Service Pivot'!$B:$B,0))</f>
        <v>21436040.300000001</v>
      </c>
      <c r="P321" s="91">
        <v>45170</v>
      </c>
      <c r="Q321" s="81">
        <v>22.16</v>
      </c>
      <c r="R321" s="81">
        <v>18.18</v>
      </c>
      <c r="S321" s="354">
        <f t="shared" si="84"/>
        <v>0.8203971119133574</v>
      </c>
      <c r="T321" s="339">
        <v>1</v>
      </c>
      <c r="U321" s="81">
        <f t="shared" si="82"/>
        <v>0</v>
      </c>
      <c r="V321" s="81" cm="1">
        <f t="array" ref="V321">_xlfn.IFS('Fiscal by Program'!$B$7&lt;10.61,0,'Fiscal by Program'!$B$7&gt;10.6,(ROUND('Fiscal by Program'!$B$7*(1+IF(D321="Yes",'Fiscal by Program'!$B$9,'Fiscal by Program'!$B$8))*T321,2)))</f>
        <v>0</v>
      </c>
      <c r="W321" s="81">
        <f t="shared" si="70"/>
        <v>0</v>
      </c>
      <c r="X321" s="81">
        <f>ROUND((R321/(1+IF(D321="Yes",'Fiscal by Program'!$B$9,'Fiscal by Program'!$B$8))),2)+0.01</f>
        <v>16.430000000000003</v>
      </c>
      <c r="Y321" s="81">
        <f t="shared" si="71"/>
        <v>22.16</v>
      </c>
      <c r="Z321" s="88">
        <v>4</v>
      </c>
      <c r="AA321" s="90">
        <f t="shared" si="83"/>
        <v>0.25</v>
      </c>
      <c r="AB321" s="75">
        <f>INDEX('[9]Service List'!$K:$K,MATCH(A321,'[9]Service List'!$F:$F,0))</f>
        <v>1145</v>
      </c>
      <c r="AC321" s="73" t="str">
        <f>INDEX('[5]Combined Bill Code List'!$P:$P,MATCH(A321,'[5]Combined Bill Code List'!$F:$F,0))</f>
        <v>CFC</v>
      </c>
      <c r="AD321" s="80" t="s">
        <v>729</v>
      </c>
      <c r="AE321" s="79">
        <v>1</v>
      </c>
      <c r="AF321" s="66">
        <v>-0.06</v>
      </c>
      <c r="AG321" s="70">
        <f>ROUND(INDEX('All Trends'!D:D,MATCH($AD321,'All Trends'!$C:$C,0)),4)</f>
        <v>0.93489999999999995</v>
      </c>
      <c r="AH321" s="70">
        <f>ROUND(INDEX('All Trends'!E:E,MATCH($AD321,'All Trends'!$C:$C,0)),4)</f>
        <v>1.0002</v>
      </c>
      <c r="AI321" s="70">
        <f>ROUND(INDEX('All Trends'!F:F,MATCH($AD321,'All Trends'!$C:$C,0)),4)</f>
        <v>1.0754999999999999</v>
      </c>
      <c r="AJ321" s="70">
        <f>ROUND(INDEX('All Trends'!G:G,MATCH($AD321,'All Trends'!$C:$C,0)),4)</f>
        <v>1.0754999999999999</v>
      </c>
      <c r="AK321" s="70">
        <f>ROUND(INDEX('All Trends'!H:H,MATCH($AD321,'All Trends'!$C:$C,0)),4)</f>
        <v>1.0754999999999999</v>
      </c>
      <c r="AL321" s="74" t="s">
        <v>148</v>
      </c>
      <c r="AM321" s="92">
        <f t="shared" si="72"/>
        <v>1040363.78</v>
      </c>
      <c r="AN321" s="92">
        <f t="shared" si="73"/>
        <v>1040363.78</v>
      </c>
      <c r="AO321" s="69">
        <f t="shared" si="74"/>
        <v>0</v>
      </c>
      <c r="AP321" s="69">
        <f t="shared" si="75"/>
        <v>0</v>
      </c>
      <c r="AQ321" s="69">
        <f t="shared" si="76"/>
        <v>0</v>
      </c>
      <c r="AR321" s="69">
        <f t="shared" si="77"/>
        <v>0</v>
      </c>
      <c r="AS321" s="409"/>
      <c r="AT321" s="409"/>
      <c r="AU321" s="409"/>
    </row>
    <row r="322" spans="1:47">
      <c r="A322" s="78" t="s">
        <v>732</v>
      </c>
      <c r="B322" s="78" t="s">
        <v>732</v>
      </c>
      <c r="C322" s="78" t="s">
        <v>147</v>
      </c>
      <c r="D322" s="78" t="s">
        <v>148</v>
      </c>
      <c r="E322" s="67" t="s">
        <v>729</v>
      </c>
      <c r="F322" s="67" t="s">
        <v>26</v>
      </c>
      <c r="G322" s="67" t="str">
        <f>INDEX('[4]RT Description to Bill Matix'!$D:$D,MATCH(A322,'[4]RT Description to Bill Matix'!$M:$M,0))</f>
        <v>In Home Respite</v>
      </c>
      <c r="H322" s="65" t="s">
        <v>240</v>
      </c>
      <c r="I322" s="65"/>
      <c r="J322" s="358" t="str" cm="1">
        <f t="array" ref="J322">INDEX('Rate Table Service Desc XWalk'!F:F,MATCH(1,(G322='Rate Table Service Desc XWalk'!B:B)*(E322='Rate Table Service Desc XWalk'!A:A),0))</f>
        <v>4-1-55</v>
      </c>
      <c r="K322" s="66" t="str">
        <f>INDEX('[5]Combined Bill Code List'!$A:$A,MATCH(A322,'[5]Combined Bill Code List'!$F:$F,0))</f>
        <v>1915(c) waiver</v>
      </c>
      <c r="L322" s="66" t="str">
        <f>INDEX('[6]Rate History'!$P:$P,MATCH(A322,'[6]Rate History'!$F:$F,0))</f>
        <v>1 hour</v>
      </c>
      <c r="M322" s="77">
        <f>INDEX('[7]PDF DB Service Pivot'!$C:$C,MATCH(B322,'[7]PDF DB Service Pivot'!$B:$B,0))</f>
        <v>426886.62</v>
      </c>
      <c r="N322" s="77">
        <f t="shared" si="69"/>
        <v>426886.62</v>
      </c>
      <c r="O322" s="76">
        <f>INDEX('[7]PDF DB Service Pivot'!$D:$D,MATCH(B322,'[7]PDF DB Service Pivot'!$B:$B,0))</f>
        <v>8276678.1299999999</v>
      </c>
      <c r="P322" s="91">
        <v>45170</v>
      </c>
      <c r="Q322" s="81">
        <v>20</v>
      </c>
      <c r="R322" s="81">
        <v>11.77</v>
      </c>
      <c r="S322" s="354">
        <f t="shared" si="84"/>
        <v>0.58850000000000002</v>
      </c>
      <c r="T322" s="339">
        <f>INDEX('[10]Billable Services'!$L:$L,MATCH(B322,'[10]Billable Services'!$O:$O,0))</f>
        <v>1</v>
      </c>
      <c r="U322" s="81">
        <f t="shared" si="82"/>
        <v>0</v>
      </c>
      <c r="V322" s="81" cm="1">
        <f t="array" ref="V322">_xlfn.IFS('Fiscal by Program'!$B$7&lt;10.61,0,'Fiscal by Program'!$B$7&gt;10.6,(ROUND('Fiscal by Program'!$B$7*(1+IF(D322="Yes",'Fiscal by Program'!$B$9,'Fiscal by Program'!$B$8))*T322,2)))</f>
        <v>0</v>
      </c>
      <c r="W322" s="81">
        <f t="shared" si="70"/>
        <v>0</v>
      </c>
      <c r="X322" s="81">
        <f>ROUND((R322/(1+IF(D322="Yes",'Fiscal by Program'!$B$9,'Fiscal by Program'!$B$8))),2)+0.01</f>
        <v>10.64</v>
      </c>
      <c r="Y322" s="81">
        <f t="shared" si="71"/>
        <v>20</v>
      </c>
      <c r="Z322" s="88">
        <v>4</v>
      </c>
      <c r="AA322" s="90">
        <f t="shared" si="83"/>
        <v>0.25</v>
      </c>
      <c r="AB322" s="75">
        <f>INDEX('[9]Service List'!$K:$K,MATCH(A322,'[9]Service List'!$F:$F,0))</f>
        <v>1179</v>
      </c>
      <c r="AC322" s="73">
        <f>INDEX('[5]Combined Bill Code List'!$P:$P,MATCH(A322,'[5]Combined Bill Code List'!$F:$F,0))</f>
        <v>0</v>
      </c>
      <c r="AD322" s="80" t="s">
        <v>729</v>
      </c>
      <c r="AE322" s="79">
        <v>1</v>
      </c>
      <c r="AF322" s="66">
        <v>0</v>
      </c>
      <c r="AG322" s="70">
        <f>ROUND(INDEX('All Trends'!D:D,MATCH($AD322,'All Trends'!$C:$C,0)),4)</f>
        <v>0.93489999999999995</v>
      </c>
      <c r="AH322" s="70">
        <f>ROUND(INDEX('All Trends'!E:E,MATCH($AD322,'All Trends'!$C:$C,0)),4)</f>
        <v>1.0002</v>
      </c>
      <c r="AI322" s="70">
        <f>ROUND(INDEX('All Trends'!F:F,MATCH($AD322,'All Trends'!$C:$C,0)),4)</f>
        <v>1.0754999999999999</v>
      </c>
      <c r="AJ322" s="70">
        <f>ROUND(INDEX('All Trends'!G:G,MATCH($AD322,'All Trends'!$C:$C,0)),4)</f>
        <v>1.0754999999999999</v>
      </c>
      <c r="AK322" s="70">
        <f>ROUND(INDEX('All Trends'!H:H,MATCH($AD322,'All Trends'!$C:$C,0)),4)</f>
        <v>1.0754999999999999</v>
      </c>
      <c r="AL322" s="74" t="s">
        <v>148</v>
      </c>
      <c r="AM322" s="92">
        <f t="shared" si="72"/>
        <v>459116.56</v>
      </c>
      <c r="AN322" s="92">
        <f t="shared" si="73"/>
        <v>459116.56</v>
      </c>
      <c r="AO322" s="69">
        <f t="shared" si="74"/>
        <v>0</v>
      </c>
      <c r="AP322" s="69">
        <f t="shared" si="75"/>
        <v>0</v>
      </c>
      <c r="AQ322" s="69">
        <f t="shared" si="76"/>
        <v>0</v>
      </c>
      <c r="AR322" s="69">
        <f t="shared" si="77"/>
        <v>0</v>
      </c>
      <c r="AS322" s="409"/>
      <c r="AT322" s="409"/>
      <c r="AU322" s="409"/>
    </row>
    <row r="323" spans="1:47">
      <c r="A323" s="78" t="s">
        <v>733</v>
      </c>
      <c r="B323" s="78" t="s">
        <v>733</v>
      </c>
      <c r="C323" s="78" t="s">
        <v>147</v>
      </c>
      <c r="D323" s="78" t="s">
        <v>148</v>
      </c>
      <c r="E323" s="67" t="s">
        <v>729</v>
      </c>
      <c r="F323" s="67" t="s">
        <v>244</v>
      </c>
      <c r="G323" s="67" t="str">
        <f>INDEX('[4]RT Description to Bill Matix'!$D:$D,MATCH(A323,'[4]RT Description to Bill Matix'!$M:$M,0))</f>
        <v>Out-of-Home Respite</v>
      </c>
      <c r="H323" s="65" t="s">
        <v>734</v>
      </c>
      <c r="I323" s="65"/>
      <c r="J323" s="65" t="str" cm="1">
        <f t="array" ref="J323">INDEX('Rate Table Service Desc XWalk'!F:F,MATCH(1,(G323='Rate Table Service Desc XWalk'!B:B)*(E323='Rate Table Service Desc XWalk'!A:A),0))</f>
        <v>4-1-74</v>
      </c>
      <c r="K323" s="66" t="str">
        <f>INDEX('[5]Combined Bill Code List'!$A:$A,MATCH(A323,'[5]Combined Bill Code List'!$F:$F,0))</f>
        <v>1915(c) waiver</v>
      </c>
      <c r="L323" s="66" t="str">
        <f>INDEX('[6]Rate History'!$P:$P,MATCH(A323,'[6]Rate History'!$F:$F,0))</f>
        <v>1 hour</v>
      </c>
      <c r="M323" s="77">
        <f>INDEX('[7]PDF DB Service Pivot'!$C:$C,MATCH(B323,'[7]PDF DB Service Pivot'!$B:$B,0))</f>
        <v>1138</v>
      </c>
      <c r="N323" s="77">
        <f t="shared" ref="N323:N356" si="85">IF(ISNUMBER(FIND("ISS",F323)),IF(I323="Yes",((M323/Q323)/6)*12,(M323/6)*12),IF(AND(I323="Yes",M323=O323),M323/Q323,M323))</f>
        <v>1138</v>
      </c>
      <c r="O323" s="76">
        <f>INDEX('[7]PDF DB Service Pivot'!$D:$D,MATCH(B323,'[7]PDF DB Service Pivot'!$B:$B,0))</f>
        <v>22791.88</v>
      </c>
      <c r="P323" s="91">
        <v>45170</v>
      </c>
      <c r="Q323" s="81">
        <v>18.89</v>
      </c>
      <c r="R323" s="81">
        <v>11.77</v>
      </c>
      <c r="S323" s="354">
        <f t="shared" si="84"/>
        <v>0.62308099523557436</v>
      </c>
      <c r="T323" s="339">
        <f>INDEX('[10]Billable Services'!$L:$L,MATCH(B323,'[10]Billable Services'!$O:$O,0))</f>
        <v>1</v>
      </c>
      <c r="U323" s="81">
        <f t="shared" si="82"/>
        <v>0</v>
      </c>
      <c r="V323" s="81" cm="1">
        <f t="array" ref="V323">_xlfn.IFS('Fiscal by Program'!$B$7&lt;10.61,0,'Fiscal by Program'!$B$7&gt;10.6,(ROUND('Fiscal by Program'!$B$7*(1+IF(D323="Yes",'Fiscal by Program'!$B$9,'Fiscal by Program'!$B$8))*T323,2)))</f>
        <v>0</v>
      </c>
      <c r="W323" s="81">
        <f t="shared" ref="W323:W356" si="86">IF(V323-R323&lt;0,0,V323-R323)</f>
        <v>0</v>
      </c>
      <c r="X323" s="81">
        <f>ROUND((R323/(1+IF(D323="Yes",'Fiscal by Program'!$B$9,'Fiscal by Program'!$B$8))),2)+0.01</f>
        <v>10.64</v>
      </c>
      <c r="Y323" s="81">
        <f t="shared" ref="Y323:Y356" si="87">Q323+W323</f>
        <v>18.89</v>
      </c>
      <c r="Z323" s="88">
        <v>4</v>
      </c>
      <c r="AA323" s="90">
        <f t="shared" si="83"/>
        <v>0.25</v>
      </c>
      <c r="AB323" s="75">
        <f>INDEX('[9]Service List'!$K:$K,MATCH(A323,'[9]Service List'!$F:$F,0))</f>
        <v>1267</v>
      </c>
      <c r="AC323" s="73">
        <f>INDEX('[5]Combined Bill Code List'!$P:$P,MATCH(A323,'[5]Combined Bill Code List'!$F:$F,0))</f>
        <v>0</v>
      </c>
      <c r="AD323" s="80" t="s">
        <v>729</v>
      </c>
      <c r="AE323" s="79">
        <v>1</v>
      </c>
      <c r="AF323" s="66">
        <v>0</v>
      </c>
      <c r="AG323" s="70">
        <f>ROUND(INDEX('All Trends'!D:D,MATCH($AD323,'All Trends'!$C:$C,0)),4)</f>
        <v>0.93489999999999995</v>
      </c>
      <c r="AH323" s="70">
        <f>ROUND(INDEX('All Trends'!E:E,MATCH($AD323,'All Trends'!$C:$C,0)),4)</f>
        <v>1.0002</v>
      </c>
      <c r="AI323" s="70">
        <f>ROUND(INDEX('All Trends'!F:F,MATCH($AD323,'All Trends'!$C:$C,0)),4)</f>
        <v>1.0754999999999999</v>
      </c>
      <c r="AJ323" s="70">
        <f>ROUND(INDEX('All Trends'!G:G,MATCH($AD323,'All Trends'!$C:$C,0)),4)</f>
        <v>1.0754999999999999</v>
      </c>
      <c r="AK323" s="70">
        <f>ROUND(INDEX('All Trends'!H:H,MATCH($AD323,'All Trends'!$C:$C,0)),4)</f>
        <v>1.0754999999999999</v>
      </c>
      <c r="AL323" s="74" t="s">
        <v>148</v>
      </c>
      <c r="AM323" s="92">
        <f t="shared" ref="AM323:AM356" si="88">IF(C323="Yes",ROUND(T323*N323*AI323,2),0)</f>
        <v>1223.92</v>
      </c>
      <c r="AN323" s="92">
        <f t="shared" ref="AN323:AN356" si="89">IF(C323="Yes",ROUND(T323*N323*AJ323,2),0)</f>
        <v>1223.92</v>
      </c>
      <c r="AO323" s="69">
        <f t="shared" ref="AO323:AO356" si="90">IF(C323="Yes",ROUND((W323*N323*AI323),2),0)</f>
        <v>0</v>
      </c>
      <c r="AP323" s="69">
        <f t="shared" ref="AP323:AP356" si="91">IF(C323="Yes",IF($AL323="No",ROUND(($AO323*($AY$2+$AF323)),2),ROUND($AO323,2)),0)</f>
        <v>0</v>
      </c>
      <c r="AQ323" s="69">
        <f t="shared" ref="AQ323:AQ356" si="92">IF(C323="Yes",ROUND((W323*N323*AJ323),2),0)</f>
        <v>0</v>
      </c>
      <c r="AR323" s="69">
        <f t="shared" ref="AR323:AR356" si="93">IF(C323="Yes",IF($AL323="No",ROUND(($AQ323*($AZ$2+$AF323)),2),ROUND($AQ323,2)),0)</f>
        <v>0</v>
      </c>
      <c r="AS323" s="409"/>
      <c r="AT323" s="409"/>
      <c r="AU323" s="409"/>
    </row>
    <row r="324" spans="1:47">
      <c r="A324" s="78" t="s">
        <v>735</v>
      </c>
      <c r="B324" s="78" t="s">
        <v>735</v>
      </c>
      <c r="C324" s="78" t="s">
        <v>147</v>
      </c>
      <c r="D324" s="78" t="s">
        <v>148</v>
      </c>
      <c r="E324" s="67" t="s">
        <v>729</v>
      </c>
      <c r="F324" s="67" t="s">
        <v>26</v>
      </c>
      <c r="G324" s="67" t="str">
        <f>INDEX('[4]RT Description to Bill Matix'!$D:$D,MATCH(A324,'[4]RT Description to Bill Matix'!$M:$M,0))</f>
        <v>In Home Respite</v>
      </c>
      <c r="H324" s="65" t="s">
        <v>736</v>
      </c>
      <c r="I324" s="65"/>
      <c r="J324" s="358" t="str" cm="1">
        <f t="array" ref="J324">INDEX('Rate Table Service Desc XWalk'!F:F,MATCH(1,(G324='Rate Table Service Desc XWalk'!B:B)*(E324='Rate Table Service Desc XWalk'!A:A),0))</f>
        <v>4-1-55</v>
      </c>
      <c r="K324" s="66" t="str">
        <f>INDEX('[5]Combined Bill Code List'!$A:$A,MATCH(A324,'[5]Combined Bill Code List'!$F:$F,0))</f>
        <v>1915(c) waiver</v>
      </c>
      <c r="L324" s="66" t="str">
        <f>INDEX('[6]Rate History'!$P:$P,MATCH(A324,'[6]Rate History'!$F:$F,0))</f>
        <v>1 hour</v>
      </c>
      <c r="M324" s="77">
        <f>INDEX('[7]PDF DB Service Pivot'!$C:$C,MATCH(B324,'[7]PDF DB Service Pivot'!$B:$B,0))</f>
        <v>663.5</v>
      </c>
      <c r="N324" s="77">
        <f t="shared" si="85"/>
        <v>663.5</v>
      </c>
      <c r="O324" s="76">
        <f>INDEX('[7]PDF DB Service Pivot'!$D:$D,MATCH(B324,'[7]PDF DB Service Pivot'!$B:$B,0))</f>
        <v>13107.99</v>
      </c>
      <c r="P324" s="91">
        <v>45170</v>
      </c>
      <c r="Q324" s="81">
        <v>18.89</v>
      </c>
      <c r="R324" s="81">
        <v>11.77</v>
      </c>
      <c r="S324" s="354">
        <f t="shared" si="84"/>
        <v>0.62308099523557436</v>
      </c>
      <c r="T324" s="339">
        <f>INDEX('[10]Billable Services'!$L:$L,MATCH(B324,'[10]Billable Services'!$O:$O,0))</f>
        <v>1</v>
      </c>
      <c r="U324" s="81">
        <f t="shared" si="82"/>
        <v>0</v>
      </c>
      <c r="V324" s="81" cm="1">
        <f t="array" ref="V324">_xlfn.IFS('Fiscal by Program'!$B$7&lt;10.61,0,'Fiscal by Program'!$B$7&gt;10.6,(ROUND('Fiscal by Program'!$B$7*(1+IF(D324="Yes",'Fiscal by Program'!$B$9,'Fiscal by Program'!$B$8))*T324,2)))</f>
        <v>0</v>
      </c>
      <c r="W324" s="81">
        <f t="shared" si="86"/>
        <v>0</v>
      </c>
      <c r="X324" s="81">
        <f>ROUND((R324/(1+IF(D324="Yes",'Fiscal by Program'!$B$9,'Fiscal by Program'!$B$8))),2)+0.01</f>
        <v>10.64</v>
      </c>
      <c r="Y324" s="81">
        <f t="shared" si="87"/>
        <v>18.89</v>
      </c>
      <c r="Z324" s="88">
        <v>4</v>
      </c>
      <c r="AA324" s="90">
        <f t="shared" si="83"/>
        <v>0.25</v>
      </c>
      <c r="AB324" s="75">
        <f>INDEX('[9]Service List'!$K:$K,MATCH(A324,'[9]Service List'!$F:$F,0))</f>
        <v>1268</v>
      </c>
      <c r="AC324" s="73">
        <f>INDEX('[5]Combined Bill Code List'!$P:$P,MATCH(A324,'[5]Combined Bill Code List'!$F:$F,0))</f>
        <v>0</v>
      </c>
      <c r="AD324" s="80" t="s">
        <v>729</v>
      </c>
      <c r="AE324" s="79">
        <v>1</v>
      </c>
      <c r="AF324" s="66">
        <v>0</v>
      </c>
      <c r="AG324" s="70">
        <f>ROUND(INDEX('All Trends'!D:D,MATCH($AD324,'All Trends'!$C:$C,0)),4)</f>
        <v>0.93489999999999995</v>
      </c>
      <c r="AH324" s="70">
        <f>ROUND(INDEX('All Trends'!E:E,MATCH($AD324,'All Trends'!$C:$C,0)),4)</f>
        <v>1.0002</v>
      </c>
      <c r="AI324" s="70">
        <f>ROUND(INDEX('All Trends'!F:F,MATCH($AD324,'All Trends'!$C:$C,0)),4)</f>
        <v>1.0754999999999999</v>
      </c>
      <c r="AJ324" s="70">
        <f>ROUND(INDEX('All Trends'!G:G,MATCH($AD324,'All Trends'!$C:$C,0)),4)</f>
        <v>1.0754999999999999</v>
      </c>
      <c r="AK324" s="70">
        <f>ROUND(INDEX('All Trends'!H:H,MATCH($AD324,'All Trends'!$C:$C,0)),4)</f>
        <v>1.0754999999999999</v>
      </c>
      <c r="AL324" s="74" t="s">
        <v>148</v>
      </c>
      <c r="AM324" s="92">
        <f t="shared" si="88"/>
        <v>713.59</v>
      </c>
      <c r="AN324" s="92">
        <f t="shared" si="89"/>
        <v>713.59</v>
      </c>
      <c r="AO324" s="69">
        <f t="shared" si="90"/>
        <v>0</v>
      </c>
      <c r="AP324" s="69">
        <f t="shared" si="91"/>
        <v>0</v>
      </c>
      <c r="AQ324" s="69">
        <f t="shared" si="92"/>
        <v>0</v>
      </c>
      <c r="AR324" s="69">
        <f t="shared" si="93"/>
        <v>0</v>
      </c>
      <c r="AS324" s="409"/>
      <c r="AT324" s="409"/>
      <c r="AU324" s="409"/>
    </row>
    <row r="325" spans="1:47">
      <c r="A325" s="78" t="s">
        <v>737</v>
      </c>
      <c r="B325" s="78" t="s">
        <v>737</v>
      </c>
      <c r="C325" s="78" t="s">
        <v>147</v>
      </c>
      <c r="D325" s="78" t="s">
        <v>148</v>
      </c>
      <c r="E325" s="67" t="s">
        <v>729</v>
      </c>
      <c r="F325" s="67" t="s">
        <v>26</v>
      </c>
      <c r="G325" s="67" t="str">
        <f>INDEX('[4]RT Description to Bill Matix'!$D:$D,MATCH(A325,'[4]RT Description to Bill Matix'!$M:$M,0))</f>
        <v>In Home Respite</v>
      </c>
      <c r="H325" s="65" t="s">
        <v>738</v>
      </c>
      <c r="I325" s="65"/>
      <c r="J325" s="358" t="str" cm="1">
        <f t="array" ref="J325">INDEX('Rate Table Service Desc XWalk'!F:F,MATCH(1,(G325='Rate Table Service Desc XWalk'!B:B)*(E325='Rate Table Service Desc XWalk'!A:A),0))</f>
        <v>4-1-55</v>
      </c>
      <c r="K325" s="66" t="str">
        <f>INDEX('[5]Combined Bill Code List'!$A:$A,MATCH(A325,'[5]Combined Bill Code List'!$F:$F,0))</f>
        <v>1915(c) waiver</v>
      </c>
      <c r="L325" s="66" t="str">
        <f>INDEX('[6]Rate History'!$P:$P,MATCH(A325,'[6]Rate History'!$F:$F,0))</f>
        <v>1 hour</v>
      </c>
      <c r="M325" s="77">
        <f>INDEX('[7]PDF DB Service Pivot'!$C:$C,MATCH(B325,'[7]PDF DB Service Pivot'!$B:$B,0))</f>
        <v>468.5</v>
      </c>
      <c r="N325" s="77">
        <f t="shared" si="85"/>
        <v>468.5</v>
      </c>
      <c r="O325" s="76">
        <f>INDEX('[7]PDF DB Service Pivot'!$D:$D,MATCH(B325,'[7]PDF DB Service Pivot'!$B:$B,0))</f>
        <v>9394.42</v>
      </c>
      <c r="P325" s="91">
        <v>45170</v>
      </c>
      <c r="Q325" s="81">
        <v>18.89</v>
      </c>
      <c r="R325" s="81">
        <v>11.77</v>
      </c>
      <c r="S325" s="354">
        <f t="shared" si="84"/>
        <v>0.62308099523557436</v>
      </c>
      <c r="T325" s="339">
        <f>INDEX('[10]Billable Services'!$L:$L,MATCH(B325,'[10]Billable Services'!$O:$O,0))</f>
        <v>1</v>
      </c>
      <c r="U325" s="81">
        <f t="shared" si="82"/>
        <v>0</v>
      </c>
      <c r="V325" s="81" cm="1">
        <f t="array" ref="V325">_xlfn.IFS('Fiscal by Program'!$B$7&lt;10.61,0,'Fiscal by Program'!$B$7&gt;10.6,(ROUND('Fiscal by Program'!$B$7*(1+IF(D325="Yes",'Fiscal by Program'!$B$9,'Fiscal by Program'!$B$8))*T325,2)))</f>
        <v>0</v>
      </c>
      <c r="W325" s="81">
        <f t="shared" si="86"/>
        <v>0</v>
      </c>
      <c r="X325" s="81">
        <f>ROUND((R325/(1+IF(D325="Yes",'Fiscal by Program'!$B$9,'Fiscal by Program'!$B$8))),2)+0.01</f>
        <v>10.64</v>
      </c>
      <c r="Y325" s="81">
        <f t="shared" si="87"/>
        <v>18.89</v>
      </c>
      <c r="Z325" s="88">
        <v>4</v>
      </c>
      <c r="AA325" s="90">
        <f t="shared" si="83"/>
        <v>0.25</v>
      </c>
      <c r="AB325" s="75">
        <f>INDEX('[9]Service List'!$K:$K,MATCH(A325,'[9]Service List'!$F:$F,0))</f>
        <v>1269</v>
      </c>
      <c r="AC325" s="73">
        <f>INDEX('[5]Combined Bill Code List'!$P:$P,MATCH(A325,'[5]Combined Bill Code List'!$F:$F,0))</f>
        <v>0</v>
      </c>
      <c r="AD325" s="80" t="s">
        <v>729</v>
      </c>
      <c r="AE325" s="79">
        <v>1</v>
      </c>
      <c r="AF325" s="66">
        <v>0</v>
      </c>
      <c r="AG325" s="70">
        <f>ROUND(INDEX('All Trends'!D:D,MATCH($AD325,'All Trends'!$C:$C,0)),4)</f>
        <v>0.93489999999999995</v>
      </c>
      <c r="AH325" s="70">
        <f>ROUND(INDEX('All Trends'!E:E,MATCH($AD325,'All Trends'!$C:$C,0)),4)</f>
        <v>1.0002</v>
      </c>
      <c r="AI325" s="70">
        <f>ROUND(INDEX('All Trends'!F:F,MATCH($AD325,'All Trends'!$C:$C,0)),4)</f>
        <v>1.0754999999999999</v>
      </c>
      <c r="AJ325" s="70">
        <f>ROUND(INDEX('All Trends'!G:G,MATCH($AD325,'All Trends'!$C:$C,0)),4)</f>
        <v>1.0754999999999999</v>
      </c>
      <c r="AK325" s="70">
        <f>ROUND(INDEX('All Trends'!H:H,MATCH($AD325,'All Trends'!$C:$C,0)),4)</f>
        <v>1.0754999999999999</v>
      </c>
      <c r="AL325" s="74" t="s">
        <v>148</v>
      </c>
      <c r="AM325" s="92">
        <f t="shared" si="88"/>
        <v>503.87</v>
      </c>
      <c r="AN325" s="92">
        <f t="shared" si="89"/>
        <v>503.87</v>
      </c>
      <c r="AO325" s="69">
        <f t="shared" si="90"/>
        <v>0</v>
      </c>
      <c r="AP325" s="69">
        <f t="shared" si="91"/>
        <v>0</v>
      </c>
      <c r="AQ325" s="69">
        <f t="shared" si="92"/>
        <v>0</v>
      </c>
      <c r="AR325" s="69">
        <f t="shared" si="93"/>
        <v>0</v>
      </c>
      <c r="AS325" s="409"/>
      <c r="AT325" s="409"/>
      <c r="AU325" s="409"/>
    </row>
    <row r="326" spans="1:47">
      <c r="A326" s="78" t="s">
        <v>739</v>
      </c>
      <c r="B326" s="78" t="s">
        <v>739</v>
      </c>
      <c r="C326" s="78" t="s">
        <v>147</v>
      </c>
      <c r="D326" s="78" t="s">
        <v>148</v>
      </c>
      <c r="E326" s="67" t="s">
        <v>729</v>
      </c>
      <c r="F326" s="67" t="s">
        <v>244</v>
      </c>
      <c r="G326" s="67" t="str">
        <f>INDEX('[4]RT Description to Bill Matix'!$D:$D,MATCH(A326,'[4]RT Description to Bill Matix'!$M:$M,0))</f>
        <v>Out-of-Home Respite</v>
      </c>
      <c r="H326" s="65" t="s">
        <v>740</v>
      </c>
      <c r="I326" s="65"/>
      <c r="J326" s="65" t="str" cm="1">
        <f t="array" ref="J326">INDEX('Rate Table Service Desc XWalk'!F:F,MATCH(1,(G326='Rate Table Service Desc XWalk'!B:B)*(E326='Rate Table Service Desc XWalk'!A:A),0))</f>
        <v>4-1-74</v>
      </c>
      <c r="K326" s="66" t="str">
        <f>INDEX('[5]Combined Bill Code List'!$A:$A,MATCH(A326,'[5]Combined Bill Code List'!$F:$F,0))</f>
        <v>1915(c) waiver</v>
      </c>
      <c r="L326" s="66" t="str">
        <f>INDEX('[6]Rate History'!$P:$P,MATCH(A326,'[6]Rate History'!$F:$F,0))</f>
        <v>1 hour</v>
      </c>
      <c r="M326" s="77">
        <f>INDEX('[7]PDF DB Service Pivot'!$C:$C,MATCH(B326,'[7]PDF DB Service Pivot'!$B:$B,0))</f>
        <v>46053.25</v>
      </c>
      <c r="N326" s="77">
        <f t="shared" si="85"/>
        <v>46053.25</v>
      </c>
      <c r="O326" s="76">
        <f>INDEX('[7]PDF DB Service Pivot'!$D:$D,MATCH(B326,'[7]PDF DB Service Pivot'!$B:$B,0))</f>
        <v>894801.11</v>
      </c>
      <c r="P326" s="91">
        <v>45170</v>
      </c>
      <c r="Q326" s="81">
        <v>18.89</v>
      </c>
      <c r="R326" s="81">
        <v>11.77</v>
      </c>
      <c r="S326" s="354">
        <f t="shared" si="84"/>
        <v>0.62308099523557436</v>
      </c>
      <c r="T326" s="339">
        <f>INDEX('[10]Billable Services'!$L:$L,MATCH(B326,'[10]Billable Services'!$O:$O,0))</f>
        <v>1</v>
      </c>
      <c r="U326" s="81">
        <f t="shared" si="82"/>
        <v>0</v>
      </c>
      <c r="V326" s="81" cm="1">
        <f t="array" ref="V326">_xlfn.IFS('Fiscal by Program'!$B$7&lt;10.61,0,'Fiscal by Program'!$B$7&gt;10.6,(ROUND('Fiscal by Program'!$B$7*(1+IF(D326="Yes",'Fiscal by Program'!$B$9,'Fiscal by Program'!$B$8))*T326,2)))</f>
        <v>0</v>
      </c>
      <c r="W326" s="81">
        <f t="shared" si="86"/>
        <v>0</v>
      </c>
      <c r="X326" s="81">
        <f>ROUND((R326/(1+IF(D326="Yes",'Fiscal by Program'!$B$9,'Fiscal by Program'!$B$8))),2)+0.01</f>
        <v>10.64</v>
      </c>
      <c r="Y326" s="81">
        <f t="shared" si="87"/>
        <v>18.89</v>
      </c>
      <c r="Z326" s="88">
        <v>4</v>
      </c>
      <c r="AA326" s="90">
        <f t="shared" si="83"/>
        <v>0.25</v>
      </c>
      <c r="AB326" s="75">
        <f>INDEX('[9]Service List'!$K:$K,MATCH(A326,'[9]Service List'!$F:$F,0))</f>
        <v>1270</v>
      </c>
      <c r="AC326" s="73">
        <f>INDEX('[5]Combined Bill Code List'!$P:$P,MATCH(A326,'[5]Combined Bill Code List'!$F:$F,0))</f>
        <v>0</v>
      </c>
      <c r="AD326" s="80" t="s">
        <v>729</v>
      </c>
      <c r="AE326" s="79">
        <v>1</v>
      </c>
      <c r="AF326" s="66">
        <v>0</v>
      </c>
      <c r="AG326" s="70">
        <f>ROUND(INDEX('All Trends'!D:D,MATCH($AD326,'All Trends'!$C:$C,0)),4)</f>
        <v>0.93489999999999995</v>
      </c>
      <c r="AH326" s="70">
        <f>ROUND(INDEX('All Trends'!E:E,MATCH($AD326,'All Trends'!$C:$C,0)),4)</f>
        <v>1.0002</v>
      </c>
      <c r="AI326" s="70">
        <f>ROUND(INDEX('All Trends'!F:F,MATCH($AD326,'All Trends'!$C:$C,0)),4)</f>
        <v>1.0754999999999999</v>
      </c>
      <c r="AJ326" s="70">
        <f>ROUND(INDEX('All Trends'!G:G,MATCH($AD326,'All Trends'!$C:$C,0)),4)</f>
        <v>1.0754999999999999</v>
      </c>
      <c r="AK326" s="70">
        <f>ROUND(INDEX('All Trends'!H:H,MATCH($AD326,'All Trends'!$C:$C,0)),4)</f>
        <v>1.0754999999999999</v>
      </c>
      <c r="AL326" s="74" t="s">
        <v>148</v>
      </c>
      <c r="AM326" s="92">
        <f t="shared" si="88"/>
        <v>49530.27</v>
      </c>
      <c r="AN326" s="92">
        <f t="shared" si="89"/>
        <v>49530.27</v>
      </c>
      <c r="AO326" s="69">
        <f t="shared" si="90"/>
        <v>0</v>
      </c>
      <c r="AP326" s="69">
        <f t="shared" si="91"/>
        <v>0</v>
      </c>
      <c r="AQ326" s="69">
        <f t="shared" si="92"/>
        <v>0</v>
      </c>
      <c r="AR326" s="69">
        <f t="shared" si="93"/>
        <v>0</v>
      </c>
      <c r="AS326" s="409"/>
      <c r="AT326" s="409"/>
      <c r="AU326" s="409"/>
    </row>
    <row r="327" spans="1:47">
      <c r="A327" s="78" t="s">
        <v>741</v>
      </c>
      <c r="B327" s="78" t="s">
        <v>741</v>
      </c>
      <c r="C327" s="78" t="s">
        <v>147</v>
      </c>
      <c r="D327" s="78" t="s">
        <v>148</v>
      </c>
      <c r="E327" s="67" t="s">
        <v>729</v>
      </c>
      <c r="F327" s="67" t="s">
        <v>244</v>
      </c>
      <c r="G327" s="67" t="str">
        <f>INDEX('[4]RT Description to Bill Matix'!$D:$D,MATCH(A327,'[4]RT Description to Bill Matix'!$M:$M,0))</f>
        <v>Out-of-Home Respite</v>
      </c>
      <c r="H327" s="65" t="s">
        <v>742</v>
      </c>
      <c r="I327" s="65"/>
      <c r="J327" s="65" t="str" cm="1">
        <f t="array" ref="J327">INDEX('Rate Table Service Desc XWalk'!F:F,MATCH(1,(G327='Rate Table Service Desc XWalk'!B:B)*(E327='Rate Table Service Desc XWalk'!A:A),0))</f>
        <v>4-1-74</v>
      </c>
      <c r="K327" s="66" t="str">
        <f>INDEX('[5]Combined Bill Code List'!$A:$A,MATCH(A327,'[5]Combined Bill Code List'!$F:$F,0))</f>
        <v>1915(c) waiver</v>
      </c>
      <c r="L327" s="66" t="str">
        <f>INDEX('[6]Rate History'!$P:$P,MATCH(A327,'[6]Rate History'!$F:$F,0))</f>
        <v>1 hour</v>
      </c>
      <c r="M327" s="77">
        <f>INDEX('[7]PDF DB Service Pivot'!$C:$C,MATCH(B327,'[7]PDF DB Service Pivot'!$B:$B,0))</f>
        <v>481</v>
      </c>
      <c r="N327" s="77">
        <f t="shared" si="85"/>
        <v>481</v>
      </c>
      <c r="O327" s="76">
        <f>INDEX('[7]PDF DB Service Pivot'!$D:$D,MATCH(B327,'[7]PDF DB Service Pivot'!$B:$B,0))</f>
        <v>9086.09</v>
      </c>
      <c r="P327" s="91">
        <v>45170</v>
      </c>
      <c r="Q327" s="81">
        <v>18.89</v>
      </c>
      <c r="R327" s="81">
        <v>11.77</v>
      </c>
      <c r="S327" s="354">
        <f t="shared" si="84"/>
        <v>0.62308099523557436</v>
      </c>
      <c r="T327" s="339">
        <v>1</v>
      </c>
      <c r="U327" s="81">
        <f t="shared" si="82"/>
        <v>0</v>
      </c>
      <c r="V327" s="81" cm="1">
        <f t="array" ref="V327">_xlfn.IFS('Fiscal by Program'!$B$7&lt;10.61,0,'Fiscal by Program'!$B$7&gt;10.6,(ROUND('Fiscal by Program'!$B$7*(1+IF(D327="Yes",'Fiscal by Program'!$B$9,'Fiscal by Program'!$B$8))*T327,2)))</f>
        <v>0</v>
      </c>
      <c r="W327" s="81">
        <f t="shared" si="86"/>
        <v>0</v>
      </c>
      <c r="X327" s="81">
        <f>ROUND((R327/(1+IF(D327="Yes",'Fiscal by Program'!$B$9,'Fiscal by Program'!$B$8))),2)+0.01</f>
        <v>10.64</v>
      </c>
      <c r="Y327" s="81">
        <f t="shared" si="87"/>
        <v>18.89</v>
      </c>
      <c r="Z327" s="88">
        <v>4</v>
      </c>
      <c r="AA327" s="90">
        <f t="shared" si="83"/>
        <v>0.25</v>
      </c>
      <c r="AB327" s="75">
        <f>INDEX('[9]Service List'!$K:$K,MATCH(A327,'[9]Service List'!$F:$F,0))</f>
        <v>1271</v>
      </c>
      <c r="AC327" s="73">
        <f>INDEX('[5]Combined Bill Code List'!$P:$P,MATCH(A327,'[5]Combined Bill Code List'!$F:$F,0))</f>
        <v>0</v>
      </c>
      <c r="AD327" s="80" t="s">
        <v>729</v>
      </c>
      <c r="AE327" s="79">
        <v>1</v>
      </c>
      <c r="AF327" s="66">
        <v>0</v>
      </c>
      <c r="AG327" s="70">
        <f>ROUND(INDEX('All Trends'!D:D,MATCH($AD327,'All Trends'!$C:$C,0)),4)</f>
        <v>0.93489999999999995</v>
      </c>
      <c r="AH327" s="70">
        <f>ROUND(INDEX('All Trends'!E:E,MATCH($AD327,'All Trends'!$C:$C,0)),4)</f>
        <v>1.0002</v>
      </c>
      <c r="AI327" s="70">
        <f>ROUND(INDEX('All Trends'!F:F,MATCH($AD327,'All Trends'!$C:$C,0)),4)</f>
        <v>1.0754999999999999</v>
      </c>
      <c r="AJ327" s="70">
        <f>ROUND(INDEX('All Trends'!G:G,MATCH($AD327,'All Trends'!$C:$C,0)),4)</f>
        <v>1.0754999999999999</v>
      </c>
      <c r="AK327" s="70">
        <f>ROUND(INDEX('All Trends'!H:H,MATCH($AD327,'All Trends'!$C:$C,0)),4)</f>
        <v>1.0754999999999999</v>
      </c>
      <c r="AL327" s="74" t="s">
        <v>148</v>
      </c>
      <c r="AM327" s="92">
        <f t="shared" si="88"/>
        <v>517.32000000000005</v>
      </c>
      <c r="AN327" s="92">
        <f t="shared" si="89"/>
        <v>517.32000000000005</v>
      </c>
      <c r="AO327" s="69">
        <f t="shared" si="90"/>
        <v>0</v>
      </c>
      <c r="AP327" s="69">
        <f t="shared" si="91"/>
        <v>0</v>
      </c>
      <c r="AQ327" s="69">
        <f t="shared" si="92"/>
        <v>0</v>
      </c>
      <c r="AR327" s="69">
        <f t="shared" si="93"/>
        <v>0</v>
      </c>
      <c r="AS327" s="409"/>
      <c r="AT327" s="409"/>
      <c r="AU327" s="409"/>
    </row>
    <row r="328" spans="1:47">
      <c r="A328" s="78" t="s">
        <v>743</v>
      </c>
      <c r="B328" s="78" t="s">
        <v>743</v>
      </c>
      <c r="C328" s="78" t="s">
        <v>147</v>
      </c>
      <c r="D328" s="78" t="s">
        <v>148</v>
      </c>
      <c r="E328" s="67" t="s">
        <v>729</v>
      </c>
      <c r="F328" s="67" t="s">
        <v>26</v>
      </c>
      <c r="G328" s="67" t="str">
        <f>INDEX('[4]RT Description to Bill Matix'!$D:$D,MATCH(A328,'[4]RT Description to Bill Matix'!$M:$M,0))</f>
        <v>CDS In Home Respite</v>
      </c>
      <c r="H328" s="65" t="s">
        <v>744</v>
      </c>
      <c r="I328" s="65" t="s">
        <v>147</v>
      </c>
      <c r="J328" s="358" t="str" cm="1">
        <f t="array" ref="J328">INDEX('Rate Table Service Desc XWalk'!F:F,MATCH(1,(G328='Rate Table Service Desc XWalk'!B:B)*(E328='Rate Table Service Desc XWalk'!A:A),0))</f>
        <v>4-5-124</v>
      </c>
      <c r="K328" s="66" t="str">
        <f>INDEX('[5]Combined Bill Code List'!$A:$A,MATCH(A328,'[5]Combined Bill Code List'!$F:$F,0))</f>
        <v>1915(c) waiver</v>
      </c>
      <c r="L328" s="66" t="str">
        <f>INDEX('[6]Rate History'!$P:$P,MATCH(A328,'[6]Rate History'!$F:$F,0))</f>
        <v>1 hour</v>
      </c>
      <c r="M328" s="77">
        <f>INDEX('[7]PDF DB Service Pivot'!$C:$C,MATCH(B328,'[7]PDF DB Service Pivot'!$B:$B,0))</f>
        <v>5411263.3499999996</v>
      </c>
      <c r="N328" s="77">
        <f t="shared" si="85"/>
        <v>284803.33421052631</v>
      </c>
      <c r="O328" s="76">
        <f>INDEX('[7]PDF DB Service Pivot'!$D:$D,MATCH(B328,'[7]PDF DB Service Pivot'!$B:$B,0))</f>
        <v>5411263.3499999996</v>
      </c>
      <c r="P328" s="91">
        <v>45170</v>
      </c>
      <c r="Q328" s="81">
        <v>19</v>
      </c>
      <c r="R328" s="81">
        <v>11.77</v>
      </c>
      <c r="S328" s="354">
        <f t="shared" si="84"/>
        <v>0.61947368421052629</v>
      </c>
      <c r="T328" s="339">
        <v>1</v>
      </c>
      <c r="U328" s="81">
        <f t="shared" si="82"/>
        <v>0</v>
      </c>
      <c r="V328" s="81" cm="1">
        <f t="array" ref="V328">_xlfn.IFS('Fiscal by Program'!$B$7&lt;10.61,0,'Fiscal by Program'!$B$7&gt;10.6,(ROUND('Fiscal by Program'!$B$7*(1+IF(D328="Yes",'Fiscal by Program'!$B$9,'Fiscal by Program'!$B$8))*T328,2)))</f>
        <v>0</v>
      </c>
      <c r="W328" s="81">
        <f t="shared" si="86"/>
        <v>0</v>
      </c>
      <c r="X328" s="81">
        <f>ROUND((R328/(1+IF(D328="Yes",'Fiscal by Program'!$B$9,'Fiscal by Program'!$B$8))),2)+0.01</f>
        <v>10.64</v>
      </c>
      <c r="Y328" s="81">
        <f t="shared" si="87"/>
        <v>19</v>
      </c>
      <c r="Z328" s="88">
        <v>4</v>
      </c>
      <c r="AA328" s="90">
        <f t="shared" si="83"/>
        <v>0.25</v>
      </c>
      <c r="AB328" s="75">
        <f>INDEX('[9]Service List'!$K:$K,MATCH(A328,'[9]Service List'!$F:$F,0))</f>
        <v>1178</v>
      </c>
      <c r="AC328" s="73">
        <f>INDEX('[5]Combined Bill Code List'!$P:$P,MATCH(A328,'[5]Combined Bill Code List'!$F:$F,0))</f>
        <v>0</v>
      </c>
      <c r="AD328" s="80" t="s">
        <v>729</v>
      </c>
      <c r="AE328" s="79">
        <v>1</v>
      </c>
      <c r="AF328" s="66">
        <v>0</v>
      </c>
      <c r="AG328" s="70">
        <f>ROUND(INDEX('All Trends'!D:D,MATCH($AD328,'All Trends'!$C:$C,0)),4)</f>
        <v>0.93489999999999995</v>
      </c>
      <c r="AH328" s="70">
        <f>ROUND(INDEX('All Trends'!E:E,MATCH($AD328,'All Trends'!$C:$C,0)),4)</f>
        <v>1.0002</v>
      </c>
      <c r="AI328" s="70">
        <f>ROUND(INDEX('All Trends'!F:F,MATCH($AD328,'All Trends'!$C:$C,0)),4)</f>
        <v>1.0754999999999999</v>
      </c>
      <c r="AJ328" s="70">
        <f>ROUND(INDEX('All Trends'!G:G,MATCH($AD328,'All Trends'!$C:$C,0)),4)</f>
        <v>1.0754999999999999</v>
      </c>
      <c r="AK328" s="70">
        <f>ROUND(INDEX('All Trends'!H:H,MATCH($AD328,'All Trends'!$C:$C,0)),4)</f>
        <v>1.0754999999999999</v>
      </c>
      <c r="AL328" s="74" t="s">
        <v>148</v>
      </c>
      <c r="AM328" s="92">
        <f t="shared" si="88"/>
        <v>306305.99</v>
      </c>
      <c r="AN328" s="92">
        <f t="shared" si="89"/>
        <v>306305.99</v>
      </c>
      <c r="AO328" s="69">
        <f t="shared" si="90"/>
        <v>0</v>
      </c>
      <c r="AP328" s="69">
        <f t="shared" si="91"/>
        <v>0</v>
      </c>
      <c r="AQ328" s="69">
        <f t="shared" si="92"/>
        <v>0</v>
      </c>
      <c r="AR328" s="69">
        <f t="shared" si="93"/>
        <v>0</v>
      </c>
      <c r="AS328" s="409"/>
      <c r="AT328" s="409"/>
      <c r="AU328" s="409"/>
    </row>
    <row r="329" spans="1:47">
      <c r="A329" s="78" t="s">
        <v>745</v>
      </c>
      <c r="B329" s="78" t="s">
        <v>745</v>
      </c>
      <c r="C329" s="78" t="s">
        <v>147</v>
      </c>
      <c r="D329" s="78" t="s">
        <v>148</v>
      </c>
      <c r="E329" s="67" t="s">
        <v>729</v>
      </c>
      <c r="F329" s="67" t="s">
        <v>244</v>
      </c>
      <c r="G329" s="67" t="str">
        <f>INDEX('[4]RT Description to Bill Matix'!$D:$D,MATCH(A329,'[4]RT Description to Bill Matix'!$M:$M,0))</f>
        <v>CDS Out-of-Home Respite</v>
      </c>
      <c r="H329" s="65" t="s">
        <v>746</v>
      </c>
      <c r="I329" s="65" t="s">
        <v>147</v>
      </c>
      <c r="J329" s="65" t="str" cm="1">
        <f t="array" ref="J329">INDEX('Rate Table Service Desc XWalk'!F:F,MATCH(1,(G329='Rate Table Service Desc XWalk'!B:B)*(E329='Rate Table Service Desc XWalk'!A:A),0))</f>
        <v>4-5-139</v>
      </c>
      <c r="K329" s="66" t="str">
        <f>INDEX('[5]Combined Bill Code List'!$A:$A,MATCH(A329,'[5]Combined Bill Code List'!$F:$F,0))</f>
        <v>1915(c) waiver</v>
      </c>
      <c r="L329" s="66" t="str">
        <f>INDEX('[6]Rate History'!$P:$P,MATCH(A329,'[6]Rate History'!$F:$F,0))</f>
        <v>1 hour</v>
      </c>
      <c r="M329" s="77">
        <f>INDEX('[7]PDF DB Service Pivot'!$C:$C,MATCH(B329,'[7]PDF DB Service Pivot'!$B:$B,0))</f>
        <v>4633.58</v>
      </c>
      <c r="N329" s="77">
        <f t="shared" si="85"/>
        <v>259.00391280044715</v>
      </c>
      <c r="O329" s="76">
        <f>INDEX('[7]PDF DB Service Pivot'!$D:$D,MATCH(B329,'[7]PDF DB Service Pivot'!$B:$B,0))</f>
        <v>4633.58</v>
      </c>
      <c r="P329" s="91">
        <v>45170</v>
      </c>
      <c r="Q329" s="81">
        <v>17.89</v>
      </c>
      <c r="R329" s="81">
        <v>11.77</v>
      </c>
      <c r="S329" s="354">
        <f t="shared" si="84"/>
        <v>0.65790944661822237</v>
      </c>
      <c r="T329" s="339">
        <v>1</v>
      </c>
      <c r="U329" s="81">
        <f t="shared" si="82"/>
        <v>0</v>
      </c>
      <c r="V329" s="81" cm="1">
        <f t="array" ref="V329">_xlfn.IFS('Fiscal by Program'!$B$7&lt;10.61,0,'Fiscal by Program'!$B$7&gt;10.6,(ROUND('Fiscal by Program'!$B$7*(1+IF(D329="Yes",'Fiscal by Program'!$B$9,'Fiscal by Program'!$B$8))*T329,2)))</f>
        <v>0</v>
      </c>
      <c r="W329" s="81">
        <f t="shared" si="86"/>
        <v>0</v>
      </c>
      <c r="X329" s="81">
        <f>ROUND((R329/(1+IF(D329="Yes",'Fiscal by Program'!$B$9,'Fiscal by Program'!$B$8))),2)+0.01</f>
        <v>10.64</v>
      </c>
      <c r="Y329" s="81">
        <f t="shared" si="87"/>
        <v>17.89</v>
      </c>
      <c r="Z329" s="88">
        <v>4</v>
      </c>
      <c r="AA329" s="90">
        <f t="shared" si="83"/>
        <v>0.25</v>
      </c>
      <c r="AB329" s="75">
        <f>INDEX('[9]Service List'!$K:$K,MATCH(A329,'[9]Service List'!$F:$F,0))</f>
        <v>1272</v>
      </c>
      <c r="AC329" s="73">
        <f>INDEX('[5]Combined Bill Code List'!$P:$P,MATCH(A329,'[5]Combined Bill Code List'!$F:$F,0))</f>
        <v>0</v>
      </c>
      <c r="AD329" s="80" t="s">
        <v>729</v>
      </c>
      <c r="AE329" s="79">
        <v>1</v>
      </c>
      <c r="AF329" s="66">
        <v>0</v>
      </c>
      <c r="AG329" s="70">
        <f>ROUND(INDEX('All Trends'!D:D,MATCH($AD329,'All Trends'!$C:$C,0)),4)</f>
        <v>0.93489999999999995</v>
      </c>
      <c r="AH329" s="70">
        <f>ROUND(INDEX('All Trends'!E:E,MATCH($AD329,'All Trends'!$C:$C,0)),4)</f>
        <v>1.0002</v>
      </c>
      <c r="AI329" s="70">
        <f>ROUND(INDEX('All Trends'!F:F,MATCH($AD329,'All Trends'!$C:$C,0)),4)</f>
        <v>1.0754999999999999</v>
      </c>
      <c r="AJ329" s="70">
        <f>ROUND(INDEX('All Trends'!G:G,MATCH($AD329,'All Trends'!$C:$C,0)),4)</f>
        <v>1.0754999999999999</v>
      </c>
      <c r="AK329" s="70">
        <f>ROUND(INDEX('All Trends'!H:H,MATCH($AD329,'All Trends'!$C:$C,0)),4)</f>
        <v>1.0754999999999999</v>
      </c>
      <c r="AL329" s="74" t="s">
        <v>148</v>
      </c>
      <c r="AM329" s="92">
        <f t="shared" si="88"/>
        <v>278.56</v>
      </c>
      <c r="AN329" s="92">
        <f t="shared" si="89"/>
        <v>278.56</v>
      </c>
      <c r="AO329" s="69">
        <f t="shared" si="90"/>
        <v>0</v>
      </c>
      <c r="AP329" s="69">
        <f t="shared" si="91"/>
        <v>0</v>
      </c>
      <c r="AQ329" s="69">
        <f t="shared" si="92"/>
        <v>0</v>
      </c>
      <c r="AR329" s="69">
        <f t="shared" si="93"/>
        <v>0</v>
      </c>
      <c r="AS329" s="409"/>
      <c r="AT329" s="409"/>
      <c r="AU329" s="409"/>
    </row>
    <row r="330" spans="1:47">
      <c r="A330" s="78" t="s">
        <v>747</v>
      </c>
      <c r="B330" s="78" t="s">
        <v>747</v>
      </c>
      <c r="C330" s="78" t="s">
        <v>147</v>
      </c>
      <c r="D330" s="78" t="s">
        <v>148</v>
      </c>
      <c r="E330" s="67" t="s">
        <v>729</v>
      </c>
      <c r="F330" s="67" t="s">
        <v>244</v>
      </c>
      <c r="G330" s="67" t="str">
        <f>INDEX('[4]RT Description to Bill Matix'!$D:$D,MATCH(A330,'[4]RT Description to Bill Matix'!$M:$M,0))</f>
        <v>CDS Out-of-Home Respite</v>
      </c>
      <c r="H330" s="65" t="s">
        <v>748</v>
      </c>
      <c r="I330" s="65" t="s">
        <v>147</v>
      </c>
      <c r="J330" s="65" t="str" cm="1">
        <f t="array" ref="J330">INDEX('Rate Table Service Desc XWalk'!F:F,MATCH(1,(G330='Rate Table Service Desc XWalk'!B:B)*(E330='Rate Table Service Desc XWalk'!A:A),0))</f>
        <v>4-5-139</v>
      </c>
      <c r="K330" s="66" t="str">
        <f>INDEX('[5]Combined Bill Code List'!$A:$A,MATCH(A330,'[5]Combined Bill Code List'!$F:$F,0))</f>
        <v>1915(c) waiver</v>
      </c>
      <c r="L330" s="66" t="str">
        <f>INDEX('[6]Rate History'!$P:$P,MATCH(A330,'[6]Rate History'!$F:$F,0))</f>
        <v>1 hour</v>
      </c>
      <c r="M330" s="77">
        <f>INDEX('[7]PDF DB Service Pivot'!$C:$C,MATCH(B330,'[7]PDF DB Service Pivot'!$B:$B,0))</f>
        <v>37380.559999999998</v>
      </c>
      <c r="N330" s="77">
        <f t="shared" si="85"/>
        <v>2089.4667411961987</v>
      </c>
      <c r="O330" s="76">
        <f>INDEX('[7]PDF DB Service Pivot'!$D:$D,MATCH(B330,'[7]PDF DB Service Pivot'!$B:$B,0))</f>
        <v>37380.559999999998</v>
      </c>
      <c r="P330" s="91">
        <v>45170</v>
      </c>
      <c r="Q330" s="81">
        <v>17.89</v>
      </c>
      <c r="R330" s="81">
        <v>11.77</v>
      </c>
      <c r="S330" s="354">
        <f t="shared" si="84"/>
        <v>0.65790944661822237</v>
      </c>
      <c r="T330" s="339">
        <v>1</v>
      </c>
      <c r="U330" s="81">
        <f t="shared" si="82"/>
        <v>0</v>
      </c>
      <c r="V330" s="81" cm="1">
        <f t="array" ref="V330">_xlfn.IFS('Fiscal by Program'!$B$7&lt;10.61,0,'Fiscal by Program'!$B$7&gt;10.6,(ROUND('Fiscal by Program'!$B$7*(1+IF(D330="Yes",'Fiscal by Program'!$B$9,'Fiscal by Program'!$B$8))*T330,2)))</f>
        <v>0</v>
      </c>
      <c r="W330" s="81">
        <f t="shared" si="86"/>
        <v>0</v>
      </c>
      <c r="X330" s="81">
        <f>ROUND((R330/(1+IF(D330="Yes",'Fiscal by Program'!$B$9,'Fiscal by Program'!$B$8))),2)+0.01</f>
        <v>10.64</v>
      </c>
      <c r="Y330" s="81">
        <f t="shared" si="87"/>
        <v>17.89</v>
      </c>
      <c r="Z330" s="88">
        <v>4</v>
      </c>
      <c r="AA330" s="90">
        <f t="shared" si="83"/>
        <v>0.25</v>
      </c>
      <c r="AB330" s="75">
        <f>INDEX('[9]Service List'!$K:$K,MATCH(A330,'[9]Service List'!$F:$F,0))</f>
        <v>1275</v>
      </c>
      <c r="AC330" s="73">
        <f>INDEX('[5]Combined Bill Code List'!$P:$P,MATCH(A330,'[5]Combined Bill Code List'!$F:$F,0))</f>
        <v>0</v>
      </c>
      <c r="AD330" s="80" t="s">
        <v>729</v>
      </c>
      <c r="AE330" s="79">
        <v>1</v>
      </c>
      <c r="AF330" s="66">
        <v>0</v>
      </c>
      <c r="AG330" s="70">
        <f>ROUND(INDEX('All Trends'!D:D,MATCH($AD330,'All Trends'!$C:$C,0)),4)</f>
        <v>0.93489999999999995</v>
      </c>
      <c r="AH330" s="70">
        <f>ROUND(INDEX('All Trends'!E:E,MATCH($AD330,'All Trends'!$C:$C,0)),4)</f>
        <v>1.0002</v>
      </c>
      <c r="AI330" s="70">
        <f>ROUND(INDEX('All Trends'!F:F,MATCH($AD330,'All Trends'!$C:$C,0)),4)</f>
        <v>1.0754999999999999</v>
      </c>
      <c r="AJ330" s="70">
        <f>ROUND(INDEX('All Trends'!G:G,MATCH($AD330,'All Trends'!$C:$C,0)),4)</f>
        <v>1.0754999999999999</v>
      </c>
      <c r="AK330" s="70">
        <f>ROUND(INDEX('All Trends'!H:H,MATCH($AD330,'All Trends'!$C:$C,0)),4)</f>
        <v>1.0754999999999999</v>
      </c>
      <c r="AL330" s="74" t="s">
        <v>148</v>
      </c>
      <c r="AM330" s="92">
        <f t="shared" si="88"/>
        <v>2247.2199999999998</v>
      </c>
      <c r="AN330" s="92">
        <f t="shared" si="89"/>
        <v>2247.2199999999998</v>
      </c>
      <c r="AO330" s="69">
        <f t="shared" si="90"/>
        <v>0</v>
      </c>
      <c r="AP330" s="69">
        <f t="shared" si="91"/>
        <v>0</v>
      </c>
      <c r="AQ330" s="69">
        <f t="shared" si="92"/>
        <v>0</v>
      </c>
      <c r="AR330" s="69">
        <f t="shared" si="93"/>
        <v>0</v>
      </c>
      <c r="AS330" s="409"/>
      <c r="AT330" s="409"/>
      <c r="AU330" s="409"/>
    </row>
    <row r="331" spans="1:47">
      <c r="A331" s="78" t="s">
        <v>749</v>
      </c>
      <c r="B331" s="78" t="s">
        <v>749</v>
      </c>
      <c r="C331" s="78" t="s">
        <v>147</v>
      </c>
      <c r="D331" s="78" t="s">
        <v>148</v>
      </c>
      <c r="E331" s="67" t="s">
        <v>729</v>
      </c>
      <c r="F331" s="67" t="s">
        <v>244</v>
      </c>
      <c r="G331" s="67" t="str">
        <f>INDEX('[4]RT Description to Bill Matix'!$D:$D,MATCH(A331,'[4]RT Description to Bill Matix'!$M:$M,0))</f>
        <v>CDS Out-of-Home Respite</v>
      </c>
      <c r="H331" s="65" t="s">
        <v>750</v>
      </c>
      <c r="I331" s="65" t="s">
        <v>147</v>
      </c>
      <c r="J331" s="65" t="str" cm="1">
        <f t="array" ref="J331">INDEX('Rate Table Service Desc XWalk'!F:F,MATCH(1,(G331='Rate Table Service Desc XWalk'!B:B)*(E331='Rate Table Service Desc XWalk'!A:A),0))</f>
        <v>4-5-139</v>
      </c>
      <c r="K331" s="66" t="str">
        <f>INDEX('[5]Combined Bill Code List'!$A:$A,MATCH(A331,'[5]Combined Bill Code List'!$F:$F,0))</f>
        <v>1915(c) waiver</v>
      </c>
      <c r="L331" s="66" t="str">
        <f>INDEX('[6]Rate History'!$P:$P,MATCH(A331,'[6]Rate History'!$F:$F,0))</f>
        <v>1 hour</v>
      </c>
      <c r="M331" s="77">
        <f>INDEX('[7]PDF DB Service Pivot'!$C:$C,MATCH(B331,'[7]PDF DB Service Pivot'!$B:$B,0))</f>
        <v>9126.9</v>
      </c>
      <c r="N331" s="77">
        <f t="shared" si="85"/>
        <v>510.1676914477361</v>
      </c>
      <c r="O331" s="76">
        <f>INDEX('[7]PDF DB Service Pivot'!$D:$D,MATCH(B331,'[7]PDF DB Service Pivot'!$B:$B,0))</f>
        <v>9126.9</v>
      </c>
      <c r="P331" s="91">
        <v>45170</v>
      </c>
      <c r="Q331" s="81">
        <v>17.89</v>
      </c>
      <c r="R331" s="81">
        <v>11.77</v>
      </c>
      <c r="S331" s="354">
        <f t="shared" si="84"/>
        <v>0.65790944661822237</v>
      </c>
      <c r="T331" s="339">
        <v>1</v>
      </c>
      <c r="U331" s="81">
        <f t="shared" si="82"/>
        <v>0</v>
      </c>
      <c r="V331" s="81" cm="1">
        <f t="array" ref="V331">_xlfn.IFS('Fiscal by Program'!$B$7&lt;10.61,0,'Fiscal by Program'!$B$7&gt;10.6,(ROUND('Fiscal by Program'!$B$7*(1+IF(D331="Yes",'Fiscal by Program'!$B$9,'Fiscal by Program'!$B$8))*T331,2)))</f>
        <v>0</v>
      </c>
      <c r="W331" s="81">
        <f t="shared" si="86"/>
        <v>0</v>
      </c>
      <c r="X331" s="81">
        <f>ROUND((R331/(1+IF(D331="Yes",'Fiscal by Program'!$B$9,'Fiscal by Program'!$B$8))),2)+0.01</f>
        <v>10.64</v>
      </c>
      <c r="Y331" s="81">
        <f t="shared" si="87"/>
        <v>17.89</v>
      </c>
      <c r="Z331" s="88">
        <v>4</v>
      </c>
      <c r="AA331" s="90">
        <f t="shared" si="83"/>
        <v>0.25</v>
      </c>
      <c r="AB331" s="75">
        <f>INDEX('[9]Service List'!$K:$K,MATCH(A331,'[9]Service List'!$F:$F,0))</f>
        <v>1276</v>
      </c>
      <c r="AC331" s="73">
        <f>INDEX('[5]Combined Bill Code List'!$P:$P,MATCH(A331,'[5]Combined Bill Code List'!$F:$F,0))</f>
        <v>0</v>
      </c>
      <c r="AD331" s="80" t="s">
        <v>729</v>
      </c>
      <c r="AE331" s="79">
        <v>1</v>
      </c>
      <c r="AF331" s="66">
        <v>0</v>
      </c>
      <c r="AG331" s="70">
        <f>ROUND(INDEX('All Trends'!D:D,MATCH($AD331,'All Trends'!$C:$C,0)),4)</f>
        <v>0.93489999999999995</v>
      </c>
      <c r="AH331" s="70">
        <f>ROUND(INDEX('All Trends'!E:E,MATCH($AD331,'All Trends'!$C:$C,0)),4)</f>
        <v>1.0002</v>
      </c>
      <c r="AI331" s="70">
        <f>ROUND(INDEX('All Trends'!F:F,MATCH($AD331,'All Trends'!$C:$C,0)),4)</f>
        <v>1.0754999999999999</v>
      </c>
      <c r="AJ331" s="70">
        <f>ROUND(INDEX('All Trends'!G:G,MATCH($AD331,'All Trends'!$C:$C,0)),4)</f>
        <v>1.0754999999999999</v>
      </c>
      <c r="AK331" s="70">
        <f>ROUND(INDEX('All Trends'!H:H,MATCH($AD331,'All Trends'!$C:$C,0)),4)</f>
        <v>1.0754999999999999</v>
      </c>
      <c r="AL331" s="74" t="s">
        <v>148</v>
      </c>
      <c r="AM331" s="92">
        <f t="shared" si="88"/>
        <v>548.69000000000005</v>
      </c>
      <c r="AN331" s="92">
        <f t="shared" si="89"/>
        <v>548.69000000000005</v>
      </c>
      <c r="AO331" s="69">
        <f t="shared" si="90"/>
        <v>0</v>
      </c>
      <c r="AP331" s="69">
        <f t="shared" si="91"/>
        <v>0</v>
      </c>
      <c r="AQ331" s="69">
        <f t="shared" si="92"/>
        <v>0</v>
      </c>
      <c r="AR331" s="69">
        <f t="shared" si="93"/>
        <v>0</v>
      </c>
      <c r="AS331" s="409"/>
      <c r="AT331" s="409"/>
      <c r="AU331" s="409"/>
    </row>
    <row r="332" spans="1:47">
      <c r="A332" s="78" t="s">
        <v>751</v>
      </c>
      <c r="B332" s="78" t="s">
        <v>751</v>
      </c>
      <c r="C332" s="78" t="s">
        <v>147</v>
      </c>
      <c r="D332" s="78" t="s">
        <v>148</v>
      </c>
      <c r="E332" s="67" t="s">
        <v>729</v>
      </c>
      <c r="F332" s="67" t="s">
        <v>204</v>
      </c>
      <c r="G332" s="67" t="str">
        <f>INDEX('[4]RT Description to Bill Matix'!$D:$D,MATCH(A332,'[4]RT Description to Bill Matix'!$M:$M,0))</f>
        <v>Individualized Skills and Socialization LON 1 - On-Site</v>
      </c>
      <c r="H332" s="65" t="s">
        <v>269</v>
      </c>
      <c r="I332" s="65"/>
      <c r="J332" s="65" t="s">
        <v>752</v>
      </c>
      <c r="K332" s="66" t="str">
        <f>INDEX('[5]Combined Bill Code List'!$A:$A,MATCH(A332,'[5]Combined Bill Code List'!$F:$F,0))</f>
        <v>1915(c) waiver</v>
      </c>
      <c r="L332" s="66" t="str">
        <f>INDEX('[6]Rate History'!$P:$P,MATCH(A332,'[6]Rate History'!$F:$F,0))</f>
        <v>1 hour</v>
      </c>
      <c r="M332" s="77">
        <f>INDEX('[7]PDF DB Service Pivot'!$C:$C,MATCH(B332,'[7]PDF DB Service Pivot'!$B:$B,0))</f>
        <v>96588.25</v>
      </c>
      <c r="N332" s="77">
        <f t="shared" si="85"/>
        <v>193176.5</v>
      </c>
      <c r="O332" s="76">
        <f>INDEX('[7]PDF DB Service Pivot'!$D:$D,MATCH(B332,'[7]PDF DB Service Pivot'!$B:$B,0))</f>
        <v>631720.48</v>
      </c>
      <c r="P332" s="91">
        <v>44927</v>
      </c>
      <c r="Q332" s="81">
        <v>6.54</v>
      </c>
      <c r="R332" s="81">
        <v>2.0499999999999998</v>
      </c>
      <c r="S332" s="354">
        <f t="shared" si="84"/>
        <v>0.31345565749235471</v>
      </c>
      <c r="T332" s="339">
        <f>INDEX('[10]Billable Services'!$L:$L,MATCH(B332,'[10]Billable Services'!$O:$O,0))</f>
        <v>0.14000000000000001</v>
      </c>
      <c r="U332" s="81">
        <f t="shared" si="82"/>
        <v>0</v>
      </c>
      <c r="V332" s="81" cm="1">
        <f t="array" ref="V332">_xlfn.IFS('Fiscal by Program'!$B$7&lt;10.61,0,'Fiscal by Program'!$B$7&gt;10.6,(ROUND('Fiscal by Program'!$B$7*(1+IF(D332="Yes",'Fiscal by Program'!$B$9,'Fiscal by Program'!$B$8))*T332,2)))</f>
        <v>0</v>
      </c>
      <c r="W332" s="81">
        <f t="shared" si="86"/>
        <v>0</v>
      </c>
      <c r="X332" s="81">
        <f>ROUND((R332/(1+IF(D332="Yes",'Fiscal by Program'!$B$9,'Fiscal by Program'!$B$8))),2)+0.01</f>
        <v>1.86</v>
      </c>
      <c r="Y332" s="81">
        <f t="shared" si="87"/>
        <v>6.54</v>
      </c>
      <c r="Z332" s="88">
        <v>4</v>
      </c>
      <c r="AA332" s="90">
        <f t="shared" si="83"/>
        <v>3.5000000000000003E-2</v>
      </c>
      <c r="AB332" s="75">
        <f>INDEX('[9]Service List'!$K:$K,MATCH(A332,'[9]Service List'!$F:$F,0))</f>
        <v>1092</v>
      </c>
      <c r="AC332" s="73">
        <f>INDEX('[5]Combined Bill Code List'!$P:$P,MATCH(A332,'[5]Combined Bill Code List'!$F:$F,0))</f>
        <v>0</v>
      </c>
      <c r="AD332" s="80" t="s">
        <v>729</v>
      </c>
      <c r="AE332" s="79">
        <v>1</v>
      </c>
      <c r="AF332" s="66">
        <v>0</v>
      </c>
      <c r="AG332" s="70">
        <f>ROUND(INDEX('All Trends'!D:D,MATCH($AD332,'All Trends'!$C:$C,0)),4)</f>
        <v>0.93489999999999995</v>
      </c>
      <c r="AH332" s="70">
        <f>ROUND(INDEX('All Trends'!E:E,MATCH($AD332,'All Trends'!$C:$C,0)),4)</f>
        <v>1.0002</v>
      </c>
      <c r="AI332" s="70">
        <f>ROUND(INDEX('All Trends'!F:F,MATCH($AD332,'All Trends'!$C:$C,0)),4)</f>
        <v>1.0754999999999999</v>
      </c>
      <c r="AJ332" s="70">
        <f>ROUND(INDEX('All Trends'!G:G,MATCH($AD332,'All Trends'!$C:$C,0)),4)</f>
        <v>1.0754999999999999</v>
      </c>
      <c r="AK332" s="70">
        <f>ROUND(INDEX('All Trends'!H:H,MATCH($AD332,'All Trends'!$C:$C,0)),4)</f>
        <v>1.0754999999999999</v>
      </c>
      <c r="AL332" s="74" t="s">
        <v>148</v>
      </c>
      <c r="AM332" s="92">
        <f t="shared" si="88"/>
        <v>29086.59</v>
      </c>
      <c r="AN332" s="92">
        <f t="shared" si="89"/>
        <v>29086.59</v>
      </c>
      <c r="AO332" s="69">
        <f t="shared" si="90"/>
        <v>0</v>
      </c>
      <c r="AP332" s="69">
        <f t="shared" si="91"/>
        <v>0</v>
      </c>
      <c r="AQ332" s="69">
        <f t="shared" si="92"/>
        <v>0</v>
      </c>
      <c r="AR332" s="69">
        <f t="shared" si="93"/>
        <v>0</v>
      </c>
      <c r="AS332" s="409"/>
      <c r="AT332" s="409"/>
      <c r="AU332" s="409"/>
    </row>
    <row r="333" spans="1:47">
      <c r="A333" s="78" t="s">
        <v>753</v>
      </c>
      <c r="B333" s="78" t="s">
        <v>753</v>
      </c>
      <c r="C333" s="78" t="s">
        <v>147</v>
      </c>
      <c r="D333" s="78" t="s">
        <v>148</v>
      </c>
      <c r="E333" s="67" t="s">
        <v>729</v>
      </c>
      <c r="F333" s="67" t="s">
        <v>204</v>
      </c>
      <c r="G333" s="67" t="str">
        <f>INDEX('[4]RT Description to Bill Matix'!$D:$D,MATCH(A333,'[4]RT Description to Bill Matix'!$M:$M,0))</f>
        <v>Individualized Skills and Socialization LON 1 - Off-Site (incl. Enhanced)</v>
      </c>
      <c r="H333" s="65" t="s">
        <v>272</v>
      </c>
      <c r="I333" s="65"/>
      <c r="J333" s="65" t="s">
        <v>752</v>
      </c>
      <c r="K333" s="66" t="str">
        <f>INDEX('[5]Combined Bill Code List'!$A:$A,MATCH(A333,'[5]Combined Bill Code List'!$F:$F,0))</f>
        <v>1915(c) waiver</v>
      </c>
      <c r="L333" s="66" t="str">
        <f>INDEX('[6]Rate History'!$P:$P,MATCH(A333,'[6]Rate History'!$F:$F,0))</f>
        <v>1 hour</v>
      </c>
      <c r="M333" s="77">
        <f>INDEX('[7]PDF DB Service Pivot'!$C:$C,MATCH(B333,'[7]PDF DB Service Pivot'!$B:$B,0))</f>
        <v>12918.75</v>
      </c>
      <c r="N333" s="77">
        <f t="shared" si="85"/>
        <v>25837.5</v>
      </c>
      <c r="O333" s="76">
        <f>INDEX('[7]PDF DB Service Pivot'!$D:$D,MATCH(B333,'[7]PDF DB Service Pivot'!$B:$B,0))</f>
        <v>122087.15</v>
      </c>
      <c r="P333" s="91">
        <v>44927</v>
      </c>
      <c r="Q333" s="81">
        <v>9.4499999999999993</v>
      </c>
      <c r="R333" s="81">
        <v>1.76</v>
      </c>
      <c r="S333" s="354">
        <f t="shared" si="84"/>
        <v>0.18624338624338627</v>
      </c>
      <c r="T333" s="339">
        <f>INDEX('[10]Billable Services'!$L:$L,MATCH(B333,'[10]Billable Services'!$O:$O,0))</f>
        <v>0.13</v>
      </c>
      <c r="U333" s="81">
        <f t="shared" si="82"/>
        <v>0</v>
      </c>
      <c r="V333" s="81" cm="1">
        <f t="array" ref="V333">_xlfn.IFS('Fiscal by Program'!$B$7&lt;10.61,0,'Fiscal by Program'!$B$7&gt;10.6,(ROUND('Fiscal by Program'!$B$7*(1+IF(D333="Yes",'Fiscal by Program'!$B$9,'Fiscal by Program'!$B$8))*T333,2)))</f>
        <v>0</v>
      </c>
      <c r="W333" s="81">
        <f t="shared" si="86"/>
        <v>0</v>
      </c>
      <c r="X333" s="81">
        <f>ROUND((R333/(1+IF(D333="Yes",'Fiscal by Program'!$B$9,'Fiscal by Program'!$B$8))),2)+0.01</f>
        <v>1.6</v>
      </c>
      <c r="Y333" s="81">
        <f t="shared" si="87"/>
        <v>9.4499999999999993</v>
      </c>
      <c r="Z333" s="88">
        <v>4</v>
      </c>
      <c r="AA333" s="90">
        <f t="shared" si="83"/>
        <v>3.2500000000000001E-2</v>
      </c>
      <c r="AB333" s="75">
        <f>INDEX('[9]Service List'!$K:$K,MATCH(A333,'[9]Service List'!$F:$F,0))</f>
        <v>1093</v>
      </c>
      <c r="AC333" s="73">
        <f>INDEX('[5]Combined Bill Code List'!$P:$P,MATCH(A333,'[5]Combined Bill Code List'!$F:$F,0))</f>
        <v>0</v>
      </c>
      <c r="AD333" s="80" t="s">
        <v>729</v>
      </c>
      <c r="AE333" s="79">
        <v>1</v>
      </c>
      <c r="AF333" s="66">
        <v>0</v>
      </c>
      <c r="AG333" s="70">
        <f>ROUND(INDEX('All Trends'!D:D,MATCH($AD333,'All Trends'!$C:$C,0)),4)</f>
        <v>0.93489999999999995</v>
      </c>
      <c r="AH333" s="70">
        <f>ROUND(INDEX('All Trends'!E:E,MATCH($AD333,'All Trends'!$C:$C,0)),4)</f>
        <v>1.0002</v>
      </c>
      <c r="AI333" s="70">
        <f>ROUND(INDEX('All Trends'!F:F,MATCH($AD333,'All Trends'!$C:$C,0)),4)</f>
        <v>1.0754999999999999</v>
      </c>
      <c r="AJ333" s="70">
        <f>ROUND(INDEX('All Trends'!G:G,MATCH($AD333,'All Trends'!$C:$C,0)),4)</f>
        <v>1.0754999999999999</v>
      </c>
      <c r="AK333" s="70">
        <f>ROUND(INDEX('All Trends'!H:H,MATCH($AD333,'All Trends'!$C:$C,0)),4)</f>
        <v>1.0754999999999999</v>
      </c>
      <c r="AL333" s="74" t="s">
        <v>148</v>
      </c>
      <c r="AM333" s="92">
        <f t="shared" si="88"/>
        <v>3612.47</v>
      </c>
      <c r="AN333" s="92">
        <f t="shared" si="89"/>
        <v>3612.47</v>
      </c>
      <c r="AO333" s="69">
        <f t="shared" si="90"/>
        <v>0</v>
      </c>
      <c r="AP333" s="69">
        <f t="shared" si="91"/>
        <v>0</v>
      </c>
      <c r="AQ333" s="69">
        <f t="shared" si="92"/>
        <v>0</v>
      </c>
      <c r="AR333" s="69">
        <f t="shared" si="93"/>
        <v>0</v>
      </c>
      <c r="AS333" s="409"/>
      <c r="AT333" s="409"/>
      <c r="AU333" s="409"/>
    </row>
    <row r="334" spans="1:47">
      <c r="A334" s="78" t="s">
        <v>754</v>
      </c>
      <c r="B334" s="78" t="s">
        <v>754</v>
      </c>
      <c r="C334" s="78" t="s">
        <v>147</v>
      </c>
      <c r="D334" s="78" t="s">
        <v>148</v>
      </c>
      <c r="E334" s="67" t="s">
        <v>729</v>
      </c>
      <c r="F334" s="67" t="s">
        <v>204</v>
      </c>
      <c r="G334" s="67" t="str">
        <f>INDEX('[4]RT Description to Bill Matix'!$D:$D,MATCH(A334,'[4]RT Description to Bill Matix'!$M:$M,0))</f>
        <v>Individualized Skills and Socialization LON 1 - On-Site</v>
      </c>
      <c r="H334" s="65" t="s">
        <v>276</v>
      </c>
      <c r="I334" s="65"/>
      <c r="J334" s="65" t="s">
        <v>752</v>
      </c>
      <c r="K334" s="66" t="str">
        <f>INDEX('[5]Combined Bill Code List'!$A:$A,MATCH(A334,'[5]Combined Bill Code List'!$F:$F,0))</f>
        <v>1915(c) waiver</v>
      </c>
      <c r="L334" s="66" t="str">
        <f>INDEX('[6]Rate History'!$P:$P,MATCH(A334,'[6]Rate History'!$F:$F,0))</f>
        <v>1 hour</v>
      </c>
      <c r="M334" s="77">
        <f>INDEX('[7]PDF DB Service Pivot'!$C:$C,MATCH(B334,'[7]PDF DB Service Pivot'!$B:$B,0))</f>
        <v>1732.5</v>
      </c>
      <c r="N334" s="77">
        <f t="shared" si="85"/>
        <v>3465</v>
      </c>
      <c r="O334" s="76">
        <f>INDEX('[7]PDF DB Service Pivot'!$D:$D,MATCH(B334,'[7]PDF DB Service Pivot'!$B:$B,0))</f>
        <v>11330.77</v>
      </c>
      <c r="P334" s="91">
        <v>44927</v>
      </c>
      <c r="Q334" s="81">
        <v>6.54</v>
      </c>
      <c r="R334" s="81">
        <v>2.0499999999999998</v>
      </c>
      <c r="S334" s="354">
        <f t="shared" si="84"/>
        <v>0.31345565749235471</v>
      </c>
      <c r="T334" s="339">
        <f>INDEX('[10]Billable Services'!$L:$L,MATCH(B334,'[10]Billable Services'!$O:$O,0))</f>
        <v>0.14000000000000001</v>
      </c>
      <c r="U334" s="81">
        <f t="shared" si="82"/>
        <v>0</v>
      </c>
      <c r="V334" s="81" cm="1">
        <f t="array" ref="V334">_xlfn.IFS('Fiscal by Program'!$B$7&lt;10.61,0,'Fiscal by Program'!$B$7&gt;10.6,(ROUND('Fiscal by Program'!$B$7*(1+IF(D334="Yes",'Fiscal by Program'!$B$9,'Fiscal by Program'!$B$8))*T334,2)))</f>
        <v>0</v>
      </c>
      <c r="W334" s="81">
        <f t="shared" si="86"/>
        <v>0</v>
      </c>
      <c r="X334" s="81">
        <f>ROUND((R334/(1+IF(D334="Yes",'Fiscal by Program'!$B$9,'Fiscal by Program'!$B$8))),2)+0.01</f>
        <v>1.86</v>
      </c>
      <c r="Y334" s="81">
        <f t="shared" si="87"/>
        <v>6.54</v>
      </c>
      <c r="Z334" s="88">
        <v>4</v>
      </c>
      <c r="AA334" s="90">
        <f t="shared" si="83"/>
        <v>3.5000000000000003E-2</v>
      </c>
      <c r="AB334" s="75">
        <f>INDEX('[9]Service List'!$K:$K,MATCH(A334,'[9]Service List'!$F:$F,0))</f>
        <v>1094</v>
      </c>
      <c r="AC334" s="73">
        <f>INDEX('[5]Combined Bill Code List'!$P:$P,MATCH(A334,'[5]Combined Bill Code List'!$F:$F,0))</f>
        <v>0</v>
      </c>
      <c r="AD334" s="80" t="s">
        <v>729</v>
      </c>
      <c r="AE334" s="79">
        <v>1</v>
      </c>
      <c r="AF334" s="66">
        <v>0</v>
      </c>
      <c r="AG334" s="70">
        <f>ROUND(INDEX('All Trends'!D:D,MATCH($AD334,'All Trends'!$C:$C,0)),4)</f>
        <v>0.93489999999999995</v>
      </c>
      <c r="AH334" s="70">
        <f>ROUND(INDEX('All Trends'!E:E,MATCH($AD334,'All Trends'!$C:$C,0)),4)</f>
        <v>1.0002</v>
      </c>
      <c r="AI334" s="70">
        <f>ROUND(INDEX('All Trends'!F:F,MATCH($AD334,'All Trends'!$C:$C,0)),4)</f>
        <v>1.0754999999999999</v>
      </c>
      <c r="AJ334" s="70">
        <f>ROUND(INDEX('All Trends'!G:G,MATCH($AD334,'All Trends'!$C:$C,0)),4)</f>
        <v>1.0754999999999999</v>
      </c>
      <c r="AK334" s="70">
        <f>ROUND(INDEX('All Trends'!H:H,MATCH($AD334,'All Trends'!$C:$C,0)),4)</f>
        <v>1.0754999999999999</v>
      </c>
      <c r="AL334" s="74" t="s">
        <v>148</v>
      </c>
      <c r="AM334" s="92">
        <f t="shared" si="88"/>
        <v>521.73</v>
      </c>
      <c r="AN334" s="92">
        <f t="shared" si="89"/>
        <v>521.73</v>
      </c>
      <c r="AO334" s="69">
        <f t="shared" si="90"/>
        <v>0</v>
      </c>
      <c r="AP334" s="69">
        <f t="shared" si="91"/>
        <v>0</v>
      </c>
      <c r="AQ334" s="69">
        <f t="shared" si="92"/>
        <v>0</v>
      </c>
      <c r="AR334" s="69">
        <f t="shared" si="93"/>
        <v>0</v>
      </c>
      <c r="AS334" s="409"/>
      <c r="AT334" s="409"/>
      <c r="AU334" s="409"/>
    </row>
    <row r="335" spans="1:47">
      <c r="A335" s="78" t="s">
        <v>755</v>
      </c>
      <c r="B335" s="78" t="s">
        <v>755</v>
      </c>
      <c r="C335" s="78" t="s">
        <v>147</v>
      </c>
      <c r="D335" s="78" t="s">
        <v>148</v>
      </c>
      <c r="E335" s="67" t="s">
        <v>729</v>
      </c>
      <c r="F335" s="67" t="s">
        <v>204</v>
      </c>
      <c r="G335" s="67" t="str">
        <f>INDEX('[4]RT Description to Bill Matix'!$D:$D,MATCH(A335,'[4]RT Description to Bill Matix'!$M:$M,0))</f>
        <v>Individualized Skills and Socialization LON 5 - On-Site</v>
      </c>
      <c r="H335" s="65" t="s">
        <v>278</v>
      </c>
      <c r="I335" s="65"/>
      <c r="J335" s="65" t="s">
        <v>752</v>
      </c>
      <c r="K335" s="66" t="str">
        <f>INDEX('[5]Combined Bill Code List'!$A:$A,MATCH(A335,'[5]Combined Bill Code List'!$F:$F,0))</f>
        <v>1915(c) waiver</v>
      </c>
      <c r="L335" s="66" t="str">
        <f>INDEX('[6]Rate History'!$P:$P,MATCH(A335,'[6]Rate History'!$F:$F,0))</f>
        <v>1 hour</v>
      </c>
      <c r="M335" s="77">
        <f>INDEX('[7]PDF DB Service Pivot'!$C:$C,MATCH(B335,'[7]PDF DB Service Pivot'!$B:$B,0))</f>
        <v>92711.75</v>
      </c>
      <c r="N335" s="77">
        <f t="shared" si="85"/>
        <v>185423.5</v>
      </c>
      <c r="O335" s="76">
        <f>INDEX('[7]PDF DB Service Pivot'!$D:$D,MATCH(B335,'[7]PDF DB Service Pivot'!$B:$B,0))</f>
        <v>693483.89</v>
      </c>
      <c r="P335" s="91">
        <v>44927</v>
      </c>
      <c r="Q335" s="81">
        <v>7.48</v>
      </c>
      <c r="R335" s="81">
        <v>2.87</v>
      </c>
      <c r="S335" s="354">
        <f t="shared" si="84"/>
        <v>0.38368983957219249</v>
      </c>
      <c r="T335" s="339">
        <f>INDEX('[10]Billable Services'!$L:$L,MATCH(B335,'[10]Billable Services'!$O:$O,0))</f>
        <v>0.2</v>
      </c>
      <c r="U335" s="81">
        <f t="shared" si="82"/>
        <v>0</v>
      </c>
      <c r="V335" s="81" cm="1">
        <f t="array" ref="V335">_xlfn.IFS('Fiscal by Program'!$B$7&lt;10.61,0,'Fiscal by Program'!$B$7&gt;10.6,(ROUND('Fiscal by Program'!$B$7*(1+IF(D335="Yes",'Fiscal by Program'!$B$9,'Fiscal by Program'!$B$8))*T335,2)))</f>
        <v>0</v>
      </c>
      <c r="W335" s="81">
        <f t="shared" si="86"/>
        <v>0</v>
      </c>
      <c r="X335" s="81">
        <f>ROUND((R335/(1+IF(D335="Yes",'Fiscal by Program'!$B$9,'Fiscal by Program'!$B$8))),2)+0.01</f>
        <v>2.5999999999999996</v>
      </c>
      <c r="Y335" s="81">
        <f t="shared" si="87"/>
        <v>7.48</v>
      </c>
      <c r="Z335" s="88">
        <v>4</v>
      </c>
      <c r="AA335" s="90">
        <f t="shared" si="83"/>
        <v>0.05</v>
      </c>
      <c r="AB335" s="75">
        <f>INDEX('[9]Service List'!$K:$K,MATCH(A335,'[9]Service List'!$F:$F,0))</f>
        <v>1095</v>
      </c>
      <c r="AC335" s="73">
        <f>INDEX('[5]Combined Bill Code List'!$P:$P,MATCH(A335,'[5]Combined Bill Code List'!$F:$F,0))</f>
        <v>0</v>
      </c>
      <c r="AD335" s="80" t="s">
        <v>729</v>
      </c>
      <c r="AE335" s="79">
        <v>1</v>
      </c>
      <c r="AF335" s="66">
        <v>0</v>
      </c>
      <c r="AG335" s="70">
        <f>ROUND(INDEX('All Trends'!D:D,MATCH($AD335,'All Trends'!$C:$C,0)),4)</f>
        <v>0.93489999999999995</v>
      </c>
      <c r="AH335" s="70">
        <f>ROUND(INDEX('All Trends'!E:E,MATCH($AD335,'All Trends'!$C:$C,0)),4)</f>
        <v>1.0002</v>
      </c>
      <c r="AI335" s="70">
        <f>ROUND(INDEX('All Trends'!F:F,MATCH($AD335,'All Trends'!$C:$C,0)),4)</f>
        <v>1.0754999999999999</v>
      </c>
      <c r="AJ335" s="70">
        <f>ROUND(INDEX('All Trends'!G:G,MATCH($AD335,'All Trends'!$C:$C,0)),4)</f>
        <v>1.0754999999999999</v>
      </c>
      <c r="AK335" s="70">
        <f>ROUND(INDEX('All Trends'!H:H,MATCH($AD335,'All Trends'!$C:$C,0)),4)</f>
        <v>1.0754999999999999</v>
      </c>
      <c r="AL335" s="74" t="s">
        <v>148</v>
      </c>
      <c r="AM335" s="92">
        <f t="shared" si="88"/>
        <v>39884.589999999997</v>
      </c>
      <c r="AN335" s="92">
        <f t="shared" si="89"/>
        <v>39884.589999999997</v>
      </c>
      <c r="AO335" s="69">
        <f t="shared" si="90"/>
        <v>0</v>
      </c>
      <c r="AP335" s="69">
        <f t="shared" si="91"/>
        <v>0</v>
      </c>
      <c r="AQ335" s="69">
        <f t="shared" si="92"/>
        <v>0</v>
      </c>
      <c r="AR335" s="69">
        <f t="shared" si="93"/>
        <v>0</v>
      </c>
      <c r="AS335" s="409"/>
      <c r="AT335" s="409"/>
      <c r="AU335" s="409"/>
    </row>
    <row r="336" spans="1:47">
      <c r="A336" s="78" t="s">
        <v>756</v>
      </c>
      <c r="B336" s="78" t="s">
        <v>756</v>
      </c>
      <c r="C336" s="78" t="s">
        <v>147</v>
      </c>
      <c r="D336" s="78" t="s">
        <v>148</v>
      </c>
      <c r="E336" s="67" t="s">
        <v>729</v>
      </c>
      <c r="F336" s="67" t="s">
        <v>204</v>
      </c>
      <c r="G336" s="67" t="str">
        <f>INDEX('[4]RT Description to Bill Matix'!$D:$D,MATCH(A336,'[4]RT Description to Bill Matix'!$M:$M,0))</f>
        <v>Individualized Skills and Socialization LON 5 - Off-Site (incl. Enhanced)</v>
      </c>
      <c r="H336" s="65" t="s">
        <v>280</v>
      </c>
      <c r="I336" s="65"/>
      <c r="J336" s="65" t="s">
        <v>752</v>
      </c>
      <c r="K336" s="66" t="str">
        <f>INDEX('[5]Combined Bill Code List'!$A:$A,MATCH(A336,'[5]Combined Bill Code List'!$F:$F,0))</f>
        <v>1915(c) waiver</v>
      </c>
      <c r="L336" s="66" t="str">
        <f>INDEX('[6]Rate History'!$P:$P,MATCH(A336,'[6]Rate History'!$F:$F,0))</f>
        <v>1 hour</v>
      </c>
      <c r="M336" s="77">
        <f>INDEX('[7]PDF DB Service Pivot'!$C:$C,MATCH(B336,'[7]PDF DB Service Pivot'!$B:$B,0))</f>
        <v>10985.75</v>
      </c>
      <c r="N336" s="77">
        <f t="shared" si="85"/>
        <v>21971.5</v>
      </c>
      <c r="O336" s="76">
        <f>INDEX('[7]PDF DB Service Pivot'!$D:$D,MATCH(B336,'[7]PDF DB Service Pivot'!$B:$B,0))</f>
        <v>103819.66</v>
      </c>
      <c r="P336" s="91">
        <v>44927</v>
      </c>
      <c r="Q336" s="81">
        <v>9.4499999999999993</v>
      </c>
      <c r="R336" s="81">
        <v>1.76</v>
      </c>
      <c r="S336" s="354">
        <f t="shared" si="84"/>
        <v>0.18624338624338627</v>
      </c>
      <c r="T336" s="339">
        <f>INDEX('[10]Billable Services'!$L:$L,MATCH(B336,'[10]Billable Services'!$O:$O,0))</f>
        <v>0.13</v>
      </c>
      <c r="U336" s="81">
        <f t="shared" si="82"/>
        <v>0</v>
      </c>
      <c r="V336" s="81" cm="1">
        <f t="array" ref="V336">_xlfn.IFS('Fiscal by Program'!$B$7&lt;10.61,0,'Fiscal by Program'!$B$7&gt;10.6,(ROUND('Fiscal by Program'!$B$7*(1+IF(D336="Yes",'Fiscal by Program'!$B$9,'Fiscal by Program'!$B$8))*T336,2)))</f>
        <v>0</v>
      </c>
      <c r="W336" s="81">
        <f t="shared" si="86"/>
        <v>0</v>
      </c>
      <c r="X336" s="81">
        <f>ROUND((R336/(1+IF(D336="Yes",'Fiscal by Program'!$B$9,'Fiscal by Program'!$B$8))),2)+0.01</f>
        <v>1.6</v>
      </c>
      <c r="Y336" s="81">
        <f t="shared" si="87"/>
        <v>9.4499999999999993</v>
      </c>
      <c r="Z336" s="88">
        <v>4</v>
      </c>
      <c r="AA336" s="90">
        <f t="shared" si="83"/>
        <v>3.2500000000000001E-2</v>
      </c>
      <c r="AB336" s="75">
        <f>INDEX('[9]Service List'!$K:$K,MATCH(A336,'[9]Service List'!$F:$F,0))</f>
        <v>1096</v>
      </c>
      <c r="AC336" s="73">
        <f>INDEX('[5]Combined Bill Code List'!$P:$P,MATCH(A336,'[5]Combined Bill Code List'!$F:$F,0))</f>
        <v>0</v>
      </c>
      <c r="AD336" s="80" t="s">
        <v>729</v>
      </c>
      <c r="AE336" s="79">
        <v>1</v>
      </c>
      <c r="AF336" s="66">
        <v>0</v>
      </c>
      <c r="AG336" s="70">
        <f>ROUND(INDEX('All Trends'!D:D,MATCH($AD336,'All Trends'!$C:$C,0)),4)</f>
        <v>0.93489999999999995</v>
      </c>
      <c r="AH336" s="70">
        <f>ROUND(INDEX('All Trends'!E:E,MATCH($AD336,'All Trends'!$C:$C,0)),4)</f>
        <v>1.0002</v>
      </c>
      <c r="AI336" s="70">
        <f>ROUND(INDEX('All Trends'!F:F,MATCH($AD336,'All Trends'!$C:$C,0)),4)</f>
        <v>1.0754999999999999</v>
      </c>
      <c r="AJ336" s="70">
        <f>ROUND(INDEX('All Trends'!G:G,MATCH($AD336,'All Trends'!$C:$C,0)),4)</f>
        <v>1.0754999999999999</v>
      </c>
      <c r="AK336" s="70">
        <f>ROUND(INDEX('All Trends'!H:H,MATCH($AD336,'All Trends'!$C:$C,0)),4)</f>
        <v>1.0754999999999999</v>
      </c>
      <c r="AL336" s="74" t="s">
        <v>148</v>
      </c>
      <c r="AM336" s="92">
        <f t="shared" si="88"/>
        <v>3071.95</v>
      </c>
      <c r="AN336" s="92">
        <f t="shared" si="89"/>
        <v>3071.95</v>
      </c>
      <c r="AO336" s="69">
        <f t="shared" si="90"/>
        <v>0</v>
      </c>
      <c r="AP336" s="69">
        <f t="shared" si="91"/>
        <v>0</v>
      </c>
      <c r="AQ336" s="69">
        <f t="shared" si="92"/>
        <v>0</v>
      </c>
      <c r="AR336" s="69">
        <f t="shared" si="93"/>
        <v>0</v>
      </c>
      <c r="AS336" s="409"/>
      <c r="AT336" s="409"/>
      <c r="AU336" s="409"/>
    </row>
    <row r="337" spans="1:47">
      <c r="A337" s="78" t="s">
        <v>757</v>
      </c>
      <c r="B337" s="78" t="s">
        <v>757</v>
      </c>
      <c r="C337" s="78" t="s">
        <v>147</v>
      </c>
      <c r="D337" s="78" t="s">
        <v>148</v>
      </c>
      <c r="E337" s="67" t="s">
        <v>729</v>
      </c>
      <c r="F337" s="67" t="s">
        <v>204</v>
      </c>
      <c r="G337" s="67" t="str">
        <f>INDEX('[4]RT Description to Bill Matix'!$D:$D,MATCH(A337,'[4]RT Description to Bill Matix'!$M:$M,0))</f>
        <v>Individualized Skills and Socialization LON 5 - On-Site</v>
      </c>
      <c r="H337" s="65" t="s">
        <v>284</v>
      </c>
      <c r="I337" s="65"/>
      <c r="J337" s="65" t="s">
        <v>752</v>
      </c>
      <c r="K337" s="66" t="str">
        <f>INDEX('[5]Combined Bill Code List'!$A:$A,MATCH(A337,'[5]Combined Bill Code List'!$F:$F,0))</f>
        <v>1915(c) waiver</v>
      </c>
      <c r="L337" s="66" t="str">
        <f>INDEX('[6]Rate History'!$P:$P,MATCH(A337,'[6]Rate History'!$F:$F,0))</f>
        <v>1 hour</v>
      </c>
      <c r="M337" s="77">
        <f>INDEX('[7]PDF DB Service Pivot'!$C:$C,MATCH(B337,'[7]PDF DB Service Pivot'!$B:$B,0))</f>
        <v>8758.75</v>
      </c>
      <c r="N337" s="77">
        <f t="shared" si="85"/>
        <v>17517.5</v>
      </c>
      <c r="O337" s="76">
        <f>INDEX('[7]PDF DB Service Pivot'!$D:$D,MATCH(B337,'[7]PDF DB Service Pivot'!$B:$B,0))</f>
        <v>65515.45</v>
      </c>
      <c r="P337" s="91">
        <v>44927</v>
      </c>
      <c r="Q337" s="81">
        <v>7.48</v>
      </c>
      <c r="R337" s="81">
        <v>2.87</v>
      </c>
      <c r="S337" s="354">
        <f t="shared" si="84"/>
        <v>0.38368983957219249</v>
      </c>
      <c r="T337" s="339">
        <f>INDEX('[10]Billable Services'!$L:$L,MATCH(B337,'[10]Billable Services'!$O:$O,0))</f>
        <v>0.2</v>
      </c>
      <c r="U337" s="81">
        <f t="shared" si="82"/>
        <v>0</v>
      </c>
      <c r="V337" s="81" cm="1">
        <f t="array" ref="V337">_xlfn.IFS('Fiscal by Program'!$B$7&lt;10.61,0,'Fiscal by Program'!$B$7&gt;10.6,(ROUND('Fiscal by Program'!$B$7*(1+IF(D337="Yes",'Fiscal by Program'!$B$9,'Fiscal by Program'!$B$8))*T337,2)))</f>
        <v>0</v>
      </c>
      <c r="W337" s="81">
        <f t="shared" si="86"/>
        <v>0</v>
      </c>
      <c r="X337" s="81">
        <f>ROUND((R337/(1+IF(D337="Yes",'Fiscal by Program'!$B$9,'Fiscal by Program'!$B$8))),2)+0.01</f>
        <v>2.5999999999999996</v>
      </c>
      <c r="Y337" s="81">
        <f t="shared" si="87"/>
        <v>7.48</v>
      </c>
      <c r="Z337" s="88">
        <v>4</v>
      </c>
      <c r="AA337" s="90">
        <f t="shared" si="83"/>
        <v>0.05</v>
      </c>
      <c r="AB337" s="75">
        <f>INDEX('[9]Service List'!$K:$K,MATCH(A337,'[9]Service List'!$F:$F,0))</f>
        <v>1097</v>
      </c>
      <c r="AC337" s="73">
        <f>INDEX('[5]Combined Bill Code List'!$P:$P,MATCH(A337,'[5]Combined Bill Code List'!$F:$F,0))</f>
        <v>0</v>
      </c>
      <c r="AD337" s="80" t="s">
        <v>729</v>
      </c>
      <c r="AE337" s="79">
        <v>1</v>
      </c>
      <c r="AF337" s="66">
        <v>0</v>
      </c>
      <c r="AG337" s="70">
        <f>ROUND(INDEX('All Trends'!D:D,MATCH($AD337,'All Trends'!$C:$C,0)),4)</f>
        <v>0.93489999999999995</v>
      </c>
      <c r="AH337" s="70">
        <f>ROUND(INDEX('All Trends'!E:E,MATCH($AD337,'All Trends'!$C:$C,0)),4)</f>
        <v>1.0002</v>
      </c>
      <c r="AI337" s="70">
        <f>ROUND(INDEX('All Trends'!F:F,MATCH($AD337,'All Trends'!$C:$C,0)),4)</f>
        <v>1.0754999999999999</v>
      </c>
      <c r="AJ337" s="70">
        <f>ROUND(INDEX('All Trends'!G:G,MATCH($AD337,'All Trends'!$C:$C,0)),4)</f>
        <v>1.0754999999999999</v>
      </c>
      <c r="AK337" s="70">
        <f>ROUND(INDEX('All Trends'!H:H,MATCH($AD337,'All Trends'!$C:$C,0)),4)</f>
        <v>1.0754999999999999</v>
      </c>
      <c r="AL337" s="74" t="s">
        <v>148</v>
      </c>
      <c r="AM337" s="92">
        <f t="shared" si="88"/>
        <v>3768.01</v>
      </c>
      <c r="AN337" s="92">
        <f t="shared" si="89"/>
        <v>3768.01</v>
      </c>
      <c r="AO337" s="69">
        <f t="shared" si="90"/>
        <v>0</v>
      </c>
      <c r="AP337" s="69">
        <f t="shared" si="91"/>
        <v>0</v>
      </c>
      <c r="AQ337" s="69">
        <f t="shared" si="92"/>
        <v>0</v>
      </c>
      <c r="AR337" s="69">
        <f t="shared" si="93"/>
        <v>0</v>
      </c>
      <c r="AS337" s="409"/>
      <c r="AT337" s="409"/>
      <c r="AU337" s="409"/>
    </row>
    <row r="338" spans="1:47">
      <c r="A338" s="78" t="s">
        <v>758</v>
      </c>
      <c r="B338" s="78" t="s">
        <v>758</v>
      </c>
      <c r="C338" s="78" t="s">
        <v>147</v>
      </c>
      <c r="D338" s="78" t="s">
        <v>148</v>
      </c>
      <c r="E338" s="67" t="s">
        <v>729</v>
      </c>
      <c r="F338" s="67" t="s">
        <v>204</v>
      </c>
      <c r="G338" s="67" t="str">
        <f>INDEX('[4]RT Description to Bill Matix'!$D:$D,MATCH(A338,'[4]RT Description to Bill Matix'!$M:$M,0))</f>
        <v>Individualized Skills and Socialization LON 6 - On-Site</v>
      </c>
      <c r="H338" s="65" t="s">
        <v>286</v>
      </c>
      <c r="I338" s="65"/>
      <c r="J338" s="65" t="s">
        <v>752</v>
      </c>
      <c r="K338" s="66" t="str">
        <f>INDEX('[5]Combined Bill Code List'!$A:$A,MATCH(A338,'[5]Combined Bill Code List'!$F:$F,0))</f>
        <v>1915(c) waiver</v>
      </c>
      <c r="L338" s="66" t="str">
        <f>INDEX('[6]Rate History'!$P:$P,MATCH(A338,'[6]Rate History'!$F:$F,0))</f>
        <v>1 hour</v>
      </c>
      <c r="M338" s="77">
        <f>INDEX('[7]PDF DB Service Pivot'!$C:$C,MATCH(B338,'[7]PDF DB Service Pivot'!$B:$B,0))</f>
        <v>689.5</v>
      </c>
      <c r="N338" s="77">
        <f t="shared" si="85"/>
        <v>1379</v>
      </c>
      <c r="O338" s="76">
        <f>INDEX('[7]PDF DB Service Pivot'!$D:$D,MATCH(B338,'[7]PDF DB Service Pivot'!$B:$B,0))</f>
        <v>6653.86</v>
      </c>
      <c r="P338" s="91">
        <v>44927</v>
      </c>
      <c r="Q338" s="81">
        <v>9.65</v>
      </c>
      <c r="R338" s="81">
        <v>4.79</v>
      </c>
      <c r="S338" s="354">
        <f t="shared" si="84"/>
        <v>0.49637305699481865</v>
      </c>
      <c r="T338" s="339">
        <f>INDEX('[10]Billable Services'!$L:$L,MATCH(B338,'[10]Billable Services'!$O:$O,0))</f>
        <v>0.33</v>
      </c>
      <c r="U338" s="81">
        <f t="shared" si="82"/>
        <v>0</v>
      </c>
      <c r="V338" s="81" cm="1">
        <f t="array" ref="V338">_xlfn.IFS('Fiscal by Program'!$B$7&lt;10.61,0,'Fiscal by Program'!$B$7&gt;10.6,(ROUND('Fiscal by Program'!$B$7*(1+IF(D338="Yes",'Fiscal by Program'!$B$9,'Fiscal by Program'!$B$8))*T338,2)))</f>
        <v>0</v>
      </c>
      <c r="W338" s="81">
        <f t="shared" si="86"/>
        <v>0</v>
      </c>
      <c r="X338" s="81">
        <f>ROUND((R338/(1+IF(D338="Yes",'Fiscal by Program'!$B$9,'Fiscal by Program'!$B$8))),2)+0.01</f>
        <v>4.34</v>
      </c>
      <c r="Y338" s="81">
        <f t="shared" si="87"/>
        <v>9.65</v>
      </c>
      <c r="Z338" s="88">
        <v>4</v>
      </c>
      <c r="AA338" s="90">
        <f t="shared" si="83"/>
        <v>8.2500000000000004E-2</v>
      </c>
      <c r="AB338" s="75">
        <f>INDEX('[9]Service List'!$K:$K,MATCH(A338,'[9]Service List'!$F:$F,0))</f>
        <v>1098</v>
      </c>
      <c r="AC338" s="73">
        <f>INDEX('[5]Combined Bill Code List'!$P:$P,MATCH(A338,'[5]Combined Bill Code List'!$F:$F,0))</f>
        <v>0</v>
      </c>
      <c r="AD338" s="80" t="s">
        <v>729</v>
      </c>
      <c r="AE338" s="79">
        <v>1</v>
      </c>
      <c r="AF338" s="66">
        <v>0</v>
      </c>
      <c r="AG338" s="70">
        <f>ROUND(INDEX('All Trends'!D:D,MATCH($AD338,'All Trends'!$C:$C,0)),4)</f>
        <v>0.93489999999999995</v>
      </c>
      <c r="AH338" s="70">
        <f>ROUND(INDEX('All Trends'!E:E,MATCH($AD338,'All Trends'!$C:$C,0)),4)</f>
        <v>1.0002</v>
      </c>
      <c r="AI338" s="70">
        <f>ROUND(INDEX('All Trends'!F:F,MATCH($AD338,'All Trends'!$C:$C,0)),4)</f>
        <v>1.0754999999999999</v>
      </c>
      <c r="AJ338" s="70">
        <f>ROUND(INDEX('All Trends'!G:G,MATCH($AD338,'All Trends'!$C:$C,0)),4)</f>
        <v>1.0754999999999999</v>
      </c>
      <c r="AK338" s="70">
        <f>ROUND(INDEX('All Trends'!H:H,MATCH($AD338,'All Trends'!$C:$C,0)),4)</f>
        <v>1.0754999999999999</v>
      </c>
      <c r="AL338" s="74" t="s">
        <v>148</v>
      </c>
      <c r="AM338" s="92">
        <f t="shared" si="88"/>
        <v>489.43</v>
      </c>
      <c r="AN338" s="92">
        <f t="shared" si="89"/>
        <v>489.43</v>
      </c>
      <c r="AO338" s="69">
        <f t="shared" si="90"/>
        <v>0</v>
      </c>
      <c r="AP338" s="69">
        <f t="shared" si="91"/>
        <v>0</v>
      </c>
      <c r="AQ338" s="69">
        <f t="shared" si="92"/>
        <v>0</v>
      </c>
      <c r="AR338" s="69">
        <f t="shared" si="93"/>
        <v>0</v>
      </c>
      <c r="AS338" s="409"/>
      <c r="AT338" s="409"/>
      <c r="AU338" s="409"/>
    </row>
    <row r="339" spans="1:47">
      <c r="A339" s="78" t="s">
        <v>759</v>
      </c>
      <c r="B339" s="78" t="s">
        <v>759</v>
      </c>
      <c r="C339" s="78" t="s">
        <v>147</v>
      </c>
      <c r="D339" s="78" t="s">
        <v>148</v>
      </c>
      <c r="E339" s="67" t="s">
        <v>729</v>
      </c>
      <c r="F339" s="67" t="s">
        <v>204</v>
      </c>
      <c r="G339" s="67" t="str">
        <f>INDEX('[4]RT Description to Bill Matix'!$D:$D,MATCH(A339,'[4]RT Description to Bill Matix'!$M:$M,0))</f>
        <v>Individualized Skills and Socialization LON 6 - Off-Site (incl. Enhanced)</v>
      </c>
      <c r="H339" s="65" t="s">
        <v>288</v>
      </c>
      <c r="I339" s="65"/>
      <c r="J339" s="65" t="s">
        <v>752</v>
      </c>
      <c r="K339" s="66" t="str">
        <f>INDEX('[5]Combined Bill Code List'!$A:$A,MATCH(A339,'[5]Combined Bill Code List'!$F:$F,0))</f>
        <v>1915(c) waiver</v>
      </c>
      <c r="L339" s="66" t="str">
        <f>INDEX('[6]Rate History'!$P:$P,MATCH(A339,'[6]Rate History'!$F:$F,0))</f>
        <v>1 hour</v>
      </c>
      <c r="M339" s="77">
        <f>INDEX('[7]PDF DB Service Pivot'!$C:$C,MATCH(B339,'[7]PDF DB Service Pivot'!$B:$B,0))</f>
        <v>6</v>
      </c>
      <c r="N339" s="77">
        <f t="shared" si="85"/>
        <v>12</v>
      </c>
      <c r="O339" s="76">
        <f>INDEX('[7]PDF DB Service Pivot'!$D:$D,MATCH(B339,'[7]PDF DB Service Pivot'!$B:$B,0))</f>
        <v>92.64</v>
      </c>
      <c r="P339" s="91">
        <v>44927</v>
      </c>
      <c r="Q339" s="81">
        <v>15.43</v>
      </c>
      <c r="R339" s="81">
        <v>7.02</v>
      </c>
      <c r="S339" s="354">
        <f t="shared" si="84"/>
        <v>0.45495787427090084</v>
      </c>
      <c r="T339" s="339">
        <f>INDEX('[10]Billable Services'!$L:$L,MATCH(B339,'[10]Billable Services'!$O:$O,0))</f>
        <v>0.5</v>
      </c>
      <c r="U339" s="81">
        <f t="shared" si="82"/>
        <v>0</v>
      </c>
      <c r="V339" s="81" cm="1">
        <f t="array" ref="V339">_xlfn.IFS('Fiscal by Program'!$B$7&lt;10.61,0,'Fiscal by Program'!$B$7&gt;10.6,(ROUND('Fiscal by Program'!$B$7*(1+IF(D339="Yes",'Fiscal by Program'!$B$9,'Fiscal by Program'!$B$8))*T339,2)))</f>
        <v>0</v>
      </c>
      <c r="W339" s="81">
        <f t="shared" si="86"/>
        <v>0</v>
      </c>
      <c r="X339" s="81">
        <f>ROUND((R339/(1+IF(D339="Yes",'Fiscal by Program'!$B$9,'Fiscal by Program'!$B$8))),2)+0.01</f>
        <v>6.35</v>
      </c>
      <c r="Y339" s="81">
        <f t="shared" si="87"/>
        <v>15.43</v>
      </c>
      <c r="Z339" s="88">
        <v>4</v>
      </c>
      <c r="AA339" s="90">
        <f t="shared" si="83"/>
        <v>0.125</v>
      </c>
      <c r="AB339" s="75">
        <f>INDEX('[9]Service List'!$K:$K,MATCH(A339,'[9]Service List'!$F:$F,0))</f>
        <v>1099</v>
      </c>
      <c r="AC339" s="73">
        <f>INDEX('[5]Combined Bill Code List'!$P:$P,MATCH(A339,'[5]Combined Bill Code List'!$F:$F,0))</f>
        <v>0</v>
      </c>
      <c r="AD339" s="80" t="s">
        <v>729</v>
      </c>
      <c r="AE339" s="79">
        <v>1</v>
      </c>
      <c r="AF339" s="66">
        <v>0</v>
      </c>
      <c r="AG339" s="70">
        <f>ROUND(INDEX('All Trends'!D:D,MATCH($AD339,'All Trends'!$C:$C,0)),4)</f>
        <v>0.93489999999999995</v>
      </c>
      <c r="AH339" s="70">
        <f>ROUND(INDEX('All Trends'!E:E,MATCH($AD339,'All Trends'!$C:$C,0)),4)</f>
        <v>1.0002</v>
      </c>
      <c r="AI339" s="70">
        <f>ROUND(INDEX('All Trends'!F:F,MATCH($AD339,'All Trends'!$C:$C,0)),4)</f>
        <v>1.0754999999999999</v>
      </c>
      <c r="AJ339" s="70">
        <f>ROUND(INDEX('All Trends'!G:G,MATCH($AD339,'All Trends'!$C:$C,0)),4)</f>
        <v>1.0754999999999999</v>
      </c>
      <c r="AK339" s="70">
        <f>ROUND(INDEX('All Trends'!H:H,MATCH($AD339,'All Trends'!$C:$C,0)),4)</f>
        <v>1.0754999999999999</v>
      </c>
      <c r="AL339" s="74" t="s">
        <v>148</v>
      </c>
      <c r="AM339" s="92">
        <f t="shared" si="88"/>
        <v>6.45</v>
      </c>
      <c r="AN339" s="92">
        <f t="shared" si="89"/>
        <v>6.45</v>
      </c>
      <c r="AO339" s="69">
        <f t="shared" si="90"/>
        <v>0</v>
      </c>
      <c r="AP339" s="69">
        <f t="shared" si="91"/>
        <v>0</v>
      </c>
      <c r="AQ339" s="69">
        <f t="shared" si="92"/>
        <v>0</v>
      </c>
      <c r="AR339" s="69">
        <f t="shared" si="93"/>
        <v>0</v>
      </c>
      <c r="AS339" s="409"/>
      <c r="AT339" s="409"/>
      <c r="AU339" s="409"/>
    </row>
    <row r="340" spans="1:47">
      <c r="A340" s="78" t="s">
        <v>760</v>
      </c>
      <c r="B340" s="78" t="s">
        <v>760</v>
      </c>
      <c r="C340" s="78" t="s">
        <v>147</v>
      </c>
      <c r="D340" s="78" t="s">
        <v>148</v>
      </c>
      <c r="E340" s="67" t="s">
        <v>729</v>
      </c>
      <c r="F340" s="67" t="s">
        <v>204</v>
      </c>
      <c r="G340" s="67" t="str">
        <f>INDEX('[4]RT Description to Bill Matix'!$D:$D,MATCH(A340,'[4]RT Description to Bill Matix'!$M:$M,0))</f>
        <v>Individualized Skills and Socialization LON 8 - On-Site</v>
      </c>
      <c r="H340" s="65" t="s">
        <v>294</v>
      </c>
      <c r="I340" s="65"/>
      <c r="J340" s="65" t="s">
        <v>752</v>
      </c>
      <c r="K340" s="66" t="str">
        <f>INDEX('[5]Combined Bill Code List'!$A:$A,MATCH(A340,'[5]Combined Bill Code List'!$F:$F,0))</f>
        <v>1915(c) waiver</v>
      </c>
      <c r="L340" s="66" t="str">
        <f>INDEX('[6]Rate History'!$P:$P,MATCH(A340,'[6]Rate History'!$F:$F,0))</f>
        <v>1 hour</v>
      </c>
      <c r="M340" s="77">
        <f>INDEX('[7]PDF DB Service Pivot'!$C:$C,MATCH(B340,'[7]PDF DB Service Pivot'!$B:$B,0))</f>
        <v>11592</v>
      </c>
      <c r="N340" s="77">
        <f t="shared" si="85"/>
        <v>23184</v>
      </c>
      <c r="O340" s="76">
        <f>INDEX('[7]PDF DB Service Pivot'!$D:$D,MATCH(B340,'[7]PDF DB Service Pivot'!$B:$B,0))</f>
        <v>111863.96</v>
      </c>
      <c r="P340" s="91">
        <v>44927</v>
      </c>
      <c r="Q340" s="81">
        <v>9.65</v>
      </c>
      <c r="R340" s="81">
        <v>4.79</v>
      </c>
      <c r="S340" s="354">
        <f t="shared" si="84"/>
        <v>0.49637305699481865</v>
      </c>
      <c r="T340" s="339">
        <f>INDEX('[10]Billable Services'!$L:$L,MATCH(B340,'[10]Billable Services'!$O:$O,0))</f>
        <v>0.33</v>
      </c>
      <c r="U340" s="81">
        <f t="shared" si="82"/>
        <v>0</v>
      </c>
      <c r="V340" s="81" cm="1">
        <f t="array" ref="V340">_xlfn.IFS('Fiscal by Program'!$B$7&lt;10.61,0,'Fiscal by Program'!$B$7&gt;10.6,(ROUND('Fiscal by Program'!$B$7*(1+IF(D340="Yes",'Fiscal by Program'!$B$9,'Fiscal by Program'!$B$8))*T340,2)))</f>
        <v>0</v>
      </c>
      <c r="W340" s="81">
        <f t="shared" si="86"/>
        <v>0</v>
      </c>
      <c r="X340" s="81">
        <f>ROUND((R340/(1+IF(D340="Yes",'Fiscal by Program'!$B$9,'Fiscal by Program'!$B$8))),2)+0.01</f>
        <v>4.34</v>
      </c>
      <c r="Y340" s="81">
        <f t="shared" si="87"/>
        <v>9.65</v>
      </c>
      <c r="Z340" s="88">
        <v>4</v>
      </c>
      <c r="AA340" s="90">
        <f t="shared" si="83"/>
        <v>8.2500000000000004E-2</v>
      </c>
      <c r="AB340" s="75">
        <f>INDEX('[9]Service List'!$K:$K,MATCH(A340,'[9]Service List'!$F:$F,0))</f>
        <v>1101</v>
      </c>
      <c r="AC340" s="73">
        <f>INDEX('[5]Combined Bill Code List'!$P:$P,MATCH(A340,'[5]Combined Bill Code List'!$F:$F,0))</f>
        <v>0</v>
      </c>
      <c r="AD340" s="80" t="s">
        <v>729</v>
      </c>
      <c r="AE340" s="79">
        <v>1</v>
      </c>
      <c r="AF340" s="66">
        <v>0</v>
      </c>
      <c r="AG340" s="70">
        <f>ROUND(INDEX('All Trends'!D:D,MATCH($AD340,'All Trends'!$C:$C,0)),4)</f>
        <v>0.93489999999999995</v>
      </c>
      <c r="AH340" s="70">
        <f>ROUND(INDEX('All Trends'!E:E,MATCH($AD340,'All Trends'!$C:$C,0)),4)</f>
        <v>1.0002</v>
      </c>
      <c r="AI340" s="70">
        <f>ROUND(INDEX('All Trends'!F:F,MATCH($AD340,'All Trends'!$C:$C,0)),4)</f>
        <v>1.0754999999999999</v>
      </c>
      <c r="AJ340" s="70">
        <f>ROUND(INDEX('All Trends'!G:G,MATCH($AD340,'All Trends'!$C:$C,0)),4)</f>
        <v>1.0754999999999999</v>
      </c>
      <c r="AK340" s="70">
        <f>ROUND(INDEX('All Trends'!H:H,MATCH($AD340,'All Trends'!$C:$C,0)),4)</f>
        <v>1.0754999999999999</v>
      </c>
      <c r="AL340" s="74" t="s">
        <v>148</v>
      </c>
      <c r="AM340" s="92">
        <f t="shared" si="88"/>
        <v>8228.35</v>
      </c>
      <c r="AN340" s="92">
        <f t="shared" si="89"/>
        <v>8228.35</v>
      </c>
      <c r="AO340" s="69">
        <f t="shared" si="90"/>
        <v>0</v>
      </c>
      <c r="AP340" s="69">
        <f t="shared" si="91"/>
        <v>0</v>
      </c>
      <c r="AQ340" s="69">
        <f t="shared" si="92"/>
        <v>0</v>
      </c>
      <c r="AR340" s="69">
        <f t="shared" si="93"/>
        <v>0</v>
      </c>
      <c r="AS340" s="409"/>
      <c r="AT340" s="409"/>
      <c r="AU340" s="409"/>
    </row>
    <row r="341" spans="1:47">
      <c r="A341" s="78" t="s">
        <v>761</v>
      </c>
      <c r="B341" s="78" t="s">
        <v>761</v>
      </c>
      <c r="C341" s="78" t="s">
        <v>147</v>
      </c>
      <c r="D341" s="78" t="s">
        <v>148</v>
      </c>
      <c r="E341" s="67" t="s">
        <v>729</v>
      </c>
      <c r="F341" s="67" t="s">
        <v>204</v>
      </c>
      <c r="G341" s="67" t="str">
        <f>INDEX('[4]RT Description to Bill Matix'!$D:$D,MATCH(A341,'[4]RT Description to Bill Matix'!$M:$M,0))</f>
        <v>Individualized Skills and Socialization LON 8 - Off-Site (incl. Enhanced)</v>
      </c>
      <c r="H341" s="65" t="s">
        <v>296</v>
      </c>
      <c r="I341" s="65"/>
      <c r="J341" s="65" t="s">
        <v>752</v>
      </c>
      <c r="K341" s="66" t="str">
        <f>INDEX('[5]Combined Bill Code List'!$A:$A,MATCH(A341,'[5]Combined Bill Code List'!$F:$F,0))</f>
        <v>1915(c) waiver</v>
      </c>
      <c r="L341" s="66" t="str">
        <f>INDEX('[6]Rate History'!$P:$P,MATCH(A341,'[6]Rate History'!$F:$F,0))</f>
        <v>1 hour</v>
      </c>
      <c r="M341" s="77">
        <f>INDEX('[7]PDF DB Service Pivot'!$C:$C,MATCH(B341,'[7]PDF DB Service Pivot'!$B:$B,0))</f>
        <v>641.25</v>
      </c>
      <c r="N341" s="77">
        <f t="shared" si="85"/>
        <v>1282.5</v>
      </c>
      <c r="O341" s="76">
        <f>INDEX('[7]PDF DB Service Pivot'!$D:$D,MATCH(B341,'[7]PDF DB Service Pivot'!$B:$B,0))</f>
        <v>9894.7800000000007</v>
      </c>
      <c r="P341" s="91">
        <v>44927</v>
      </c>
      <c r="Q341" s="81">
        <v>15.43</v>
      </c>
      <c r="R341" s="81">
        <v>7.02</v>
      </c>
      <c r="S341" s="354">
        <f t="shared" si="84"/>
        <v>0.45495787427090084</v>
      </c>
      <c r="T341" s="339">
        <f>INDEX('[10]Billable Services'!$L:$L,MATCH(B341,'[10]Billable Services'!$O:$O,0))</f>
        <v>0.5</v>
      </c>
      <c r="U341" s="81">
        <f t="shared" si="82"/>
        <v>0</v>
      </c>
      <c r="V341" s="81" cm="1">
        <f t="array" ref="V341">_xlfn.IFS('Fiscal by Program'!$B$7&lt;10.61,0,'Fiscal by Program'!$B$7&gt;10.6,(ROUND('Fiscal by Program'!$B$7*(1+IF(D341="Yes",'Fiscal by Program'!$B$9,'Fiscal by Program'!$B$8))*T341,2)))</f>
        <v>0</v>
      </c>
      <c r="W341" s="81">
        <f t="shared" si="86"/>
        <v>0</v>
      </c>
      <c r="X341" s="81">
        <f>ROUND((R341/(1+IF(D341="Yes",'Fiscal by Program'!$B$9,'Fiscal by Program'!$B$8))),2)+0.01</f>
        <v>6.35</v>
      </c>
      <c r="Y341" s="81">
        <f t="shared" si="87"/>
        <v>15.43</v>
      </c>
      <c r="Z341" s="88">
        <v>4</v>
      </c>
      <c r="AA341" s="90">
        <f t="shared" si="83"/>
        <v>0.125</v>
      </c>
      <c r="AB341" s="75">
        <f>INDEX('[9]Service List'!$K:$K,MATCH(A341,'[9]Service List'!$F:$F,0))</f>
        <v>1102</v>
      </c>
      <c r="AC341" s="73">
        <f>INDEX('[5]Combined Bill Code List'!$P:$P,MATCH(A341,'[5]Combined Bill Code List'!$F:$F,0))</f>
        <v>0</v>
      </c>
      <c r="AD341" s="80" t="s">
        <v>729</v>
      </c>
      <c r="AE341" s="79">
        <v>1</v>
      </c>
      <c r="AF341" s="66">
        <v>0</v>
      </c>
      <c r="AG341" s="70">
        <f>ROUND(INDEX('All Trends'!D:D,MATCH($AD341,'All Trends'!$C:$C,0)),4)</f>
        <v>0.93489999999999995</v>
      </c>
      <c r="AH341" s="70">
        <f>ROUND(INDEX('All Trends'!E:E,MATCH($AD341,'All Trends'!$C:$C,0)),4)</f>
        <v>1.0002</v>
      </c>
      <c r="AI341" s="70">
        <f>ROUND(INDEX('All Trends'!F:F,MATCH($AD341,'All Trends'!$C:$C,0)),4)</f>
        <v>1.0754999999999999</v>
      </c>
      <c r="AJ341" s="70">
        <f>ROUND(INDEX('All Trends'!G:G,MATCH($AD341,'All Trends'!$C:$C,0)),4)</f>
        <v>1.0754999999999999</v>
      </c>
      <c r="AK341" s="70">
        <f>ROUND(INDEX('All Trends'!H:H,MATCH($AD341,'All Trends'!$C:$C,0)),4)</f>
        <v>1.0754999999999999</v>
      </c>
      <c r="AL341" s="74" t="s">
        <v>148</v>
      </c>
      <c r="AM341" s="92">
        <f t="shared" si="88"/>
        <v>689.66</v>
      </c>
      <c r="AN341" s="92">
        <f t="shared" si="89"/>
        <v>689.66</v>
      </c>
      <c r="AO341" s="69">
        <f t="shared" si="90"/>
        <v>0</v>
      </c>
      <c r="AP341" s="69">
        <f t="shared" si="91"/>
        <v>0</v>
      </c>
      <c r="AQ341" s="69">
        <f t="shared" si="92"/>
        <v>0</v>
      </c>
      <c r="AR341" s="69">
        <f t="shared" si="93"/>
        <v>0</v>
      </c>
      <c r="AS341" s="409"/>
      <c r="AT341" s="409"/>
      <c r="AU341" s="409"/>
    </row>
    <row r="342" spans="1:47">
      <c r="A342" s="78" t="s">
        <v>762</v>
      </c>
      <c r="B342" s="78" t="s">
        <v>762</v>
      </c>
      <c r="C342" s="78" t="s">
        <v>147</v>
      </c>
      <c r="D342" s="78" t="s">
        <v>148</v>
      </c>
      <c r="E342" s="67" t="s">
        <v>729</v>
      </c>
      <c r="F342" s="67" t="s">
        <v>204</v>
      </c>
      <c r="G342" s="67" t="str">
        <f>INDEX('[4]RT Description to Bill Matix'!$D:$D,MATCH(A342,'[4]RT Description to Bill Matix'!$M:$M,0))</f>
        <v>Individualized Skills and Socialization LON 8 - On-Site</v>
      </c>
      <c r="H342" s="65" t="s">
        <v>300</v>
      </c>
      <c r="I342" s="65"/>
      <c r="J342" s="65" t="s">
        <v>752</v>
      </c>
      <c r="K342" s="66" t="str">
        <f>INDEX('[5]Combined Bill Code List'!$A:$A,MATCH(A342,'[5]Combined Bill Code List'!$F:$F,0))</f>
        <v>1915(c) waiver</v>
      </c>
      <c r="L342" s="66" t="str">
        <f>INDEX('[6]Rate History'!$P:$P,MATCH(A342,'[6]Rate History'!$F:$F,0))</f>
        <v>1 hour</v>
      </c>
      <c r="M342" s="77">
        <f>INDEX('[7]PDF DB Service Pivot'!$C:$C,MATCH(B342,'[7]PDF DB Service Pivot'!$B:$B,0))</f>
        <v>603.75</v>
      </c>
      <c r="N342" s="77">
        <f t="shared" si="85"/>
        <v>1207.5</v>
      </c>
      <c r="O342" s="76">
        <f>INDEX('[7]PDF DB Service Pivot'!$D:$D,MATCH(B342,'[7]PDF DB Service Pivot'!$B:$B,0))</f>
        <v>5826.19</v>
      </c>
      <c r="P342" s="91">
        <v>44927</v>
      </c>
      <c r="Q342" s="81">
        <v>9.65</v>
      </c>
      <c r="R342" s="81">
        <v>4.79</v>
      </c>
      <c r="S342" s="354">
        <f t="shared" si="84"/>
        <v>0.49637305699481865</v>
      </c>
      <c r="T342" s="339">
        <f>INDEX('[10]Billable Services'!$L:$L,MATCH(B342,'[10]Billable Services'!$O:$O,0))</f>
        <v>0.33</v>
      </c>
      <c r="U342" s="81">
        <f t="shared" si="82"/>
        <v>0</v>
      </c>
      <c r="V342" s="81" cm="1">
        <f t="array" ref="V342">_xlfn.IFS('Fiscal by Program'!$B$7&lt;10.61,0,'Fiscal by Program'!$B$7&gt;10.6,(ROUND('Fiscal by Program'!$B$7*(1+IF(D342="Yes",'Fiscal by Program'!$B$9,'Fiscal by Program'!$B$8))*T342,2)))</f>
        <v>0</v>
      </c>
      <c r="W342" s="81">
        <f t="shared" si="86"/>
        <v>0</v>
      </c>
      <c r="X342" s="81">
        <f>ROUND((R342/(1+IF(D342="Yes",'Fiscal by Program'!$B$9,'Fiscal by Program'!$B$8))),2)+0.01</f>
        <v>4.34</v>
      </c>
      <c r="Y342" s="81">
        <f t="shared" si="87"/>
        <v>9.65</v>
      </c>
      <c r="Z342" s="88">
        <v>4</v>
      </c>
      <c r="AA342" s="90">
        <f t="shared" si="83"/>
        <v>8.2500000000000004E-2</v>
      </c>
      <c r="AB342" s="75">
        <f>INDEX('[9]Service List'!$K:$K,MATCH(A342,'[9]Service List'!$F:$F,0))</f>
        <v>1103</v>
      </c>
      <c r="AC342" s="73">
        <f>INDEX('[5]Combined Bill Code List'!$P:$P,MATCH(A342,'[5]Combined Bill Code List'!$F:$F,0))</f>
        <v>0</v>
      </c>
      <c r="AD342" s="80" t="s">
        <v>729</v>
      </c>
      <c r="AE342" s="79">
        <v>1</v>
      </c>
      <c r="AF342" s="66">
        <v>0</v>
      </c>
      <c r="AG342" s="70">
        <f>ROUND(INDEX('All Trends'!D:D,MATCH($AD342,'All Trends'!$C:$C,0)),4)</f>
        <v>0.93489999999999995</v>
      </c>
      <c r="AH342" s="70">
        <f>ROUND(INDEX('All Trends'!E:E,MATCH($AD342,'All Trends'!$C:$C,0)),4)</f>
        <v>1.0002</v>
      </c>
      <c r="AI342" s="70">
        <f>ROUND(INDEX('All Trends'!F:F,MATCH($AD342,'All Trends'!$C:$C,0)),4)</f>
        <v>1.0754999999999999</v>
      </c>
      <c r="AJ342" s="70">
        <f>ROUND(INDEX('All Trends'!G:G,MATCH($AD342,'All Trends'!$C:$C,0)),4)</f>
        <v>1.0754999999999999</v>
      </c>
      <c r="AK342" s="70">
        <f>ROUND(INDEX('All Trends'!H:H,MATCH($AD342,'All Trends'!$C:$C,0)),4)</f>
        <v>1.0754999999999999</v>
      </c>
      <c r="AL342" s="74" t="s">
        <v>148</v>
      </c>
      <c r="AM342" s="92">
        <f t="shared" si="88"/>
        <v>428.56</v>
      </c>
      <c r="AN342" s="92">
        <f t="shared" si="89"/>
        <v>428.56</v>
      </c>
      <c r="AO342" s="69">
        <f t="shared" si="90"/>
        <v>0</v>
      </c>
      <c r="AP342" s="69">
        <f t="shared" si="91"/>
        <v>0</v>
      </c>
      <c r="AQ342" s="69">
        <f t="shared" si="92"/>
        <v>0</v>
      </c>
      <c r="AR342" s="69">
        <f t="shared" si="93"/>
        <v>0</v>
      </c>
      <c r="AS342" s="409"/>
      <c r="AT342" s="409"/>
      <c r="AU342" s="409"/>
    </row>
    <row r="343" spans="1:47">
      <c r="A343" s="78" t="s">
        <v>763</v>
      </c>
      <c r="B343" s="78" t="s">
        <v>763</v>
      </c>
      <c r="C343" s="78" t="s">
        <v>147</v>
      </c>
      <c r="D343" s="78" t="s">
        <v>148</v>
      </c>
      <c r="E343" s="67" t="s">
        <v>729</v>
      </c>
      <c r="F343" s="67" t="s">
        <v>204</v>
      </c>
      <c r="G343" s="67" t="str">
        <f>INDEX('[4]RT Description to Bill Matix'!$D:$D,MATCH(A343,'[4]RT Description to Bill Matix'!$M:$M,0))</f>
        <v>CDS Individualized Skills and Socialization LON 1 - On-Site</v>
      </c>
      <c r="H343" s="65" t="s">
        <v>764</v>
      </c>
      <c r="I343" s="65" t="s">
        <v>147</v>
      </c>
      <c r="J343" s="65" t="s">
        <v>752</v>
      </c>
      <c r="K343" s="66" t="str">
        <f>INDEX('[5]Combined Bill Code List'!$A:$A,MATCH(A343,'[5]Combined Bill Code List'!$F:$F,0))</f>
        <v>1915(c) waiver</v>
      </c>
      <c r="L343" s="66" t="str">
        <f>INDEX('[6]Rate History'!$P:$P,MATCH(A343,'[6]Rate History'!$F:$F,0))</f>
        <v>1 hour</v>
      </c>
      <c r="M343" s="77">
        <f>INDEX('[7]PDF DB Service Pivot'!$C:$C,MATCH(B343,'[7]PDF DB Service Pivot'!$B:$B,0))</f>
        <v>67292.39</v>
      </c>
      <c r="N343" s="77">
        <f t="shared" si="85"/>
        <v>23446.825783972123</v>
      </c>
      <c r="O343" s="76">
        <f>INDEX('[7]PDF DB Service Pivot'!$D:$D,MATCH(B343,'[7]PDF DB Service Pivot'!$B:$B,0))</f>
        <v>67292.39</v>
      </c>
      <c r="P343" s="91">
        <v>44927</v>
      </c>
      <c r="Q343" s="81">
        <v>5.74</v>
      </c>
      <c r="R343" s="81">
        <v>4.2216207951070333</v>
      </c>
      <c r="S343" s="354">
        <f t="shared" si="84"/>
        <v>0.73547400611620783</v>
      </c>
      <c r="T343" s="339">
        <v>0.14000000000000001</v>
      </c>
      <c r="U343" s="81">
        <f t="shared" si="82"/>
        <v>0</v>
      </c>
      <c r="V343" s="81" cm="1">
        <f t="array" ref="V343">_xlfn.IFS('Fiscal by Program'!$B$7&lt;10.61,0,'Fiscal by Program'!$B$7&gt;10.6,(ROUND('Fiscal by Program'!$B$7*(1+IF(D343="Yes",'Fiscal by Program'!$B$9,'Fiscal by Program'!$B$8))*T343,2)))</f>
        <v>0</v>
      </c>
      <c r="W343" s="81">
        <f t="shared" si="86"/>
        <v>0</v>
      </c>
      <c r="X343" s="81">
        <f>ROUND((R343/(1+IF(D343="Yes",'Fiscal by Program'!$B$9,'Fiscal by Program'!$B$8))),2)+0.01</f>
        <v>3.82</v>
      </c>
      <c r="Y343" s="81">
        <f t="shared" si="87"/>
        <v>5.74</v>
      </c>
      <c r="Z343" s="88">
        <v>4</v>
      </c>
      <c r="AA343" s="90">
        <f t="shared" si="83"/>
        <v>3.5000000000000003E-2</v>
      </c>
      <c r="AB343" s="75">
        <f>INDEX('[9]Service List'!$K:$K,MATCH(A343,'[9]Service List'!$F:$F,0))</f>
        <v>1114</v>
      </c>
      <c r="AC343" s="73">
        <f>INDEX('[5]Combined Bill Code List'!$P:$P,MATCH(A343,'[5]Combined Bill Code List'!$F:$F,0))</f>
        <v>0</v>
      </c>
      <c r="AD343" s="80" t="s">
        <v>729</v>
      </c>
      <c r="AE343" s="79">
        <v>1</v>
      </c>
      <c r="AF343" s="66">
        <v>0</v>
      </c>
      <c r="AG343" s="70">
        <f>ROUND(INDEX('All Trends'!D:D,MATCH($AD343,'All Trends'!$C:$C,0)),4)</f>
        <v>0.93489999999999995</v>
      </c>
      <c r="AH343" s="70">
        <f>ROUND(INDEX('All Trends'!E:E,MATCH($AD343,'All Trends'!$C:$C,0)),4)</f>
        <v>1.0002</v>
      </c>
      <c r="AI343" s="70">
        <f>ROUND(INDEX('All Trends'!F:F,MATCH($AD343,'All Trends'!$C:$C,0)),4)</f>
        <v>1.0754999999999999</v>
      </c>
      <c r="AJ343" s="70">
        <f>ROUND(INDEX('All Trends'!G:G,MATCH($AD343,'All Trends'!$C:$C,0)),4)</f>
        <v>1.0754999999999999</v>
      </c>
      <c r="AK343" s="70">
        <f>ROUND(INDEX('All Trends'!H:H,MATCH($AD343,'All Trends'!$C:$C,0)),4)</f>
        <v>1.0754999999999999</v>
      </c>
      <c r="AL343" s="74" t="s">
        <v>148</v>
      </c>
      <c r="AM343" s="92">
        <f t="shared" si="88"/>
        <v>3530.39</v>
      </c>
      <c r="AN343" s="92">
        <f t="shared" si="89"/>
        <v>3530.39</v>
      </c>
      <c r="AO343" s="69">
        <f t="shared" si="90"/>
        <v>0</v>
      </c>
      <c r="AP343" s="69">
        <f t="shared" si="91"/>
        <v>0</v>
      </c>
      <c r="AQ343" s="69">
        <f t="shared" si="92"/>
        <v>0</v>
      </c>
      <c r="AR343" s="69">
        <f t="shared" si="93"/>
        <v>0</v>
      </c>
      <c r="AS343" s="409"/>
      <c r="AT343" s="409"/>
      <c r="AU343" s="409"/>
    </row>
    <row r="344" spans="1:47">
      <c r="A344" s="78" t="s">
        <v>765</v>
      </c>
      <c r="B344" s="78" t="s">
        <v>765</v>
      </c>
      <c r="C344" s="78" t="s">
        <v>147</v>
      </c>
      <c r="D344" s="78" t="s">
        <v>148</v>
      </c>
      <c r="E344" s="67" t="s">
        <v>729</v>
      </c>
      <c r="F344" s="67" t="s">
        <v>204</v>
      </c>
      <c r="G344" s="67" t="str">
        <f>INDEX('[4]RT Description to Bill Matix'!$D:$D,MATCH(A344,'[4]RT Description to Bill Matix'!$M:$M,0))</f>
        <v>CDS Individualized Skills and Socialization LON 1 - Off-Site (incl. Enhanced)</v>
      </c>
      <c r="H344" s="65" t="s">
        <v>766</v>
      </c>
      <c r="I344" s="65" t="s">
        <v>147</v>
      </c>
      <c r="J344" s="65" t="s">
        <v>752</v>
      </c>
      <c r="K344" s="66" t="str">
        <f>INDEX('[5]Combined Bill Code List'!$A:$A,MATCH(A344,'[5]Combined Bill Code List'!$F:$F,0))</f>
        <v>1915(c) waiver</v>
      </c>
      <c r="L344" s="66" t="str">
        <f>INDEX('[6]Rate History'!$P:$P,MATCH(A344,'[6]Rate History'!$F:$F,0))</f>
        <v>1 hour</v>
      </c>
      <c r="M344" s="77">
        <f>INDEX('[7]PDF DB Service Pivot'!$C:$C,MATCH(B344,'[7]PDF DB Service Pivot'!$B:$B,0))</f>
        <v>22207.9</v>
      </c>
      <c r="N344" s="77">
        <f t="shared" si="85"/>
        <v>5134.7745664739887</v>
      </c>
      <c r="O344" s="76">
        <f>INDEX('[7]PDF DB Service Pivot'!$D:$D,MATCH(B344,'[7]PDF DB Service Pivot'!$B:$B,0))</f>
        <v>22207.9</v>
      </c>
      <c r="P344" s="91">
        <v>44927</v>
      </c>
      <c r="Q344" s="81">
        <v>8.65</v>
      </c>
      <c r="R344" s="81">
        <v>1.76</v>
      </c>
      <c r="S344" s="354">
        <f t="shared" si="84"/>
        <v>0.20346820809248553</v>
      </c>
      <c r="T344" s="339">
        <v>0.13</v>
      </c>
      <c r="U344" s="81">
        <f t="shared" si="82"/>
        <v>0</v>
      </c>
      <c r="V344" s="81" cm="1">
        <f t="array" ref="V344">_xlfn.IFS('Fiscal by Program'!$B$7&lt;10.61,0,'Fiscal by Program'!$B$7&gt;10.6,(ROUND('Fiscal by Program'!$B$7*(1+IF(D344="Yes",'Fiscal by Program'!$B$9,'Fiscal by Program'!$B$8))*T344,2)))</f>
        <v>0</v>
      </c>
      <c r="W344" s="81">
        <f t="shared" si="86"/>
        <v>0</v>
      </c>
      <c r="X344" s="81">
        <f>ROUND((R344/(1+IF(D344="Yes",'Fiscal by Program'!$B$9,'Fiscal by Program'!$B$8))),2)+0.01</f>
        <v>1.6</v>
      </c>
      <c r="Y344" s="81">
        <f t="shared" si="87"/>
        <v>8.65</v>
      </c>
      <c r="Z344" s="88">
        <v>4</v>
      </c>
      <c r="AA344" s="90">
        <f t="shared" si="83"/>
        <v>3.2500000000000001E-2</v>
      </c>
      <c r="AB344" s="75">
        <f>INDEX('[9]Service List'!$K:$K,MATCH(A344,'[9]Service List'!$F:$F,0))</f>
        <v>1115</v>
      </c>
      <c r="AC344" s="73">
        <f>INDEX('[5]Combined Bill Code List'!$P:$P,MATCH(A344,'[5]Combined Bill Code List'!$F:$F,0))</f>
        <v>0</v>
      </c>
      <c r="AD344" s="80" t="s">
        <v>729</v>
      </c>
      <c r="AE344" s="79">
        <v>1</v>
      </c>
      <c r="AF344" s="66">
        <v>0</v>
      </c>
      <c r="AG344" s="70">
        <f>ROUND(INDEX('All Trends'!D:D,MATCH($AD344,'All Trends'!$C:$C,0)),4)</f>
        <v>0.93489999999999995</v>
      </c>
      <c r="AH344" s="70">
        <f>ROUND(INDEX('All Trends'!E:E,MATCH($AD344,'All Trends'!$C:$C,0)),4)</f>
        <v>1.0002</v>
      </c>
      <c r="AI344" s="70">
        <f>ROUND(INDEX('All Trends'!F:F,MATCH($AD344,'All Trends'!$C:$C,0)),4)</f>
        <v>1.0754999999999999</v>
      </c>
      <c r="AJ344" s="70">
        <f>ROUND(INDEX('All Trends'!G:G,MATCH($AD344,'All Trends'!$C:$C,0)),4)</f>
        <v>1.0754999999999999</v>
      </c>
      <c r="AK344" s="70">
        <f>ROUND(INDEX('All Trends'!H:H,MATCH($AD344,'All Trends'!$C:$C,0)),4)</f>
        <v>1.0754999999999999</v>
      </c>
      <c r="AL344" s="74" t="s">
        <v>148</v>
      </c>
      <c r="AM344" s="92">
        <f t="shared" si="88"/>
        <v>717.92</v>
      </c>
      <c r="AN344" s="92">
        <f t="shared" si="89"/>
        <v>717.92</v>
      </c>
      <c r="AO344" s="69">
        <f t="shared" si="90"/>
        <v>0</v>
      </c>
      <c r="AP344" s="69">
        <f t="shared" si="91"/>
        <v>0</v>
      </c>
      <c r="AQ344" s="69">
        <f t="shared" si="92"/>
        <v>0</v>
      </c>
      <c r="AR344" s="69">
        <f t="shared" si="93"/>
        <v>0</v>
      </c>
      <c r="AS344" s="409"/>
      <c r="AT344" s="409"/>
      <c r="AU344" s="409"/>
    </row>
    <row r="345" spans="1:47">
      <c r="A345" s="78" t="s">
        <v>767</v>
      </c>
      <c r="B345" s="78" t="s">
        <v>767</v>
      </c>
      <c r="C345" s="78" t="s">
        <v>147</v>
      </c>
      <c r="D345" s="78" t="s">
        <v>148</v>
      </c>
      <c r="E345" s="67" t="s">
        <v>729</v>
      </c>
      <c r="F345" s="67" t="s">
        <v>204</v>
      </c>
      <c r="G345" s="67" t="str">
        <f>INDEX('[4]RT Description to Bill Matix'!$D:$D,MATCH(A345,'[4]RT Description to Bill Matix'!$M:$M,0))</f>
        <v>CDS Individualized Skills and Socialization LON 1 - On-Site</v>
      </c>
      <c r="H345" s="65" t="s">
        <v>768</v>
      </c>
      <c r="I345" s="65" t="s">
        <v>147</v>
      </c>
      <c r="J345" s="65" t="s">
        <v>752</v>
      </c>
      <c r="K345" s="66" t="str">
        <f>INDEX('[5]Combined Bill Code List'!$A:$A,MATCH(A345,'[5]Combined Bill Code List'!$F:$F,0))</f>
        <v>1915(c) waiver</v>
      </c>
      <c r="L345" s="66" t="str">
        <f>INDEX('[6]Rate History'!$P:$P,MATCH(A345,'[6]Rate History'!$F:$F,0))</f>
        <v>1 hour</v>
      </c>
      <c r="M345" s="77">
        <f>INDEX('[7]PDF DB Service Pivot'!$C:$C,MATCH(B345,'[7]PDF DB Service Pivot'!$B:$B,0))</f>
        <v>1172.55</v>
      </c>
      <c r="N345" s="77">
        <f t="shared" si="85"/>
        <v>408.55400696864103</v>
      </c>
      <c r="O345" s="76">
        <f>INDEX('[7]PDF DB Service Pivot'!$D:$D,MATCH(B345,'[7]PDF DB Service Pivot'!$B:$B,0))</f>
        <v>1172.55</v>
      </c>
      <c r="P345" s="91">
        <v>44927</v>
      </c>
      <c r="Q345" s="81">
        <v>5.74</v>
      </c>
      <c r="R345" s="81">
        <v>4.2216207951070333</v>
      </c>
      <c r="S345" s="354">
        <f t="shared" si="84"/>
        <v>0.73547400611620783</v>
      </c>
      <c r="T345" s="339">
        <v>0.14000000000000001</v>
      </c>
      <c r="U345" s="81">
        <f t="shared" si="82"/>
        <v>0</v>
      </c>
      <c r="V345" s="81" cm="1">
        <f t="array" ref="V345">_xlfn.IFS('Fiscal by Program'!$B$7&lt;10.61,0,'Fiscal by Program'!$B$7&gt;10.6,(ROUND('Fiscal by Program'!$B$7*(1+IF(D345="Yes",'Fiscal by Program'!$B$9,'Fiscal by Program'!$B$8))*T345,2)))</f>
        <v>0</v>
      </c>
      <c r="W345" s="81">
        <f t="shared" si="86"/>
        <v>0</v>
      </c>
      <c r="X345" s="81">
        <f>ROUND((R345/(1+IF(D345="Yes",'Fiscal by Program'!$B$9,'Fiscal by Program'!$B$8))),2)+0.01</f>
        <v>3.82</v>
      </c>
      <c r="Y345" s="81">
        <f t="shared" si="87"/>
        <v>5.74</v>
      </c>
      <c r="Z345" s="88">
        <v>4</v>
      </c>
      <c r="AA345" s="90">
        <f t="shared" si="83"/>
        <v>3.5000000000000003E-2</v>
      </c>
      <c r="AB345" s="75">
        <f>INDEX('[9]Service List'!$K:$K,MATCH(A345,'[9]Service List'!$F:$F,0))</f>
        <v>1116</v>
      </c>
      <c r="AC345" s="73">
        <f>INDEX('[5]Combined Bill Code List'!$P:$P,MATCH(A345,'[5]Combined Bill Code List'!$F:$F,0))</f>
        <v>0</v>
      </c>
      <c r="AD345" s="80" t="s">
        <v>729</v>
      </c>
      <c r="AE345" s="79">
        <v>1</v>
      </c>
      <c r="AF345" s="66">
        <v>0</v>
      </c>
      <c r="AG345" s="70">
        <f>ROUND(INDEX('All Trends'!D:D,MATCH($AD345,'All Trends'!$C:$C,0)),4)</f>
        <v>0.93489999999999995</v>
      </c>
      <c r="AH345" s="70">
        <f>ROUND(INDEX('All Trends'!E:E,MATCH($AD345,'All Trends'!$C:$C,0)),4)</f>
        <v>1.0002</v>
      </c>
      <c r="AI345" s="70">
        <f>ROUND(INDEX('All Trends'!F:F,MATCH($AD345,'All Trends'!$C:$C,0)),4)</f>
        <v>1.0754999999999999</v>
      </c>
      <c r="AJ345" s="70">
        <f>ROUND(INDEX('All Trends'!G:G,MATCH($AD345,'All Trends'!$C:$C,0)),4)</f>
        <v>1.0754999999999999</v>
      </c>
      <c r="AK345" s="70">
        <f>ROUND(INDEX('All Trends'!H:H,MATCH($AD345,'All Trends'!$C:$C,0)),4)</f>
        <v>1.0754999999999999</v>
      </c>
      <c r="AL345" s="74" t="s">
        <v>148</v>
      </c>
      <c r="AM345" s="92">
        <f t="shared" si="88"/>
        <v>61.52</v>
      </c>
      <c r="AN345" s="92">
        <f t="shared" si="89"/>
        <v>61.52</v>
      </c>
      <c r="AO345" s="69">
        <f t="shared" si="90"/>
        <v>0</v>
      </c>
      <c r="AP345" s="69">
        <f t="shared" si="91"/>
        <v>0</v>
      </c>
      <c r="AQ345" s="69">
        <f t="shared" si="92"/>
        <v>0</v>
      </c>
      <c r="AR345" s="69">
        <f t="shared" si="93"/>
        <v>0</v>
      </c>
      <c r="AS345" s="409"/>
      <c r="AT345" s="409"/>
      <c r="AU345" s="409"/>
    </row>
    <row r="346" spans="1:47">
      <c r="A346" s="78" t="s">
        <v>769</v>
      </c>
      <c r="B346" s="78" t="s">
        <v>769</v>
      </c>
      <c r="C346" s="78" t="s">
        <v>147</v>
      </c>
      <c r="D346" s="78" t="s">
        <v>148</v>
      </c>
      <c r="E346" s="67" t="s">
        <v>729</v>
      </c>
      <c r="F346" s="67" t="s">
        <v>204</v>
      </c>
      <c r="G346" s="67" t="str">
        <f>INDEX('[4]RT Description to Bill Matix'!$D:$D,MATCH(A346,'[4]RT Description to Bill Matix'!$M:$M,0))</f>
        <v>CDS Individualized Skills and Socialization LON 5 - Off-Site (incl. Enhanced)</v>
      </c>
      <c r="H346" s="65" t="s">
        <v>770</v>
      </c>
      <c r="I346" s="65" t="s">
        <v>147</v>
      </c>
      <c r="J346" s="65" t="s">
        <v>752</v>
      </c>
      <c r="K346" s="66" t="str">
        <f>INDEX('[5]Combined Bill Code List'!$A:$A,MATCH(A346,'[5]Combined Bill Code List'!$F:$F,0))</f>
        <v>1915(c) waiver</v>
      </c>
      <c r="L346" s="66" t="str">
        <f>INDEX('[6]Rate History'!$P:$P,MATCH(A346,'[6]Rate History'!$F:$F,0))</f>
        <v>1 hour</v>
      </c>
      <c r="M346" s="77">
        <f>INDEX('[7]PDF DB Service Pivot'!$C:$C,MATCH(B346,'[7]PDF DB Service Pivot'!$B:$B,0))</f>
        <v>31712.560000000001</v>
      </c>
      <c r="N346" s="77">
        <f t="shared" si="85"/>
        <v>7332.3838150289021</v>
      </c>
      <c r="O346" s="76">
        <f>INDEX('[7]PDF DB Service Pivot'!$D:$D,MATCH(B346,'[7]PDF DB Service Pivot'!$B:$B,0))</f>
        <v>31712.560000000001</v>
      </c>
      <c r="P346" s="91">
        <v>44927</v>
      </c>
      <c r="Q346" s="81">
        <v>8.65</v>
      </c>
      <c r="R346" s="81">
        <v>1.76</v>
      </c>
      <c r="S346" s="354">
        <f t="shared" si="84"/>
        <v>0.20346820809248553</v>
      </c>
      <c r="T346" s="339">
        <v>0.13</v>
      </c>
      <c r="U346" s="81">
        <f t="shared" si="82"/>
        <v>0</v>
      </c>
      <c r="V346" s="81" cm="1">
        <f t="array" ref="V346">_xlfn.IFS('Fiscal by Program'!$B$7&lt;10.61,0,'Fiscal by Program'!$B$7&gt;10.6,(ROUND('Fiscal by Program'!$B$7*(1+IF(D346="Yes",'Fiscal by Program'!$B$9,'Fiscal by Program'!$B$8))*T346,2)))</f>
        <v>0</v>
      </c>
      <c r="W346" s="81">
        <f t="shared" si="86"/>
        <v>0</v>
      </c>
      <c r="X346" s="81">
        <f>ROUND((R346/(1+IF(D346="Yes",'Fiscal by Program'!$B$9,'Fiscal by Program'!$B$8))),2)+0.01</f>
        <v>1.6</v>
      </c>
      <c r="Y346" s="81">
        <f t="shared" si="87"/>
        <v>8.65</v>
      </c>
      <c r="Z346" s="88">
        <v>4</v>
      </c>
      <c r="AA346" s="90">
        <f t="shared" si="83"/>
        <v>3.2500000000000001E-2</v>
      </c>
      <c r="AB346" s="75">
        <f>INDEX('[9]Service List'!$K:$K,MATCH(A346,'[9]Service List'!$F:$F,0))</f>
        <v>1122</v>
      </c>
      <c r="AC346" s="73">
        <f>INDEX('[5]Combined Bill Code List'!$P:$P,MATCH(A346,'[5]Combined Bill Code List'!$F:$F,0))</f>
        <v>0</v>
      </c>
      <c r="AD346" s="80" t="s">
        <v>729</v>
      </c>
      <c r="AE346" s="79">
        <v>1</v>
      </c>
      <c r="AF346" s="66">
        <v>0</v>
      </c>
      <c r="AG346" s="70">
        <f>ROUND(INDEX('All Trends'!D:D,MATCH($AD346,'All Trends'!$C:$C,0)),4)</f>
        <v>0.93489999999999995</v>
      </c>
      <c r="AH346" s="70">
        <f>ROUND(INDEX('All Trends'!E:E,MATCH($AD346,'All Trends'!$C:$C,0)),4)</f>
        <v>1.0002</v>
      </c>
      <c r="AI346" s="70">
        <f>ROUND(INDEX('All Trends'!F:F,MATCH($AD346,'All Trends'!$C:$C,0)),4)</f>
        <v>1.0754999999999999</v>
      </c>
      <c r="AJ346" s="70">
        <f>ROUND(INDEX('All Trends'!G:G,MATCH($AD346,'All Trends'!$C:$C,0)),4)</f>
        <v>1.0754999999999999</v>
      </c>
      <c r="AK346" s="70">
        <f>ROUND(INDEX('All Trends'!H:H,MATCH($AD346,'All Trends'!$C:$C,0)),4)</f>
        <v>1.0754999999999999</v>
      </c>
      <c r="AL346" s="74" t="s">
        <v>148</v>
      </c>
      <c r="AM346" s="92">
        <f t="shared" si="88"/>
        <v>1025.18</v>
      </c>
      <c r="AN346" s="92">
        <f t="shared" si="89"/>
        <v>1025.18</v>
      </c>
      <c r="AO346" s="69">
        <f t="shared" si="90"/>
        <v>0</v>
      </c>
      <c r="AP346" s="69">
        <f t="shared" si="91"/>
        <v>0</v>
      </c>
      <c r="AQ346" s="69">
        <f t="shared" si="92"/>
        <v>0</v>
      </c>
      <c r="AR346" s="69">
        <f t="shared" si="93"/>
        <v>0</v>
      </c>
      <c r="AS346" s="409"/>
      <c r="AT346" s="409"/>
      <c r="AU346" s="409"/>
    </row>
    <row r="347" spans="1:47">
      <c r="A347" s="78" t="s">
        <v>771</v>
      </c>
      <c r="B347" s="78" t="s">
        <v>771</v>
      </c>
      <c r="C347" s="78" t="s">
        <v>147</v>
      </c>
      <c r="D347" s="78" t="s">
        <v>148</v>
      </c>
      <c r="E347" s="67" t="s">
        <v>729</v>
      </c>
      <c r="F347" s="67" t="s">
        <v>204</v>
      </c>
      <c r="G347" s="67" t="str">
        <f>INDEX('[4]RT Description to Bill Matix'!$D:$D,MATCH(A347,'[4]RT Description to Bill Matix'!$M:$M,0))</f>
        <v>CDS Individualized Skills and Socialization LON 8 - Off-Site (incl. Enhanced)</v>
      </c>
      <c r="H347" s="65" t="s">
        <v>772</v>
      </c>
      <c r="I347" s="65" t="s">
        <v>147</v>
      </c>
      <c r="J347" s="65" t="s">
        <v>752</v>
      </c>
      <c r="K347" s="66" t="str">
        <f>INDEX('[5]Combined Bill Code List'!$A:$A,MATCH(A347,'[5]Combined Bill Code List'!$F:$F,0))</f>
        <v>1915(c) waiver</v>
      </c>
      <c r="L347" s="66" t="str">
        <f>INDEX('[6]Rate History'!$P:$P,MATCH(A347,'[6]Rate History'!$F:$F,0))</f>
        <v>1 hour</v>
      </c>
      <c r="M347" s="77">
        <f>INDEX('[7]PDF DB Service Pivot'!$C:$C,MATCH(B347,'[7]PDF DB Service Pivot'!$B:$B,0))</f>
        <v>95.11</v>
      </c>
      <c r="N347" s="77">
        <f t="shared" si="85"/>
        <v>13.002050580997949</v>
      </c>
      <c r="O347" s="76">
        <f>INDEX('[7]PDF DB Service Pivot'!$D:$D,MATCH(B347,'[7]PDF DB Service Pivot'!$B:$B,0))</f>
        <v>95.11</v>
      </c>
      <c r="P347" s="91">
        <v>44927</v>
      </c>
      <c r="Q347" s="81">
        <v>14.63</v>
      </c>
      <c r="R347" s="81">
        <v>7.02</v>
      </c>
      <c r="S347" s="354">
        <f t="shared" si="84"/>
        <v>0.479835953520164</v>
      </c>
      <c r="T347" s="339">
        <v>0.5</v>
      </c>
      <c r="U347" s="81">
        <f t="shared" si="82"/>
        <v>0</v>
      </c>
      <c r="V347" s="81" cm="1">
        <f t="array" ref="V347">_xlfn.IFS('Fiscal by Program'!$B$7&lt;10.61,0,'Fiscal by Program'!$B$7&gt;10.6,(ROUND('Fiscal by Program'!$B$7*(1+IF(D347="Yes",'Fiscal by Program'!$B$9,'Fiscal by Program'!$B$8))*T347,2)))</f>
        <v>0</v>
      </c>
      <c r="W347" s="81">
        <f t="shared" si="86"/>
        <v>0</v>
      </c>
      <c r="X347" s="81">
        <f>ROUND((R347/(1+IF(D347="Yes",'Fiscal by Program'!$B$9,'Fiscal by Program'!$B$8))),2)+0.01</f>
        <v>6.35</v>
      </c>
      <c r="Y347" s="81">
        <f t="shared" si="87"/>
        <v>14.63</v>
      </c>
      <c r="Z347" s="88">
        <v>4</v>
      </c>
      <c r="AA347" s="90">
        <f t="shared" si="83"/>
        <v>0.125</v>
      </c>
      <c r="AB347" s="75">
        <f>INDEX('[9]Service List'!$K:$K,MATCH(A347,'[9]Service List'!$F:$F,0))</f>
        <v>1124</v>
      </c>
      <c r="AC347" s="73">
        <f>INDEX('[5]Combined Bill Code List'!$P:$P,MATCH(A347,'[5]Combined Bill Code List'!$F:$F,0))</f>
        <v>0</v>
      </c>
      <c r="AD347" s="80" t="s">
        <v>729</v>
      </c>
      <c r="AE347" s="79">
        <v>1</v>
      </c>
      <c r="AF347" s="66">
        <v>0</v>
      </c>
      <c r="AG347" s="70">
        <f>ROUND(INDEX('All Trends'!D:D,MATCH($AD347,'All Trends'!$C:$C,0)),4)</f>
        <v>0.93489999999999995</v>
      </c>
      <c r="AH347" s="70">
        <f>ROUND(INDEX('All Trends'!E:E,MATCH($AD347,'All Trends'!$C:$C,0)),4)</f>
        <v>1.0002</v>
      </c>
      <c r="AI347" s="70">
        <f>ROUND(INDEX('All Trends'!F:F,MATCH($AD347,'All Trends'!$C:$C,0)),4)</f>
        <v>1.0754999999999999</v>
      </c>
      <c r="AJ347" s="70">
        <f>ROUND(INDEX('All Trends'!G:G,MATCH($AD347,'All Trends'!$C:$C,0)),4)</f>
        <v>1.0754999999999999</v>
      </c>
      <c r="AK347" s="70">
        <f>ROUND(INDEX('All Trends'!H:H,MATCH($AD347,'All Trends'!$C:$C,0)),4)</f>
        <v>1.0754999999999999</v>
      </c>
      <c r="AL347" s="74" t="s">
        <v>148</v>
      </c>
      <c r="AM347" s="92">
        <f t="shared" si="88"/>
        <v>6.99</v>
      </c>
      <c r="AN347" s="92">
        <f t="shared" si="89"/>
        <v>6.99</v>
      </c>
      <c r="AO347" s="69">
        <f t="shared" si="90"/>
        <v>0</v>
      </c>
      <c r="AP347" s="69">
        <f t="shared" si="91"/>
        <v>0</v>
      </c>
      <c r="AQ347" s="69">
        <f t="shared" si="92"/>
        <v>0</v>
      </c>
      <c r="AR347" s="69">
        <f t="shared" si="93"/>
        <v>0</v>
      </c>
      <c r="AS347" s="409"/>
      <c r="AT347" s="409"/>
      <c r="AU347" s="409"/>
    </row>
    <row r="348" spans="1:47">
      <c r="A348" s="78" t="s">
        <v>773</v>
      </c>
      <c r="B348" s="78" t="s">
        <v>773</v>
      </c>
      <c r="C348" s="78" t="s">
        <v>147</v>
      </c>
      <c r="D348" s="78" t="s">
        <v>148</v>
      </c>
      <c r="E348" s="67" t="s">
        <v>729</v>
      </c>
      <c r="F348" s="67" t="s">
        <v>204</v>
      </c>
      <c r="G348" s="67" t="str">
        <f>INDEX('[4]RT Description to Bill Matix'!$D:$D,MATCH(A348,'[4]RT Description to Bill Matix'!$M:$M,0))</f>
        <v>CDS Individualized Skills and Socialization LON 5 - On-Site</v>
      </c>
      <c r="H348" s="65" t="s">
        <v>774</v>
      </c>
      <c r="I348" s="65" t="s">
        <v>147</v>
      </c>
      <c r="J348" s="65" t="s">
        <v>752</v>
      </c>
      <c r="K348" s="66" t="str">
        <f>INDEX('[5]Combined Bill Code List'!$A:$A,MATCH(A348,'[5]Combined Bill Code List'!$F:$F,0))</f>
        <v>1915(c) waiver</v>
      </c>
      <c r="L348" s="66" t="str">
        <f>INDEX('[6]Rate History'!$P:$P,MATCH(A348,'[6]Rate History'!$F:$F,0))</f>
        <v>1 hour</v>
      </c>
      <c r="M348" s="77">
        <f>INDEX('[7]PDF DB Service Pivot'!$C:$C,MATCH(B348,'[7]PDF DB Service Pivot'!$B:$B,0))</f>
        <v>121145.82</v>
      </c>
      <c r="N348" s="77">
        <f t="shared" si="85"/>
        <v>36271.203592814374</v>
      </c>
      <c r="O348" s="76">
        <f>INDEX('[7]PDF DB Service Pivot'!$D:$D,MATCH(B348,'[7]PDF DB Service Pivot'!$B:$B,0))</f>
        <v>121145.82</v>
      </c>
      <c r="P348" s="91">
        <v>44927</v>
      </c>
      <c r="Q348" s="81">
        <v>6.68</v>
      </c>
      <c r="R348" s="81">
        <v>5.0278609625668444</v>
      </c>
      <c r="S348" s="354">
        <f t="shared" si="84"/>
        <v>0.75267379679144386</v>
      </c>
      <c r="T348" s="339">
        <v>0.2</v>
      </c>
      <c r="U348" s="81">
        <f t="shared" si="82"/>
        <v>0</v>
      </c>
      <c r="V348" s="81" cm="1">
        <f t="array" ref="V348">_xlfn.IFS('Fiscal by Program'!$B$7&lt;10.61,0,'Fiscal by Program'!$B$7&gt;10.6,(ROUND('Fiscal by Program'!$B$7*(1+IF(D348="Yes",'Fiscal by Program'!$B$9,'Fiscal by Program'!$B$8))*T348,2)))</f>
        <v>0</v>
      </c>
      <c r="W348" s="81">
        <f t="shared" si="86"/>
        <v>0</v>
      </c>
      <c r="X348" s="81">
        <f>ROUND((R348/(1+IF(D348="Yes",'Fiscal by Program'!$B$9,'Fiscal by Program'!$B$8))),2)+0.01</f>
        <v>4.55</v>
      </c>
      <c r="Y348" s="81">
        <f t="shared" si="87"/>
        <v>6.68</v>
      </c>
      <c r="Z348" s="88">
        <v>4</v>
      </c>
      <c r="AA348" s="90">
        <f t="shared" si="83"/>
        <v>0.05</v>
      </c>
      <c r="AB348" s="75">
        <f>INDEX('[9]Service List'!$K:$K,MATCH(A348,'[9]Service List'!$F:$F,0))</f>
        <v>1126</v>
      </c>
      <c r="AC348" s="73">
        <f>INDEX('[5]Combined Bill Code List'!$P:$P,MATCH(A348,'[5]Combined Bill Code List'!$F:$F,0))</f>
        <v>0</v>
      </c>
      <c r="AD348" s="80" t="s">
        <v>729</v>
      </c>
      <c r="AE348" s="79">
        <v>1</v>
      </c>
      <c r="AF348" s="66">
        <v>0</v>
      </c>
      <c r="AG348" s="70">
        <f>ROUND(INDEX('All Trends'!D:D,MATCH($AD348,'All Trends'!$C:$C,0)),4)</f>
        <v>0.93489999999999995</v>
      </c>
      <c r="AH348" s="70">
        <f>ROUND(INDEX('All Trends'!E:E,MATCH($AD348,'All Trends'!$C:$C,0)),4)</f>
        <v>1.0002</v>
      </c>
      <c r="AI348" s="70">
        <f>ROUND(INDEX('All Trends'!F:F,MATCH($AD348,'All Trends'!$C:$C,0)),4)</f>
        <v>1.0754999999999999</v>
      </c>
      <c r="AJ348" s="70">
        <f>ROUND(INDEX('All Trends'!G:G,MATCH($AD348,'All Trends'!$C:$C,0)),4)</f>
        <v>1.0754999999999999</v>
      </c>
      <c r="AK348" s="70">
        <f>ROUND(INDEX('All Trends'!H:H,MATCH($AD348,'All Trends'!$C:$C,0)),4)</f>
        <v>1.0754999999999999</v>
      </c>
      <c r="AL348" s="74" t="s">
        <v>148</v>
      </c>
      <c r="AM348" s="92">
        <f t="shared" si="88"/>
        <v>7801.94</v>
      </c>
      <c r="AN348" s="92">
        <f t="shared" si="89"/>
        <v>7801.94</v>
      </c>
      <c r="AO348" s="69">
        <f t="shared" si="90"/>
        <v>0</v>
      </c>
      <c r="AP348" s="69">
        <f t="shared" si="91"/>
        <v>0</v>
      </c>
      <c r="AQ348" s="69">
        <f t="shared" si="92"/>
        <v>0</v>
      </c>
      <c r="AR348" s="69">
        <f t="shared" si="93"/>
        <v>0</v>
      </c>
      <c r="AS348" s="409"/>
      <c r="AT348" s="409"/>
      <c r="AU348" s="409"/>
    </row>
    <row r="349" spans="1:47">
      <c r="A349" s="78" t="s">
        <v>775</v>
      </c>
      <c r="B349" s="78" t="s">
        <v>775</v>
      </c>
      <c r="C349" s="78" t="s">
        <v>147</v>
      </c>
      <c r="D349" s="78" t="s">
        <v>148</v>
      </c>
      <c r="E349" s="67" t="s">
        <v>729</v>
      </c>
      <c r="F349" s="67" t="s">
        <v>204</v>
      </c>
      <c r="G349" s="67" t="str">
        <f>INDEX('[4]RT Description to Bill Matix'!$D:$D,MATCH(A349,'[4]RT Description to Bill Matix'!$M:$M,0))</f>
        <v>CDS Individualized Skills and Socialization LON 8 - On-Site</v>
      </c>
      <c r="H349" s="65" t="s">
        <v>776</v>
      </c>
      <c r="I349" s="65" t="s">
        <v>147</v>
      </c>
      <c r="J349" s="65" t="s">
        <v>752</v>
      </c>
      <c r="K349" s="66" t="str">
        <f>INDEX('[5]Combined Bill Code List'!$A:$A,MATCH(A349,'[5]Combined Bill Code List'!$F:$F,0))</f>
        <v>1915(c) waiver</v>
      </c>
      <c r="L349" s="66" t="str">
        <f>INDEX('[6]Rate History'!$P:$P,MATCH(A349,'[6]Rate History'!$F:$F,0))</f>
        <v>1 hour</v>
      </c>
      <c r="M349" s="77">
        <f>INDEX('[7]PDF DB Service Pivot'!$C:$C,MATCH(B349,'[7]PDF DB Service Pivot'!$B:$B,0))</f>
        <v>2786.66</v>
      </c>
      <c r="N349" s="77">
        <f t="shared" si="85"/>
        <v>629.75367231638415</v>
      </c>
      <c r="O349" s="76">
        <f>INDEX('[7]PDF DB Service Pivot'!$D:$D,MATCH(B349,'[7]PDF DB Service Pivot'!$B:$B,0))</f>
        <v>2786.66</v>
      </c>
      <c r="P349" s="91">
        <v>44927</v>
      </c>
      <c r="Q349" s="81">
        <v>8.85</v>
      </c>
      <c r="R349" s="81">
        <v>6.9240932642487039</v>
      </c>
      <c r="S349" s="354">
        <f t="shared" si="84"/>
        <v>0.78238341968911906</v>
      </c>
      <c r="T349" s="339">
        <v>0.33</v>
      </c>
      <c r="U349" s="81">
        <f t="shared" si="82"/>
        <v>0</v>
      </c>
      <c r="V349" s="81" cm="1">
        <f t="array" ref="V349">_xlfn.IFS('Fiscal by Program'!$B$7&lt;10.61,0,'Fiscal by Program'!$B$7&gt;10.6,(ROUND('Fiscal by Program'!$B$7*(1+IF(D349="Yes",'Fiscal by Program'!$B$9,'Fiscal by Program'!$B$8))*T349,2)))</f>
        <v>0</v>
      </c>
      <c r="W349" s="81">
        <f t="shared" si="86"/>
        <v>0</v>
      </c>
      <c r="X349" s="81">
        <f>ROUND((R349/(1+IF(D349="Yes",'Fiscal by Program'!$B$9,'Fiscal by Program'!$B$8))),2)+0.01</f>
        <v>6.26</v>
      </c>
      <c r="Y349" s="81">
        <f t="shared" si="87"/>
        <v>8.85</v>
      </c>
      <c r="Z349" s="88">
        <v>4</v>
      </c>
      <c r="AA349" s="90">
        <f t="shared" si="83"/>
        <v>8.2500000000000004E-2</v>
      </c>
      <c r="AB349" s="75">
        <f>INDEX('[9]Service List'!$K:$K,MATCH(A349,'[9]Service List'!$F:$F,0))</f>
        <v>1128</v>
      </c>
      <c r="AC349" s="73">
        <f>INDEX('[5]Combined Bill Code List'!$P:$P,MATCH(A349,'[5]Combined Bill Code List'!$F:$F,0))</f>
        <v>0</v>
      </c>
      <c r="AD349" s="80" t="s">
        <v>729</v>
      </c>
      <c r="AE349" s="79">
        <v>1</v>
      </c>
      <c r="AF349" s="66">
        <v>0</v>
      </c>
      <c r="AG349" s="70">
        <f>ROUND(INDEX('All Trends'!D:D,MATCH($AD349,'All Trends'!$C:$C,0)),4)</f>
        <v>0.93489999999999995</v>
      </c>
      <c r="AH349" s="70">
        <f>ROUND(INDEX('All Trends'!E:E,MATCH($AD349,'All Trends'!$C:$C,0)),4)</f>
        <v>1.0002</v>
      </c>
      <c r="AI349" s="70">
        <f>ROUND(INDEX('All Trends'!F:F,MATCH($AD349,'All Trends'!$C:$C,0)),4)</f>
        <v>1.0754999999999999</v>
      </c>
      <c r="AJ349" s="70">
        <f>ROUND(INDEX('All Trends'!G:G,MATCH($AD349,'All Trends'!$C:$C,0)),4)</f>
        <v>1.0754999999999999</v>
      </c>
      <c r="AK349" s="70">
        <f>ROUND(INDEX('All Trends'!H:H,MATCH($AD349,'All Trends'!$C:$C,0)),4)</f>
        <v>1.0754999999999999</v>
      </c>
      <c r="AL349" s="74" t="s">
        <v>148</v>
      </c>
      <c r="AM349" s="92">
        <f t="shared" si="88"/>
        <v>223.51</v>
      </c>
      <c r="AN349" s="92">
        <f t="shared" si="89"/>
        <v>223.51</v>
      </c>
      <c r="AO349" s="69">
        <f t="shared" si="90"/>
        <v>0</v>
      </c>
      <c r="AP349" s="69">
        <f t="shared" si="91"/>
        <v>0</v>
      </c>
      <c r="AQ349" s="69">
        <f t="shared" si="92"/>
        <v>0</v>
      </c>
      <c r="AR349" s="69">
        <f t="shared" si="93"/>
        <v>0</v>
      </c>
      <c r="AS349" s="409"/>
      <c r="AT349" s="409"/>
      <c r="AU349" s="409"/>
    </row>
    <row r="350" spans="1:47">
      <c r="A350" s="78" t="s">
        <v>777</v>
      </c>
      <c r="B350" s="78" t="s">
        <v>777</v>
      </c>
      <c r="C350" s="78" t="s">
        <v>147</v>
      </c>
      <c r="D350" s="78" t="s">
        <v>148</v>
      </c>
      <c r="E350" s="67" t="s">
        <v>729</v>
      </c>
      <c r="F350" s="67" t="s">
        <v>204</v>
      </c>
      <c r="G350" s="67" t="str">
        <f>INDEX('[4]RT Description to Bill Matix'!$D:$D,MATCH(A350,'[4]RT Description to Bill Matix'!$M:$M,0))</f>
        <v>CDS Individualized Skills and Socialization LON 5 - On-Site</v>
      </c>
      <c r="H350" s="65" t="s">
        <v>778</v>
      </c>
      <c r="I350" s="65" t="s">
        <v>147</v>
      </c>
      <c r="J350" s="65" t="s">
        <v>752</v>
      </c>
      <c r="K350" s="66" t="str">
        <f>INDEX('[5]Combined Bill Code List'!$A:$A,MATCH(A350,'[5]Combined Bill Code List'!$F:$F,0))</f>
        <v>1915(c) waiver</v>
      </c>
      <c r="L350" s="66" t="str">
        <f>INDEX('[6]Rate History'!$P:$P,MATCH(A350,'[6]Rate History'!$F:$F,0))</f>
        <v>1 hour</v>
      </c>
      <c r="M350" s="77">
        <f>INDEX('[7]PDF DB Service Pivot'!$C:$C,MATCH(B350,'[7]PDF DB Service Pivot'!$B:$B,0))</f>
        <v>5052.8100000000004</v>
      </c>
      <c r="N350" s="77">
        <f t="shared" si="85"/>
        <v>1512.8173652694613</v>
      </c>
      <c r="O350" s="76">
        <f>INDEX('[7]PDF DB Service Pivot'!$D:$D,MATCH(B350,'[7]PDF DB Service Pivot'!$B:$B,0))</f>
        <v>5052.8100000000004</v>
      </c>
      <c r="P350" s="91">
        <v>44927</v>
      </c>
      <c r="Q350" s="81">
        <v>6.68</v>
      </c>
      <c r="R350" s="81">
        <v>5.0278609625668444</v>
      </c>
      <c r="S350" s="354">
        <f t="shared" si="84"/>
        <v>0.75267379679144386</v>
      </c>
      <c r="T350" s="339">
        <v>0.2</v>
      </c>
      <c r="U350" s="81">
        <f t="shared" si="82"/>
        <v>0</v>
      </c>
      <c r="V350" s="81" cm="1">
        <f t="array" ref="V350">_xlfn.IFS('Fiscal by Program'!$B$7&lt;10.61,0,'Fiscal by Program'!$B$7&gt;10.6,(ROUND('Fiscal by Program'!$B$7*(1+IF(D350="Yes",'Fiscal by Program'!$B$9,'Fiscal by Program'!$B$8))*T350,2)))</f>
        <v>0</v>
      </c>
      <c r="W350" s="81">
        <f t="shared" si="86"/>
        <v>0</v>
      </c>
      <c r="X350" s="81">
        <f>ROUND((R350/(1+IF(D350="Yes",'Fiscal by Program'!$B$9,'Fiscal by Program'!$B$8))),2)+0.01</f>
        <v>4.55</v>
      </c>
      <c r="Y350" s="81">
        <f t="shared" si="87"/>
        <v>6.68</v>
      </c>
      <c r="Z350" s="88">
        <v>4</v>
      </c>
      <c r="AA350" s="90">
        <f t="shared" si="83"/>
        <v>0.05</v>
      </c>
      <c r="AB350" s="75">
        <f>INDEX('[9]Service List'!$K:$K,MATCH(A350,'[9]Service List'!$F:$F,0))</f>
        <v>1130</v>
      </c>
      <c r="AC350" s="73">
        <f>INDEX('[5]Combined Bill Code List'!$P:$P,MATCH(A350,'[5]Combined Bill Code List'!$F:$F,0))</f>
        <v>0</v>
      </c>
      <c r="AD350" s="80" t="s">
        <v>729</v>
      </c>
      <c r="AE350" s="79">
        <v>1</v>
      </c>
      <c r="AF350" s="66">
        <v>0</v>
      </c>
      <c r="AG350" s="70">
        <f>ROUND(INDEX('All Trends'!D:D,MATCH($AD350,'All Trends'!$C:$C,0)),4)</f>
        <v>0.93489999999999995</v>
      </c>
      <c r="AH350" s="70">
        <f>ROUND(INDEX('All Trends'!E:E,MATCH($AD350,'All Trends'!$C:$C,0)),4)</f>
        <v>1.0002</v>
      </c>
      <c r="AI350" s="70">
        <f>ROUND(INDEX('All Trends'!F:F,MATCH($AD350,'All Trends'!$C:$C,0)),4)</f>
        <v>1.0754999999999999</v>
      </c>
      <c r="AJ350" s="70">
        <f>ROUND(INDEX('All Trends'!G:G,MATCH($AD350,'All Trends'!$C:$C,0)),4)</f>
        <v>1.0754999999999999</v>
      </c>
      <c r="AK350" s="70">
        <f>ROUND(INDEX('All Trends'!H:H,MATCH($AD350,'All Trends'!$C:$C,0)),4)</f>
        <v>1.0754999999999999</v>
      </c>
      <c r="AL350" s="74" t="s">
        <v>148</v>
      </c>
      <c r="AM350" s="92">
        <f t="shared" si="88"/>
        <v>325.41000000000003</v>
      </c>
      <c r="AN350" s="92">
        <f t="shared" si="89"/>
        <v>325.41000000000003</v>
      </c>
      <c r="AO350" s="69">
        <f t="shared" si="90"/>
        <v>0</v>
      </c>
      <c r="AP350" s="69">
        <f t="shared" si="91"/>
        <v>0</v>
      </c>
      <c r="AQ350" s="69">
        <f t="shared" si="92"/>
        <v>0</v>
      </c>
      <c r="AR350" s="69">
        <f t="shared" si="93"/>
        <v>0</v>
      </c>
      <c r="AS350" s="409"/>
      <c r="AT350" s="409"/>
      <c r="AU350" s="409"/>
    </row>
    <row r="351" spans="1:47">
      <c r="A351" s="67" t="s">
        <v>779</v>
      </c>
      <c r="B351" s="67" t="s">
        <v>779</v>
      </c>
      <c r="C351" s="78" t="s">
        <v>147</v>
      </c>
      <c r="D351" s="78" t="s">
        <v>148</v>
      </c>
      <c r="E351" s="67" t="s">
        <v>729</v>
      </c>
      <c r="F351" s="67" t="s">
        <v>174</v>
      </c>
      <c r="G351" s="67" t="str">
        <f>INDEX('[4]RT Description to Bill Matix'!$D:$D,MATCH(A351,'[4]RT Description to Bill Matix'!$M:$M,0))</f>
        <v>Employment Assistance and Supported Employment</v>
      </c>
      <c r="H351" s="65" t="s">
        <v>320</v>
      </c>
      <c r="I351" s="65"/>
      <c r="J351" s="65" t="str" cm="1">
        <f t="array" ref="J351">INDEX('Rate Table Service Desc XWalk'!F:F,MATCH(1,(G351='Rate Table Service Desc XWalk'!B:B)*(E351='Rate Table Service Desc XWalk'!A:A),0))</f>
        <v>4-1-23</v>
      </c>
      <c r="K351" s="66" t="str">
        <f>INDEX('[5]Combined Bill Code List'!$A:$A,MATCH(A351,'[5]Combined Bill Code List'!$F:$F,0))</f>
        <v>1915(c) waiver</v>
      </c>
      <c r="L351" s="66" t="str">
        <f>INDEX('[6]Rate History'!$P:$P,MATCH(A351,'[6]Rate History'!$F:$F,0))</f>
        <v>1 hour</v>
      </c>
      <c r="M351" s="77">
        <f>INDEX('[7]PDF DB Service Pivot'!$C:$C,MATCH(B351,'[7]PDF DB Service Pivot'!$B:$B,0))</f>
        <v>1418.5</v>
      </c>
      <c r="N351" s="77">
        <f t="shared" si="85"/>
        <v>1418.5</v>
      </c>
      <c r="O351" s="76">
        <f>INDEX('[7]PDF DB Service Pivot'!$D:$D,MATCH(B351,'[7]PDF DB Service Pivot'!$B:$B,0))</f>
        <v>48351.87</v>
      </c>
      <c r="P351" s="91">
        <v>40787</v>
      </c>
      <c r="Q351" s="81">
        <v>33.1</v>
      </c>
      <c r="R351" s="81">
        <v>19.07</v>
      </c>
      <c r="S351" s="354">
        <f t="shared" si="84"/>
        <v>0.57613293051359515</v>
      </c>
      <c r="T351" s="339">
        <f>INDEX('[10]Billable Services'!$L:$L,MATCH(B351,'[10]Billable Services'!$O:$O,0))</f>
        <v>1</v>
      </c>
      <c r="U351" s="81">
        <f t="shared" si="82"/>
        <v>0</v>
      </c>
      <c r="V351" s="81" cm="1">
        <f t="array" ref="V351">_xlfn.IFS('Fiscal by Program'!$B$7&lt;10.61,0,'Fiscal by Program'!$B$7&gt;10.6,(ROUND('Fiscal by Program'!$B$7*(1+IF(D351="Yes",'Fiscal by Program'!$B$9,'Fiscal by Program'!$B$8))*T351,2)))</f>
        <v>0</v>
      </c>
      <c r="W351" s="81">
        <f t="shared" si="86"/>
        <v>0</v>
      </c>
      <c r="X351" s="81">
        <f>ROUND((R351/(1+IF(D351="Yes",'Fiscal by Program'!$B$9,'Fiscal by Program'!$B$8))),2)+0.01</f>
        <v>17.23</v>
      </c>
      <c r="Y351" s="81">
        <f t="shared" si="87"/>
        <v>33.1</v>
      </c>
      <c r="Z351" s="88">
        <v>4</v>
      </c>
      <c r="AA351" s="90">
        <f t="shared" si="83"/>
        <v>0.25</v>
      </c>
      <c r="AB351" s="75">
        <f>INDEX('[9]Service List'!$K:$K,MATCH(A351,'[9]Service List'!$F:$F,0))</f>
        <v>1090</v>
      </c>
      <c r="AC351" s="73">
        <f>INDEX('[5]Combined Bill Code List'!$P:$P,MATCH(A351,'[5]Combined Bill Code List'!$F:$F,0))</f>
        <v>0</v>
      </c>
      <c r="AD351" s="80" t="s">
        <v>729</v>
      </c>
      <c r="AE351" s="79">
        <v>1</v>
      </c>
      <c r="AF351" s="66">
        <v>0</v>
      </c>
      <c r="AG351" s="70">
        <f>ROUND(INDEX('All Trends'!D:D,MATCH($AD351,'All Trends'!$C:$C,0)),4)</f>
        <v>0.93489999999999995</v>
      </c>
      <c r="AH351" s="70">
        <f>ROUND(INDEX('All Trends'!E:E,MATCH($AD351,'All Trends'!$C:$C,0)),4)</f>
        <v>1.0002</v>
      </c>
      <c r="AI351" s="70">
        <f>ROUND(INDEX('All Trends'!F:F,MATCH($AD351,'All Trends'!$C:$C,0)),4)</f>
        <v>1.0754999999999999</v>
      </c>
      <c r="AJ351" s="70">
        <f>ROUND(INDEX('All Trends'!G:G,MATCH($AD351,'All Trends'!$C:$C,0)),4)</f>
        <v>1.0754999999999999</v>
      </c>
      <c r="AK351" s="70">
        <f>ROUND(INDEX('All Trends'!H:H,MATCH($AD351,'All Trends'!$C:$C,0)),4)</f>
        <v>1.0754999999999999</v>
      </c>
      <c r="AL351" s="74" t="s">
        <v>148</v>
      </c>
      <c r="AM351" s="92">
        <f t="shared" si="88"/>
        <v>1525.6</v>
      </c>
      <c r="AN351" s="92">
        <f t="shared" si="89"/>
        <v>1525.6</v>
      </c>
      <c r="AO351" s="69">
        <f t="shared" si="90"/>
        <v>0</v>
      </c>
      <c r="AP351" s="69">
        <f t="shared" si="91"/>
        <v>0</v>
      </c>
      <c r="AQ351" s="69">
        <f t="shared" si="92"/>
        <v>0</v>
      </c>
      <c r="AR351" s="69">
        <f t="shared" si="93"/>
        <v>0</v>
      </c>
      <c r="AS351" s="409"/>
      <c r="AT351" s="409"/>
      <c r="AU351" s="409"/>
    </row>
    <row r="352" spans="1:47">
      <c r="A352" s="67" t="s">
        <v>780</v>
      </c>
      <c r="B352" s="67" t="s">
        <v>780</v>
      </c>
      <c r="C352" s="78" t="s">
        <v>147</v>
      </c>
      <c r="D352" s="78" t="s">
        <v>148</v>
      </c>
      <c r="E352" s="67" t="s">
        <v>729</v>
      </c>
      <c r="F352" s="67" t="s">
        <v>174</v>
      </c>
      <c r="G352" s="67" t="str">
        <f>INDEX('[4]RT Description to Bill Matix'!$D:$D,MATCH(A352,'[4]RT Description to Bill Matix'!$M:$M,0))</f>
        <v>CDS Employment Assistance and Supported Employment</v>
      </c>
      <c r="H352" s="65" t="s">
        <v>781</v>
      </c>
      <c r="I352" s="65" t="s">
        <v>147</v>
      </c>
      <c r="J352" s="65" t="str" cm="1">
        <f t="array" ref="J352">INDEX('Rate Table Service Desc XWalk'!F:F,MATCH(1,(G352='Rate Table Service Desc XWalk'!B:B)*(E352='Rate Table Service Desc XWalk'!A:A),0))</f>
        <v>4-5-121</v>
      </c>
      <c r="K352" s="66" t="str">
        <f>INDEX('[5]Combined Bill Code List'!$A:$A,MATCH(A352,'[5]Combined Bill Code List'!$F:$F,0))</f>
        <v>1915(c) waiver</v>
      </c>
      <c r="L352" s="66" t="str">
        <f>INDEX('[6]Rate History'!$P:$P,MATCH(A352,'[6]Rate History'!$F:$F,0))</f>
        <v>1 hour</v>
      </c>
      <c r="M352" s="77">
        <f>INDEX('[7]PDF DB Service Pivot'!$C:$C,MATCH(B352,'[7]PDF DB Service Pivot'!$B:$B,0))</f>
        <v>17523.53</v>
      </c>
      <c r="N352" s="77">
        <f t="shared" si="85"/>
        <v>545.9043613707164</v>
      </c>
      <c r="O352" s="76">
        <f>INDEX('[7]PDF DB Service Pivot'!$D:$D,MATCH(B352,'[7]PDF DB Service Pivot'!$B:$B,0))</f>
        <v>17523.53</v>
      </c>
      <c r="P352" s="91">
        <v>41518</v>
      </c>
      <c r="Q352" s="81">
        <v>32.1</v>
      </c>
      <c r="R352" s="81">
        <v>18.493867069486406</v>
      </c>
      <c r="S352" s="354">
        <f t="shared" si="84"/>
        <v>0.57613293051359515</v>
      </c>
      <c r="T352" s="339">
        <v>1</v>
      </c>
      <c r="U352" s="81">
        <f t="shared" si="82"/>
        <v>0</v>
      </c>
      <c r="V352" s="81" cm="1">
        <f t="array" ref="V352">_xlfn.IFS('Fiscal by Program'!$B$7&lt;10.61,0,'Fiscal by Program'!$B$7&gt;10.6,(ROUND('Fiscal by Program'!$B$7*(1+IF(D352="Yes",'Fiscal by Program'!$B$9,'Fiscal by Program'!$B$8))*T352,2)))</f>
        <v>0</v>
      </c>
      <c r="W352" s="81">
        <f t="shared" si="86"/>
        <v>0</v>
      </c>
      <c r="X352" s="81">
        <f>ROUND((R352/(1+IF(D352="Yes",'Fiscal by Program'!$B$9,'Fiscal by Program'!$B$8))),2)+0.01</f>
        <v>16.71</v>
      </c>
      <c r="Y352" s="81">
        <f t="shared" si="87"/>
        <v>32.1</v>
      </c>
      <c r="Z352" s="88">
        <v>4</v>
      </c>
      <c r="AA352" s="90">
        <f t="shared" si="83"/>
        <v>0.25</v>
      </c>
      <c r="AB352" s="75">
        <f>INDEX('[9]Service List'!$K:$K,MATCH(A352,'[9]Service List'!$F:$F,0))</f>
        <v>1089</v>
      </c>
      <c r="AC352" s="73">
        <f>INDEX('[5]Combined Bill Code List'!$P:$P,MATCH(A352,'[5]Combined Bill Code List'!$F:$F,0))</f>
        <v>0</v>
      </c>
      <c r="AD352" s="80" t="s">
        <v>729</v>
      </c>
      <c r="AE352" s="79">
        <v>1</v>
      </c>
      <c r="AF352" s="66">
        <v>0</v>
      </c>
      <c r="AG352" s="70">
        <f>ROUND(INDEX('All Trends'!D:D,MATCH($AD352,'All Trends'!$C:$C,0)),4)</f>
        <v>0.93489999999999995</v>
      </c>
      <c r="AH352" s="70">
        <f>ROUND(INDEX('All Trends'!E:E,MATCH($AD352,'All Trends'!$C:$C,0)),4)</f>
        <v>1.0002</v>
      </c>
      <c r="AI352" s="70">
        <f>ROUND(INDEX('All Trends'!F:F,MATCH($AD352,'All Trends'!$C:$C,0)),4)</f>
        <v>1.0754999999999999</v>
      </c>
      <c r="AJ352" s="70">
        <f>ROUND(INDEX('All Trends'!G:G,MATCH($AD352,'All Trends'!$C:$C,0)),4)</f>
        <v>1.0754999999999999</v>
      </c>
      <c r="AK352" s="70">
        <f>ROUND(INDEX('All Trends'!H:H,MATCH($AD352,'All Trends'!$C:$C,0)),4)</f>
        <v>1.0754999999999999</v>
      </c>
      <c r="AL352" s="74" t="s">
        <v>148</v>
      </c>
      <c r="AM352" s="92">
        <f t="shared" si="88"/>
        <v>587.12</v>
      </c>
      <c r="AN352" s="92">
        <f t="shared" si="89"/>
        <v>587.12</v>
      </c>
      <c r="AO352" s="69">
        <f t="shared" si="90"/>
        <v>0</v>
      </c>
      <c r="AP352" s="69">
        <f t="shared" si="91"/>
        <v>0</v>
      </c>
      <c r="AQ352" s="69">
        <f t="shared" si="92"/>
        <v>0</v>
      </c>
      <c r="AR352" s="69">
        <f t="shared" si="93"/>
        <v>0</v>
      </c>
      <c r="AS352" s="409"/>
      <c r="AT352" s="409"/>
      <c r="AU352" s="409"/>
    </row>
    <row r="353" spans="1:47">
      <c r="A353" s="67" t="s">
        <v>782</v>
      </c>
      <c r="B353" s="67" t="s">
        <v>782</v>
      </c>
      <c r="C353" s="78" t="s">
        <v>147</v>
      </c>
      <c r="D353" s="78" t="s">
        <v>148</v>
      </c>
      <c r="E353" s="67" t="s">
        <v>729</v>
      </c>
      <c r="F353" s="67" t="s">
        <v>162</v>
      </c>
      <c r="G353" s="67" t="str">
        <f>INDEX('[4]RT Description to Bill Matix'!$D:$D,MATCH(A353,'[4]RT Description to Bill Matix'!$M:$M,0))</f>
        <v>PAS/HAB (CFC) and Transportation</v>
      </c>
      <c r="H353" s="65" t="s">
        <v>783</v>
      </c>
      <c r="I353" s="65"/>
      <c r="J353" s="65" t="str" cm="1">
        <f t="array" ref="J353">INDEX('Rate Table Service Desc XWalk'!F:F,MATCH(1,(G353='Rate Table Service Desc XWalk'!B:B)*(E353='Rate Table Service Desc XWalk'!A:A),0))</f>
        <v>4-1-79</v>
      </c>
      <c r="K353" s="66" t="str">
        <f>INDEX('[5]Combined Bill Code List'!$A:$A,MATCH(A353,'[5]Combined Bill Code List'!$F:$F,0))</f>
        <v>1915(c) waiver</v>
      </c>
      <c r="L353" s="66" t="str">
        <f>INDEX('[6]Rate History'!$P:$P,MATCH(A353,'[6]Rate History'!$F:$F,0))</f>
        <v>1 hour</v>
      </c>
      <c r="M353" s="77">
        <f>INDEX('[7]PDF DB Service Pivot'!$C:$C,MATCH(B353,'[7]PDF DB Service Pivot'!$B:$B,0))</f>
        <v>40769.75</v>
      </c>
      <c r="N353" s="77">
        <f t="shared" si="85"/>
        <v>40769.75</v>
      </c>
      <c r="O353" s="76">
        <f>INDEX('[7]PDF DB Service Pivot'!$D:$D,MATCH(B353,'[7]PDF DB Service Pivot'!$B:$B,0))</f>
        <v>747424.04</v>
      </c>
      <c r="P353" s="91">
        <v>45170</v>
      </c>
      <c r="Q353" s="81">
        <v>17.88</v>
      </c>
      <c r="R353" s="81">
        <v>14.67</v>
      </c>
      <c r="S353" s="354">
        <f t="shared" si="84"/>
        <v>0.82046979865771819</v>
      </c>
      <c r="T353" s="339">
        <f>INDEX('[10]Billable Services'!$L:$L,MATCH(B353,'[10]Billable Services'!$O:$O,0))</f>
        <v>1</v>
      </c>
      <c r="U353" s="81">
        <f t="shared" si="82"/>
        <v>0</v>
      </c>
      <c r="V353" s="81" cm="1">
        <f t="array" ref="V353">_xlfn.IFS('Fiscal by Program'!$B$7&lt;10.61,0,'Fiscal by Program'!$B$7&gt;10.6,(ROUND('Fiscal by Program'!$B$7*(1+IF(D353="Yes",'Fiscal by Program'!$B$9,'Fiscal by Program'!$B$8))*T353,2)))</f>
        <v>0</v>
      </c>
      <c r="W353" s="81">
        <f t="shared" si="86"/>
        <v>0</v>
      </c>
      <c r="X353" s="81">
        <f>ROUND((R353/(1+IF(D353="Yes",'Fiscal by Program'!$B$9,'Fiscal by Program'!$B$8))),2)+0.01</f>
        <v>13.26</v>
      </c>
      <c r="Y353" s="81">
        <f t="shared" si="87"/>
        <v>17.88</v>
      </c>
      <c r="Z353" s="88">
        <v>4</v>
      </c>
      <c r="AA353" s="90">
        <f t="shared" si="83"/>
        <v>0.25</v>
      </c>
      <c r="AB353" s="75">
        <f>INDEX('[9]Service List'!$K:$K,MATCH(A353,'[9]Service List'!$F:$F,0))</f>
        <v>1146</v>
      </c>
      <c r="AC353" s="73">
        <f>INDEX('[5]Combined Bill Code List'!$P:$P,MATCH(A353,'[5]Combined Bill Code List'!$F:$F,0))</f>
        <v>0</v>
      </c>
      <c r="AD353" s="80" t="s">
        <v>729</v>
      </c>
      <c r="AE353" s="79">
        <v>1</v>
      </c>
      <c r="AF353" s="66">
        <v>0</v>
      </c>
      <c r="AG353" s="70">
        <f>ROUND(INDEX('All Trends'!D:D,MATCH($AD353,'All Trends'!$C:$C,0)),4)</f>
        <v>0.93489999999999995</v>
      </c>
      <c r="AH353" s="70">
        <f>ROUND(INDEX('All Trends'!E:E,MATCH($AD353,'All Trends'!$C:$C,0)),4)</f>
        <v>1.0002</v>
      </c>
      <c r="AI353" s="70">
        <f>ROUND(INDEX('All Trends'!F:F,MATCH($AD353,'All Trends'!$C:$C,0)),4)</f>
        <v>1.0754999999999999</v>
      </c>
      <c r="AJ353" s="70">
        <f>ROUND(INDEX('All Trends'!G:G,MATCH($AD353,'All Trends'!$C:$C,0)),4)</f>
        <v>1.0754999999999999</v>
      </c>
      <c r="AK353" s="70">
        <f>ROUND(INDEX('All Trends'!H:H,MATCH($AD353,'All Trends'!$C:$C,0)),4)</f>
        <v>1.0754999999999999</v>
      </c>
      <c r="AL353" s="74" t="s">
        <v>148</v>
      </c>
      <c r="AM353" s="92">
        <f t="shared" si="88"/>
        <v>43847.87</v>
      </c>
      <c r="AN353" s="92">
        <f t="shared" si="89"/>
        <v>43847.87</v>
      </c>
      <c r="AO353" s="69">
        <f t="shared" si="90"/>
        <v>0</v>
      </c>
      <c r="AP353" s="69">
        <f t="shared" si="91"/>
        <v>0</v>
      </c>
      <c r="AQ353" s="69">
        <f t="shared" si="92"/>
        <v>0</v>
      </c>
      <c r="AR353" s="69">
        <f t="shared" si="93"/>
        <v>0</v>
      </c>
      <c r="AS353" s="409"/>
      <c r="AT353" s="409"/>
      <c r="AU353" s="409"/>
    </row>
    <row r="354" spans="1:47">
      <c r="A354" s="67" t="s">
        <v>784</v>
      </c>
      <c r="B354" s="67" t="s">
        <v>784</v>
      </c>
      <c r="C354" s="78" t="s">
        <v>147</v>
      </c>
      <c r="D354" s="78" t="s">
        <v>148</v>
      </c>
      <c r="E354" s="67" t="s">
        <v>729</v>
      </c>
      <c r="F354" s="67" t="s">
        <v>162</v>
      </c>
      <c r="G354" s="67" t="str">
        <f>INDEX('[4]RT Description to Bill Matix'!$D:$D,MATCH(A354,'[4]RT Description to Bill Matix'!$M:$M,0))</f>
        <v>CDS PAS/HAB (CFC) and Transportation</v>
      </c>
      <c r="H354" s="65" t="s">
        <v>785</v>
      </c>
      <c r="I354" s="65" t="s">
        <v>147</v>
      </c>
      <c r="J354" s="65" t="str" cm="1">
        <f t="array" ref="J354">INDEX('Rate Table Service Desc XWalk'!F:F,MATCH(1,(G354='Rate Table Service Desc XWalk'!B:B)*(E354='Rate Table Service Desc XWalk'!A:A),0))</f>
        <v>4-5-143</v>
      </c>
      <c r="K354" s="66" t="str">
        <f>INDEX('[5]Combined Bill Code List'!$A:$A,MATCH(A354,'[5]Combined Bill Code List'!$F:$F,0))</f>
        <v>1915(c) waiver</v>
      </c>
      <c r="L354" s="66" t="str">
        <f>INDEX('[6]Rate History'!$P:$P,MATCH(A354,'[6]Rate History'!$F:$F,0))</f>
        <v>1 hour</v>
      </c>
      <c r="M354" s="77">
        <f>INDEX('[7]PDF DB Service Pivot'!$C:$C,MATCH(B354,'[7]PDF DB Service Pivot'!$B:$B,0))</f>
        <v>721254.14</v>
      </c>
      <c r="N354" s="77">
        <f t="shared" si="85"/>
        <v>32547.569494584837</v>
      </c>
      <c r="O354" s="76">
        <f>INDEX('[7]PDF DB Service Pivot'!$D:$D,MATCH(B354,'[7]PDF DB Service Pivot'!$B:$B,0))</f>
        <v>721254.14</v>
      </c>
      <c r="P354" s="91">
        <v>45170</v>
      </c>
      <c r="Q354" s="81">
        <v>22.16</v>
      </c>
      <c r="R354" s="81">
        <v>18.18</v>
      </c>
      <c r="S354" s="354">
        <f t="shared" si="84"/>
        <v>0.8203971119133574</v>
      </c>
      <c r="T354" s="339">
        <v>1</v>
      </c>
      <c r="U354" s="81">
        <f t="shared" si="82"/>
        <v>0</v>
      </c>
      <c r="V354" s="81" cm="1">
        <f t="array" ref="V354">_xlfn.IFS('Fiscal by Program'!$B$7&lt;10.61,0,'Fiscal by Program'!$B$7&gt;10.6,(ROUND('Fiscal by Program'!$B$7*(1+IF(D354="Yes",'Fiscal by Program'!$B$9,'Fiscal by Program'!$B$8))*T354,2)))</f>
        <v>0</v>
      </c>
      <c r="W354" s="81">
        <f t="shared" si="86"/>
        <v>0</v>
      </c>
      <c r="X354" s="81">
        <f>ROUND((R354/(1+IF(D354="Yes",'Fiscal by Program'!$B$9,'Fiscal by Program'!$B$8))),2)+0.01</f>
        <v>16.430000000000003</v>
      </c>
      <c r="Y354" s="81">
        <f t="shared" si="87"/>
        <v>22.16</v>
      </c>
      <c r="Z354" s="88">
        <v>4</v>
      </c>
      <c r="AA354" s="90">
        <f t="shared" si="83"/>
        <v>0.25</v>
      </c>
      <c r="AB354" s="75">
        <f>INDEX('[9]Service List'!$K:$K,MATCH(A354,'[9]Service List'!$F:$F,0))</f>
        <v>1147</v>
      </c>
      <c r="AC354" s="73">
        <f>INDEX('[5]Combined Bill Code List'!$P:$P,MATCH(A354,'[5]Combined Bill Code List'!$F:$F,0))</f>
        <v>0</v>
      </c>
      <c r="AD354" s="80" t="s">
        <v>729</v>
      </c>
      <c r="AE354" s="79">
        <v>1</v>
      </c>
      <c r="AF354" s="66">
        <v>0</v>
      </c>
      <c r="AG354" s="70">
        <f>ROUND(INDEX('All Trends'!D:D,MATCH($AD354,'All Trends'!$C:$C,0)),4)</f>
        <v>0.93489999999999995</v>
      </c>
      <c r="AH354" s="70">
        <f>ROUND(INDEX('All Trends'!E:E,MATCH($AD354,'All Trends'!$C:$C,0)),4)</f>
        <v>1.0002</v>
      </c>
      <c r="AI354" s="70">
        <f>ROUND(INDEX('All Trends'!F:F,MATCH($AD354,'All Trends'!$C:$C,0)),4)</f>
        <v>1.0754999999999999</v>
      </c>
      <c r="AJ354" s="70">
        <f>ROUND(INDEX('All Trends'!G:G,MATCH($AD354,'All Trends'!$C:$C,0)),4)</f>
        <v>1.0754999999999999</v>
      </c>
      <c r="AK354" s="70">
        <f>ROUND(INDEX('All Trends'!H:H,MATCH($AD354,'All Trends'!$C:$C,0)),4)</f>
        <v>1.0754999999999999</v>
      </c>
      <c r="AL354" s="74" t="s">
        <v>148</v>
      </c>
      <c r="AM354" s="92">
        <f t="shared" si="88"/>
        <v>35004.910000000003</v>
      </c>
      <c r="AN354" s="92">
        <f t="shared" si="89"/>
        <v>35004.910000000003</v>
      </c>
      <c r="AO354" s="69">
        <f t="shared" si="90"/>
        <v>0</v>
      </c>
      <c r="AP354" s="69">
        <f t="shared" si="91"/>
        <v>0</v>
      </c>
      <c r="AQ354" s="69">
        <f t="shared" si="92"/>
        <v>0</v>
      </c>
      <c r="AR354" s="69">
        <f t="shared" si="93"/>
        <v>0</v>
      </c>
      <c r="AS354" s="409"/>
      <c r="AT354" s="409"/>
      <c r="AU354" s="409"/>
    </row>
    <row r="355" spans="1:47">
      <c r="A355" s="67" t="s">
        <v>786</v>
      </c>
      <c r="B355" s="67" t="s">
        <v>786</v>
      </c>
      <c r="C355" s="78" t="s">
        <v>147</v>
      </c>
      <c r="D355" s="78" t="s">
        <v>148</v>
      </c>
      <c r="E355" s="67" t="s">
        <v>729</v>
      </c>
      <c r="F355" s="67" t="s">
        <v>174</v>
      </c>
      <c r="G355" s="67" t="str">
        <f>INDEX('[4]RT Description to Bill Matix'!$D:$D,MATCH(A355,'[4]RT Description to Bill Matix'!$M:$M,0))</f>
        <v>Employment Assistance and Supported Employment</v>
      </c>
      <c r="H355" s="65" t="s">
        <v>358</v>
      </c>
      <c r="I355" s="65"/>
      <c r="J355" s="65" t="str" cm="1">
        <f t="array" ref="J355">INDEX('Rate Table Service Desc XWalk'!F:F,MATCH(1,(G355='Rate Table Service Desc XWalk'!B:B)*(E355='Rate Table Service Desc XWalk'!A:A),0))</f>
        <v>4-1-23</v>
      </c>
      <c r="K355" s="66" t="str">
        <f>INDEX('[5]Combined Bill Code List'!$A:$A,MATCH(A355,'[5]Combined Bill Code List'!$F:$F,0))</f>
        <v>1915(c) waiver</v>
      </c>
      <c r="L355" s="66" t="str">
        <f>INDEX('[6]Rate History'!$P:$P,MATCH(A355,'[6]Rate History'!$F:$F,0))</f>
        <v>1 hour</v>
      </c>
      <c r="M355" s="77">
        <f>INDEX('[7]PDF DB Service Pivot'!$C:$C,MATCH(B355,'[7]PDF DB Service Pivot'!$B:$B,0))</f>
        <v>833.75</v>
      </c>
      <c r="N355" s="77">
        <f t="shared" si="85"/>
        <v>833.75</v>
      </c>
      <c r="O355" s="76">
        <f>INDEX('[7]PDF DB Service Pivot'!$D:$D,MATCH(B355,'[7]PDF DB Service Pivot'!$B:$B,0))</f>
        <v>28294.03</v>
      </c>
      <c r="P355" s="91">
        <v>40787</v>
      </c>
      <c r="Q355" s="81">
        <v>33.1</v>
      </c>
      <c r="R355" s="81">
        <v>19.07</v>
      </c>
      <c r="S355" s="354">
        <f t="shared" si="84"/>
        <v>0.57613293051359515</v>
      </c>
      <c r="T355" s="339">
        <f>INDEX('[10]Billable Services'!$L:$L,MATCH(B355,'[10]Billable Services'!$O:$O,0))</f>
        <v>1</v>
      </c>
      <c r="U355" s="81">
        <f t="shared" si="82"/>
        <v>0</v>
      </c>
      <c r="V355" s="81" cm="1">
        <f t="array" ref="V355">_xlfn.IFS('Fiscal by Program'!$B$7&lt;10.61,0,'Fiscal by Program'!$B$7&gt;10.6,(ROUND('Fiscal by Program'!$B$7*(1+IF(D355="Yes",'Fiscal by Program'!$B$9,'Fiscal by Program'!$B$8))*T355,2)))</f>
        <v>0</v>
      </c>
      <c r="W355" s="81">
        <f t="shared" si="86"/>
        <v>0</v>
      </c>
      <c r="X355" s="81">
        <f>ROUND((R355/(1+IF(D355="Yes",'Fiscal by Program'!$B$9,'Fiscal by Program'!$B$8))),2)+0.01</f>
        <v>17.23</v>
      </c>
      <c r="Y355" s="81">
        <f t="shared" si="87"/>
        <v>33.1</v>
      </c>
      <c r="Z355" s="88">
        <v>4</v>
      </c>
      <c r="AA355" s="90">
        <f t="shared" si="83"/>
        <v>0.25</v>
      </c>
      <c r="AB355" s="75">
        <f>INDEX('[9]Service List'!$K:$K,MATCH(A355,'[9]Service List'!$F:$F,0))</f>
        <v>1088</v>
      </c>
      <c r="AC355" s="73">
        <f>INDEX('[5]Combined Bill Code List'!$P:$P,MATCH(A355,'[5]Combined Bill Code List'!$F:$F,0))</f>
        <v>0</v>
      </c>
      <c r="AD355" s="80" t="s">
        <v>729</v>
      </c>
      <c r="AE355" s="79">
        <v>1</v>
      </c>
      <c r="AF355" s="66">
        <v>0</v>
      </c>
      <c r="AG355" s="70">
        <f>ROUND(INDEX('All Trends'!D:D,MATCH($AD355,'All Trends'!$C:$C,0)),4)</f>
        <v>0.93489999999999995</v>
      </c>
      <c r="AH355" s="70">
        <f>ROUND(INDEX('All Trends'!E:E,MATCH($AD355,'All Trends'!$C:$C,0)),4)</f>
        <v>1.0002</v>
      </c>
      <c r="AI355" s="70">
        <f>ROUND(INDEX('All Trends'!F:F,MATCH($AD355,'All Trends'!$C:$C,0)),4)</f>
        <v>1.0754999999999999</v>
      </c>
      <c r="AJ355" s="70">
        <f>ROUND(INDEX('All Trends'!G:G,MATCH($AD355,'All Trends'!$C:$C,0)),4)</f>
        <v>1.0754999999999999</v>
      </c>
      <c r="AK355" s="70">
        <f>ROUND(INDEX('All Trends'!H:H,MATCH($AD355,'All Trends'!$C:$C,0)),4)</f>
        <v>1.0754999999999999</v>
      </c>
      <c r="AL355" s="74" t="s">
        <v>148</v>
      </c>
      <c r="AM355" s="92">
        <f t="shared" si="88"/>
        <v>896.7</v>
      </c>
      <c r="AN355" s="92">
        <f t="shared" si="89"/>
        <v>896.7</v>
      </c>
      <c r="AO355" s="69">
        <f t="shared" si="90"/>
        <v>0</v>
      </c>
      <c r="AP355" s="69">
        <f t="shared" si="91"/>
        <v>0</v>
      </c>
      <c r="AQ355" s="69">
        <f t="shared" si="92"/>
        <v>0</v>
      </c>
      <c r="AR355" s="69">
        <f t="shared" si="93"/>
        <v>0</v>
      </c>
      <c r="AS355" s="409"/>
      <c r="AT355" s="409"/>
      <c r="AU355" s="409"/>
    </row>
    <row r="356" spans="1:47">
      <c r="A356" s="67" t="s">
        <v>787</v>
      </c>
      <c r="B356" s="67" t="s">
        <v>787</v>
      </c>
      <c r="C356" s="78" t="s">
        <v>147</v>
      </c>
      <c r="D356" s="78" t="s">
        <v>148</v>
      </c>
      <c r="E356" s="67" t="s">
        <v>729</v>
      </c>
      <c r="F356" s="67" t="s">
        <v>174</v>
      </c>
      <c r="G356" s="67" t="str">
        <f>INDEX('[4]RT Description to Bill Matix'!$D:$D,MATCH(A356,'[4]RT Description to Bill Matix'!$M:$M,0))</f>
        <v>CDS Employment Assistance and Supported Employment</v>
      </c>
      <c r="H356" s="65" t="s">
        <v>360</v>
      </c>
      <c r="I356" s="65" t="s">
        <v>147</v>
      </c>
      <c r="J356" s="65" t="str" cm="1">
        <f t="array" ref="J356">INDEX('Rate Table Service Desc XWalk'!F:F,MATCH(1,(G356='Rate Table Service Desc XWalk'!B:B)*(E356='Rate Table Service Desc XWalk'!A:A),0))</f>
        <v>4-5-121</v>
      </c>
      <c r="K356" s="66" t="str">
        <f>INDEX('[5]Combined Bill Code List'!$A:$A,MATCH(A356,'[5]Combined Bill Code List'!$F:$F,0))</f>
        <v>1915(c) waiver</v>
      </c>
      <c r="L356" s="66" t="str">
        <f>INDEX('[6]Rate History'!$P:$P,MATCH(A356,'[6]Rate History'!$F:$F,0))</f>
        <v>1 hour</v>
      </c>
      <c r="M356" s="77">
        <f>INDEX('[7]PDF DB Service Pivot'!$C:$C,MATCH(B356,'[7]PDF DB Service Pivot'!$B:$B,0))</f>
        <v>6334.62</v>
      </c>
      <c r="N356" s="77">
        <f t="shared" si="85"/>
        <v>197.34018691588784</v>
      </c>
      <c r="O356" s="76">
        <f>INDEX('[7]PDF DB Service Pivot'!$D:$D,MATCH(B356,'[7]PDF DB Service Pivot'!$B:$B,0))</f>
        <v>6334.62</v>
      </c>
      <c r="P356" s="91">
        <v>41518</v>
      </c>
      <c r="Q356" s="81">
        <v>32.1</v>
      </c>
      <c r="R356" s="81">
        <v>18.493867069486406</v>
      </c>
      <c r="S356" s="354">
        <f t="shared" si="84"/>
        <v>0.57613293051359515</v>
      </c>
      <c r="T356" s="339">
        <v>1</v>
      </c>
      <c r="U356" s="81">
        <f t="shared" si="82"/>
        <v>0</v>
      </c>
      <c r="V356" s="81" cm="1">
        <f t="array" ref="V356">_xlfn.IFS('Fiscal by Program'!$B$7&lt;10.61,0,'Fiscal by Program'!$B$7&gt;10.6,(ROUND('Fiscal by Program'!$B$7*(1+IF(D356="Yes",'Fiscal by Program'!$B$9,'Fiscal by Program'!$B$8))*T356,2)))</f>
        <v>0</v>
      </c>
      <c r="W356" s="81">
        <f t="shared" si="86"/>
        <v>0</v>
      </c>
      <c r="X356" s="81">
        <f>ROUND((R356/(1+IF(D356="Yes",'Fiscal by Program'!$B$9,'Fiscal by Program'!$B$8))),2)+0.01</f>
        <v>16.71</v>
      </c>
      <c r="Y356" s="81">
        <f t="shared" si="87"/>
        <v>32.1</v>
      </c>
      <c r="Z356" s="88">
        <v>4</v>
      </c>
      <c r="AA356" s="90">
        <f t="shared" si="83"/>
        <v>0.25</v>
      </c>
      <c r="AB356" s="75">
        <f>INDEX('[9]Service List'!$K:$K,MATCH(A356,'[9]Service List'!$F:$F,0))</f>
        <v>1087</v>
      </c>
      <c r="AC356" s="73">
        <f>INDEX('[5]Combined Bill Code List'!$P:$P,MATCH(A356,'[5]Combined Bill Code List'!$F:$F,0))</f>
        <v>0</v>
      </c>
      <c r="AD356" s="80" t="s">
        <v>729</v>
      </c>
      <c r="AE356" s="79">
        <v>1</v>
      </c>
      <c r="AF356" s="66">
        <v>0</v>
      </c>
      <c r="AG356" s="70">
        <f>ROUND(INDEX('All Trends'!D:D,MATCH($AD356,'All Trends'!$C:$C,0)),4)</f>
        <v>0.93489999999999995</v>
      </c>
      <c r="AH356" s="70">
        <f>ROUND(INDEX('All Trends'!E:E,MATCH($AD356,'All Trends'!$C:$C,0)),4)</f>
        <v>1.0002</v>
      </c>
      <c r="AI356" s="70">
        <f>ROUND(INDEX('All Trends'!F:F,MATCH($AD356,'All Trends'!$C:$C,0)),4)</f>
        <v>1.0754999999999999</v>
      </c>
      <c r="AJ356" s="70">
        <f>ROUND(INDEX('All Trends'!G:G,MATCH($AD356,'All Trends'!$C:$C,0)),4)</f>
        <v>1.0754999999999999</v>
      </c>
      <c r="AK356" s="70">
        <f>ROUND(INDEX('All Trends'!H:H,MATCH($AD356,'All Trends'!$C:$C,0)),4)</f>
        <v>1.0754999999999999</v>
      </c>
      <c r="AL356" s="74" t="s">
        <v>148</v>
      </c>
      <c r="AM356" s="92">
        <f t="shared" si="88"/>
        <v>212.24</v>
      </c>
      <c r="AN356" s="92">
        <f t="shared" si="89"/>
        <v>212.24</v>
      </c>
      <c r="AO356" s="69">
        <f t="shared" si="90"/>
        <v>0</v>
      </c>
      <c r="AP356" s="69">
        <f t="shared" si="91"/>
        <v>0</v>
      </c>
      <c r="AQ356" s="69">
        <f t="shared" si="92"/>
        <v>0</v>
      </c>
      <c r="AR356" s="69">
        <f t="shared" si="93"/>
        <v>0</v>
      </c>
      <c r="AS356" s="409"/>
      <c r="AT356" s="409"/>
      <c r="AU356" s="409"/>
    </row>
    <row r="358" spans="1:47">
      <c r="O358" s="59"/>
      <c r="Q358" s="357"/>
    </row>
    <row r="359" spans="1:47">
      <c r="O359" s="59"/>
      <c r="Q359" s="357"/>
    </row>
    <row r="360" spans="1:47">
      <c r="Q360" s="357"/>
    </row>
  </sheetData>
  <autoFilter ref="A2:AR356" xr:uid="{19FC8CC6-3783-4452-A364-C2FE79845823}"/>
  <phoneticPr fontId="50"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6FE09-BAE2-410B-A21E-DA13C1A78958}">
  <dimension ref="A1:G360"/>
  <sheetViews>
    <sheetView workbookViewId="0">
      <selection activeCell="AO1" sqref="AO1:AO1048576"/>
    </sheetView>
  </sheetViews>
  <sheetFormatPr defaultRowHeight="13.15"/>
  <cols>
    <col min="1" max="1" width="17.42578125" bestFit="1" customWidth="1"/>
    <col min="2" max="2" width="76.42578125" style="67" bestFit="1" customWidth="1"/>
    <col min="3" max="3" width="12.140625" style="67" customWidth="1"/>
    <col min="4" max="5" width="10.42578125" style="67" customWidth="1"/>
    <col min="6" max="6" width="27.7109375" style="67" customWidth="1"/>
    <col min="7" max="7" width="10.42578125" style="67" customWidth="1"/>
  </cols>
  <sheetData>
    <row r="1" spans="1:7" ht="37.9">
      <c r="A1" t="s">
        <v>106</v>
      </c>
      <c r="B1" s="82" t="s">
        <v>107</v>
      </c>
      <c r="C1" s="82" t="s">
        <v>788</v>
      </c>
      <c r="D1" s="82" t="s">
        <v>789</v>
      </c>
      <c r="E1" s="82" t="s">
        <v>790</v>
      </c>
      <c r="F1" s="82" t="s">
        <v>791</v>
      </c>
      <c r="G1" s="82"/>
    </row>
    <row r="2" spans="1:7">
      <c r="A2" t="s">
        <v>149</v>
      </c>
      <c r="B2" s="67" t="s">
        <v>71</v>
      </c>
      <c r="C2" s="65">
        <v>13</v>
      </c>
      <c r="D2" s="65">
        <v>1</v>
      </c>
      <c r="E2" s="65">
        <v>7</v>
      </c>
      <c r="F2" s="65" t="s">
        <v>792</v>
      </c>
      <c r="G2" s="65"/>
    </row>
    <row r="3" spans="1:7">
      <c r="A3" t="s">
        <v>149</v>
      </c>
      <c r="B3" s="67" t="s">
        <v>72</v>
      </c>
      <c r="C3" s="65">
        <v>13</v>
      </c>
      <c r="D3" s="65">
        <v>1</v>
      </c>
      <c r="E3" s="65">
        <v>8</v>
      </c>
      <c r="F3" s="65" t="s">
        <v>793</v>
      </c>
      <c r="G3" s="65"/>
    </row>
    <row r="4" spans="1:7">
      <c r="A4" t="s">
        <v>149</v>
      </c>
      <c r="B4" s="67" t="s">
        <v>74</v>
      </c>
      <c r="C4" s="65">
        <v>13</v>
      </c>
      <c r="D4" s="65">
        <v>5</v>
      </c>
      <c r="E4" s="65">
        <v>116</v>
      </c>
      <c r="F4" s="65" t="s">
        <v>794</v>
      </c>
      <c r="G4" s="65"/>
    </row>
    <row r="5" spans="1:7">
      <c r="A5" t="s">
        <v>149</v>
      </c>
      <c r="B5" s="67" t="s">
        <v>75</v>
      </c>
      <c r="C5" s="65">
        <v>13</v>
      </c>
      <c r="D5" s="65">
        <v>5</v>
      </c>
      <c r="E5" s="65">
        <v>117</v>
      </c>
      <c r="F5" s="65" t="s">
        <v>76</v>
      </c>
      <c r="G5" s="65"/>
    </row>
    <row r="6" spans="1:7">
      <c r="A6" t="s">
        <v>161</v>
      </c>
      <c r="B6" s="67" t="s">
        <v>28</v>
      </c>
      <c r="C6" s="65">
        <v>1</v>
      </c>
      <c r="D6" s="65">
        <v>5</v>
      </c>
      <c r="E6" s="65">
        <v>121</v>
      </c>
      <c r="F6" s="65" t="s">
        <v>795</v>
      </c>
      <c r="G6" s="65"/>
    </row>
    <row r="7" spans="1:7">
      <c r="A7" t="s">
        <v>161</v>
      </c>
      <c r="B7" s="67" t="s">
        <v>29</v>
      </c>
      <c r="C7" s="65">
        <v>1</v>
      </c>
      <c r="D7" s="65">
        <v>5</v>
      </c>
      <c r="E7" s="65">
        <v>122</v>
      </c>
      <c r="F7" s="65" t="s">
        <v>796</v>
      </c>
      <c r="G7" s="65"/>
    </row>
    <row r="8" spans="1:7">
      <c r="A8" t="s">
        <v>161</v>
      </c>
      <c r="B8" s="67" t="s">
        <v>30</v>
      </c>
      <c r="C8" s="65">
        <v>1</v>
      </c>
      <c r="D8" s="65">
        <v>5</v>
      </c>
      <c r="E8" s="65">
        <v>136</v>
      </c>
      <c r="F8" s="65" t="s">
        <v>797</v>
      </c>
      <c r="G8" s="65"/>
    </row>
    <row r="9" spans="1:7">
      <c r="A9" t="s">
        <v>161</v>
      </c>
      <c r="B9" s="67" t="s">
        <v>31</v>
      </c>
      <c r="C9" s="65">
        <v>1</v>
      </c>
      <c r="D9" s="65">
        <v>5</v>
      </c>
      <c r="E9" s="65">
        <v>142</v>
      </c>
      <c r="F9" s="65" t="s">
        <v>798</v>
      </c>
      <c r="G9" s="65"/>
    </row>
    <row r="10" spans="1:7">
      <c r="A10" t="s">
        <v>161</v>
      </c>
      <c r="B10" s="67" t="s">
        <v>24</v>
      </c>
      <c r="C10" s="65">
        <v>1</v>
      </c>
      <c r="D10" s="65">
        <v>1</v>
      </c>
      <c r="E10" s="65">
        <v>23</v>
      </c>
      <c r="F10" s="65" t="s">
        <v>799</v>
      </c>
      <c r="G10" s="65"/>
    </row>
    <row r="11" spans="1:7">
      <c r="A11" t="s">
        <v>161</v>
      </c>
      <c r="B11" s="67" t="s">
        <v>25</v>
      </c>
      <c r="C11" s="65">
        <v>1</v>
      </c>
      <c r="D11" s="65">
        <v>1</v>
      </c>
      <c r="E11" s="65">
        <v>26</v>
      </c>
      <c r="F11" s="65" t="s">
        <v>800</v>
      </c>
      <c r="G11" s="65"/>
    </row>
    <row r="12" spans="1:7">
      <c r="A12" t="s">
        <v>161</v>
      </c>
      <c r="B12" s="67" t="s">
        <v>26</v>
      </c>
      <c r="C12" s="65">
        <v>1</v>
      </c>
      <c r="D12" s="65">
        <v>1</v>
      </c>
      <c r="E12" s="65">
        <v>55</v>
      </c>
      <c r="F12" s="65" t="s">
        <v>801</v>
      </c>
      <c r="G12" s="65"/>
    </row>
    <row r="13" spans="1:7">
      <c r="A13" t="s">
        <v>161</v>
      </c>
      <c r="B13" s="67" t="s">
        <v>27</v>
      </c>
      <c r="C13" s="65">
        <v>1</v>
      </c>
      <c r="D13" s="65">
        <v>1</v>
      </c>
      <c r="E13" s="65">
        <v>78</v>
      </c>
      <c r="F13" s="65" t="s">
        <v>802</v>
      </c>
      <c r="G13" s="65"/>
    </row>
    <row r="14" spans="1:7">
      <c r="A14" t="s">
        <v>183</v>
      </c>
      <c r="B14" s="67" t="s">
        <v>803</v>
      </c>
      <c r="C14" s="65">
        <v>10</v>
      </c>
      <c r="D14" s="65">
        <v>1</v>
      </c>
      <c r="E14" s="65">
        <v>18</v>
      </c>
      <c r="F14" s="65" t="s">
        <v>86</v>
      </c>
      <c r="G14" s="65"/>
    </row>
    <row r="15" spans="1:7">
      <c r="A15" t="s">
        <v>189</v>
      </c>
      <c r="B15" s="67" t="s">
        <v>34</v>
      </c>
      <c r="C15" s="65">
        <v>2</v>
      </c>
      <c r="D15" s="65">
        <v>1</v>
      </c>
      <c r="E15" s="65">
        <v>3</v>
      </c>
      <c r="F15" s="65" t="str">
        <f>C15&amp;"-"&amp;D15&amp;"-"&amp;E15</f>
        <v>2-1-3</v>
      </c>
      <c r="G15" s="65"/>
    </row>
    <row r="16" spans="1:7">
      <c r="A16" t="s">
        <v>189</v>
      </c>
      <c r="B16" s="67" t="s">
        <v>30</v>
      </c>
      <c r="C16" s="65">
        <v>2</v>
      </c>
      <c r="D16" s="65">
        <v>5</v>
      </c>
      <c r="E16" s="65">
        <v>136</v>
      </c>
      <c r="F16" s="65" t="s">
        <v>804</v>
      </c>
      <c r="G16" s="65"/>
    </row>
    <row r="17" spans="1:7">
      <c r="A17" t="s">
        <v>189</v>
      </c>
      <c r="B17" s="67" t="s">
        <v>805</v>
      </c>
      <c r="C17" s="65">
        <v>2</v>
      </c>
      <c r="D17" s="65">
        <v>5</v>
      </c>
      <c r="E17" s="65">
        <v>142</v>
      </c>
      <c r="F17" s="65" t="s">
        <v>806</v>
      </c>
      <c r="G17" s="65"/>
    </row>
    <row r="18" spans="1:7">
      <c r="A18" t="s">
        <v>189</v>
      </c>
      <c r="B18" s="67" t="s">
        <v>38</v>
      </c>
      <c r="C18" s="65">
        <v>2</v>
      </c>
      <c r="D18" s="65">
        <v>5</v>
      </c>
      <c r="E18" s="65">
        <v>143</v>
      </c>
      <c r="F18" s="65" t="s">
        <v>807</v>
      </c>
      <c r="G18" s="65"/>
    </row>
    <row r="19" spans="1:7">
      <c r="A19" t="s">
        <v>189</v>
      </c>
      <c r="B19" s="67" t="s">
        <v>35</v>
      </c>
      <c r="C19" s="65">
        <v>2</v>
      </c>
      <c r="D19" s="65">
        <v>1</v>
      </c>
      <c r="E19" s="65">
        <v>12</v>
      </c>
      <c r="F19" s="65" t="s">
        <v>808</v>
      </c>
      <c r="G19" s="65"/>
    </row>
    <row r="20" spans="1:7">
      <c r="A20" t="s">
        <v>189</v>
      </c>
      <c r="B20" s="67" t="s">
        <v>36</v>
      </c>
      <c r="C20" s="65">
        <v>2</v>
      </c>
      <c r="D20" s="65">
        <v>1</v>
      </c>
      <c r="E20" s="65">
        <v>44</v>
      </c>
      <c r="F20" s="65" t="s">
        <v>809</v>
      </c>
      <c r="G20" s="65"/>
    </row>
    <row r="21" spans="1:7">
      <c r="A21" t="s">
        <v>189</v>
      </c>
      <c r="B21" s="67" t="s">
        <v>26</v>
      </c>
      <c r="C21" s="65">
        <v>2</v>
      </c>
      <c r="D21" s="65">
        <v>1</v>
      </c>
      <c r="E21" s="65">
        <v>55</v>
      </c>
      <c r="F21" s="65" t="s">
        <v>810</v>
      </c>
      <c r="G21" s="65"/>
    </row>
    <row r="22" spans="1:7">
      <c r="A22" t="s">
        <v>189</v>
      </c>
      <c r="B22" s="67" t="s">
        <v>811</v>
      </c>
      <c r="C22" s="65">
        <v>2</v>
      </c>
      <c r="D22" s="65">
        <v>1</v>
      </c>
      <c r="E22" s="65">
        <v>58</v>
      </c>
      <c r="F22" s="65" t="s">
        <v>812</v>
      </c>
      <c r="G22" s="65"/>
    </row>
    <row r="23" spans="1:7">
      <c r="A23" t="s">
        <v>189</v>
      </c>
      <c r="B23" s="67" t="s">
        <v>37</v>
      </c>
      <c r="C23" s="65">
        <v>2</v>
      </c>
      <c r="D23" s="65">
        <v>1</v>
      </c>
      <c r="E23" s="65">
        <v>79</v>
      </c>
      <c r="F23" s="65" t="s">
        <v>813</v>
      </c>
      <c r="G23" s="65"/>
    </row>
    <row r="24" spans="1:7">
      <c r="A24" t="s">
        <v>212</v>
      </c>
      <c r="B24" s="67" t="s">
        <v>71</v>
      </c>
      <c r="C24" s="65">
        <v>13</v>
      </c>
      <c r="D24" s="65">
        <v>1</v>
      </c>
      <c r="E24" s="65">
        <v>7</v>
      </c>
      <c r="F24" s="65" t="s">
        <v>792</v>
      </c>
      <c r="G24" s="65"/>
    </row>
    <row r="25" spans="1:7">
      <c r="A25" t="s">
        <v>212</v>
      </c>
      <c r="B25" s="67" t="s">
        <v>72</v>
      </c>
      <c r="C25" s="65">
        <v>13</v>
      </c>
      <c r="D25" s="65">
        <v>1</v>
      </c>
      <c r="E25" s="65">
        <v>8</v>
      </c>
      <c r="F25" s="65" t="s">
        <v>793</v>
      </c>
      <c r="G25" s="65"/>
    </row>
    <row r="26" spans="1:7">
      <c r="A26" t="s">
        <v>212</v>
      </c>
      <c r="B26" s="67" t="s">
        <v>74</v>
      </c>
      <c r="C26" s="65">
        <v>13</v>
      </c>
      <c r="D26" s="65">
        <v>5</v>
      </c>
      <c r="E26" s="65">
        <v>116</v>
      </c>
      <c r="F26" s="65" t="s">
        <v>794</v>
      </c>
      <c r="G26" s="65"/>
    </row>
    <row r="27" spans="1:7">
      <c r="A27" t="s">
        <v>212</v>
      </c>
      <c r="B27" s="67" t="s">
        <v>75</v>
      </c>
      <c r="C27" s="65">
        <v>13</v>
      </c>
      <c r="D27" s="65">
        <v>5</v>
      </c>
      <c r="E27" s="65">
        <v>117</v>
      </c>
      <c r="F27" s="65" t="s">
        <v>76</v>
      </c>
      <c r="G27" s="65"/>
    </row>
    <row r="28" spans="1:7">
      <c r="A28" t="s">
        <v>231</v>
      </c>
      <c r="B28" s="67" t="s">
        <v>28</v>
      </c>
      <c r="C28" s="65">
        <v>3</v>
      </c>
      <c r="D28" s="65">
        <v>5</v>
      </c>
      <c r="E28" s="65">
        <v>121</v>
      </c>
      <c r="F28" s="65" t="s">
        <v>814</v>
      </c>
      <c r="G28" s="65"/>
    </row>
    <row r="29" spans="1:7">
      <c r="A29" t="s">
        <v>231</v>
      </c>
      <c r="B29" s="67" t="s">
        <v>30</v>
      </c>
      <c r="C29" s="65">
        <v>3</v>
      </c>
      <c r="D29" s="65">
        <v>5</v>
      </c>
      <c r="E29" s="65">
        <v>124</v>
      </c>
      <c r="F29" s="65" t="s">
        <v>815</v>
      </c>
      <c r="G29" s="65"/>
    </row>
    <row r="30" spans="1:7">
      <c r="A30" t="s">
        <v>231</v>
      </c>
      <c r="B30" s="67" t="s">
        <v>44</v>
      </c>
      <c r="C30" s="65">
        <v>3</v>
      </c>
      <c r="D30" s="65">
        <v>5</v>
      </c>
      <c r="E30" s="65">
        <v>139</v>
      </c>
      <c r="F30" s="65" t="s">
        <v>816</v>
      </c>
      <c r="G30" s="65"/>
    </row>
    <row r="31" spans="1:7">
      <c r="A31" t="s">
        <v>231</v>
      </c>
      <c r="B31" s="67" t="s">
        <v>38</v>
      </c>
      <c r="C31" s="65">
        <v>3</v>
      </c>
      <c r="D31" s="65">
        <v>5</v>
      </c>
      <c r="E31" s="65">
        <v>143</v>
      </c>
      <c r="F31" s="65" t="s">
        <v>817</v>
      </c>
      <c r="G31" s="65"/>
    </row>
    <row r="32" spans="1:7">
      <c r="A32" t="s">
        <v>231</v>
      </c>
      <c r="B32" s="67" t="s">
        <v>24</v>
      </c>
      <c r="C32" s="65">
        <v>3</v>
      </c>
      <c r="D32" s="65">
        <v>1</v>
      </c>
      <c r="E32" s="65">
        <v>23</v>
      </c>
      <c r="F32" s="65" t="s">
        <v>818</v>
      </c>
      <c r="G32" s="65"/>
    </row>
    <row r="33" spans="1:7">
      <c r="A33" t="s">
        <v>231</v>
      </c>
      <c r="B33" s="67" t="s">
        <v>26</v>
      </c>
      <c r="C33" s="65">
        <v>3</v>
      </c>
      <c r="D33" s="65">
        <v>1</v>
      </c>
      <c r="E33" s="65">
        <v>39</v>
      </c>
      <c r="F33" s="65" t="s">
        <v>819</v>
      </c>
      <c r="G33" s="65"/>
    </row>
    <row r="34" spans="1:7">
      <c r="A34" t="s">
        <v>231</v>
      </c>
      <c r="B34" s="67" t="s">
        <v>41</v>
      </c>
      <c r="C34" s="65">
        <v>3</v>
      </c>
      <c r="D34" s="65">
        <v>1</v>
      </c>
      <c r="E34" s="65">
        <v>45</v>
      </c>
      <c r="F34" s="65" t="s">
        <v>270</v>
      </c>
      <c r="G34" s="65"/>
    </row>
    <row r="35" spans="1:7">
      <c r="A35" t="s">
        <v>231</v>
      </c>
      <c r="B35" s="67" t="s">
        <v>42</v>
      </c>
      <c r="C35" s="65">
        <v>3</v>
      </c>
      <c r="D35" s="65">
        <v>1</v>
      </c>
      <c r="E35" s="65">
        <v>74</v>
      </c>
      <c r="F35" s="65" t="s">
        <v>820</v>
      </c>
      <c r="G35" s="65"/>
    </row>
    <row r="36" spans="1:7">
      <c r="A36" t="s">
        <v>231</v>
      </c>
      <c r="B36" s="67" t="s">
        <v>37</v>
      </c>
      <c r="C36" s="65">
        <v>3</v>
      </c>
      <c r="D36" s="65">
        <v>1</v>
      </c>
      <c r="E36" s="65">
        <v>79</v>
      </c>
      <c r="F36" s="65" t="s">
        <v>821</v>
      </c>
      <c r="G36" s="65"/>
    </row>
    <row r="37" spans="1:7">
      <c r="A37" t="s">
        <v>231</v>
      </c>
      <c r="B37" s="67" t="s">
        <v>43</v>
      </c>
      <c r="C37" s="65">
        <v>3</v>
      </c>
      <c r="D37" s="65">
        <v>1</v>
      </c>
      <c r="E37" s="65">
        <v>97</v>
      </c>
      <c r="F37" s="65" t="s">
        <v>327</v>
      </c>
      <c r="G37" s="65"/>
    </row>
    <row r="38" spans="1:7">
      <c r="A38" t="s">
        <v>362</v>
      </c>
      <c r="B38" s="67" t="s">
        <v>362</v>
      </c>
      <c r="C38" s="65">
        <v>11</v>
      </c>
      <c r="D38" s="65">
        <v>1</v>
      </c>
      <c r="E38" s="65">
        <v>57</v>
      </c>
      <c r="F38" s="65" t="s">
        <v>92</v>
      </c>
      <c r="G38" s="65"/>
    </row>
    <row r="39" spans="1:7">
      <c r="A39" t="s">
        <v>408</v>
      </c>
      <c r="B39" s="67" t="s">
        <v>65</v>
      </c>
      <c r="C39" s="65">
        <v>13</v>
      </c>
      <c r="D39" s="67">
        <v>5</v>
      </c>
      <c r="E39" s="65">
        <v>144</v>
      </c>
      <c r="F39" s="65" t="s">
        <v>822</v>
      </c>
      <c r="G39" s="65"/>
    </row>
    <row r="40" spans="1:7">
      <c r="A40" t="s">
        <v>408</v>
      </c>
      <c r="B40" s="67" t="s">
        <v>62</v>
      </c>
      <c r="C40" s="67">
        <v>13</v>
      </c>
      <c r="D40" s="67">
        <v>1</v>
      </c>
      <c r="E40" s="65">
        <v>80</v>
      </c>
      <c r="F40" s="65" t="s">
        <v>73</v>
      </c>
      <c r="G40" s="65"/>
    </row>
    <row r="41" spans="1:7">
      <c r="A41" t="s">
        <v>428</v>
      </c>
      <c r="B41" s="67" t="s">
        <v>71</v>
      </c>
      <c r="C41" s="65">
        <v>13</v>
      </c>
      <c r="D41" s="65">
        <v>1</v>
      </c>
      <c r="E41" s="65">
        <v>7</v>
      </c>
      <c r="F41" s="65" t="s">
        <v>792</v>
      </c>
      <c r="G41" s="65"/>
    </row>
    <row r="42" spans="1:7">
      <c r="A42" t="s">
        <v>428</v>
      </c>
      <c r="B42" s="67" t="s">
        <v>72</v>
      </c>
      <c r="C42" s="65">
        <v>13</v>
      </c>
      <c r="D42" s="65">
        <v>1</v>
      </c>
      <c r="E42" s="65">
        <v>8</v>
      </c>
      <c r="F42" s="65" t="s">
        <v>793</v>
      </c>
      <c r="G42" s="65"/>
    </row>
    <row r="43" spans="1:7">
      <c r="A43" t="s">
        <v>428</v>
      </c>
      <c r="B43" s="67" t="s">
        <v>74</v>
      </c>
      <c r="C43" s="65">
        <v>13</v>
      </c>
      <c r="D43" s="65">
        <v>5</v>
      </c>
      <c r="E43" s="65">
        <v>116</v>
      </c>
      <c r="F43" s="65" t="s">
        <v>794</v>
      </c>
      <c r="G43" s="65"/>
    </row>
    <row r="44" spans="1:7">
      <c r="A44" t="s">
        <v>428</v>
      </c>
      <c r="B44" s="67" t="s">
        <v>75</v>
      </c>
      <c r="C44" s="65">
        <v>13</v>
      </c>
      <c r="D44" s="65">
        <v>5</v>
      </c>
      <c r="E44" s="65">
        <v>117</v>
      </c>
      <c r="F44" s="65" t="s">
        <v>76</v>
      </c>
      <c r="G44" s="65"/>
    </row>
    <row r="45" spans="1:7">
      <c r="A45" t="s">
        <v>437</v>
      </c>
      <c r="B45" s="67" t="s">
        <v>823</v>
      </c>
      <c r="C45" s="65">
        <v>10</v>
      </c>
      <c r="D45" s="65">
        <v>1</v>
      </c>
      <c r="E45" s="65">
        <v>88</v>
      </c>
      <c r="F45" s="65" t="s">
        <v>88</v>
      </c>
      <c r="G45" s="65"/>
    </row>
    <row r="46" spans="1:7">
      <c r="A46" t="s">
        <v>442</v>
      </c>
      <c r="B46" s="67" t="s">
        <v>65</v>
      </c>
      <c r="C46" s="65">
        <v>9</v>
      </c>
      <c r="D46" s="67">
        <v>5</v>
      </c>
      <c r="E46" s="65">
        <v>144</v>
      </c>
      <c r="F46" s="65" t="s">
        <v>824</v>
      </c>
      <c r="G46" s="65"/>
    </row>
    <row r="47" spans="1:7">
      <c r="A47" t="s">
        <v>442</v>
      </c>
      <c r="B47" s="67" t="s">
        <v>62</v>
      </c>
      <c r="C47" s="67">
        <v>9</v>
      </c>
      <c r="D47" s="67">
        <v>1</v>
      </c>
      <c r="E47" s="65">
        <v>80</v>
      </c>
      <c r="F47" s="65" t="s">
        <v>825</v>
      </c>
      <c r="G47" s="65"/>
    </row>
    <row r="48" spans="1:7">
      <c r="A48" s="22" t="s">
        <v>462</v>
      </c>
      <c r="B48" s="67" t="s">
        <v>64</v>
      </c>
      <c r="C48" s="65">
        <v>12</v>
      </c>
      <c r="D48" s="65">
        <v>5</v>
      </c>
      <c r="E48" s="65">
        <v>125</v>
      </c>
      <c r="F48" s="358" t="s">
        <v>826</v>
      </c>
      <c r="G48" s="65"/>
    </row>
    <row r="49" spans="1:7">
      <c r="A49" t="s">
        <v>462</v>
      </c>
      <c r="B49" s="67" t="s">
        <v>61</v>
      </c>
      <c r="C49" s="65">
        <v>12</v>
      </c>
      <c r="D49" s="65">
        <v>1</v>
      </c>
      <c r="E49" s="65">
        <v>41</v>
      </c>
      <c r="F49" s="358" t="s">
        <v>827</v>
      </c>
      <c r="G49" s="65"/>
    </row>
    <row r="50" spans="1:7">
      <c r="A50" t="s">
        <v>462</v>
      </c>
      <c r="B50" s="67" t="s">
        <v>62</v>
      </c>
      <c r="C50" s="65">
        <v>12</v>
      </c>
      <c r="D50" s="67">
        <v>1</v>
      </c>
      <c r="E50" s="65">
        <v>80</v>
      </c>
      <c r="F50" s="358" t="s">
        <v>828</v>
      </c>
      <c r="G50" s="65"/>
    </row>
    <row r="51" spans="1:7">
      <c r="A51" t="s">
        <v>475</v>
      </c>
      <c r="B51" s="67" t="s">
        <v>63</v>
      </c>
      <c r="C51" s="65">
        <v>9</v>
      </c>
      <c r="D51" s="67">
        <v>5</v>
      </c>
      <c r="E51" s="65">
        <v>118</v>
      </c>
      <c r="F51" s="65" t="s">
        <v>829</v>
      </c>
      <c r="G51" s="65"/>
    </row>
    <row r="52" spans="1:7">
      <c r="A52" t="s">
        <v>475</v>
      </c>
      <c r="B52" s="67" t="s">
        <v>65</v>
      </c>
      <c r="C52" s="65">
        <v>9</v>
      </c>
      <c r="D52" s="67">
        <v>5</v>
      </c>
      <c r="E52" s="65">
        <v>144</v>
      </c>
      <c r="F52" s="65" t="s">
        <v>824</v>
      </c>
      <c r="G52" s="65"/>
    </row>
    <row r="53" spans="1:7">
      <c r="A53" t="s">
        <v>475</v>
      </c>
      <c r="B53" s="67" t="s">
        <v>60</v>
      </c>
      <c r="C53" s="67">
        <v>9</v>
      </c>
      <c r="D53" s="67">
        <v>1</v>
      </c>
      <c r="E53" s="65">
        <v>11</v>
      </c>
      <c r="F53" s="65" t="s">
        <v>830</v>
      </c>
      <c r="G53" s="65"/>
    </row>
    <row r="54" spans="1:7">
      <c r="A54" t="s">
        <v>475</v>
      </c>
      <c r="B54" s="67" t="s">
        <v>57</v>
      </c>
      <c r="C54" s="65">
        <v>9</v>
      </c>
      <c r="D54" s="65">
        <v>1</v>
      </c>
      <c r="E54" s="65">
        <v>17</v>
      </c>
      <c r="F54" s="65" t="s">
        <v>831</v>
      </c>
      <c r="G54" s="65"/>
    </row>
    <row r="55" spans="1:7">
      <c r="A55" t="s">
        <v>475</v>
      </c>
      <c r="B55" s="67" t="s">
        <v>62</v>
      </c>
      <c r="C55" s="67">
        <v>9</v>
      </c>
      <c r="D55" s="67">
        <v>1</v>
      </c>
      <c r="E55" s="65">
        <v>80</v>
      </c>
      <c r="F55" s="65" t="s">
        <v>825</v>
      </c>
      <c r="G55" s="65"/>
    </row>
    <row r="56" spans="1:7">
      <c r="A56" s="22" t="s">
        <v>581</v>
      </c>
      <c r="B56" s="67" t="s">
        <v>63</v>
      </c>
      <c r="C56" s="65">
        <v>8</v>
      </c>
      <c r="D56" s="67">
        <v>5</v>
      </c>
      <c r="E56" s="65">
        <v>118</v>
      </c>
      <c r="F56" s="65" t="s">
        <v>832</v>
      </c>
      <c r="G56" s="65"/>
    </row>
    <row r="57" spans="1:7">
      <c r="A57" t="s">
        <v>581</v>
      </c>
      <c r="B57" s="67" t="s">
        <v>64</v>
      </c>
      <c r="C57" s="65">
        <v>8</v>
      </c>
      <c r="D57" s="65">
        <v>5</v>
      </c>
      <c r="E57" s="65">
        <v>125</v>
      </c>
      <c r="F57" s="65" t="s">
        <v>833</v>
      </c>
      <c r="G57" s="65"/>
    </row>
    <row r="58" spans="1:7">
      <c r="A58" t="s">
        <v>581</v>
      </c>
      <c r="B58" s="67" t="s">
        <v>65</v>
      </c>
      <c r="C58" s="65">
        <v>8</v>
      </c>
      <c r="D58" s="67">
        <v>5</v>
      </c>
      <c r="E58" s="65">
        <v>144</v>
      </c>
      <c r="F58" s="65" t="s">
        <v>834</v>
      </c>
      <c r="G58" s="65"/>
    </row>
    <row r="59" spans="1:7">
      <c r="A59" t="s">
        <v>581</v>
      </c>
      <c r="B59" s="67" t="s">
        <v>60</v>
      </c>
      <c r="C59" s="67">
        <v>8</v>
      </c>
      <c r="D59" s="67">
        <v>1</v>
      </c>
      <c r="E59" s="65">
        <v>11</v>
      </c>
      <c r="F59" s="358" t="s">
        <v>835</v>
      </c>
      <c r="G59" s="65"/>
    </row>
    <row r="60" spans="1:7">
      <c r="A60" t="s">
        <v>581</v>
      </c>
      <c r="B60" s="67" t="s">
        <v>61</v>
      </c>
      <c r="C60" s="65">
        <v>8</v>
      </c>
      <c r="D60" s="65">
        <v>1</v>
      </c>
      <c r="E60" s="65">
        <v>41</v>
      </c>
      <c r="F60" s="65" t="s">
        <v>836</v>
      </c>
      <c r="G60" s="65"/>
    </row>
    <row r="61" spans="1:7">
      <c r="A61" t="s">
        <v>581</v>
      </c>
      <c r="B61" s="67" t="s">
        <v>62</v>
      </c>
      <c r="C61" s="67">
        <v>8</v>
      </c>
      <c r="D61" s="67">
        <v>1</v>
      </c>
      <c r="E61" s="65">
        <v>80</v>
      </c>
      <c r="F61" s="358" t="s">
        <v>837</v>
      </c>
      <c r="G61" s="65"/>
    </row>
    <row r="62" spans="1:7">
      <c r="A62" t="s">
        <v>603</v>
      </c>
      <c r="B62" s="67" t="s">
        <v>53</v>
      </c>
      <c r="C62" s="65">
        <v>7</v>
      </c>
      <c r="D62" s="65">
        <v>5</v>
      </c>
      <c r="E62" s="65">
        <v>123</v>
      </c>
      <c r="F62" s="65" t="s">
        <v>838</v>
      </c>
      <c r="G62" s="65"/>
    </row>
    <row r="63" spans="1:7">
      <c r="A63" t="s">
        <v>603</v>
      </c>
      <c r="B63" s="67" t="s">
        <v>54</v>
      </c>
      <c r="C63" s="65">
        <v>7</v>
      </c>
      <c r="D63" s="65">
        <v>5</v>
      </c>
      <c r="E63" s="65">
        <v>141</v>
      </c>
      <c r="F63" s="65" t="s">
        <v>839</v>
      </c>
      <c r="G63" s="65"/>
    </row>
    <row r="64" spans="1:7">
      <c r="A64" t="s">
        <v>603</v>
      </c>
      <c r="B64" s="67" t="s">
        <v>57</v>
      </c>
      <c r="C64" s="65">
        <v>7</v>
      </c>
      <c r="D64" s="65">
        <v>1</v>
      </c>
      <c r="E64" s="65">
        <v>17</v>
      </c>
      <c r="F64" s="65" t="s">
        <v>840</v>
      </c>
      <c r="G64" s="65"/>
    </row>
    <row r="65" spans="1:7">
      <c r="A65" t="s">
        <v>603</v>
      </c>
      <c r="B65" s="67" t="s">
        <v>51</v>
      </c>
      <c r="C65" s="65">
        <v>7</v>
      </c>
      <c r="D65" s="65">
        <v>1</v>
      </c>
      <c r="E65" s="65">
        <v>27</v>
      </c>
      <c r="F65" s="65" t="s">
        <v>841</v>
      </c>
      <c r="G65" s="65"/>
    </row>
    <row r="66" spans="1:7">
      <c r="A66" t="s">
        <v>603</v>
      </c>
      <c r="B66" s="67" t="s">
        <v>52</v>
      </c>
      <c r="C66" s="65">
        <v>7</v>
      </c>
      <c r="D66" s="65">
        <v>1</v>
      </c>
      <c r="E66" s="65">
        <v>77</v>
      </c>
      <c r="F66" s="65" t="s">
        <v>842</v>
      </c>
      <c r="G66" s="65"/>
    </row>
    <row r="67" spans="1:7">
      <c r="A67" s="22" t="s">
        <v>633</v>
      </c>
      <c r="B67" s="67" t="s">
        <v>50</v>
      </c>
      <c r="C67" s="65">
        <v>6</v>
      </c>
      <c r="D67" s="65">
        <v>1</v>
      </c>
      <c r="E67" s="65">
        <v>4</v>
      </c>
      <c r="F67" s="65" t="s">
        <v>843</v>
      </c>
      <c r="G67" s="65"/>
    </row>
    <row r="68" spans="1:7">
      <c r="A68" t="s">
        <v>633</v>
      </c>
      <c r="B68" s="67" t="s">
        <v>53</v>
      </c>
      <c r="C68" s="65">
        <v>6</v>
      </c>
      <c r="D68" s="65">
        <v>5</v>
      </c>
      <c r="E68" s="65">
        <v>123</v>
      </c>
      <c r="F68" s="65" t="s">
        <v>844</v>
      </c>
      <c r="G68" s="65"/>
    </row>
    <row r="69" spans="1:7">
      <c r="A69" t="s">
        <v>633</v>
      </c>
      <c r="B69" s="67" t="s">
        <v>30</v>
      </c>
      <c r="C69" s="65">
        <v>6</v>
      </c>
      <c r="D69" s="65">
        <v>5</v>
      </c>
      <c r="E69" s="65">
        <v>136</v>
      </c>
      <c r="F69" s="65" t="s">
        <v>845</v>
      </c>
      <c r="G69" s="65"/>
    </row>
    <row r="70" spans="1:7">
      <c r="A70" t="s">
        <v>633</v>
      </c>
      <c r="B70" s="67" t="s">
        <v>54</v>
      </c>
      <c r="C70" s="65">
        <v>6</v>
      </c>
      <c r="D70" s="65">
        <v>5</v>
      </c>
      <c r="E70" s="65">
        <v>141</v>
      </c>
      <c r="F70" s="65" t="s">
        <v>846</v>
      </c>
      <c r="G70" s="65"/>
    </row>
    <row r="71" spans="1:7">
      <c r="A71" t="s">
        <v>633</v>
      </c>
      <c r="B71" s="67" t="s">
        <v>24</v>
      </c>
      <c r="C71" s="65">
        <v>6</v>
      </c>
      <c r="D71" s="65">
        <v>1</v>
      </c>
      <c r="E71" s="65">
        <v>23</v>
      </c>
      <c r="F71" s="65" t="s">
        <v>847</v>
      </c>
      <c r="G71" s="65"/>
    </row>
    <row r="72" spans="1:7">
      <c r="A72" t="s">
        <v>633</v>
      </c>
      <c r="B72" s="67" t="s">
        <v>51</v>
      </c>
      <c r="C72" s="65">
        <v>6</v>
      </c>
      <c r="D72" s="65">
        <v>1</v>
      </c>
      <c r="E72" s="65">
        <v>27</v>
      </c>
      <c r="F72" s="65" t="s">
        <v>848</v>
      </c>
      <c r="G72" s="65"/>
    </row>
    <row r="73" spans="1:7">
      <c r="A73" t="s">
        <v>633</v>
      </c>
      <c r="B73" s="67" t="s">
        <v>26</v>
      </c>
      <c r="C73" s="65">
        <v>6</v>
      </c>
      <c r="D73" s="65">
        <v>1</v>
      </c>
      <c r="E73" s="65">
        <v>55</v>
      </c>
      <c r="F73" s="65" t="s">
        <v>849</v>
      </c>
      <c r="G73" s="65"/>
    </row>
    <row r="74" spans="1:7">
      <c r="A74" t="s">
        <v>633</v>
      </c>
      <c r="B74" s="67" t="s">
        <v>52</v>
      </c>
      <c r="C74" s="65">
        <v>6</v>
      </c>
      <c r="D74" s="65">
        <v>1</v>
      </c>
      <c r="E74" s="65">
        <v>77</v>
      </c>
      <c r="F74" s="65" t="s">
        <v>850</v>
      </c>
      <c r="G74" s="65"/>
    </row>
    <row r="75" spans="1:7">
      <c r="A75" t="s">
        <v>729</v>
      </c>
      <c r="B75" s="67" t="s">
        <v>28</v>
      </c>
      <c r="C75" s="65">
        <v>4</v>
      </c>
      <c r="D75" s="65">
        <v>5</v>
      </c>
      <c r="E75" s="65">
        <v>121</v>
      </c>
      <c r="F75" s="65" t="s">
        <v>851</v>
      </c>
      <c r="G75" s="65"/>
    </row>
    <row r="76" spans="1:7">
      <c r="A76" t="s">
        <v>729</v>
      </c>
      <c r="B76" s="67" t="s">
        <v>30</v>
      </c>
      <c r="C76" s="65">
        <v>4</v>
      </c>
      <c r="D76" s="65">
        <v>5</v>
      </c>
      <c r="E76" s="65">
        <v>124</v>
      </c>
      <c r="F76" s="65" t="s">
        <v>852</v>
      </c>
      <c r="G76" s="65"/>
    </row>
    <row r="77" spans="1:7">
      <c r="A77" t="s">
        <v>729</v>
      </c>
      <c r="B77" s="67" t="s">
        <v>47</v>
      </c>
      <c r="C77" s="65">
        <v>4</v>
      </c>
      <c r="D77" s="65">
        <v>5</v>
      </c>
      <c r="E77" s="65">
        <v>126</v>
      </c>
      <c r="F77" s="65" t="s">
        <v>853</v>
      </c>
      <c r="G77" s="65"/>
    </row>
    <row r="78" spans="1:7">
      <c r="A78" t="s">
        <v>729</v>
      </c>
      <c r="B78" s="67" t="s">
        <v>44</v>
      </c>
      <c r="C78" s="65">
        <v>4</v>
      </c>
      <c r="D78" s="65">
        <v>5</v>
      </c>
      <c r="E78" s="65">
        <v>139</v>
      </c>
      <c r="F78" s="65" t="s">
        <v>854</v>
      </c>
      <c r="G78" s="65"/>
    </row>
    <row r="79" spans="1:7">
      <c r="A79" t="s">
        <v>729</v>
      </c>
      <c r="B79" s="67" t="s">
        <v>38</v>
      </c>
      <c r="C79" s="65">
        <v>4</v>
      </c>
      <c r="D79" s="65">
        <v>5</v>
      </c>
      <c r="E79" s="65">
        <v>143</v>
      </c>
      <c r="F79" s="65" t="s">
        <v>855</v>
      </c>
      <c r="G79" s="65"/>
    </row>
    <row r="80" spans="1:7">
      <c r="A80" t="s">
        <v>729</v>
      </c>
      <c r="B80" s="67" t="s">
        <v>24</v>
      </c>
      <c r="C80" s="65">
        <v>4</v>
      </c>
      <c r="D80" s="65">
        <v>1</v>
      </c>
      <c r="E80" s="65">
        <v>23</v>
      </c>
      <c r="F80" s="65" t="s">
        <v>856</v>
      </c>
      <c r="G80" s="65"/>
    </row>
    <row r="81" spans="1:7">
      <c r="A81" t="s">
        <v>729</v>
      </c>
      <c r="B81" s="67" t="s">
        <v>26</v>
      </c>
      <c r="C81" s="65">
        <v>4</v>
      </c>
      <c r="D81" s="65">
        <v>1</v>
      </c>
      <c r="E81" s="65">
        <v>55</v>
      </c>
      <c r="F81" s="358" t="s">
        <v>857</v>
      </c>
      <c r="G81" s="65"/>
    </row>
    <row r="82" spans="1:7">
      <c r="A82" t="s">
        <v>729</v>
      </c>
      <c r="B82" s="67" t="s">
        <v>41</v>
      </c>
      <c r="C82" s="65">
        <v>4</v>
      </c>
      <c r="D82" s="65">
        <v>1</v>
      </c>
      <c r="E82" s="65">
        <v>45</v>
      </c>
      <c r="F82" s="358" t="s">
        <v>752</v>
      </c>
      <c r="G82" s="65"/>
    </row>
    <row r="83" spans="1:7">
      <c r="A83" t="s">
        <v>729</v>
      </c>
      <c r="B83" s="67" t="s">
        <v>42</v>
      </c>
      <c r="C83" s="65">
        <v>4</v>
      </c>
      <c r="D83" s="65">
        <v>1</v>
      </c>
      <c r="E83" s="65">
        <v>74</v>
      </c>
      <c r="F83" s="65" t="s">
        <v>858</v>
      </c>
      <c r="G83" s="65"/>
    </row>
    <row r="84" spans="1:7">
      <c r="A84" t="s">
        <v>729</v>
      </c>
      <c r="B84" s="67" t="s">
        <v>37</v>
      </c>
      <c r="C84" s="65">
        <v>4</v>
      </c>
      <c r="D84" s="65">
        <v>1</v>
      </c>
      <c r="E84" s="65">
        <v>79</v>
      </c>
      <c r="F84" s="65" t="s">
        <v>859</v>
      </c>
      <c r="G84" s="65"/>
    </row>
    <row r="85" spans="1:7">
      <c r="A85" t="s">
        <v>221</v>
      </c>
      <c r="B85" s="67" t="s">
        <v>50</v>
      </c>
      <c r="C85" s="65">
        <v>14</v>
      </c>
      <c r="D85" s="65">
        <v>1</v>
      </c>
      <c r="E85" s="65">
        <v>3</v>
      </c>
      <c r="F85" s="67" t="str">
        <f>_xlfn.CONCAT(C85,"-",D85,"-",E85)</f>
        <v>14-1-3</v>
      </c>
      <c r="G85" s="65"/>
    </row>
    <row r="86" spans="1:7">
      <c r="A86" t="s">
        <v>221</v>
      </c>
      <c r="B86" t="s">
        <v>80</v>
      </c>
      <c r="C86" s="65">
        <v>14</v>
      </c>
      <c r="D86" s="65">
        <v>1</v>
      </c>
      <c r="E86" s="65">
        <v>97</v>
      </c>
      <c r="F86" s="67" t="str">
        <f t="shared" ref="F86:F87" si="0">_xlfn.CONCAT(C86,"-",D86,"-",E86)</f>
        <v>14-1-97</v>
      </c>
      <c r="G86" s="65"/>
    </row>
    <row r="87" spans="1:7">
      <c r="A87" t="s">
        <v>221</v>
      </c>
      <c r="B87" t="s">
        <v>228</v>
      </c>
      <c r="C87" s="65">
        <v>14</v>
      </c>
      <c r="D87" s="65">
        <v>1</v>
      </c>
      <c r="E87" s="65">
        <v>98</v>
      </c>
      <c r="F87" s="67" t="str">
        <f t="shared" si="0"/>
        <v>14-1-98</v>
      </c>
      <c r="G87" s="65"/>
    </row>
    <row r="88" spans="1:7">
      <c r="B88"/>
      <c r="C88"/>
      <c r="D88"/>
      <c r="E88"/>
      <c r="F88"/>
      <c r="G88" s="65"/>
    </row>
    <row r="89" spans="1:7">
      <c r="B89"/>
      <c r="C89"/>
      <c r="D89"/>
      <c r="E89"/>
      <c r="F89"/>
      <c r="G89" s="65"/>
    </row>
    <row r="90" spans="1:7">
      <c r="B90"/>
      <c r="C90"/>
      <c r="D90"/>
      <c r="E90"/>
      <c r="F90"/>
      <c r="G90" s="65"/>
    </row>
    <row r="91" spans="1:7">
      <c r="B91"/>
      <c r="C91"/>
      <c r="D91"/>
      <c r="E91"/>
      <c r="F91"/>
      <c r="G91" s="65"/>
    </row>
    <row r="92" spans="1:7">
      <c r="B92"/>
      <c r="C92"/>
      <c r="D92"/>
      <c r="E92"/>
      <c r="F92"/>
      <c r="G92" s="65"/>
    </row>
    <row r="93" spans="1:7">
      <c r="B93"/>
      <c r="C93"/>
      <c r="D93"/>
      <c r="E93"/>
      <c r="F93"/>
      <c r="G93" s="65"/>
    </row>
    <row r="94" spans="1:7">
      <c r="B94"/>
      <c r="C94"/>
      <c r="D94"/>
      <c r="E94"/>
      <c r="F94"/>
      <c r="G94" s="65"/>
    </row>
    <row r="95" spans="1:7">
      <c r="B95"/>
      <c r="C95"/>
      <c r="D95"/>
      <c r="E95"/>
      <c r="F95"/>
      <c r="G95" s="65"/>
    </row>
    <row r="96" spans="1:7">
      <c r="B96"/>
      <c r="C96"/>
      <c r="D96"/>
      <c r="E96"/>
      <c r="F96"/>
      <c r="G96" s="65"/>
    </row>
    <row r="97" spans="2:7">
      <c r="B97"/>
      <c r="C97"/>
      <c r="D97"/>
      <c r="E97"/>
      <c r="F97"/>
      <c r="G97" s="65"/>
    </row>
    <row r="98" spans="2:7">
      <c r="B98"/>
      <c r="C98"/>
      <c r="D98"/>
      <c r="E98"/>
      <c r="F98"/>
      <c r="G98" s="65"/>
    </row>
    <row r="99" spans="2:7">
      <c r="B99"/>
      <c r="C99"/>
      <c r="D99"/>
      <c r="E99"/>
      <c r="F99"/>
      <c r="G99" s="65"/>
    </row>
    <row r="100" spans="2:7">
      <c r="B100"/>
      <c r="C100"/>
      <c r="D100"/>
      <c r="E100"/>
      <c r="F100"/>
      <c r="G100" s="65"/>
    </row>
    <row r="101" spans="2:7">
      <c r="B101"/>
      <c r="C101"/>
      <c r="D101"/>
      <c r="E101"/>
      <c r="F101"/>
      <c r="G101" s="65"/>
    </row>
    <row r="102" spans="2:7">
      <c r="B102"/>
      <c r="C102"/>
      <c r="D102"/>
      <c r="E102"/>
      <c r="F102"/>
      <c r="G102" s="65"/>
    </row>
    <row r="103" spans="2:7">
      <c r="B103"/>
      <c r="C103"/>
      <c r="D103"/>
      <c r="E103"/>
      <c r="F103"/>
      <c r="G103" s="65"/>
    </row>
    <row r="104" spans="2:7">
      <c r="B104"/>
      <c r="C104"/>
      <c r="D104"/>
      <c r="E104"/>
      <c r="F104"/>
      <c r="G104" s="65"/>
    </row>
    <row r="105" spans="2:7">
      <c r="B105"/>
      <c r="C105"/>
      <c r="D105"/>
      <c r="E105"/>
      <c r="F105"/>
      <c r="G105" s="65"/>
    </row>
    <row r="106" spans="2:7">
      <c r="B106"/>
      <c r="C106"/>
      <c r="D106"/>
      <c r="E106"/>
      <c r="F106"/>
      <c r="G106" s="65"/>
    </row>
    <row r="107" spans="2:7">
      <c r="B107"/>
      <c r="C107"/>
      <c r="D107"/>
      <c r="E107"/>
      <c r="F107"/>
      <c r="G107" s="65"/>
    </row>
    <row r="108" spans="2:7">
      <c r="B108"/>
      <c r="C108"/>
      <c r="D108"/>
      <c r="E108"/>
      <c r="F108"/>
      <c r="G108" s="65"/>
    </row>
    <row r="109" spans="2:7">
      <c r="B109"/>
      <c r="C109"/>
      <c r="D109"/>
      <c r="E109"/>
      <c r="F109"/>
      <c r="G109" s="65"/>
    </row>
    <row r="110" spans="2:7">
      <c r="B110"/>
      <c r="C110"/>
      <c r="D110"/>
      <c r="E110"/>
      <c r="F110"/>
      <c r="G110" s="65"/>
    </row>
    <row r="111" spans="2:7">
      <c r="B111"/>
      <c r="C111"/>
      <c r="D111"/>
      <c r="E111"/>
      <c r="F111"/>
      <c r="G111" s="65"/>
    </row>
    <row r="112" spans="2:7">
      <c r="B112"/>
      <c r="C112"/>
      <c r="D112"/>
      <c r="E112"/>
      <c r="F112"/>
      <c r="G112" s="65"/>
    </row>
    <row r="113" spans="2:7">
      <c r="B113"/>
      <c r="C113"/>
      <c r="D113"/>
      <c r="E113"/>
      <c r="F113"/>
      <c r="G113" s="65"/>
    </row>
    <row r="114" spans="2:7">
      <c r="B114"/>
      <c r="C114"/>
      <c r="D114"/>
      <c r="E114"/>
      <c r="F114"/>
      <c r="G114" s="65"/>
    </row>
    <row r="115" spans="2:7">
      <c r="B115"/>
      <c r="C115"/>
      <c r="D115"/>
      <c r="E115"/>
      <c r="F115"/>
      <c r="G115" s="65"/>
    </row>
    <row r="116" spans="2:7">
      <c r="B116"/>
      <c r="C116"/>
      <c r="D116"/>
      <c r="E116"/>
      <c r="F116"/>
      <c r="G116" s="65"/>
    </row>
    <row r="117" spans="2:7">
      <c r="B117"/>
      <c r="C117"/>
      <c r="D117"/>
      <c r="E117"/>
      <c r="F117"/>
      <c r="G117" s="65"/>
    </row>
    <row r="118" spans="2:7">
      <c r="B118"/>
      <c r="C118"/>
      <c r="D118"/>
      <c r="E118"/>
      <c r="F118"/>
      <c r="G118" s="65"/>
    </row>
    <row r="119" spans="2:7">
      <c r="B119"/>
      <c r="C119"/>
      <c r="D119"/>
      <c r="E119"/>
      <c r="F119"/>
      <c r="G119" s="65"/>
    </row>
    <row r="120" spans="2:7">
      <c r="B120"/>
      <c r="C120"/>
      <c r="D120"/>
      <c r="E120"/>
      <c r="F120"/>
      <c r="G120" s="65"/>
    </row>
    <row r="121" spans="2:7">
      <c r="B121"/>
      <c r="C121"/>
      <c r="D121"/>
      <c r="E121"/>
      <c r="F121"/>
      <c r="G121" s="65"/>
    </row>
    <row r="122" spans="2:7">
      <c r="B122"/>
      <c r="C122"/>
      <c r="D122"/>
      <c r="E122"/>
      <c r="F122"/>
      <c r="G122" s="65"/>
    </row>
    <row r="123" spans="2:7">
      <c r="B123"/>
      <c r="C123"/>
      <c r="D123"/>
      <c r="E123"/>
      <c r="F123"/>
      <c r="G123" s="65"/>
    </row>
    <row r="124" spans="2:7">
      <c r="B124"/>
      <c r="C124"/>
      <c r="D124"/>
      <c r="E124"/>
      <c r="F124"/>
      <c r="G124" s="65"/>
    </row>
    <row r="125" spans="2:7">
      <c r="B125"/>
      <c r="C125"/>
      <c r="D125"/>
      <c r="E125"/>
      <c r="F125"/>
      <c r="G125" s="65"/>
    </row>
    <row r="126" spans="2:7">
      <c r="B126"/>
      <c r="C126"/>
      <c r="D126"/>
      <c r="E126"/>
      <c r="F126"/>
      <c r="G126" s="65"/>
    </row>
    <row r="127" spans="2:7">
      <c r="B127"/>
      <c r="C127"/>
      <c r="D127"/>
      <c r="E127"/>
      <c r="F127"/>
      <c r="G127" s="65"/>
    </row>
    <row r="128" spans="2:7">
      <c r="B128"/>
      <c r="C128"/>
      <c r="D128"/>
      <c r="E128"/>
      <c r="F128"/>
      <c r="G128" s="65"/>
    </row>
    <row r="129" spans="2:7">
      <c r="B129"/>
      <c r="C129"/>
      <c r="D129"/>
      <c r="E129"/>
      <c r="F129"/>
      <c r="G129" s="65"/>
    </row>
    <row r="130" spans="2:7">
      <c r="B130"/>
      <c r="C130"/>
      <c r="D130"/>
      <c r="E130"/>
      <c r="F130"/>
      <c r="G130" s="65"/>
    </row>
    <row r="131" spans="2:7">
      <c r="B131"/>
      <c r="C131"/>
      <c r="D131"/>
      <c r="E131"/>
      <c r="F131"/>
      <c r="G131" s="65"/>
    </row>
    <row r="132" spans="2:7">
      <c r="B132"/>
      <c r="C132"/>
      <c r="D132"/>
      <c r="E132"/>
      <c r="F132"/>
      <c r="G132" s="65"/>
    </row>
    <row r="133" spans="2:7">
      <c r="B133"/>
      <c r="C133"/>
      <c r="D133"/>
      <c r="E133"/>
      <c r="F133"/>
      <c r="G133" s="65"/>
    </row>
    <row r="134" spans="2:7">
      <c r="B134"/>
      <c r="C134"/>
      <c r="D134"/>
      <c r="E134"/>
      <c r="F134"/>
      <c r="G134" s="65"/>
    </row>
    <row r="135" spans="2:7">
      <c r="B135"/>
      <c r="C135"/>
      <c r="D135"/>
      <c r="E135"/>
      <c r="F135"/>
      <c r="G135" s="65"/>
    </row>
    <row r="136" spans="2:7">
      <c r="B136"/>
      <c r="C136"/>
      <c r="D136"/>
      <c r="E136"/>
      <c r="F136"/>
      <c r="G136" s="65"/>
    </row>
    <row r="137" spans="2:7">
      <c r="B137"/>
      <c r="C137"/>
      <c r="D137"/>
      <c r="E137"/>
      <c r="F137"/>
      <c r="G137" s="65"/>
    </row>
    <row r="138" spans="2:7">
      <c r="B138"/>
      <c r="C138"/>
      <c r="D138"/>
      <c r="E138"/>
      <c r="F138"/>
      <c r="G138" s="65"/>
    </row>
    <row r="139" spans="2:7">
      <c r="B139"/>
      <c r="C139"/>
      <c r="D139"/>
      <c r="E139"/>
      <c r="F139"/>
      <c r="G139" s="65"/>
    </row>
    <row r="140" spans="2:7">
      <c r="B140"/>
      <c r="C140"/>
      <c r="D140"/>
      <c r="E140"/>
      <c r="F140"/>
      <c r="G140" s="65"/>
    </row>
    <row r="141" spans="2:7">
      <c r="B141"/>
      <c r="C141"/>
      <c r="D141"/>
      <c r="E141"/>
      <c r="F141"/>
      <c r="G141" s="65"/>
    </row>
    <row r="142" spans="2:7">
      <c r="B142"/>
      <c r="C142"/>
      <c r="D142"/>
      <c r="E142"/>
      <c r="F142"/>
      <c r="G142" s="65"/>
    </row>
    <row r="143" spans="2:7">
      <c r="B143"/>
      <c r="C143"/>
      <c r="D143"/>
      <c r="E143"/>
      <c r="F143"/>
      <c r="G143" s="65"/>
    </row>
    <row r="144" spans="2:7">
      <c r="B144"/>
      <c r="C144"/>
      <c r="D144"/>
      <c r="E144"/>
      <c r="F144"/>
      <c r="G144" s="65"/>
    </row>
    <row r="145" spans="2:7">
      <c r="B145"/>
      <c r="C145"/>
      <c r="D145"/>
      <c r="E145"/>
      <c r="F145"/>
      <c r="G145" s="65"/>
    </row>
    <row r="146" spans="2:7">
      <c r="B146"/>
      <c r="C146"/>
      <c r="D146"/>
      <c r="E146"/>
      <c r="F146"/>
      <c r="G146" s="65"/>
    </row>
    <row r="147" spans="2:7">
      <c r="B147"/>
      <c r="C147"/>
      <c r="D147"/>
      <c r="E147"/>
      <c r="F147"/>
      <c r="G147" s="65"/>
    </row>
    <row r="148" spans="2:7">
      <c r="B148"/>
      <c r="C148"/>
      <c r="D148"/>
      <c r="E148"/>
      <c r="F148"/>
      <c r="G148" s="65"/>
    </row>
    <row r="149" spans="2:7">
      <c r="B149"/>
      <c r="C149"/>
      <c r="D149"/>
      <c r="E149"/>
      <c r="F149"/>
      <c r="G149" s="65"/>
    </row>
    <row r="150" spans="2:7">
      <c r="B150"/>
      <c r="C150"/>
      <c r="D150"/>
      <c r="E150"/>
      <c r="F150"/>
      <c r="G150" s="65"/>
    </row>
    <row r="151" spans="2:7">
      <c r="B151"/>
      <c r="C151"/>
      <c r="D151"/>
      <c r="E151"/>
      <c r="F151"/>
      <c r="G151" s="65"/>
    </row>
    <row r="152" spans="2:7">
      <c r="B152"/>
      <c r="C152"/>
      <c r="D152"/>
      <c r="E152"/>
      <c r="F152"/>
      <c r="G152" s="65"/>
    </row>
    <row r="153" spans="2:7">
      <c r="B153"/>
      <c r="C153"/>
      <c r="D153"/>
      <c r="E153"/>
      <c r="F153"/>
      <c r="G153" s="65"/>
    </row>
    <row r="154" spans="2:7">
      <c r="B154"/>
      <c r="C154"/>
      <c r="D154"/>
      <c r="E154"/>
      <c r="F154"/>
      <c r="G154" s="65"/>
    </row>
    <row r="155" spans="2:7">
      <c r="B155"/>
      <c r="C155"/>
      <c r="D155"/>
      <c r="E155"/>
      <c r="F155"/>
      <c r="G155" s="65"/>
    </row>
    <row r="156" spans="2:7">
      <c r="B156"/>
      <c r="C156"/>
      <c r="D156"/>
      <c r="E156"/>
      <c r="F156"/>
      <c r="G156" s="65"/>
    </row>
    <row r="157" spans="2:7">
      <c r="B157"/>
      <c r="C157"/>
      <c r="D157"/>
      <c r="E157"/>
      <c r="F157"/>
      <c r="G157" s="65"/>
    </row>
    <row r="158" spans="2:7">
      <c r="B158"/>
      <c r="C158"/>
      <c r="D158"/>
      <c r="E158"/>
      <c r="F158"/>
      <c r="G158" s="65"/>
    </row>
    <row r="159" spans="2:7">
      <c r="B159"/>
      <c r="C159"/>
      <c r="D159"/>
      <c r="E159"/>
      <c r="F159"/>
      <c r="G159" s="65"/>
    </row>
    <row r="160" spans="2:7">
      <c r="B160"/>
      <c r="C160"/>
      <c r="D160"/>
      <c r="E160"/>
      <c r="F160"/>
      <c r="G160" s="65"/>
    </row>
    <row r="161" spans="2:7">
      <c r="B161"/>
      <c r="C161"/>
      <c r="D161"/>
      <c r="E161"/>
      <c r="F161"/>
      <c r="G161" s="65"/>
    </row>
    <row r="162" spans="2:7">
      <c r="B162"/>
      <c r="C162"/>
      <c r="D162"/>
      <c r="E162"/>
      <c r="F162"/>
      <c r="G162" s="65"/>
    </row>
    <row r="163" spans="2:7">
      <c r="B163"/>
      <c r="C163"/>
      <c r="D163"/>
      <c r="E163"/>
      <c r="F163"/>
      <c r="G163" s="65"/>
    </row>
    <row r="164" spans="2:7">
      <c r="B164"/>
      <c r="C164"/>
      <c r="D164"/>
      <c r="E164"/>
      <c r="F164"/>
      <c r="G164" s="65"/>
    </row>
    <row r="165" spans="2:7">
      <c r="B165"/>
      <c r="C165"/>
      <c r="D165"/>
      <c r="E165"/>
      <c r="F165"/>
      <c r="G165" s="65"/>
    </row>
    <row r="166" spans="2:7">
      <c r="B166"/>
      <c r="C166"/>
      <c r="D166"/>
      <c r="E166"/>
      <c r="F166"/>
      <c r="G166" s="65"/>
    </row>
    <row r="167" spans="2:7">
      <c r="B167"/>
      <c r="C167"/>
      <c r="D167"/>
      <c r="E167"/>
      <c r="F167"/>
      <c r="G167" s="65"/>
    </row>
    <row r="168" spans="2:7">
      <c r="B168"/>
      <c r="C168"/>
      <c r="D168"/>
      <c r="E168"/>
      <c r="F168"/>
      <c r="G168" s="65"/>
    </row>
    <row r="169" spans="2:7">
      <c r="B169"/>
      <c r="C169"/>
      <c r="D169"/>
      <c r="E169"/>
      <c r="F169"/>
      <c r="G169" s="65"/>
    </row>
    <row r="170" spans="2:7">
      <c r="B170"/>
      <c r="C170"/>
      <c r="D170"/>
      <c r="E170"/>
      <c r="F170"/>
      <c r="G170" s="65"/>
    </row>
    <row r="171" spans="2:7">
      <c r="B171"/>
      <c r="C171"/>
      <c r="D171"/>
      <c r="E171"/>
      <c r="F171"/>
      <c r="G171" s="65"/>
    </row>
    <row r="172" spans="2:7">
      <c r="B172"/>
      <c r="C172"/>
      <c r="D172"/>
      <c r="E172"/>
      <c r="F172"/>
      <c r="G172" s="65"/>
    </row>
    <row r="173" spans="2:7">
      <c r="B173"/>
      <c r="C173"/>
      <c r="D173"/>
      <c r="E173"/>
      <c r="F173"/>
      <c r="G173" s="65"/>
    </row>
    <row r="174" spans="2:7">
      <c r="B174"/>
      <c r="C174"/>
      <c r="D174"/>
      <c r="E174"/>
      <c r="F174"/>
      <c r="G174" s="65"/>
    </row>
    <row r="175" spans="2:7">
      <c r="B175"/>
      <c r="C175"/>
      <c r="D175"/>
      <c r="E175"/>
      <c r="F175"/>
      <c r="G175" s="65"/>
    </row>
    <row r="176" spans="2:7">
      <c r="B176"/>
      <c r="C176"/>
      <c r="D176"/>
      <c r="E176"/>
      <c r="F176"/>
      <c r="G176" s="65"/>
    </row>
    <row r="177" spans="2:7">
      <c r="B177"/>
      <c r="C177"/>
      <c r="D177"/>
      <c r="E177"/>
      <c r="F177"/>
      <c r="G177" s="65"/>
    </row>
    <row r="178" spans="2:7">
      <c r="B178"/>
      <c r="C178"/>
      <c r="D178"/>
      <c r="E178"/>
      <c r="F178"/>
      <c r="G178" s="65"/>
    </row>
    <row r="179" spans="2:7">
      <c r="B179"/>
      <c r="C179"/>
      <c r="D179"/>
      <c r="E179"/>
      <c r="F179"/>
      <c r="G179" s="65"/>
    </row>
    <row r="180" spans="2:7">
      <c r="B180"/>
      <c r="C180"/>
      <c r="D180"/>
      <c r="E180"/>
      <c r="F180"/>
      <c r="G180" s="65"/>
    </row>
    <row r="181" spans="2:7">
      <c r="B181"/>
      <c r="C181"/>
      <c r="D181"/>
      <c r="E181"/>
      <c r="F181"/>
      <c r="G181" s="65"/>
    </row>
    <row r="182" spans="2:7">
      <c r="B182"/>
      <c r="C182"/>
      <c r="D182"/>
      <c r="E182"/>
      <c r="F182"/>
      <c r="G182" s="65"/>
    </row>
    <row r="183" spans="2:7">
      <c r="B183"/>
      <c r="C183"/>
      <c r="D183"/>
      <c r="E183"/>
      <c r="F183"/>
      <c r="G183" s="65"/>
    </row>
    <row r="184" spans="2:7">
      <c r="B184"/>
      <c r="C184"/>
      <c r="D184"/>
      <c r="E184"/>
      <c r="F184"/>
      <c r="G184" s="65"/>
    </row>
    <row r="185" spans="2:7">
      <c r="B185"/>
      <c r="C185"/>
      <c r="D185"/>
      <c r="E185"/>
      <c r="F185"/>
      <c r="G185" s="65"/>
    </row>
    <row r="186" spans="2:7">
      <c r="B186"/>
      <c r="C186"/>
      <c r="D186"/>
      <c r="E186"/>
      <c r="F186"/>
      <c r="G186" s="65"/>
    </row>
    <row r="187" spans="2:7">
      <c r="B187"/>
      <c r="C187"/>
      <c r="D187"/>
      <c r="E187"/>
      <c r="F187"/>
      <c r="G187" s="65"/>
    </row>
    <row r="188" spans="2:7">
      <c r="B188"/>
      <c r="C188"/>
      <c r="D188"/>
      <c r="E188"/>
      <c r="F188"/>
      <c r="G188" s="65"/>
    </row>
    <row r="189" spans="2:7">
      <c r="B189"/>
      <c r="C189"/>
      <c r="D189"/>
      <c r="E189"/>
      <c r="F189"/>
      <c r="G189" s="65"/>
    </row>
    <row r="190" spans="2:7">
      <c r="B190"/>
      <c r="C190"/>
      <c r="D190"/>
      <c r="E190"/>
      <c r="F190"/>
      <c r="G190" s="65"/>
    </row>
    <row r="191" spans="2:7">
      <c r="B191"/>
      <c r="C191"/>
      <c r="D191"/>
      <c r="E191"/>
      <c r="F191"/>
      <c r="G191" s="65"/>
    </row>
    <row r="192" spans="2:7">
      <c r="B192"/>
      <c r="C192"/>
      <c r="D192"/>
      <c r="E192"/>
      <c r="F192"/>
      <c r="G192" s="65"/>
    </row>
    <row r="193" spans="2:7">
      <c r="B193"/>
      <c r="C193"/>
      <c r="D193"/>
      <c r="E193"/>
      <c r="F193"/>
      <c r="G193" s="65"/>
    </row>
    <row r="194" spans="2:7">
      <c r="B194"/>
      <c r="C194"/>
      <c r="D194"/>
      <c r="E194"/>
      <c r="F194"/>
      <c r="G194" s="65"/>
    </row>
    <row r="195" spans="2:7">
      <c r="B195"/>
      <c r="C195"/>
      <c r="D195"/>
      <c r="E195"/>
      <c r="F195"/>
      <c r="G195" s="65"/>
    </row>
    <row r="196" spans="2:7">
      <c r="B196"/>
      <c r="C196"/>
      <c r="D196"/>
      <c r="E196"/>
      <c r="F196"/>
      <c r="G196" s="65"/>
    </row>
    <row r="197" spans="2:7">
      <c r="B197"/>
      <c r="C197"/>
      <c r="D197"/>
      <c r="E197"/>
      <c r="F197"/>
      <c r="G197" s="65"/>
    </row>
    <row r="198" spans="2:7">
      <c r="B198"/>
      <c r="C198"/>
      <c r="D198"/>
      <c r="E198"/>
      <c r="F198"/>
      <c r="G198" s="65"/>
    </row>
    <row r="199" spans="2:7">
      <c r="B199"/>
      <c r="C199"/>
      <c r="D199"/>
      <c r="E199"/>
      <c r="F199"/>
      <c r="G199" s="65"/>
    </row>
    <row r="200" spans="2:7">
      <c r="B200"/>
      <c r="C200"/>
      <c r="D200"/>
      <c r="E200"/>
      <c r="F200"/>
      <c r="G200" s="65"/>
    </row>
    <row r="201" spans="2:7">
      <c r="B201"/>
      <c r="C201"/>
      <c r="D201"/>
      <c r="E201"/>
      <c r="F201"/>
      <c r="G201" s="65"/>
    </row>
    <row r="202" spans="2:7">
      <c r="B202"/>
      <c r="C202"/>
      <c r="D202"/>
      <c r="E202"/>
      <c r="F202"/>
      <c r="G202" s="65"/>
    </row>
    <row r="203" spans="2:7">
      <c r="B203"/>
      <c r="C203"/>
      <c r="D203"/>
      <c r="E203"/>
      <c r="F203"/>
      <c r="G203" s="65"/>
    </row>
    <row r="204" spans="2:7">
      <c r="B204"/>
      <c r="C204"/>
      <c r="D204"/>
      <c r="E204"/>
      <c r="F204"/>
      <c r="G204" s="65"/>
    </row>
    <row r="205" spans="2:7">
      <c r="B205"/>
      <c r="C205"/>
      <c r="D205"/>
      <c r="E205"/>
      <c r="F205"/>
      <c r="G205" s="65"/>
    </row>
    <row r="206" spans="2:7">
      <c r="B206"/>
      <c r="C206"/>
      <c r="D206"/>
      <c r="E206"/>
      <c r="F206"/>
      <c r="G206" s="65"/>
    </row>
    <row r="207" spans="2:7">
      <c r="B207"/>
      <c r="C207"/>
      <c r="D207"/>
      <c r="E207"/>
      <c r="F207"/>
      <c r="G207" s="65"/>
    </row>
    <row r="208" spans="2:7">
      <c r="B208"/>
      <c r="C208"/>
      <c r="D208"/>
      <c r="E208"/>
      <c r="F208"/>
      <c r="G208" s="65"/>
    </row>
    <row r="209" spans="2:7">
      <c r="B209"/>
      <c r="C209"/>
      <c r="D209"/>
      <c r="E209"/>
      <c r="F209"/>
      <c r="G209" s="65"/>
    </row>
    <row r="210" spans="2:7">
      <c r="B210"/>
      <c r="C210"/>
      <c r="D210"/>
      <c r="E210"/>
      <c r="F210"/>
      <c r="G210" s="65"/>
    </row>
    <row r="211" spans="2:7">
      <c r="B211"/>
      <c r="C211"/>
      <c r="D211"/>
      <c r="E211"/>
      <c r="F211"/>
      <c r="G211" s="65"/>
    </row>
    <row r="212" spans="2:7">
      <c r="B212"/>
      <c r="C212"/>
      <c r="D212"/>
      <c r="E212"/>
      <c r="F212"/>
      <c r="G212" s="65"/>
    </row>
    <row r="213" spans="2:7">
      <c r="B213"/>
      <c r="C213"/>
      <c r="D213"/>
      <c r="E213"/>
      <c r="F213"/>
      <c r="G213" s="65"/>
    </row>
    <row r="214" spans="2:7">
      <c r="B214"/>
      <c r="C214"/>
      <c r="D214"/>
      <c r="E214"/>
      <c r="F214"/>
      <c r="G214" s="65"/>
    </row>
    <row r="215" spans="2:7">
      <c r="B215"/>
      <c r="C215"/>
      <c r="D215"/>
      <c r="E215"/>
      <c r="F215"/>
      <c r="G215" s="65"/>
    </row>
    <row r="216" spans="2:7">
      <c r="B216"/>
      <c r="C216"/>
      <c r="D216"/>
      <c r="E216"/>
      <c r="F216"/>
      <c r="G216" s="65"/>
    </row>
    <row r="217" spans="2:7">
      <c r="B217"/>
      <c r="C217"/>
      <c r="D217"/>
      <c r="E217"/>
      <c r="F217"/>
      <c r="G217" s="65"/>
    </row>
    <row r="218" spans="2:7">
      <c r="B218"/>
      <c r="C218"/>
      <c r="D218"/>
      <c r="E218"/>
      <c r="F218"/>
      <c r="G218" s="65"/>
    </row>
    <row r="219" spans="2:7">
      <c r="B219"/>
      <c r="C219"/>
      <c r="D219"/>
      <c r="E219"/>
      <c r="F219"/>
      <c r="G219" s="65"/>
    </row>
    <row r="220" spans="2:7">
      <c r="B220"/>
      <c r="C220"/>
      <c r="D220"/>
      <c r="E220"/>
      <c r="F220"/>
      <c r="G220" s="65"/>
    </row>
    <row r="221" spans="2:7">
      <c r="B221"/>
      <c r="C221"/>
      <c r="D221"/>
      <c r="E221"/>
      <c r="F221"/>
      <c r="G221" s="65"/>
    </row>
    <row r="222" spans="2:7">
      <c r="B222"/>
      <c r="C222"/>
      <c r="D222"/>
      <c r="E222"/>
      <c r="F222"/>
      <c r="G222" s="65"/>
    </row>
    <row r="223" spans="2:7">
      <c r="B223"/>
      <c r="C223"/>
      <c r="D223"/>
      <c r="E223"/>
      <c r="F223"/>
      <c r="G223" s="65"/>
    </row>
    <row r="224" spans="2:7">
      <c r="B224"/>
      <c r="C224"/>
      <c r="D224"/>
      <c r="E224"/>
      <c r="F224"/>
      <c r="G224" s="65"/>
    </row>
    <row r="225" spans="2:7">
      <c r="B225"/>
      <c r="C225"/>
      <c r="D225"/>
      <c r="E225"/>
      <c r="F225"/>
      <c r="G225" s="65"/>
    </row>
    <row r="226" spans="2:7">
      <c r="B226"/>
      <c r="C226"/>
      <c r="D226"/>
      <c r="E226"/>
      <c r="F226"/>
      <c r="G226" s="65"/>
    </row>
    <row r="227" spans="2:7">
      <c r="B227"/>
      <c r="C227"/>
      <c r="D227"/>
      <c r="E227"/>
      <c r="F227"/>
      <c r="G227" s="65"/>
    </row>
    <row r="228" spans="2:7">
      <c r="B228"/>
      <c r="C228"/>
      <c r="D228"/>
      <c r="E228"/>
      <c r="F228"/>
      <c r="G228" s="65"/>
    </row>
    <row r="229" spans="2:7">
      <c r="B229"/>
      <c r="C229"/>
      <c r="D229"/>
      <c r="E229"/>
      <c r="F229"/>
      <c r="G229" s="65"/>
    </row>
    <row r="230" spans="2:7">
      <c r="B230"/>
      <c r="C230"/>
      <c r="D230"/>
      <c r="E230"/>
      <c r="F230"/>
      <c r="G230" s="65"/>
    </row>
    <row r="231" spans="2:7">
      <c r="B231"/>
      <c r="C231"/>
      <c r="D231"/>
      <c r="E231"/>
      <c r="F231"/>
      <c r="G231" s="65"/>
    </row>
    <row r="232" spans="2:7">
      <c r="B232"/>
      <c r="C232"/>
      <c r="D232"/>
      <c r="E232"/>
      <c r="F232"/>
      <c r="G232" s="65"/>
    </row>
    <row r="233" spans="2:7">
      <c r="B233"/>
      <c r="C233"/>
      <c r="D233"/>
      <c r="E233"/>
      <c r="F233"/>
      <c r="G233" s="65"/>
    </row>
    <row r="234" spans="2:7">
      <c r="B234"/>
      <c r="C234"/>
      <c r="D234"/>
      <c r="E234"/>
      <c r="F234"/>
      <c r="G234" s="65"/>
    </row>
    <row r="235" spans="2:7">
      <c r="B235"/>
      <c r="C235"/>
      <c r="D235"/>
      <c r="E235"/>
      <c r="F235"/>
      <c r="G235" s="65"/>
    </row>
    <row r="236" spans="2:7">
      <c r="B236"/>
      <c r="C236"/>
      <c r="D236"/>
      <c r="E236"/>
      <c r="F236"/>
      <c r="G236" s="65"/>
    </row>
    <row r="237" spans="2:7">
      <c r="B237"/>
      <c r="C237"/>
      <c r="D237"/>
      <c r="E237"/>
      <c r="F237"/>
      <c r="G237" s="65"/>
    </row>
    <row r="238" spans="2:7">
      <c r="B238"/>
      <c r="C238"/>
      <c r="D238"/>
      <c r="E238"/>
      <c r="F238"/>
      <c r="G238" s="65"/>
    </row>
    <row r="239" spans="2:7">
      <c r="B239"/>
      <c r="C239"/>
      <c r="D239"/>
      <c r="E239"/>
      <c r="F239"/>
      <c r="G239" s="65"/>
    </row>
    <row r="240" spans="2:7">
      <c r="B240"/>
      <c r="C240"/>
      <c r="D240"/>
      <c r="E240"/>
      <c r="F240"/>
      <c r="G240" s="65"/>
    </row>
    <row r="241" spans="2:7">
      <c r="B241"/>
      <c r="C241"/>
      <c r="D241"/>
      <c r="E241"/>
      <c r="F241"/>
      <c r="G241" s="65"/>
    </row>
    <row r="242" spans="2:7">
      <c r="B242"/>
      <c r="C242"/>
      <c r="D242"/>
      <c r="E242"/>
      <c r="F242"/>
      <c r="G242" s="65"/>
    </row>
    <row r="243" spans="2:7">
      <c r="B243"/>
      <c r="C243"/>
      <c r="D243"/>
      <c r="E243"/>
      <c r="F243"/>
      <c r="G243" s="65"/>
    </row>
    <row r="244" spans="2:7">
      <c r="B244"/>
      <c r="C244"/>
      <c r="D244"/>
      <c r="E244"/>
      <c r="F244"/>
      <c r="G244" s="65"/>
    </row>
    <row r="245" spans="2:7">
      <c r="B245"/>
      <c r="C245"/>
      <c r="D245"/>
      <c r="E245"/>
      <c r="F245"/>
      <c r="G245" s="65"/>
    </row>
    <row r="246" spans="2:7">
      <c r="B246"/>
      <c r="C246"/>
      <c r="D246"/>
      <c r="E246"/>
      <c r="F246"/>
      <c r="G246" s="65"/>
    </row>
    <row r="247" spans="2:7">
      <c r="B247"/>
      <c r="C247"/>
      <c r="D247"/>
      <c r="E247"/>
      <c r="F247"/>
      <c r="G247" s="65"/>
    </row>
    <row r="248" spans="2:7">
      <c r="B248"/>
      <c r="C248"/>
      <c r="D248"/>
      <c r="E248"/>
      <c r="F248"/>
      <c r="G248" s="65"/>
    </row>
    <row r="249" spans="2:7">
      <c r="B249"/>
      <c r="C249"/>
      <c r="D249"/>
      <c r="E249"/>
      <c r="F249"/>
      <c r="G249" s="65"/>
    </row>
    <row r="250" spans="2:7">
      <c r="B250"/>
      <c r="C250"/>
      <c r="D250"/>
      <c r="E250"/>
      <c r="F250"/>
      <c r="G250" s="65"/>
    </row>
    <row r="251" spans="2:7">
      <c r="B251"/>
      <c r="C251"/>
      <c r="D251"/>
      <c r="E251"/>
      <c r="F251"/>
      <c r="G251" s="65"/>
    </row>
    <row r="252" spans="2:7">
      <c r="B252"/>
      <c r="C252"/>
      <c r="D252"/>
      <c r="E252"/>
      <c r="F252"/>
      <c r="G252" s="65"/>
    </row>
    <row r="253" spans="2:7">
      <c r="B253"/>
      <c r="C253"/>
      <c r="D253"/>
      <c r="E253"/>
      <c r="F253"/>
      <c r="G253" s="65"/>
    </row>
    <row r="254" spans="2:7">
      <c r="B254"/>
      <c r="C254"/>
      <c r="D254"/>
      <c r="E254"/>
      <c r="F254"/>
      <c r="G254" s="65"/>
    </row>
    <row r="255" spans="2:7">
      <c r="B255"/>
      <c r="C255"/>
      <c r="D255"/>
      <c r="E255"/>
      <c r="F255"/>
      <c r="G255" s="65"/>
    </row>
    <row r="256" spans="2:7">
      <c r="B256"/>
      <c r="C256"/>
      <c r="D256"/>
      <c r="E256"/>
      <c r="F256"/>
      <c r="G256" s="65"/>
    </row>
    <row r="257" spans="2:7">
      <c r="B257"/>
      <c r="C257"/>
      <c r="D257"/>
      <c r="E257"/>
      <c r="F257"/>
      <c r="G257" s="65"/>
    </row>
    <row r="258" spans="2:7">
      <c r="B258"/>
      <c r="C258"/>
      <c r="D258"/>
      <c r="E258"/>
      <c r="F258"/>
      <c r="G258" s="65"/>
    </row>
    <row r="259" spans="2:7">
      <c r="B259"/>
      <c r="C259"/>
      <c r="D259"/>
      <c r="E259"/>
      <c r="F259"/>
      <c r="G259" s="65"/>
    </row>
    <row r="260" spans="2:7">
      <c r="B260"/>
      <c r="C260"/>
      <c r="D260"/>
      <c r="E260"/>
      <c r="F260"/>
      <c r="G260" s="65"/>
    </row>
    <row r="261" spans="2:7">
      <c r="B261"/>
      <c r="C261"/>
      <c r="D261"/>
      <c r="E261"/>
      <c r="F261"/>
      <c r="G261" s="65"/>
    </row>
    <row r="262" spans="2:7">
      <c r="B262"/>
      <c r="C262"/>
      <c r="D262"/>
      <c r="E262"/>
      <c r="F262"/>
      <c r="G262" s="65"/>
    </row>
    <row r="263" spans="2:7">
      <c r="B263"/>
      <c r="C263"/>
      <c r="D263"/>
      <c r="E263"/>
      <c r="F263"/>
      <c r="G263" s="65"/>
    </row>
    <row r="264" spans="2:7">
      <c r="B264"/>
      <c r="C264"/>
      <c r="D264"/>
      <c r="E264"/>
      <c r="F264"/>
      <c r="G264" s="65"/>
    </row>
    <row r="265" spans="2:7">
      <c r="B265"/>
      <c r="C265"/>
      <c r="D265"/>
      <c r="E265"/>
      <c r="F265"/>
      <c r="G265" s="65"/>
    </row>
    <row r="266" spans="2:7">
      <c r="B266"/>
      <c r="C266"/>
      <c r="D266"/>
      <c r="E266"/>
      <c r="F266"/>
      <c r="G266" s="65"/>
    </row>
    <row r="267" spans="2:7">
      <c r="B267"/>
      <c r="C267"/>
      <c r="D267"/>
      <c r="E267"/>
      <c r="F267"/>
      <c r="G267" s="65"/>
    </row>
    <row r="268" spans="2:7">
      <c r="B268"/>
      <c r="C268"/>
      <c r="D268"/>
      <c r="E268"/>
      <c r="F268"/>
      <c r="G268" s="65"/>
    </row>
    <row r="269" spans="2:7">
      <c r="B269"/>
      <c r="C269"/>
      <c r="D269"/>
      <c r="E269"/>
      <c r="F269"/>
      <c r="G269" s="65"/>
    </row>
    <row r="270" spans="2:7">
      <c r="B270"/>
      <c r="C270"/>
      <c r="D270"/>
      <c r="E270"/>
      <c r="F270"/>
      <c r="G270" s="65"/>
    </row>
    <row r="271" spans="2:7">
      <c r="B271"/>
      <c r="C271"/>
      <c r="D271"/>
      <c r="E271"/>
      <c r="F271"/>
      <c r="G271" s="65"/>
    </row>
    <row r="272" spans="2:7">
      <c r="B272"/>
      <c r="C272"/>
      <c r="D272"/>
      <c r="E272"/>
      <c r="F272"/>
      <c r="G272" s="65"/>
    </row>
    <row r="273" spans="2:7">
      <c r="B273"/>
      <c r="C273"/>
      <c r="D273"/>
      <c r="E273"/>
      <c r="F273"/>
      <c r="G273" s="65"/>
    </row>
    <row r="274" spans="2:7">
      <c r="B274"/>
      <c r="C274"/>
      <c r="D274"/>
      <c r="E274"/>
      <c r="F274"/>
      <c r="G274" s="65"/>
    </row>
    <row r="275" spans="2:7">
      <c r="B275"/>
      <c r="C275"/>
      <c r="D275"/>
      <c r="E275"/>
      <c r="F275"/>
      <c r="G275" s="65"/>
    </row>
    <row r="276" spans="2:7">
      <c r="B276"/>
      <c r="C276"/>
      <c r="D276"/>
      <c r="E276"/>
      <c r="F276"/>
      <c r="G276" s="65"/>
    </row>
    <row r="277" spans="2:7">
      <c r="B277"/>
      <c r="C277"/>
      <c r="D277"/>
      <c r="E277"/>
      <c r="F277"/>
      <c r="G277" s="65"/>
    </row>
    <row r="278" spans="2:7">
      <c r="B278"/>
      <c r="C278"/>
      <c r="D278"/>
      <c r="E278"/>
      <c r="F278"/>
      <c r="G278" s="65"/>
    </row>
    <row r="279" spans="2:7">
      <c r="B279"/>
      <c r="C279"/>
      <c r="D279"/>
      <c r="E279"/>
      <c r="F279"/>
      <c r="G279" s="65"/>
    </row>
    <row r="280" spans="2:7">
      <c r="B280"/>
      <c r="C280"/>
      <c r="D280"/>
      <c r="E280"/>
      <c r="F280"/>
      <c r="G280" s="65"/>
    </row>
    <row r="281" spans="2:7">
      <c r="B281"/>
      <c r="C281"/>
      <c r="D281"/>
      <c r="E281"/>
      <c r="F281"/>
      <c r="G281" s="65"/>
    </row>
    <row r="282" spans="2:7">
      <c r="B282"/>
      <c r="C282"/>
      <c r="D282"/>
      <c r="E282"/>
      <c r="F282"/>
      <c r="G282" s="65"/>
    </row>
    <row r="283" spans="2:7">
      <c r="B283"/>
      <c r="C283"/>
      <c r="D283"/>
      <c r="E283"/>
      <c r="F283"/>
      <c r="G283" s="65"/>
    </row>
    <row r="284" spans="2:7">
      <c r="B284"/>
      <c r="C284"/>
      <c r="D284"/>
      <c r="E284"/>
      <c r="F284"/>
      <c r="G284" s="65"/>
    </row>
    <row r="285" spans="2:7">
      <c r="B285"/>
      <c r="C285"/>
      <c r="D285"/>
      <c r="E285"/>
      <c r="F285"/>
      <c r="G285" s="65"/>
    </row>
    <row r="286" spans="2:7">
      <c r="B286"/>
      <c r="C286"/>
      <c r="D286"/>
      <c r="E286"/>
      <c r="F286"/>
      <c r="G286" s="65"/>
    </row>
    <row r="287" spans="2:7">
      <c r="B287"/>
      <c r="C287"/>
      <c r="D287"/>
      <c r="E287"/>
      <c r="F287"/>
      <c r="G287" s="65"/>
    </row>
    <row r="288" spans="2:7">
      <c r="B288"/>
      <c r="C288"/>
      <c r="D288"/>
      <c r="E288"/>
      <c r="F288"/>
      <c r="G288" s="65"/>
    </row>
    <row r="289" spans="2:7">
      <c r="B289"/>
      <c r="C289"/>
      <c r="D289"/>
      <c r="E289"/>
      <c r="F289"/>
      <c r="G289" s="65"/>
    </row>
    <row r="290" spans="2:7">
      <c r="B290"/>
      <c r="C290"/>
      <c r="D290"/>
      <c r="E290"/>
      <c r="F290"/>
      <c r="G290" s="65"/>
    </row>
    <row r="291" spans="2:7">
      <c r="B291"/>
      <c r="C291"/>
      <c r="D291"/>
      <c r="E291"/>
      <c r="F291"/>
      <c r="G291" s="65"/>
    </row>
    <row r="292" spans="2:7">
      <c r="B292"/>
      <c r="C292"/>
      <c r="D292"/>
      <c r="E292"/>
      <c r="F292"/>
      <c r="G292" s="65"/>
    </row>
    <row r="293" spans="2:7">
      <c r="B293"/>
      <c r="C293"/>
      <c r="D293"/>
      <c r="E293"/>
      <c r="F293"/>
      <c r="G293" s="65"/>
    </row>
    <row r="294" spans="2:7">
      <c r="B294"/>
      <c r="C294"/>
      <c r="D294"/>
      <c r="E294"/>
      <c r="F294"/>
      <c r="G294" s="65"/>
    </row>
    <row r="295" spans="2:7">
      <c r="B295"/>
      <c r="C295"/>
      <c r="D295"/>
      <c r="E295"/>
      <c r="F295"/>
      <c r="G295" s="65"/>
    </row>
    <row r="296" spans="2:7">
      <c r="B296"/>
      <c r="C296"/>
      <c r="D296"/>
      <c r="E296"/>
      <c r="F296"/>
      <c r="G296" s="65"/>
    </row>
    <row r="297" spans="2:7">
      <c r="B297"/>
      <c r="C297"/>
      <c r="D297"/>
      <c r="E297"/>
      <c r="F297"/>
      <c r="G297" s="65"/>
    </row>
    <row r="298" spans="2:7">
      <c r="B298"/>
      <c r="C298"/>
      <c r="D298"/>
      <c r="E298"/>
      <c r="F298"/>
      <c r="G298" s="65"/>
    </row>
    <row r="299" spans="2:7">
      <c r="B299"/>
      <c r="C299"/>
      <c r="D299"/>
      <c r="E299"/>
      <c r="F299"/>
      <c r="G299" s="65"/>
    </row>
    <row r="300" spans="2:7">
      <c r="B300"/>
      <c r="C300"/>
      <c r="D300"/>
      <c r="E300"/>
      <c r="F300"/>
      <c r="G300" s="65"/>
    </row>
    <row r="301" spans="2:7">
      <c r="B301"/>
      <c r="C301"/>
      <c r="D301"/>
      <c r="E301"/>
      <c r="F301"/>
      <c r="G301" s="65"/>
    </row>
    <row r="302" spans="2:7">
      <c r="B302"/>
      <c r="C302"/>
      <c r="D302"/>
      <c r="E302"/>
      <c r="F302"/>
      <c r="G302" s="65"/>
    </row>
    <row r="303" spans="2:7">
      <c r="B303"/>
      <c r="C303"/>
      <c r="D303"/>
      <c r="E303"/>
      <c r="F303"/>
      <c r="G303" s="65"/>
    </row>
    <row r="304" spans="2:7">
      <c r="B304"/>
      <c r="C304"/>
      <c r="D304"/>
      <c r="E304"/>
      <c r="F304"/>
      <c r="G304" s="65"/>
    </row>
    <row r="305" spans="2:7">
      <c r="B305"/>
      <c r="C305"/>
      <c r="D305"/>
      <c r="E305"/>
      <c r="F305"/>
      <c r="G305" s="65"/>
    </row>
    <row r="306" spans="2:7">
      <c r="B306"/>
      <c r="C306"/>
      <c r="D306"/>
      <c r="E306"/>
      <c r="F306"/>
      <c r="G306" s="65"/>
    </row>
    <row r="307" spans="2:7">
      <c r="B307"/>
      <c r="C307"/>
      <c r="D307"/>
      <c r="E307"/>
      <c r="F307"/>
      <c r="G307" s="65"/>
    </row>
    <row r="308" spans="2:7">
      <c r="B308"/>
      <c r="C308"/>
      <c r="D308"/>
      <c r="E308"/>
      <c r="F308"/>
      <c r="G308" s="65"/>
    </row>
    <row r="309" spans="2:7">
      <c r="B309"/>
      <c r="C309"/>
      <c r="D309"/>
      <c r="E309"/>
      <c r="F309"/>
      <c r="G309" s="65"/>
    </row>
    <row r="310" spans="2:7">
      <c r="B310"/>
      <c r="C310"/>
      <c r="D310"/>
      <c r="E310"/>
      <c r="F310"/>
      <c r="G310" s="65"/>
    </row>
    <row r="311" spans="2:7">
      <c r="B311"/>
      <c r="C311"/>
      <c r="D311"/>
      <c r="E311"/>
      <c r="F311"/>
      <c r="G311" s="65"/>
    </row>
    <row r="312" spans="2:7">
      <c r="B312"/>
      <c r="C312"/>
      <c r="D312"/>
      <c r="E312"/>
      <c r="F312"/>
      <c r="G312" s="65"/>
    </row>
    <row r="313" spans="2:7">
      <c r="B313"/>
      <c r="C313"/>
      <c r="D313"/>
      <c r="E313"/>
      <c r="F313"/>
      <c r="G313" s="65"/>
    </row>
    <row r="314" spans="2:7">
      <c r="B314"/>
      <c r="C314"/>
      <c r="D314"/>
      <c r="E314"/>
      <c r="F314"/>
      <c r="G314" s="65"/>
    </row>
    <row r="315" spans="2:7">
      <c r="B315"/>
      <c r="C315"/>
      <c r="D315"/>
      <c r="E315"/>
      <c r="F315"/>
      <c r="G315" s="65"/>
    </row>
    <row r="316" spans="2:7">
      <c r="B316"/>
      <c r="C316"/>
      <c r="D316"/>
      <c r="E316"/>
      <c r="F316"/>
      <c r="G316" s="65"/>
    </row>
    <row r="317" spans="2:7">
      <c r="B317"/>
      <c r="C317"/>
      <c r="D317"/>
      <c r="E317"/>
      <c r="F317"/>
      <c r="G317" s="65"/>
    </row>
    <row r="318" spans="2:7">
      <c r="B318"/>
      <c r="C318"/>
      <c r="D318"/>
      <c r="E318"/>
      <c r="F318"/>
      <c r="G318" s="65"/>
    </row>
    <row r="319" spans="2:7">
      <c r="B319"/>
      <c r="C319"/>
      <c r="D319"/>
      <c r="E319"/>
      <c r="F319"/>
      <c r="G319" s="65"/>
    </row>
    <row r="320" spans="2:7">
      <c r="B320"/>
      <c r="C320"/>
      <c r="D320"/>
      <c r="E320"/>
      <c r="F320"/>
      <c r="G320" s="65"/>
    </row>
    <row r="321" spans="2:7">
      <c r="B321"/>
      <c r="C321"/>
      <c r="D321"/>
      <c r="E321"/>
      <c r="F321"/>
      <c r="G321" s="65"/>
    </row>
    <row r="322" spans="2:7">
      <c r="B322"/>
      <c r="C322"/>
      <c r="D322"/>
      <c r="E322"/>
      <c r="F322"/>
      <c r="G322" s="65"/>
    </row>
    <row r="323" spans="2:7">
      <c r="B323"/>
      <c r="C323"/>
      <c r="D323"/>
      <c r="E323"/>
      <c r="F323"/>
      <c r="G323" s="65"/>
    </row>
    <row r="324" spans="2:7">
      <c r="B324"/>
      <c r="C324"/>
      <c r="D324"/>
      <c r="E324"/>
      <c r="F324"/>
      <c r="G324" s="65"/>
    </row>
    <row r="325" spans="2:7">
      <c r="B325"/>
      <c r="C325"/>
      <c r="D325"/>
      <c r="E325"/>
      <c r="F325"/>
      <c r="G325" s="65"/>
    </row>
    <row r="326" spans="2:7">
      <c r="B326"/>
      <c r="C326"/>
      <c r="D326"/>
      <c r="E326"/>
      <c r="F326"/>
      <c r="G326" s="65"/>
    </row>
    <row r="327" spans="2:7">
      <c r="B327"/>
      <c r="C327"/>
      <c r="D327"/>
      <c r="E327"/>
      <c r="F327"/>
      <c r="G327" s="65"/>
    </row>
    <row r="328" spans="2:7">
      <c r="B328"/>
      <c r="C328"/>
      <c r="D328"/>
      <c r="E328"/>
      <c r="F328"/>
      <c r="G328" s="65"/>
    </row>
    <row r="329" spans="2:7">
      <c r="B329"/>
      <c r="C329"/>
      <c r="D329"/>
      <c r="E329"/>
      <c r="F329"/>
      <c r="G329" s="65"/>
    </row>
    <row r="330" spans="2:7">
      <c r="B330"/>
      <c r="C330"/>
      <c r="D330"/>
      <c r="E330"/>
      <c r="F330"/>
      <c r="G330" s="65"/>
    </row>
    <row r="331" spans="2:7">
      <c r="B331"/>
      <c r="C331"/>
      <c r="D331"/>
      <c r="E331"/>
      <c r="F331"/>
      <c r="G331" s="65"/>
    </row>
    <row r="332" spans="2:7">
      <c r="B332"/>
      <c r="C332"/>
      <c r="D332"/>
      <c r="E332"/>
      <c r="F332"/>
      <c r="G332" s="65"/>
    </row>
    <row r="333" spans="2:7">
      <c r="B333"/>
      <c r="C333"/>
      <c r="D333"/>
      <c r="E333"/>
      <c r="F333"/>
      <c r="G333" s="65"/>
    </row>
    <row r="334" spans="2:7">
      <c r="B334"/>
      <c r="C334"/>
      <c r="D334"/>
      <c r="E334"/>
      <c r="F334"/>
      <c r="G334" s="65"/>
    </row>
    <row r="335" spans="2:7">
      <c r="B335"/>
      <c r="C335"/>
      <c r="D335"/>
      <c r="E335"/>
      <c r="F335"/>
      <c r="G335" s="65"/>
    </row>
    <row r="336" spans="2:7">
      <c r="B336"/>
      <c r="C336"/>
      <c r="D336"/>
      <c r="E336"/>
      <c r="F336"/>
      <c r="G336" s="65"/>
    </row>
    <row r="337" spans="2:7">
      <c r="B337"/>
      <c r="C337"/>
      <c r="D337"/>
      <c r="E337"/>
      <c r="F337"/>
      <c r="G337" s="65"/>
    </row>
    <row r="338" spans="2:7">
      <c r="B338"/>
      <c r="C338"/>
      <c r="D338"/>
      <c r="E338"/>
      <c r="F338"/>
      <c r="G338" s="65"/>
    </row>
    <row r="339" spans="2:7">
      <c r="B339"/>
      <c r="C339"/>
      <c r="D339"/>
      <c r="E339"/>
      <c r="F339"/>
      <c r="G339" s="65"/>
    </row>
    <row r="340" spans="2:7">
      <c r="B340"/>
      <c r="C340"/>
      <c r="D340"/>
      <c r="E340"/>
      <c r="F340"/>
      <c r="G340" s="65"/>
    </row>
    <row r="341" spans="2:7">
      <c r="B341"/>
      <c r="C341"/>
      <c r="D341"/>
      <c r="E341"/>
      <c r="F341"/>
      <c r="G341" s="65"/>
    </row>
    <row r="342" spans="2:7">
      <c r="B342"/>
      <c r="C342"/>
      <c r="D342"/>
      <c r="E342"/>
      <c r="F342"/>
      <c r="G342" s="65"/>
    </row>
    <row r="343" spans="2:7">
      <c r="B343"/>
      <c r="C343"/>
      <c r="D343"/>
      <c r="E343"/>
      <c r="F343"/>
      <c r="G343" s="65"/>
    </row>
    <row r="344" spans="2:7">
      <c r="B344"/>
      <c r="C344"/>
      <c r="D344"/>
      <c r="E344"/>
      <c r="F344"/>
      <c r="G344" s="65"/>
    </row>
    <row r="345" spans="2:7">
      <c r="B345"/>
      <c r="C345"/>
      <c r="D345"/>
      <c r="E345"/>
      <c r="F345"/>
      <c r="G345" s="65"/>
    </row>
    <row r="346" spans="2:7">
      <c r="B346"/>
      <c r="C346"/>
      <c r="D346"/>
      <c r="E346"/>
      <c r="F346"/>
      <c r="G346" s="65"/>
    </row>
    <row r="347" spans="2:7">
      <c r="B347"/>
      <c r="C347"/>
      <c r="D347"/>
      <c r="E347"/>
      <c r="F347"/>
      <c r="G347" s="65"/>
    </row>
    <row r="348" spans="2:7">
      <c r="B348"/>
      <c r="C348"/>
      <c r="D348"/>
      <c r="E348"/>
      <c r="F348"/>
      <c r="G348" s="65"/>
    </row>
    <row r="349" spans="2:7">
      <c r="B349"/>
      <c r="C349"/>
      <c r="D349"/>
      <c r="E349"/>
      <c r="F349"/>
      <c r="G349" s="65"/>
    </row>
    <row r="350" spans="2:7">
      <c r="B350"/>
      <c r="C350"/>
      <c r="D350"/>
      <c r="E350"/>
      <c r="F350"/>
      <c r="G350" s="65"/>
    </row>
    <row r="351" spans="2:7">
      <c r="B351"/>
      <c r="C351"/>
      <c r="D351"/>
      <c r="E351"/>
      <c r="F351"/>
      <c r="G351" s="65"/>
    </row>
    <row r="352" spans="2:7">
      <c r="B352"/>
      <c r="C352"/>
      <c r="D352"/>
      <c r="E352"/>
      <c r="F352"/>
      <c r="G352" s="65"/>
    </row>
    <row r="353" spans="2:7">
      <c r="B353"/>
      <c r="C353"/>
      <c r="D353"/>
      <c r="E353"/>
      <c r="F353"/>
      <c r="G353" s="65"/>
    </row>
    <row r="354" spans="2:7">
      <c r="B354"/>
      <c r="C354"/>
      <c r="D354"/>
      <c r="E354"/>
      <c r="F354"/>
      <c r="G354" s="65"/>
    </row>
    <row r="355" spans="2:7">
      <c r="B355"/>
      <c r="C355"/>
      <c r="D355"/>
      <c r="E355"/>
      <c r="F355"/>
      <c r="G355" s="65"/>
    </row>
    <row r="356" spans="2:7">
      <c r="B356"/>
      <c r="C356"/>
      <c r="D356"/>
      <c r="E356"/>
      <c r="F356"/>
      <c r="G356" s="65"/>
    </row>
    <row r="357" spans="2:7">
      <c r="B357"/>
      <c r="C357"/>
      <c r="D357"/>
      <c r="E357"/>
      <c r="F357"/>
      <c r="G357" s="65"/>
    </row>
    <row r="358" spans="2:7">
      <c r="B358"/>
      <c r="C358"/>
      <c r="D358"/>
      <c r="E358"/>
      <c r="F358"/>
    </row>
    <row r="359" spans="2:7">
      <c r="B359"/>
      <c r="C359"/>
      <c r="D359"/>
      <c r="E359"/>
      <c r="F359"/>
    </row>
    <row r="360" spans="2:7">
      <c r="B360"/>
      <c r="C360"/>
      <c r="D360"/>
      <c r="E360"/>
      <c r="F360"/>
    </row>
  </sheetData>
  <autoFilter ref="A1:F360" xr:uid="{9086FE09-BAE2-410B-A21E-DA13C1A78958}"/>
  <sortState xmlns:xlrd2="http://schemas.microsoft.com/office/spreadsheetml/2017/richdata2" ref="A2:F84">
    <sortCondition ref="A2:A84"/>
    <sortCondition ref="B2:B84"/>
  </sortState>
  <phoneticPr fontId="5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BD120-7297-4D45-B69B-C6DE8BAC345C}">
  <sheetPr>
    <tabColor rgb="FFFFFFCC"/>
  </sheetPr>
  <dimension ref="A1:Q33"/>
  <sheetViews>
    <sheetView zoomScaleNormal="100" workbookViewId="0">
      <pane ySplit="1" topLeftCell="A2" activePane="bottomLeft" state="frozen"/>
      <selection pane="bottomLeft" activeCell="AO1" sqref="AO1:AO1048576"/>
      <selection activeCell="AO1" sqref="AO1:AO1048576"/>
    </sheetView>
  </sheetViews>
  <sheetFormatPr defaultColWidth="43.5703125" defaultRowHeight="12.6"/>
  <cols>
    <col min="1" max="1" width="14.5703125" style="148" bestFit="1" customWidth="1"/>
    <col min="2" max="2" width="13.5703125" style="142" bestFit="1" customWidth="1"/>
    <col min="3" max="3" width="23.5703125" style="158" customWidth="1"/>
    <col min="4" max="7" width="10.140625" style="159" bestFit="1" customWidth="1"/>
    <col min="8" max="8" width="10.140625" style="159" customWidth="1"/>
    <col min="9" max="9" width="31.5703125" style="142" customWidth="1"/>
    <col min="10" max="10" width="18.5703125" style="158" bestFit="1" customWidth="1"/>
    <col min="11" max="16384" width="43.5703125" style="142"/>
  </cols>
  <sheetData>
    <row r="1" spans="1:12" s="134" customFormat="1" ht="37.9">
      <c r="A1" s="133" t="s">
        <v>860</v>
      </c>
      <c r="B1" s="134" t="s">
        <v>861</v>
      </c>
      <c r="C1" s="112" t="s">
        <v>862</v>
      </c>
      <c r="D1" s="135" t="s">
        <v>863</v>
      </c>
      <c r="E1" s="135" t="s">
        <v>864</v>
      </c>
      <c r="F1" s="135" t="s">
        <v>865</v>
      </c>
      <c r="G1" s="135" t="s">
        <v>866</v>
      </c>
      <c r="H1" s="135" t="s">
        <v>867</v>
      </c>
      <c r="J1" s="112" t="s">
        <v>868</v>
      </c>
    </row>
    <row r="2" spans="1:12" s="134" customFormat="1">
      <c r="A2" s="133" t="s">
        <v>869</v>
      </c>
      <c r="C2" s="136" t="s">
        <v>411</v>
      </c>
      <c r="D2" s="137">
        <v>1</v>
      </c>
      <c r="E2" s="137">
        <v>1</v>
      </c>
      <c r="F2" s="137">
        <v>1</v>
      </c>
      <c r="G2" s="137">
        <v>1</v>
      </c>
      <c r="H2" s="137">
        <v>1</v>
      </c>
      <c r="J2" s="136"/>
    </row>
    <row r="3" spans="1:12" s="134" customFormat="1">
      <c r="A3" s="133" t="s">
        <v>869</v>
      </c>
      <c r="C3" s="136" t="s">
        <v>185</v>
      </c>
      <c r="D3" s="137">
        <v>1</v>
      </c>
      <c r="E3" s="137">
        <v>1</v>
      </c>
      <c r="F3" s="137">
        <v>1</v>
      </c>
      <c r="G3" s="137">
        <v>1</v>
      </c>
      <c r="H3" s="137">
        <v>1</v>
      </c>
      <c r="J3" s="136"/>
    </row>
    <row r="4" spans="1:12" s="134" customFormat="1">
      <c r="A4" s="133" t="s">
        <v>870</v>
      </c>
      <c r="C4" s="136" t="s">
        <v>185</v>
      </c>
      <c r="D4" s="137">
        <v>1</v>
      </c>
      <c r="E4" s="137">
        <v>1</v>
      </c>
      <c r="F4" s="137">
        <v>1</v>
      </c>
      <c r="G4" s="137">
        <v>1</v>
      </c>
      <c r="H4" s="137">
        <v>1</v>
      </c>
      <c r="J4" s="136"/>
    </row>
    <row r="5" spans="1:12">
      <c r="A5" s="138" t="s">
        <v>869</v>
      </c>
      <c r="B5" s="139"/>
      <c r="C5" s="140" t="s">
        <v>871</v>
      </c>
      <c r="D5" s="141">
        <f>'FFS Trends'!F17</f>
        <v>1.038672395505396</v>
      </c>
      <c r="E5" s="141">
        <f>'FFS Trends'!G17</f>
        <v>1.0733316289217907</v>
      </c>
      <c r="F5" s="141">
        <f>'FFS Trends'!H17</f>
        <v>1.1052466662599121</v>
      </c>
      <c r="G5" s="141">
        <f>'FFS Trends'!I17</f>
        <v>1.13883823415313</v>
      </c>
      <c r="H5" s="141">
        <v>1.1738809719237504</v>
      </c>
      <c r="J5" s="112"/>
    </row>
    <row r="6" spans="1:12">
      <c r="A6" s="138" t="s">
        <v>869</v>
      </c>
      <c r="B6" s="139"/>
      <c r="C6" s="140" t="s">
        <v>872</v>
      </c>
      <c r="D6" s="141">
        <f>'FFS Trends'!F18</f>
        <v>0.79638869024658354</v>
      </c>
      <c r="E6" s="141">
        <f>'FFS Trends'!G18</f>
        <v>1.1218605244327975</v>
      </c>
      <c r="F6" s="141">
        <f>'FFS Trends'!H18</f>
        <v>1.4105430120619045</v>
      </c>
      <c r="G6" s="141">
        <f>'FFS Trends'!I18</f>
        <v>1.4286303853749305</v>
      </c>
      <c r="H6" s="141">
        <v>1.4415899182089209</v>
      </c>
      <c r="J6" s="112"/>
    </row>
    <row r="7" spans="1:12">
      <c r="A7" s="138" t="s">
        <v>869</v>
      </c>
      <c r="B7" s="139"/>
      <c r="C7" s="143" t="s">
        <v>873</v>
      </c>
      <c r="D7" s="141">
        <f>'FFS Trends'!F19</f>
        <v>1.6050617558164428</v>
      </c>
      <c r="E7" s="141">
        <f>'FFS Trends'!G19</f>
        <v>1.5197742806879797</v>
      </c>
      <c r="F7" s="141">
        <f>'FFS Trends'!H19</f>
        <v>1.3110021346590881</v>
      </c>
      <c r="G7" s="141">
        <f>'FFS Trends'!I19</f>
        <v>1.3277986247948954</v>
      </c>
      <c r="H7" s="141">
        <v>1.3398304275765813</v>
      </c>
      <c r="J7" s="112"/>
    </row>
    <row r="8" spans="1:12">
      <c r="A8" s="138" t="s">
        <v>869</v>
      </c>
      <c r="B8" s="139"/>
      <c r="C8" s="140" t="s">
        <v>428</v>
      </c>
      <c r="D8" s="141">
        <f>'FFS Trends'!F20</f>
        <v>0.687384460723379</v>
      </c>
      <c r="E8" s="141">
        <f>'FFS Trends'!G20</f>
        <v>0.74262393716861375</v>
      </c>
      <c r="F8" s="141">
        <f>'FFS Trends'!H20</f>
        <v>0.75892408990986604</v>
      </c>
      <c r="G8" s="141">
        <f>'FFS Trends'!I20</f>
        <v>0.76874816642761534</v>
      </c>
      <c r="H8" s="141">
        <v>0.77857224294536465</v>
      </c>
      <c r="J8" s="112"/>
    </row>
    <row r="9" spans="1:12">
      <c r="A9" s="138" t="s">
        <v>869</v>
      </c>
      <c r="B9" s="139"/>
      <c r="C9" s="140" t="s">
        <v>149</v>
      </c>
      <c r="D9" s="141">
        <f>'FFS Trends'!F21</f>
        <v>0.94275892402798367</v>
      </c>
      <c r="E9" s="141">
        <f>'FFS Trends'!G21</f>
        <v>1.0490472871962091</v>
      </c>
      <c r="F9" s="141">
        <f>'FFS Trends'!H21</f>
        <v>1.0458680330165415</v>
      </c>
      <c r="G9" s="141">
        <f>'FFS Trends'!I21</f>
        <v>1.0566137490624881</v>
      </c>
      <c r="H9" s="141">
        <v>1.0746695650046032</v>
      </c>
      <c r="J9" s="112"/>
    </row>
    <row r="10" spans="1:12">
      <c r="A10" s="138" t="s">
        <v>869</v>
      </c>
      <c r="B10" s="139"/>
      <c r="C10" s="140" t="s">
        <v>183</v>
      </c>
      <c r="D10" s="141">
        <f>'FFS Trends'!F22</f>
        <v>1.0082299812549205</v>
      </c>
      <c r="E10" s="141">
        <f>'FFS Trends'!G22</f>
        <v>1.1384978137482746</v>
      </c>
      <c r="F10" s="141">
        <f>'FFS Trends'!H22</f>
        <v>1.2662449842241597</v>
      </c>
      <c r="G10" s="141">
        <f>'FFS Trends'!I22</f>
        <v>1.2662449842241597</v>
      </c>
      <c r="H10" s="141">
        <v>1.2662449842241597</v>
      </c>
      <c r="J10" s="112"/>
    </row>
    <row r="11" spans="1:12">
      <c r="A11" s="138" t="s">
        <v>869</v>
      </c>
      <c r="B11" s="139"/>
      <c r="C11" s="140" t="s">
        <v>161</v>
      </c>
      <c r="D11" s="141">
        <f>'FFS Trends'!F23</f>
        <v>0.97081414024549229</v>
      </c>
      <c r="E11" s="141">
        <f>'FFS Trends'!G23</f>
        <v>1.0030357271914667</v>
      </c>
      <c r="F11" s="141">
        <f>'FFS Trends'!H23</f>
        <v>1.0230938510741892</v>
      </c>
      <c r="G11" s="141">
        <f>'FFS Trends'!I23</f>
        <v>1.0230938510741892</v>
      </c>
      <c r="H11" s="141">
        <v>1.0230938510741892</v>
      </c>
      <c r="J11" s="112"/>
    </row>
    <row r="12" spans="1:12">
      <c r="A12" s="138" t="s">
        <v>869</v>
      </c>
      <c r="B12" s="139"/>
      <c r="C12" s="140" t="s">
        <v>874</v>
      </c>
      <c r="D12" s="141">
        <f>'FFS Trends'!F24</f>
        <v>0.9940903053515332</v>
      </c>
      <c r="E12" s="141">
        <f>'FFS Trends'!G24</f>
        <v>1.001067278588242</v>
      </c>
      <c r="F12" s="141">
        <f>'FFS Trends'!H24</f>
        <v>1.001101814935357</v>
      </c>
      <c r="G12" s="141">
        <f>'FFS Trends'!I24</f>
        <v>1.001101814935357</v>
      </c>
      <c r="H12" s="141">
        <v>1.001101814935357</v>
      </c>
      <c r="J12" s="112"/>
    </row>
    <row r="13" spans="1:12">
      <c r="A13" s="138" t="s">
        <v>869</v>
      </c>
      <c r="B13" s="139"/>
      <c r="C13" s="140" t="s">
        <v>189</v>
      </c>
      <c r="D13" s="141">
        <f>'FFS Trends'!F25</f>
        <v>0.9075633358614329</v>
      </c>
      <c r="E13" s="141">
        <f>'FFS Trends'!G25</f>
        <v>0.89150984083239082</v>
      </c>
      <c r="F13" s="141">
        <f>'FFS Trends'!H25</f>
        <v>0.9927367590070546</v>
      </c>
      <c r="G13" s="141">
        <f>'FFS Trends'!I25</f>
        <v>0.9927367590070546</v>
      </c>
      <c r="H13" s="141">
        <v>0.9927367590070546</v>
      </c>
      <c r="J13" s="112"/>
    </row>
    <row r="14" spans="1:12">
      <c r="A14" s="138" t="s">
        <v>869</v>
      </c>
      <c r="B14" s="139"/>
      <c r="C14" s="140" t="s">
        <v>729</v>
      </c>
      <c r="D14" s="141">
        <f>'FFS Trends'!F26</f>
        <v>0.9349104601671685</v>
      </c>
      <c r="E14" s="141">
        <f>'FFS Trends'!G26</f>
        <v>1.0001776165322835</v>
      </c>
      <c r="F14" s="141">
        <f>'FFS Trends'!H26</f>
        <v>1.0755105966875793</v>
      </c>
      <c r="G14" s="141">
        <f>'FFS Trends'!I26</f>
        <v>1.0755105966875793</v>
      </c>
      <c r="H14" s="141">
        <v>1.0755105966875793</v>
      </c>
      <c r="J14" s="112"/>
    </row>
    <row r="15" spans="1:12">
      <c r="A15" s="138" t="s">
        <v>869</v>
      </c>
      <c r="B15" s="139"/>
      <c r="C15" s="140" t="s">
        <v>231</v>
      </c>
      <c r="D15" s="141">
        <f>'FFS Trends'!F27</f>
        <v>0.99271409321186332</v>
      </c>
      <c r="E15" s="141">
        <f>'FFS Trends'!G27</f>
        <v>1.0091144011008324</v>
      </c>
      <c r="F15" s="141">
        <f>'FFS Trends'!H27</f>
        <v>1.0519164331068735</v>
      </c>
      <c r="G15" s="141">
        <f>'FFS Trends'!I27</f>
        <v>1.0519164331068735</v>
      </c>
      <c r="H15" s="141">
        <v>1.0519164331068735</v>
      </c>
      <c r="J15" s="112"/>
      <c r="K15" s="112"/>
      <c r="L15" s="112"/>
    </row>
    <row r="16" spans="1:12">
      <c r="A16" s="138" t="s">
        <v>869</v>
      </c>
      <c r="B16" s="139"/>
      <c r="C16" s="140" t="s">
        <v>875</v>
      </c>
      <c r="D16" s="141">
        <f>'FFS Trends'!F28</f>
        <v>0.98954874757879085</v>
      </c>
      <c r="E16" s="141">
        <f>'FFS Trends'!G28</f>
        <v>0.98961503529496642</v>
      </c>
      <c r="F16" s="141">
        <f>'FFS Trends'!H28</f>
        <v>0.99037701362588071</v>
      </c>
      <c r="G16" s="141">
        <f>'FFS Trends'!I28</f>
        <v>0.99318522932396558</v>
      </c>
      <c r="H16" s="141">
        <v>0.99805709289948885</v>
      </c>
      <c r="J16" s="112"/>
      <c r="K16" s="112"/>
      <c r="L16" s="112"/>
    </row>
    <row r="17" spans="1:17">
      <c r="A17" s="138" t="s">
        <v>869</v>
      </c>
      <c r="B17" s="139"/>
      <c r="C17" s="140" t="s">
        <v>362</v>
      </c>
      <c r="D17" s="141">
        <f>'FFS Trends'!F29</f>
        <v>0.91644634451064755</v>
      </c>
      <c r="E17" s="141">
        <f>'FFS Trends'!G29</f>
        <v>0.92303499234532915</v>
      </c>
      <c r="F17" s="141">
        <f>'FFS Trends'!H29</f>
        <v>0.98145130957702242</v>
      </c>
      <c r="G17" s="141">
        <f>'FFS Trends'!I29</f>
        <v>0.9893328264418435</v>
      </c>
      <c r="H17" s="141">
        <v>0.99216355682067547</v>
      </c>
      <c r="J17" s="112"/>
      <c r="K17" s="112"/>
      <c r="L17" s="112"/>
    </row>
    <row r="18" spans="1:17">
      <c r="A18" s="144" t="s">
        <v>870</v>
      </c>
      <c r="B18" s="145" t="s">
        <v>876</v>
      </c>
      <c r="C18" s="146" t="s">
        <v>635</v>
      </c>
      <c r="D18" s="147">
        <f>'SP &amp; SK Trends'!C19</f>
        <v>1.1353921960484921</v>
      </c>
      <c r="E18" s="147">
        <f>'SP &amp; SK Trends'!D19</f>
        <v>1.2451231582262081</v>
      </c>
      <c r="F18" s="147">
        <f>'SP &amp; SK Trends'!E19</f>
        <v>1.3442698632071379</v>
      </c>
      <c r="G18" s="147">
        <f>'SP &amp; SK Trends'!F19</f>
        <v>1.444232794713344</v>
      </c>
      <c r="H18" s="147">
        <v>1.5480030624017522</v>
      </c>
      <c r="J18" s="112"/>
      <c r="K18" s="112"/>
      <c r="L18" s="112"/>
    </row>
    <row r="19" spans="1:17">
      <c r="A19" s="144" t="s">
        <v>870</v>
      </c>
      <c r="B19" s="145" t="s">
        <v>876</v>
      </c>
      <c r="C19" s="146" t="s">
        <v>605</v>
      </c>
      <c r="D19" s="147">
        <f>'SP &amp; SK Trends'!C20</f>
        <v>1.0030371103700082</v>
      </c>
      <c r="E19" s="147">
        <f>'SP &amp; SK Trends'!D20</f>
        <v>1.159782875033778</v>
      </c>
      <c r="F19" s="147">
        <f>'SP &amp; SK Trends'!E20</f>
        <v>1.2375993603709339</v>
      </c>
      <c r="G19" s="147">
        <f>'SP &amp; SK Trends'!F20</f>
        <v>1.3058543058369241</v>
      </c>
      <c r="H19" s="147">
        <v>1.3691993497447941</v>
      </c>
      <c r="J19" s="112"/>
      <c r="K19" s="112"/>
      <c r="L19" s="112"/>
    </row>
    <row r="20" spans="1:17">
      <c r="A20" s="144" t="s">
        <v>870</v>
      </c>
      <c r="B20" s="145" t="s">
        <v>876</v>
      </c>
      <c r="C20" s="146" t="s">
        <v>877</v>
      </c>
      <c r="D20" s="147">
        <f>'SP &amp; SK Trends'!C21</f>
        <v>0.89858423320858094</v>
      </c>
      <c r="E20" s="147">
        <f>'SP &amp; SK Trends'!D21</f>
        <v>1.0176340039925709</v>
      </c>
      <c r="F20" s="147">
        <f>'SP &amp; SK Trends'!E21</f>
        <v>1.0912282324045857</v>
      </c>
      <c r="G20" s="147">
        <f>'SP &amp; SK Trends'!F21</f>
        <v>1.1530423963791196</v>
      </c>
      <c r="H20" s="147">
        <v>1.214920214962812</v>
      </c>
      <c r="J20" s="112"/>
      <c r="K20" s="112"/>
      <c r="L20" s="112"/>
    </row>
    <row r="21" spans="1:17">
      <c r="A21" s="144" t="s">
        <v>870</v>
      </c>
      <c r="B21" s="145" t="s">
        <v>878</v>
      </c>
      <c r="C21" s="146" t="s">
        <v>548</v>
      </c>
      <c r="D21" s="147">
        <f>'SP &amp; SK Trends'!C22</f>
        <v>0.91035891866664254</v>
      </c>
      <c r="E21" s="147">
        <f>'SP &amp; SK Trends'!D22</f>
        <v>0.88788632386492627</v>
      </c>
      <c r="F21" s="147">
        <f>'SP &amp; SK Trends'!E22</f>
        <v>0.9414307615013805</v>
      </c>
      <c r="G21" s="147">
        <f>'SP &amp; SK Trends'!F22</f>
        <v>0.99085587648020312</v>
      </c>
      <c r="H21" s="147">
        <v>1.0428758099954141</v>
      </c>
      <c r="J21" s="112"/>
      <c r="K21" s="112"/>
      <c r="L21" s="112"/>
    </row>
    <row r="22" spans="1:17">
      <c r="A22" s="144" t="s">
        <v>870</v>
      </c>
      <c r="B22" s="145" t="s">
        <v>878</v>
      </c>
      <c r="C22" s="146" t="s">
        <v>472</v>
      </c>
      <c r="D22" s="147">
        <f>'SP &amp; SK Trends'!C23</f>
        <v>0.73469820750195181</v>
      </c>
      <c r="E22" s="147">
        <f>'SP &amp; SK Trends'!D23</f>
        <v>0.92018287622250483</v>
      </c>
      <c r="F22" s="147">
        <f>'SP &amp; SK Trends'!E23</f>
        <v>1.0097214527878049</v>
      </c>
      <c r="G22" s="147">
        <f>'SP &amp; SK Trends'!F23</f>
        <v>1.0850600736921507</v>
      </c>
      <c r="H22" s="147">
        <v>1.1571420704903512</v>
      </c>
      <c r="J22" s="112"/>
      <c r="K22" s="112"/>
      <c r="L22" s="112"/>
    </row>
    <row r="23" spans="1:17">
      <c r="A23" s="144" t="s">
        <v>870</v>
      </c>
      <c r="B23" s="145" t="s">
        <v>878</v>
      </c>
      <c r="C23" s="146" t="s">
        <v>879</v>
      </c>
      <c r="D23" s="147">
        <f>'SP &amp; SK Trends'!C24</f>
        <v>0.81750567884846725</v>
      </c>
      <c r="E23" s="147">
        <f>'SP &amp; SK Trends'!D24</f>
        <v>1.1107378471365597</v>
      </c>
      <c r="F23" s="147">
        <f>'SP &amp; SK Trends'!E24</f>
        <v>1.210631186794725</v>
      </c>
      <c r="G23" s="147">
        <f>'SP &amp; SK Trends'!F24</f>
        <v>1.3195083558360226</v>
      </c>
      <c r="H23" s="147">
        <v>1.4381773079304501</v>
      </c>
      <c r="J23" s="112"/>
      <c r="K23" s="112"/>
      <c r="L23" s="112"/>
    </row>
    <row r="24" spans="1:17">
      <c r="A24" s="144" t="s">
        <v>870</v>
      </c>
      <c r="B24" s="145" t="s">
        <v>878</v>
      </c>
      <c r="C24" s="146" t="s">
        <v>564</v>
      </c>
      <c r="D24" s="147">
        <f>'SP &amp; SK Trends'!C25</f>
        <v>0.49266689112800316</v>
      </c>
      <c r="E24" s="147">
        <f>'SP &amp; SK Trends'!D25</f>
        <v>0.61589014539209663</v>
      </c>
      <c r="F24" s="147">
        <f>'SP &amp; SK Trends'!E25</f>
        <v>0.67428700332576474</v>
      </c>
      <c r="G24" s="147">
        <f>'SP &amp; SK Trends'!F25</f>
        <v>0.72470126618441799</v>
      </c>
      <c r="H24" s="147">
        <v>0.77288697214239332</v>
      </c>
      <c r="J24" s="112"/>
      <c r="K24" s="112"/>
      <c r="L24" s="112"/>
    </row>
    <row r="25" spans="1:17">
      <c r="A25" s="144" t="s">
        <v>870</v>
      </c>
      <c r="B25" s="145" t="s">
        <v>878</v>
      </c>
      <c r="C25" s="146" t="s">
        <v>880</v>
      </c>
      <c r="D25" s="147">
        <f>'SP &amp; SK Trends'!C26</f>
        <v>0.67667510225026528</v>
      </c>
      <c r="E25" s="147">
        <f>'SP &amp; SK Trends'!D26</f>
        <v>0.70016104394545087</v>
      </c>
      <c r="F25" s="147">
        <f>'SP &amp; SK Trends'!E26</f>
        <v>0.76632789649413546</v>
      </c>
      <c r="G25" s="147">
        <f>'SP &amp; SK Trends'!F26</f>
        <v>0.82360698870736826</v>
      </c>
      <c r="H25" s="147">
        <v>0.87836013925099032</v>
      </c>
      <c r="J25" s="112"/>
      <c r="K25" s="112"/>
      <c r="L25" s="112"/>
    </row>
    <row r="26" spans="1:17">
      <c r="A26" s="144" t="s">
        <v>870</v>
      </c>
      <c r="B26" s="145" t="s">
        <v>878</v>
      </c>
      <c r="C26" s="146" t="s">
        <v>574</v>
      </c>
      <c r="D26" s="147">
        <f>'SP &amp; SK Trends'!C27</f>
        <v>0.84747108018234352</v>
      </c>
      <c r="E26" s="147">
        <f>'SP &amp; SK Trends'!D27</f>
        <v>0.88329835259902822</v>
      </c>
      <c r="F26" s="147">
        <f>'SP &amp; SK Trends'!E27</f>
        <v>0.96678841648838088</v>
      </c>
      <c r="G26" s="147">
        <f>'SP &amp; SK Trends'!F27</f>
        <v>1.0390119002450815</v>
      </c>
      <c r="H26" s="147">
        <v>1.1080397340186161</v>
      </c>
      <c r="J26" s="112"/>
      <c r="K26" s="112"/>
      <c r="L26" s="112"/>
      <c r="M26" s="145"/>
    </row>
    <row r="27" spans="1:17">
      <c r="A27" s="144" t="s">
        <v>870</v>
      </c>
      <c r="B27" s="145" t="s">
        <v>878</v>
      </c>
      <c r="C27" s="146" t="s">
        <v>552</v>
      </c>
      <c r="D27" s="147">
        <f>'SP &amp; SK Trends'!C28</f>
        <v>0.78181021268237005</v>
      </c>
      <c r="E27" s="147">
        <f>'SP &amp; SK Trends'!D28</f>
        <v>0.78367315273915272</v>
      </c>
      <c r="F27" s="147">
        <f>'SP &amp; SK Trends'!E28</f>
        <v>0.85848096931202422</v>
      </c>
      <c r="G27" s="147">
        <f>'SP &amp; SK Trends'!F28</f>
        <v>0.922546038896913</v>
      </c>
      <c r="H27" s="147">
        <v>0.98379366960441061</v>
      </c>
      <c r="J27" s="112"/>
      <c r="K27" s="112"/>
      <c r="L27" s="112"/>
    </row>
    <row r="28" spans="1:17">
      <c r="A28" s="144" t="s">
        <v>870</v>
      </c>
      <c r="B28" s="145" t="s">
        <v>878</v>
      </c>
      <c r="C28" s="146" t="s">
        <v>470</v>
      </c>
      <c r="D28" s="147">
        <f>'SP &amp; SK Trends'!C29</f>
        <v>0.83507826408316843</v>
      </c>
      <c r="E28" s="147">
        <f>'SP &amp; SK Trends'!D29</f>
        <v>0.84355090060682492</v>
      </c>
      <c r="F28" s="147">
        <f>'SP &amp; SK Trends'!E29</f>
        <v>0.90854946961150229</v>
      </c>
      <c r="G28" s="147">
        <f>'SP &amp; SK Trends'!F29</f>
        <v>0.96620417062468755</v>
      </c>
      <c r="H28" s="147">
        <v>1.0236964372934589</v>
      </c>
      <c r="J28" s="112"/>
      <c r="K28" s="112"/>
      <c r="L28" s="112"/>
    </row>
    <row r="29" spans="1:17">
      <c r="A29" s="148" t="s">
        <v>870</v>
      </c>
      <c r="C29" s="149" t="s">
        <v>442</v>
      </c>
      <c r="D29" s="150">
        <v>1.6952426486727119</v>
      </c>
      <c r="E29" s="150">
        <v>1.5558263652235604</v>
      </c>
      <c r="F29" s="150">
        <v>1.4190861257354461</v>
      </c>
      <c r="G29" s="150">
        <v>1.5177515361111884</v>
      </c>
      <c r="H29" s="150">
        <v>1</v>
      </c>
      <c r="J29" s="112"/>
      <c r="K29" s="112"/>
      <c r="L29" s="112"/>
      <c r="M29" s="151"/>
    </row>
    <row r="30" spans="1:17" s="153" customFormat="1">
      <c r="A30" s="148" t="s">
        <v>869</v>
      </c>
      <c r="B30" s="152" t="s">
        <v>221</v>
      </c>
      <c r="C30" s="153" t="s">
        <v>221</v>
      </c>
      <c r="D30" s="150">
        <v>1</v>
      </c>
      <c r="E30" s="150">
        <v>1</v>
      </c>
      <c r="F30" s="150">
        <v>1</v>
      </c>
      <c r="G30" s="150">
        <v>1</v>
      </c>
      <c r="H30" s="150">
        <f>G30</f>
        <v>1</v>
      </c>
      <c r="I30" s="154"/>
      <c r="K30" s="155"/>
      <c r="L30" s="156"/>
      <c r="M30" s="157"/>
      <c r="N30" s="157"/>
      <c r="O30" s="157"/>
      <c r="P30" s="157"/>
      <c r="Q30" s="157"/>
    </row>
    <row r="32" spans="1:17">
      <c r="A32" s="148" t="s">
        <v>881</v>
      </c>
    </row>
    <row r="33" spans="1:1">
      <c r="A33" s="148" t="s">
        <v>882</v>
      </c>
    </row>
  </sheetData>
  <autoFilter ref="A1:J30" xr:uid="{89271348-20F7-42E5-9D48-D47A577196B0}"/>
  <phoneticPr fontId="33" type="noConversion"/>
  <conditionalFormatting sqref="C30 J30">
    <cfRule type="duplicateValues" dxfId="1" priority="1"/>
  </conditionalFormatting>
  <conditionalFormatting sqref="L30">
    <cfRule type="duplicateValues" dxfId="0" priority="2"/>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C4C32-39E1-4E68-A145-F96A8884979F}">
  <dimension ref="A1:R799"/>
  <sheetViews>
    <sheetView workbookViewId="0">
      <pane xSplit="1" ySplit="3" topLeftCell="B4" activePane="bottomRight" state="frozen"/>
      <selection pane="bottomRight" activeCell="AO1" sqref="AO1:AO1048576"/>
      <selection pane="bottomLeft" activeCell="AO1" sqref="AO1:AO1048576"/>
      <selection pane="topRight" activeCell="AO1" sqref="AO1:AO1048576"/>
    </sheetView>
  </sheetViews>
  <sheetFormatPr defaultColWidth="9.5703125" defaultRowHeight="13.15"/>
  <cols>
    <col min="1" max="1" width="23.42578125" style="94" customWidth="1"/>
    <col min="2" max="5" width="11.85546875" style="94" customWidth="1"/>
    <col min="6" max="9" width="14.5703125" style="94" bestFit="1" customWidth="1"/>
    <col min="10" max="13" width="11.85546875" style="94" customWidth="1"/>
    <col min="14" max="14" width="17.42578125" style="94" customWidth="1"/>
    <col min="15" max="16" width="11.85546875" style="94" customWidth="1"/>
    <col min="17" max="17" width="17.5703125" style="94" customWidth="1"/>
    <col min="18" max="18" width="12.5703125" style="94" hidden="1" customWidth="1"/>
    <col min="19" max="16384" width="9.5703125" style="94"/>
  </cols>
  <sheetData>
    <row r="1" spans="1:18">
      <c r="A1" s="96" t="s">
        <v>883</v>
      </c>
      <c r="D1" s="97"/>
      <c r="J1" s="94" t="s">
        <v>884</v>
      </c>
      <c r="P1" s="98"/>
      <c r="Q1" s="95"/>
      <c r="R1" s="95"/>
    </row>
    <row r="2" spans="1:18" ht="13.9" thickBot="1">
      <c r="A2" s="94" t="s">
        <v>885</v>
      </c>
      <c r="B2" s="99"/>
      <c r="C2" s="100"/>
      <c r="D2" s="101"/>
      <c r="E2" s="102"/>
      <c r="F2" s="102"/>
      <c r="G2" s="102"/>
      <c r="H2" s="102"/>
      <c r="I2" s="102"/>
      <c r="J2" s="102"/>
      <c r="K2" s="102"/>
      <c r="L2" s="102"/>
      <c r="M2" s="102"/>
      <c r="N2" s="102"/>
      <c r="O2" s="102"/>
      <c r="P2" s="102"/>
      <c r="Q2" s="102"/>
      <c r="R2" s="102"/>
    </row>
    <row r="3" spans="1:18" s="105" customFormat="1" ht="66">
      <c r="A3" s="103"/>
      <c r="B3" s="104" t="s">
        <v>871</v>
      </c>
      <c r="C3" s="104" t="s">
        <v>886</v>
      </c>
      <c r="D3" s="104" t="s">
        <v>887</v>
      </c>
      <c r="E3" s="104" t="s">
        <v>888</v>
      </c>
      <c r="F3" s="104" t="s">
        <v>889</v>
      </c>
      <c r="G3" s="104" t="s">
        <v>890</v>
      </c>
      <c r="H3" s="104" t="s">
        <v>891</v>
      </c>
      <c r="I3" s="104" t="s">
        <v>892</v>
      </c>
      <c r="J3" s="104" t="s">
        <v>893</v>
      </c>
      <c r="K3" s="104" t="s">
        <v>894</v>
      </c>
      <c r="L3" s="104" t="s">
        <v>895</v>
      </c>
      <c r="M3" s="104" t="s">
        <v>896</v>
      </c>
      <c r="N3" s="104" t="s">
        <v>897</v>
      </c>
    </row>
    <row r="4" spans="1:18">
      <c r="A4" s="94" t="s">
        <v>898</v>
      </c>
      <c r="B4" s="106"/>
      <c r="C4" s="106"/>
      <c r="D4" s="106"/>
      <c r="E4" s="106"/>
      <c r="F4" s="106"/>
      <c r="G4" s="106"/>
      <c r="H4" s="106"/>
      <c r="I4" s="106"/>
      <c r="J4" s="106"/>
      <c r="K4" s="106"/>
      <c r="L4" s="106"/>
      <c r="M4" s="106"/>
    </row>
    <row r="5" spans="1:18" s="107" customFormat="1">
      <c r="A5" s="107" t="s">
        <v>899</v>
      </c>
      <c r="B5" s="108">
        <v>0.9901546508737612</v>
      </c>
      <c r="C5" s="108">
        <v>0.83893436371955865</v>
      </c>
      <c r="D5" s="108">
        <v>0.87406410195313511</v>
      </c>
      <c r="E5" s="108">
        <v>1.0617231397922697</v>
      </c>
      <c r="F5" s="108">
        <v>1.013347761933328</v>
      </c>
      <c r="G5" s="108">
        <v>0.7257032395680576</v>
      </c>
      <c r="H5" s="108">
        <v>0.97631320383946785</v>
      </c>
      <c r="I5" s="108">
        <v>1.0003497481813095</v>
      </c>
      <c r="J5" s="108">
        <v>0.9896729776247849</v>
      </c>
      <c r="K5" s="108">
        <v>0.86425432032640703</v>
      </c>
      <c r="L5" s="108">
        <v>1.0051363299517031</v>
      </c>
      <c r="M5" s="108">
        <v>0.98112233187973386</v>
      </c>
      <c r="N5" s="108">
        <v>0.98657721464297976</v>
      </c>
    </row>
    <row r="6" spans="1:18" s="107" customFormat="1">
      <c r="A6" s="107" t="s">
        <v>900</v>
      </c>
      <c r="B6" s="108">
        <v>0.84702030124426986</v>
      </c>
      <c r="C6" s="108">
        <v>0.82608395633611287</v>
      </c>
      <c r="D6" s="108">
        <v>0.6693428130805118</v>
      </c>
      <c r="E6" s="108">
        <v>1.124448721032796</v>
      </c>
      <c r="F6" s="108">
        <v>1.0177646512587701</v>
      </c>
      <c r="G6" s="108">
        <v>0.6400293928538624</v>
      </c>
      <c r="H6" s="108">
        <v>1.0299900910385831</v>
      </c>
      <c r="I6" s="108">
        <v>0.92727781274036769</v>
      </c>
      <c r="J6" s="108">
        <v>0.95304347826086955</v>
      </c>
      <c r="K6" s="108">
        <v>0.8031242025445664</v>
      </c>
      <c r="L6" s="108">
        <v>1.028000584735852</v>
      </c>
      <c r="M6" s="108">
        <v>0.96564126557108587</v>
      </c>
      <c r="N6" s="108">
        <v>0.96381114027244874</v>
      </c>
    </row>
    <row r="7" spans="1:18" s="107" customFormat="1">
      <c r="A7" s="107" t="s">
        <v>901</v>
      </c>
      <c r="B7" s="108">
        <v>1.0406760556634567</v>
      </c>
      <c r="C7" s="108">
        <v>1.0067884124294879</v>
      </c>
      <c r="D7" s="108">
        <v>1.2239077599053148</v>
      </c>
      <c r="E7" s="108">
        <v>1.1711429471767045</v>
      </c>
      <c r="F7" s="108">
        <v>0.99257668026813017</v>
      </c>
      <c r="G7" s="108">
        <v>1.4508058806742261</v>
      </c>
      <c r="H7" s="108">
        <v>1.0949417512213453</v>
      </c>
      <c r="I7" s="108">
        <v>0.98800995400045244</v>
      </c>
      <c r="J7" s="108">
        <v>0.97966631908237745</v>
      </c>
      <c r="K7" s="108">
        <v>0.83962377389586662</v>
      </c>
      <c r="L7" s="108">
        <v>1.0411135942694212</v>
      </c>
      <c r="M7" s="108">
        <v>0.97047512339884323</v>
      </c>
      <c r="N7" s="108">
        <v>0.97647896823184266</v>
      </c>
    </row>
    <row r="8" spans="1:18" s="107" customFormat="1">
      <c r="A8" s="107" t="s">
        <v>902</v>
      </c>
      <c r="B8" s="108">
        <v>1.0706420096948455</v>
      </c>
      <c r="C8" s="108">
        <v>0.91530526121491174</v>
      </c>
      <c r="D8" s="108">
        <v>1.047170351863226</v>
      </c>
      <c r="E8" s="108">
        <v>1.1478814434321805</v>
      </c>
      <c r="F8" s="108">
        <v>1.0043702150183904</v>
      </c>
      <c r="G8" s="108">
        <v>1.1250112151351397</v>
      </c>
      <c r="H8" s="108">
        <v>1.0235991376966691</v>
      </c>
      <c r="I8" s="108">
        <v>1.0535032819416883</v>
      </c>
      <c r="J8" s="108">
        <v>0.99121798010978801</v>
      </c>
      <c r="K8" s="108">
        <v>0.89739224014125241</v>
      </c>
      <c r="L8" s="108">
        <v>1.0240842383546382</v>
      </c>
      <c r="M8" s="108">
        <v>0.9726660009985022</v>
      </c>
      <c r="N8" s="108">
        <v>0.96674546437719866</v>
      </c>
    </row>
    <row r="9" spans="1:18">
      <c r="A9" s="94" t="s">
        <v>903</v>
      </c>
      <c r="B9" s="109">
        <v>1.038672395505396</v>
      </c>
      <c r="C9" s="109">
        <v>0.79638869024658354</v>
      </c>
      <c r="D9" s="109">
        <v>1.6050617558164428</v>
      </c>
      <c r="E9" s="109">
        <v>0.687384460723379</v>
      </c>
      <c r="F9" s="109">
        <v>0.94275892402798367</v>
      </c>
      <c r="G9" s="109">
        <v>1.0082299812549205</v>
      </c>
      <c r="H9" s="109">
        <v>0.97081414024549229</v>
      </c>
      <c r="I9" s="109">
        <v>0.9940903053515332</v>
      </c>
      <c r="J9" s="109">
        <v>0.9075633358614329</v>
      </c>
      <c r="K9" s="109">
        <v>0.9349104601671685</v>
      </c>
      <c r="L9" s="109">
        <v>0.99271409321186332</v>
      </c>
      <c r="M9" s="109">
        <v>0.98954874757879085</v>
      </c>
      <c r="N9" s="109">
        <v>0.91644634451064755</v>
      </c>
    </row>
    <row r="10" spans="1:18">
      <c r="A10" s="94" t="s">
        <v>904</v>
      </c>
      <c r="B10" s="109">
        <v>1.0333687826559887</v>
      </c>
      <c r="C10" s="109">
        <v>1.4086846513169833</v>
      </c>
      <c r="D10" s="109">
        <v>0.94686343075623269</v>
      </c>
      <c r="E10" s="109">
        <v>1.0803618347541675</v>
      </c>
      <c r="F10" s="109">
        <v>1.1127418266316729</v>
      </c>
      <c r="G10" s="109">
        <v>1.1292044820282103</v>
      </c>
      <c r="H10" s="109">
        <v>1.0331902736169731</v>
      </c>
      <c r="I10" s="109">
        <v>1.0070184501339057</v>
      </c>
      <c r="J10" s="109">
        <v>0.98231143282820632</v>
      </c>
      <c r="K10" s="109">
        <v>1.0698111307402045</v>
      </c>
      <c r="L10" s="109">
        <v>1.0165206759943408</v>
      </c>
      <c r="M10" s="109">
        <v>1.000066987822821</v>
      </c>
      <c r="N10" s="109">
        <v>1.007189343788806</v>
      </c>
    </row>
    <row r="11" spans="1:18">
      <c r="A11" s="94" t="s">
        <v>15</v>
      </c>
      <c r="B11" s="109">
        <v>1.0297345540540732</v>
      </c>
      <c r="C11" s="109">
        <v>1.2573247577055644</v>
      </c>
      <c r="D11" s="109">
        <v>0.8626295044719513</v>
      </c>
      <c r="E11" s="109">
        <v>1.0219494038980208</v>
      </c>
      <c r="F11" s="109">
        <v>0.99696938906523003</v>
      </c>
      <c r="G11" s="109">
        <v>1.112206777152521</v>
      </c>
      <c r="H11" s="109">
        <v>1.0199974171796311</v>
      </c>
      <c r="I11" s="109">
        <v>1.0000344995265091</v>
      </c>
      <c r="J11" s="109">
        <v>1.1135454860264353</v>
      </c>
      <c r="K11" s="109">
        <v>1.0753196021487492</v>
      </c>
      <c r="L11" s="109">
        <v>1.0424154406669341</v>
      </c>
      <c r="M11" s="109">
        <v>1.0007699744888043</v>
      </c>
      <c r="N11" s="109">
        <v>1.063287218486987</v>
      </c>
    </row>
    <row r="12" spans="1:18">
      <c r="A12" s="94" t="s">
        <v>16</v>
      </c>
      <c r="B12" s="109">
        <v>1.0303928244424336</v>
      </c>
      <c r="C12" s="109">
        <v>1.0128229860120226</v>
      </c>
      <c r="D12" s="109">
        <v>1.0128119472056962</v>
      </c>
      <c r="E12" s="109">
        <v>1.012944741968747</v>
      </c>
      <c r="F12" s="109">
        <v>1.0102744473554213</v>
      </c>
      <c r="G12" s="109">
        <v>1</v>
      </c>
      <c r="H12" s="109">
        <v>1</v>
      </c>
      <c r="I12" s="109">
        <v>1</v>
      </c>
      <c r="J12" s="109">
        <v>1</v>
      </c>
      <c r="K12" s="109">
        <v>1</v>
      </c>
      <c r="L12" s="109">
        <v>1</v>
      </c>
      <c r="M12" s="109">
        <v>1.002835501692233</v>
      </c>
      <c r="N12" s="109">
        <v>1.0080304715964135</v>
      </c>
    </row>
    <row r="13" spans="1:18">
      <c r="A13" s="94" t="s">
        <v>905</v>
      </c>
      <c r="B13" s="109">
        <v>1.0307706017586196</v>
      </c>
      <c r="C13" s="109">
        <v>1.0090712986134545</v>
      </c>
      <c r="D13" s="109">
        <v>1.0090614665183468</v>
      </c>
      <c r="E13" s="109">
        <v>1.0127793170075474</v>
      </c>
      <c r="F13" s="109">
        <v>1.0170883787553737</v>
      </c>
      <c r="G13" s="109">
        <v>1</v>
      </c>
      <c r="H13" s="109">
        <v>1</v>
      </c>
      <c r="I13" s="109">
        <v>1</v>
      </c>
      <c r="J13" s="109">
        <v>1</v>
      </c>
      <c r="K13" s="109">
        <v>1</v>
      </c>
      <c r="L13" s="109">
        <v>1</v>
      </c>
      <c r="M13" s="109">
        <v>1.0049052920157093</v>
      </c>
      <c r="N13" s="109">
        <v>1.0028612518488977</v>
      </c>
    </row>
    <row r="14" spans="1:18">
      <c r="B14" s="106"/>
      <c r="C14" s="106"/>
      <c r="D14" s="106"/>
      <c r="E14" s="106"/>
      <c r="F14" s="106"/>
      <c r="G14" s="106"/>
      <c r="H14" s="106"/>
      <c r="J14" s="106"/>
      <c r="K14" s="106"/>
      <c r="L14" s="106"/>
      <c r="M14" s="106"/>
      <c r="N14" s="106"/>
      <c r="O14" s="106"/>
      <c r="P14" s="106"/>
    </row>
    <row r="15" spans="1:18">
      <c r="B15" s="106"/>
      <c r="C15" s="106"/>
      <c r="D15" s="106"/>
      <c r="E15" s="106"/>
      <c r="F15" s="106"/>
      <c r="G15" s="106"/>
      <c r="H15" s="106"/>
      <c r="J15" s="106"/>
      <c r="K15" s="106"/>
      <c r="L15" s="106"/>
      <c r="M15" s="106"/>
      <c r="N15" s="106"/>
      <c r="O15" s="106"/>
      <c r="P15" s="106"/>
    </row>
    <row r="16" spans="1:18">
      <c r="B16" s="106"/>
      <c r="C16" s="106"/>
      <c r="D16" s="106"/>
      <c r="E16" s="106"/>
      <c r="F16" s="110" t="s">
        <v>863</v>
      </c>
      <c r="G16" s="110" t="s">
        <v>864</v>
      </c>
      <c r="H16" s="110" t="s">
        <v>865</v>
      </c>
      <c r="I16" s="110" t="s">
        <v>866</v>
      </c>
      <c r="J16" s="110" t="s">
        <v>867</v>
      </c>
      <c r="K16" s="106"/>
      <c r="L16" s="106"/>
      <c r="N16" s="106"/>
      <c r="O16" s="106"/>
      <c r="P16" s="106"/>
    </row>
    <row r="17" spans="1:17">
      <c r="B17" s="106"/>
      <c r="C17" s="106"/>
      <c r="E17" s="106" t="s">
        <v>871</v>
      </c>
      <c r="F17" s="111">
        <v>1.038672395505396</v>
      </c>
      <c r="G17" s="111">
        <v>1.0733316289217907</v>
      </c>
      <c r="H17" s="111">
        <v>1.1052466662599121</v>
      </c>
      <c r="I17" s="111">
        <v>1.13883823415313</v>
      </c>
      <c r="J17" s="111">
        <v>1.1738809719237504</v>
      </c>
      <c r="K17" s="106"/>
      <c r="L17" s="106"/>
      <c r="N17" s="106"/>
      <c r="O17" s="106"/>
      <c r="P17" s="106"/>
    </row>
    <row r="18" spans="1:17">
      <c r="B18" s="106"/>
      <c r="C18" s="106"/>
      <c r="E18" s="106" t="s">
        <v>872</v>
      </c>
      <c r="F18" s="111">
        <v>0.79638869024658354</v>
      </c>
      <c r="G18" s="111">
        <v>1.1218605244327975</v>
      </c>
      <c r="H18" s="111">
        <v>1.4105430120619045</v>
      </c>
      <c r="I18" s="111">
        <v>1.4286303853749305</v>
      </c>
      <c r="J18" s="111">
        <v>1.4415899182089209</v>
      </c>
      <c r="K18" s="106"/>
      <c r="L18" s="106"/>
      <c r="N18" s="106"/>
      <c r="O18" s="106"/>
      <c r="P18" s="106"/>
    </row>
    <row r="19" spans="1:17">
      <c r="B19" s="106"/>
      <c r="C19" s="106"/>
      <c r="E19" s="112" t="s">
        <v>873</v>
      </c>
      <c r="F19" s="113">
        <v>1.6050617558164428</v>
      </c>
      <c r="G19" s="113">
        <v>1.5197742806879797</v>
      </c>
      <c r="H19" s="113">
        <v>1.3110021346590881</v>
      </c>
      <c r="I19" s="113">
        <v>1.3277986247948954</v>
      </c>
      <c r="J19" s="113">
        <v>1.3398304275765813</v>
      </c>
      <c r="K19" s="106"/>
      <c r="L19" s="106"/>
      <c r="N19" s="106"/>
      <c r="O19" s="106"/>
      <c r="P19" s="106"/>
    </row>
    <row r="20" spans="1:17">
      <c r="B20" s="106"/>
      <c r="C20" s="106"/>
      <c r="E20" s="106" t="s">
        <v>428</v>
      </c>
      <c r="F20" s="113">
        <v>0.687384460723379</v>
      </c>
      <c r="G20" s="113">
        <v>0.74262393716861375</v>
      </c>
      <c r="H20" s="113">
        <v>0.75892408990986604</v>
      </c>
      <c r="I20" s="113">
        <v>0.76874816642761534</v>
      </c>
      <c r="J20" s="113">
        <v>0.77857224294536465</v>
      </c>
      <c r="K20" s="106"/>
      <c r="L20" s="106"/>
      <c r="N20" s="106"/>
      <c r="O20" s="106"/>
      <c r="P20" s="106"/>
    </row>
    <row r="21" spans="1:17">
      <c r="B21" s="106"/>
      <c r="C21" s="106"/>
      <c r="E21" s="106" t="s">
        <v>149</v>
      </c>
      <c r="F21" s="113">
        <v>0.94275892402798367</v>
      </c>
      <c r="G21" s="113">
        <v>1.0490472871962091</v>
      </c>
      <c r="H21" s="113">
        <v>1.0458680330165415</v>
      </c>
      <c r="I21" s="113">
        <v>1.0566137490624881</v>
      </c>
      <c r="J21" s="113">
        <v>1.0746695650046032</v>
      </c>
      <c r="K21" s="106"/>
      <c r="L21" s="106"/>
      <c r="N21" s="106"/>
      <c r="O21" s="106"/>
      <c r="P21" s="106"/>
    </row>
    <row r="22" spans="1:17">
      <c r="B22" s="106"/>
      <c r="C22" s="106"/>
      <c r="E22" s="106" t="s">
        <v>183</v>
      </c>
      <c r="F22" s="113">
        <v>1.0082299812549205</v>
      </c>
      <c r="G22" s="113">
        <v>1.1384978137482746</v>
      </c>
      <c r="H22" s="113">
        <v>1.2662449842241597</v>
      </c>
      <c r="I22" s="113">
        <v>1.2662449842241597</v>
      </c>
      <c r="J22" s="113">
        <v>1.2662449842241597</v>
      </c>
      <c r="K22" s="106"/>
      <c r="L22" s="106"/>
      <c r="N22" s="106"/>
      <c r="O22" s="106"/>
      <c r="P22" s="106"/>
    </row>
    <row r="23" spans="1:17">
      <c r="B23" s="106"/>
      <c r="C23" s="106"/>
      <c r="E23" s="106" t="s">
        <v>161</v>
      </c>
      <c r="F23" s="114">
        <v>0.97081414024549229</v>
      </c>
      <c r="G23" s="114">
        <v>1.0030357271914667</v>
      </c>
      <c r="H23" s="114">
        <v>1.0230938510741892</v>
      </c>
      <c r="I23" s="114">
        <v>1.0230938510741892</v>
      </c>
      <c r="J23" s="114">
        <v>1.0230938510741892</v>
      </c>
      <c r="K23" s="106"/>
      <c r="L23" s="106"/>
      <c r="N23" s="106"/>
      <c r="O23" s="106"/>
      <c r="P23" s="106"/>
    </row>
    <row r="24" spans="1:17">
      <c r="B24" s="106"/>
      <c r="C24" s="106"/>
      <c r="E24" s="106" t="s">
        <v>874</v>
      </c>
      <c r="F24" s="111">
        <v>0.9940903053515332</v>
      </c>
      <c r="G24" s="111">
        <v>1.001067278588242</v>
      </c>
      <c r="H24" s="111">
        <v>1.001101814935357</v>
      </c>
      <c r="I24" s="111">
        <v>1.001101814935357</v>
      </c>
      <c r="J24" s="111">
        <v>1.001101814935357</v>
      </c>
      <c r="K24" s="106"/>
      <c r="L24" s="106"/>
      <c r="N24" s="106"/>
      <c r="O24" s="106"/>
      <c r="P24" s="106"/>
    </row>
    <row r="25" spans="1:17">
      <c r="B25" s="106"/>
      <c r="C25" s="106"/>
      <c r="E25" s="106" t="s">
        <v>189</v>
      </c>
      <c r="F25" s="113">
        <v>0.9075633358614329</v>
      </c>
      <c r="G25" s="113">
        <v>0.89150984083239082</v>
      </c>
      <c r="H25" s="113">
        <v>0.9927367590070546</v>
      </c>
      <c r="I25" s="113">
        <v>0.9927367590070546</v>
      </c>
      <c r="J25" s="113">
        <v>0.9927367590070546</v>
      </c>
      <c r="K25" s="106"/>
      <c r="L25" s="106"/>
      <c r="N25" s="106"/>
      <c r="O25" s="106"/>
      <c r="P25" s="106"/>
    </row>
    <row r="26" spans="1:17">
      <c r="B26" s="106"/>
      <c r="C26" s="106"/>
      <c r="E26" s="106" t="s">
        <v>729</v>
      </c>
      <c r="F26" s="111">
        <v>0.9349104601671685</v>
      </c>
      <c r="G26" s="111">
        <v>1.0001776165322835</v>
      </c>
      <c r="H26" s="111">
        <v>1.0755105966875793</v>
      </c>
      <c r="I26" s="111">
        <v>1.0755105966875793</v>
      </c>
      <c r="J26" s="111">
        <v>1.0755105966875793</v>
      </c>
      <c r="K26" s="106"/>
      <c r="L26" s="106"/>
      <c r="N26" s="106"/>
      <c r="O26" s="106"/>
      <c r="P26" s="106"/>
    </row>
    <row r="27" spans="1:17">
      <c r="B27" s="106"/>
      <c r="C27" s="106"/>
      <c r="E27" s="106" t="s">
        <v>231</v>
      </c>
      <c r="F27" s="111">
        <v>0.99271409321186332</v>
      </c>
      <c r="G27" s="111">
        <v>1.0091144011008324</v>
      </c>
      <c r="H27" s="111">
        <v>1.0519164331068735</v>
      </c>
      <c r="I27" s="111">
        <v>1.0519164331068735</v>
      </c>
      <c r="J27" s="111">
        <v>1.0519164331068735</v>
      </c>
      <c r="K27" s="106"/>
      <c r="L27" s="106"/>
      <c r="N27" s="106"/>
      <c r="O27" s="106"/>
      <c r="P27" s="106"/>
    </row>
    <row r="28" spans="1:17">
      <c r="B28" s="106"/>
      <c r="C28" s="106"/>
      <c r="E28" s="106" t="s">
        <v>875</v>
      </c>
      <c r="F28" s="111">
        <v>0.98954874757879085</v>
      </c>
      <c r="G28" s="111">
        <v>0.98961503529496642</v>
      </c>
      <c r="H28" s="111">
        <v>0.99037701362588071</v>
      </c>
      <c r="I28" s="111">
        <v>0.99318522932396558</v>
      </c>
      <c r="J28" s="111">
        <v>0.99805709289948885</v>
      </c>
      <c r="K28" s="106"/>
      <c r="L28" s="106"/>
      <c r="N28" s="106"/>
      <c r="O28" s="106"/>
      <c r="P28" s="106"/>
    </row>
    <row r="29" spans="1:17">
      <c r="B29" s="106"/>
      <c r="C29" s="106"/>
      <c r="E29" s="106" t="s">
        <v>362</v>
      </c>
      <c r="F29" s="113">
        <v>0.91644634451064755</v>
      </c>
      <c r="G29" s="113">
        <v>0.92303499234532915</v>
      </c>
      <c r="H29" s="113">
        <v>0.98145130957702242</v>
      </c>
      <c r="I29" s="113">
        <v>0.9893328264418435</v>
      </c>
      <c r="J29" s="113">
        <v>0.99216355682067547</v>
      </c>
      <c r="K29" s="106"/>
      <c r="L29" s="106"/>
      <c r="N29" s="106"/>
      <c r="O29" s="106"/>
      <c r="P29" s="106"/>
    </row>
    <row r="30" spans="1:17">
      <c r="B30" s="106"/>
      <c r="C30" s="106"/>
      <c r="E30" s="106"/>
      <c r="F30" s="113"/>
      <c r="G30" s="113"/>
      <c r="H30" s="113"/>
      <c r="I30" s="113"/>
      <c r="J30" s="106" t="s">
        <v>906</v>
      </c>
      <c r="K30" s="106"/>
      <c r="L30" s="106"/>
      <c r="N30" s="106"/>
      <c r="O30" s="106"/>
      <c r="P30" s="106"/>
    </row>
    <row r="31" spans="1:17" ht="13.9" thickBot="1">
      <c r="B31" s="106"/>
      <c r="C31" s="106"/>
      <c r="D31" s="106"/>
      <c r="E31" s="106"/>
      <c r="F31" s="106"/>
      <c r="G31" s="106"/>
      <c r="H31" s="106"/>
      <c r="J31" s="106"/>
      <c r="K31" s="106"/>
      <c r="L31" s="106"/>
      <c r="M31" s="106"/>
      <c r="N31" s="106"/>
      <c r="O31" s="106"/>
      <c r="P31" s="106"/>
    </row>
    <row r="32" spans="1:17" ht="27.6">
      <c r="A32" s="115" t="s">
        <v>907</v>
      </c>
      <c r="B32" s="116"/>
      <c r="C32" s="116"/>
      <c r="D32" s="116"/>
      <c r="E32" s="116"/>
      <c r="F32" s="116"/>
      <c r="G32" s="116"/>
      <c r="H32" s="116"/>
      <c r="I32" s="116"/>
      <c r="J32" s="116"/>
      <c r="K32" s="116"/>
      <c r="L32" s="116"/>
      <c r="M32" s="116"/>
      <c r="N32" s="117"/>
      <c r="O32" s="117"/>
      <c r="P32" s="117"/>
      <c r="Q32" s="118"/>
    </row>
    <row r="33" spans="1:16">
      <c r="A33" s="1" t="s">
        <v>908</v>
      </c>
      <c r="B33" s="119">
        <f t="shared" ref="B33:D33" si="0">B9</f>
        <v>1.038672395505396</v>
      </c>
      <c r="C33" s="119">
        <f t="shared" si="0"/>
        <v>0.79638869024658354</v>
      </c>
      <c r="D33" s="119">
        <f t="shared" si="0"/>
        <v>1.6050617558164428</v>
      </c>
      <c r="E33" s="119">
        <f t="shared" ref="E33:N33" si="1">E9</f>
        <v>0.687384460723379</v>
      </c>
      <c r="F33" s="119">
        <f t="shared" si="1"/>
        <v>0.94275892402798367</v>
      </c>
      <c r="G33" s="119">
        <f t="shared" si="1"/>
        <v>1.0082299812549205</v>
      </c>
      <c r="H33" s="119">
        <f t="shared" si="1"/>
        <v>0.97081414024549229</v>
      </c>
      <c r="I33" s="119">
        <f t="shared" si="1"/>
        <v>0.9940903053515332</v>
      </c>
      <c r="J33" s="119">
        <f t="shared" si="1"/>
        <v>0.9075633358614329</v>
      </c>
      <c r="K33" s="119">
        <f t="shared" si="1"/>
        <v>0.9349104601671685</v>
      </c>
      <c r="L33" s="119">
        <f t="shared" si="1"/>
        <v>0.99271409321186332</v>
      </c>
      <c r="M33" s="119">
        <f t="shared" si="1"/>
        <v>0.98954874757879085</v>
      </c>
      <c r="N33" s="120">
        <f t="shared" si="1"/>
        <v>0.91644634451064755</v>
      </c>
    </row>
    <row r="34" spans="1:16">
      <c r="A34" s="1" t="s">
        <v>909</v>
      </c>
      <c r="B34" s="119">
        <f t="shared" ref="B34:N37" si="2">B33*B10</f>
        <v>1.0733316289217907</v>
      </c>
      <c r="C34" s="119">
        <f t="shared" si="2"/>
        <v>1.1218605244327975</v>
      </c>
      <c r="D34" s="119">
        <f t="shared" si="2"/>
        <v>1.5197742806879797</v>
      </c>
      <c r="E34" s="119">
        <f t="shared" si="2"/>
        <v>0.74262393716861375</v>
      </c>
      <c r="F34" s="119">
        <f t="shared" si="2"/>
        <v>1.0490472871962091</v>
      </c>
      <c r="G34" s="119">
        <f t="shared" si="2"/>
        <v>1.1384978137482746</v>
      </c>
      <c r="H34" s="119">
        <f t="shared" si="2"/>
        <v>1.0030357271914667</v>
      </c>
      <c r="I34" s="119">
        <f t="shared" si="2"/>
        <v>1.001067278588242</v>
      </c>
      <c r="J34" s="119">
        <f t="shared" si="2"/>
        <v>0.89150984083239082</v>
      </c>
      <c r="K34" s="119">
        <f t="shared" si="2"/>
        <v>1.0001776165322835</v>
      </c>
      <c r="L34" s="119">
        <f t="shared" si="2"/>
        <v>1.0091144011008324</v>
      </c>
      <c r="M34" s="119">
        <f t="shared" si="2"/>
        <v>0.98961503529496642</v>
      </c>
      <c r="N34" s="120">
        <f t="shared" si="2"/>
        <v>0.92303499234532915</v>
      </c>
    </row>
    <row r="35" spans="1:16">
      <c r="A35" s="1" t="s">
        <v>910</v>
      </c>
      <c r="B35" s="119">
        <f t="shared" si="2"/>
        <v>1.1052466662599121</v>
      </c>
      <c r="C35" s="119">
        <f t="shared" si="2"/>
        <v>1.4105430120619045</v>
      </c>
      <c r="D35" s="119">
        <f t="shared" si="2"/>
        <v>1.3110021346590881</v>
      </c>
      <c r="E35" s="119">
        <f t="shared" si="2"/>
        <v>0.75892408990986604</v>
      </c>
      <c r="F35" s="119">
        <f t="shared" si="2"/>
        <v>1.0458680330165415</v>
      </c>
      <c r="G35" s="119">
        <f t="shared" si="2"/>
        <v>1.2662449842241597</v>
      </c>
      <c r="H35" s="119">
        <f t="shared" si="2"/>
        <v>1.0230938510741892</v>
      </c>
      <c r="I35" s="119">
        <f t="shared" si="2"/>
        <v>1.001101814935357</v>
      </c>
      <c r="J35" s="119">
        <f t="shared" si="2"/>
        <v>0.9927367590070546</v>
      </c>
      <c r="K35" s="119">
        <f t="shared" si="2"/>
        <v>1.0755105966875793</v>
      </c>
      <c r="L35" s="119">
        <f t="shared" si="2"/>
        <v>1.0519164331068735</v>
      </c>
      <c r="M35" s="119">
        <f t="shared" si="2"/>
        <v>0.99037701362588071</v>
      </c>
      <c r="N35" s="120">
        <f t="shared" si="2"/>
        <v>0.98145130957702242</v>
      </c>
    </row>
    <row r="36" spans="1:16" ht="13.9" thickBot="1">
      <c r="A36" s="2" t="s">
        <v>911</v>
      </c>
      <c r="B36" s="121">
        <f>B35*B12</f>
        <v>1.1388382341531347</v>
      </c>
      <c r="C36" s="121">
        <f t="shared" si="2"/>
        <v>1.4286303853749305</v>
      </c>
      <c r="D36" s="121">
        <f t="shared" si="2"/>
        <v>1.3277986247948954</v>
      </c>
      <c r="E36" s="121">
        <f t="shared" si="2"/>
        <v>0.76874816642761534</v>
      </c>
      <c r="F36" s="121">
        <f t="shared" si="2"/>
        <v>1.0566137490624881</v>
      </c>
      <c r="G36" s="121">
        <f t="shared" si="2"/>
        <v>1.2662449842241597</v>
      </c>
      <c r="H36" s="121">
        <f t="shared" si="2"/>
        <v>1.0230938510741892</v>
      </c>
      <c r="I36" s="121">
        <f t="shared" si="2"/>
        <v>1.001101814935357</v>
      </c>
      <c r="J36" s="121">
        <f t="shared" si="2"/>
        <v>0.9927367590070546</v>
      </c>
      <c r="K36" s="121">
        <f t="shared" si="2"/>
        <v>1.0755105966875793</v>
      </c>
      <c r="L36" s="121">
        <f t="shared" si="2"/>
        <v>1.0519164331068735</v>
      </c>
      <c r="M36" s="121">
        <f t="shared" si="2"/>
        <v>0.99318522932396558</v>
      </c>
      <c r="N36" s="122">
        <f t="shared" si="2"/>
        <v>0.9893328264418435</v>
      </c>
    </row>
    <row r="37" spans="1:16" ht="13.9" thickBot="1">
      <c r="A37" s="2" t="s">
        <v>912</v>
      </c>
      <c r="B37" s="121">
        <f>B36*B13</f>
        <v>1.1738809719237504</v>
      </c>
      <c r="C37" s="121">
        <f t="shared" si="2"/>
        <v>1.4415899182089209</v>
      </c>
      <c r="D37" s="121">
        <f t="shared" si="2"/>
        <v>1.3398304275765813</v>
      </c>
      <c r="E37" s="121">
        <f t="shared" si="2"/>
        <v>0.77857224294536465</v>
      </c>
      <c r="F37" s="121">
        <f t="shared" si="2"/>
        <v>1.0746695650046032</v>
      </c>
      <c r="G37" s="121">
        <f t="shared" si="2"/>
        <v>1.2662449842241597</v>
      </c>
      <c r="H37" s="121">
        <f t="shared" si="2"/>
        <v>1.0230938510741892</v>
      </c>
      <c r="I37" s="121">
        <f t="shared" si="2"/>
        <v>1.001101814935357</v>
      </c>
      <c r="J37" s="121">
        <f t="shared" si="2"/>
        <v>0.9927367590070546</v>
      </c>
      <c r="K37" s="121">
        <f t="shared" si="2"/>
        <v>1.0755105966875793</v>
      </c>
      <c r="L37" s="121">
        <f t="shared" si="2"/>
        <v>1.0519164331068735</v>
      </c>
      <c r="M37" s="121">
        <f t="shared" si="2"/>
        <v>0.99805709289948885</v>
      </c>
      <c r="N37" s="122">
        <f t="shared" si="2"/>
        <v>0.99216355682067547</v>
      </c>
      <c r="O37" s="106" t="s">
        <v>906</v>
      </c>
      <c r="P37" s="106"/>
    </row>
    <row r="38" spans="1:16">
      <c r="B38" s="106"/>
      <c r="C38" s="106"/>
      <c r="D38" s="106"/>
      <c r="E38" s="106"/>
      <c r="F38" s="106"/>
      <c r="G38" s="106"/>
      <c r="H38" s="106"/>
      <c r="J38" s="106"/>
      <c r="K38" s="106"/>
      <c r="L38" s="106"/>
      <c r="M38" s="106"/>
      <c r="N38" s="106"/>
      <c r="O38" s="106"/>
      <c r="P38" s="106"/>
    </row>
    <row r="39" spans="1:16">
      <c r="B39" s="106"/>
      <c r="C39" s="106"/>
      <c r="D39" s="106"/>
      <c r="E39" s="106"/>
      <c r="F39" s="106"/>
      <c r="G39" s="106"/>
      <c r="H39" s="106"/>
      <c r="I39" s="106"/>
      <c r="J39" s="106"/>
      <c r="K39" s="106"/>
      <c r="L39" s="106"/>
      <c r="M39" s="106"/>
      <c r="N39" s="106"/>
      <c r="O39" s="106"/>
      <c r="P39" s="106"/>
    </row>
    <row r="40" spans="1:16">
      <c r="B40" s="106"/>
      <c r="C40" s="106"/>
      <c r="D40" s="106"/>
      <c r="E40" s="106"/>
      <c r="F40" s="106"/>
      <c r="G40" s="106"/>
      <c r="H40" s="106"/>
      <c r="I40" s="106"/>
      <c r="J40" s="106"/>
      <c r="K40" s="106"/>
      <c r="L40" s="106"/>
      <c r="M40" s="106"/>
      <c r="N40" s="106"/>
      <c r="O40" s="106"/>
      <c r="P40" s="106"/>
    </row>
    <row r="41" spans="1:16">
      <c r="B41" s="106"/>
      <c r="C41" s="106"/>
      <c r="D41" s="106"/>
      <c r="E41" s="106"/>
      <c r="F41" s="106"/>
      <c r="G41" s="106"/>
      <c r="H41" s="106"/>
      <c r="I41" s="106"/>
      <c r="J41" s="106"/>
      <c r="K41" s="106"/>
      <c r="L41" s="106"/>
      <c r="M41" s="106"/>
      <c r="N41" s="106"/>
      <c r="O41" s="106"/>
      <c r="P41" s="106"/>
    </row>
    <row r="42" spans="1:16">
      <c r="B42" s="106"/>
      <c r="C42" s="106"/>
      <c r="D42" s="106"/>
      <c r="E42" s="106"/>
      <c r="F42" s="106"/>
      <c r="G42" s="106"/>
      <c r="H42" s="106"/>
      <c r="I42" s="106"/>
      <c r="J42" s="106"/>
      <c r="K42" s="106"/>
      <c r="L42" s="106"/>
      <c r="M42" s="106"/>
      <c r="N42" s="106"/>
      <c r="O42" s="106"/>
      <c r="P42" s="106"/>
    </row>
    <row r="43" spans="1:16">
      <c r="B43" s="106"/>
      <c r="C43" s="106"/>
      <c r="D43" s="106"/>
      <c r="E43" s="106"/>
      <c r="F43" s="106"/>
      <c r="G43" s="106"/>
      <c r="H43" s="106"/>
      <c r="I43" s="106"/>
      <c r="J43" s="106"/>
      <c r="K43" s="106"/>
      <c r="L43" s="106"/>
      <c r="M43" s="106"/>
      <c r="N43" s="106"/>
      <c r="O43" s="106"/>
      <c r="P43" s="106"/>
    </row>
    <row r="44" spans="1:16">
      <c r="B44" s="106"/>
      <c r="C44" s="106"/>
      <c r="D44" s="106"/>
      <c r="E44" s="106"/>
      <c r="F44" s="106"/>
      <c r="G44" s="106"/>
      <c r="H44" s="106"/>
      <c r="I44" s="106"/>
      <c r="J44" s="106"/>
      <c r="K44" s="106"/>
      <c r="L44" s="106"/>
      <c r="M44" s="106"/>
      <c r="N44" s="106"/>
      <c r="O44" s="106"/>
      <c r="P44" s="106"/>
    </row>
    <row r="45" spans="1:16">
      <c r="B45" s="106"/>
      <c r="C45" s="106"/>
      <c r="D45" s="106"/>
      <c r="E45" s="106"/>
      <c r="F45" s="106"/>
      <c r="G45" s="106"/>
      <c r="H45" s="106"/>
      <c r="I45" s="106"/>
      <c r="J45" s="106"/>
      <c r="K45" s="106"/>
      <c r="L45" s="106"/>
      <c r="M45" s="106"/>
      <c r="N45" s="106"/>
      <c r="O45" s="106"/>
      <c r="P45" s="106"/>
    </row>
    <row r="46" spans="1:16">
      <c r="B46" s="106"/>
      <c r="C46" s="106"/>
      <c r="D46" s="106"/>
      <c r="E46" s="106"/>
      <c r="F46" s="106"/>
      <c r="G46" s="106"/>
      <c r="H46" s="106"/>
      <c r="I46" s="106"/>
      <c r="J46" s="106"/>
      <c r="K46" s="106"/>
      <c r="L46" s="106"/>
      <c r="M46" s="106"/>
      <c r="N46" s="106"/>
      <c r="O46" s="106"/>
      <c r="P46" s="106"/>
    </row>
    <row r="47" spans="1:16">
      <c r="B47" s="106"/>
      <c r="C47" s="106"/>
      <c r="D47" s="106"/>
      <c r="E47" s="106"/>
      <c r="F47" s="106"/>
      <c r="G47" s="106"/>
      <c r="H47" s="106"/>
      <c r="I47" s="106"/>
      <c r="J47" s="106"/>
      <c r="K47" s="106"/>
      <c r="L47" s="106"/>
      <c r="M47" s="106"/>
      <c r="N47" s="106"/>
      <c r="O47" s="106"/>
      <c r="P47" s="106"/>
    </row>
    <row r="48" spans="1:16">
      <c r="B48" s="106"/>
      <c r="C48" s="106"/>
      <c r="D48" s="106"/>
      <c r="E48" s="106"/>
      <c r="F48" s="106"/>
      <c r="G48" s="106"/>
      <c r="H48" s="106"/>
      <c r="I48" s="106"/>
      <c r="J48" s="106"/>
      <c r="K48" s="106"/>
      <c r="L48" s="106"/>
      <c r="M48" s="106"/>
      <c r="N48" s="106"/>
      <c r="O48" s="106"/>
      <c r="P48" s="106"/>
    </row>
    <row r="49" spans="2:16">
      <c r="B49" s="106"/>
      <c r="C49" s="106"/>
      <c r="D49" s="106"/>
      <c r="E49" s="106"/>
      <c r="F49" s="106"/>
      <c r="G49" s="106"/>
      <c r="H49" s="106"/>
      <c r="I49" s="106"/>
      <c r="J49" s="106"/>
      <c r="K49" s="106"/>
      <c r="L49" s="106"/>
      <c r="M49" s="106"/>
      <c r="N49" s="106"/>
      <c r="O49" s="106"/>
      <c r="P49" s="106"/>
    </row>
    <row r="50" spans="2:16">
      <c r="B50" s="106"/>
      <c r="C50" s="106"/>
      <c r="D50" s="106"/>
      <c r="E50" s="106"/>
      <c r="F50" s="106"/>
      <c r="G50" s="106"/>
      <c r="H50" s="106"/>
      <c r="I50" s="106"/>
      <c r="J50" s="106"/>
      <c r="K50" s="106"/>
      <c r="L50" s="106"/>
      <c r="M50" s="106"/>
      <c r="N50" s="106"/>
      <c r="O50" s="106"/>
      <c r="P50" s="106"/>
    </row>
    <row r="51" spans="2:16">
      <c r="B51" s="106"/>
      <c r="C51" s="106"/>
      <c r="D51" s="106"/>
      <c r="E51" s="106"/>
      <c r="F51" s="106"/>
      <c r="G51" s="106"/>
      <c r="H51" s="106"/>
      <c r="I51" s="106"/>
      <c r="J51" s="106"/>
      <c r="K51" s="106"/>
      <c r="L51" s="106"/>
      <c r="M51" s="106"/>
      <c r="N51" s="106"/>
      <c r="O51" s="106"/>
      <c r="P51" s="106"/>
    </row>
    <row r="52" spans="2:16">
      <c r="B52" s="106"/>
      <c r="C52" s="106"/>
      <c r="D52" s="106"/>
      <c r="E52" s="106"/>
      <c r="F52" s="106"/>
      <c r="G52" s="106"/>
      <c r="H52" s="106"/>
      <c r="I52" s="106"/>
      <c r="J52" s="106"/>
      <c r="K52" s="106"/>
      <c r="L52" s="106"/>
      <c r="M52" s="106"/>
      <c r="N52" s="106"/>
      <c r="O52" s="106"/>
      <c r="P52" s="106"/>
    </row>
    <row r="53" spans="2:16">
      <c r="B53" s="106"/>
      <c r="C53" s="106"/>
      <c r="D53" s="106"/>
      <c r="E53" s="106"/>
      <c r="F53" s="106"/>
      <c r="G53" s="106"/>
      <c r="H53" s="106"/>
      <c r="I53" s="106"/>
      <c r="J53" s="106"/>
      <c r="K53" s="106"/>
      <c r="L53" s="106"/>
      <c r="M53" s="106"/>
      <c r="N53" s="106"/>
      <c r="O53" s="106"/>
      <c r="P53" s="106"/>
    </row>
    <row r="54" spans="2:16">
      <c r="B54" s="106"/>
      <c r="C54" s="106"/>
      <c r="D54" s="106"/>
      <c r="E54" s="106"/>
      <c r="F54" s="106"/>
      <c r="G54" s="106"/>
      <c r="H54" s="106"/>
      <c r="I54" s="106"/>
      <c r="J54" s="106"/>
      <c r="K54" s="106"/>
      <c r="L54" s="106"/>
      <c r="M54" s="106"/>
      <c r="N54" s="106"/>
      <c r="O54" s="106"/>
      <c r="P54" s="106"/>
    </row>
    <row r="55" spans="2:16">
      <c r="B55" s="106"/>
      <c r="C55" s="106"/>
      <c r="D55" s="106"/>
      <c r="E55" s="106"/>
      <c r="F55" s="106"/>
      <c r="G55" s="106"/>
      <c r="H55" s="106"/>
      <c r="I55" s="106"/>
      <c r="J55" s="106"/>
      <c r="K55" s="106"/>
      <c r="L55" s="106"/>
      <c r="M55" s="106"/>
      <c r="N55" s="106"/>
      <c r="O55" s="106"/>
      <c r="P55" s="106"/>
    </row>
    <row r="56" spans="2:16">
      <c r="B56" s="106"/>
      <c r="C56" s="106"/>
      <c r="D56" s="106"/>
      <c r="E56" s="106"/>
      <c r="F56" s="106"/>
      <c r="G56" s="106"/>
      <c r="H56" s="106"/>
      <c r="I56" s="106"/>
      <c r="J56" s="106"/>
      <c r="K56" s="106"/>
      <c r="L56" s="106"/>
      <c r="M56" s="106"/>
      <c r="N56" s="106"/>
      <c r="O56" s="106"/>
      <c r="P56" s="106"/>
    </row>
    <row r="57" spans="2:16">
      <c r="B57" s="106"/>
      <c r="C57" s="106"/>
      <c r="D57" s="106"/>
      <c r="E57" s="106"/>
      <c r="F57" s="106"/>
      <c r="G57" s="106"/>
      <c r="H57" s="106"/>
      <c r="I57" s="106"/>
      <c r="J57" s="106"/>
      <c r="K57" s="106"/>
      <c r="L57" s="106"/>
      <c r="M57" s="106"/>
      <c r="N57" s="106"/>
      <c r="O57" s="106"/>
      <c r="P57" s="106"/>
    </row>
    <row r="58" spans="2:16">
      <c r="B58" s="106"/>
      <c r="C58" s="106"/>
      <c r="D58" s="106"/>
      <c r="E58" s="106"/>
      <c r="F58" s="106"/>
      <c r="G58" s="106"/>
      <c r="H58" s="106"/>
      <c r="I58" s="106"/>
      <c r="J58" s="106"/>
      <c r="K58" s="106"/>
      <c r="L58" s="106"/>
      <c r="M58" s="106"/>
      <c r="N58" s="106"/>
      <c r="O58" s="106"/>
      <c r="P58" s="106"/>
    </row>
    <row r="59" spans="2:16">
      <c r="B59" s="106"/>
      <c r="C59" s="106"/>
      <c r="D59" s="106"/>
      <c r="E59" s="106"/>
      <c r="F59" s="106"/>
      <c r="G59" s="106"/>
      <c r="H59" s="106"/>
      <c r="I59" s="106"/>
      <c r="J59" s="106"/>
      <c r="K59" s="106"/>
      <c r="L59" s="106"/>
      <c r="M59" s="106"/>
      <c r="N59" s="106"/>
      <c r="O59" s="106"/>
      <c r="P59" s="106"/>
    </row>
    <row r="60" spans="2:16">
      <c r="B60" s="106"/>
      <c r="C60" s="106"/>
      <c r="D60" s="106"/>
      <c r="E60" s="106"/>
      <c r="F60" s="106"/>
      <c r="G60" s="106"/>
      <c r="H60" s="106"/>
      <c r="I60" s="106"/>
      <c r="J60" s="106"/>
      <c r="K60" s="106"/>
      <c r="L60" s="106"/>
      <c r="M60" s="106"/>
      <c r="N60" s="106"/>
      <c r="O60" s="106"/>
      <c r="P60" s="106"/>
    </row>
    <row r="61" spans="2:16">
      <c r="B61" s="106"/>
      <c r="C61" s="106"/>
      <c r="D61" s="106"/>
      <c r="E61" s="106"/>
      <c r="F61" s="106"/>
      <c r="G61" s="106"/>
      <c r="H61" s="106"/>
      <c r="I61" s="106"/>
      <c r="J61" s="106"/>
      <c r="K61" s="106"/>
      <c r="L61" s="106"/>
      <c r="M61" s="106"/>
      <c r="N61" s="106"/>
      <c r="O61" s="106"/>
      <c r="P61" s="106"/>
    </row>
    <row r="62" spans="2:16">
      <c r="B62" s="106"/>
      <c r="C62" s="106"/>
      <c r="D62" s="106"/>
      <c r="E62" s="106"/>
      <c r="F62" s="106"/>
      <c r="G62" s="106"/>
      <c r="H62" s="106"/>
      <c r="I62" s="106"/>
      <c r="J62" s="106"/>
      <c r="K62" s="106"/>
      <c r="L62" s="106"/>
      <c r="M62" s="106"/>
      <c r="N62" s="106"/>
      <c r="O62" s="106"/>
      <c r="P62" s="106"/>
    </row>
    <row r="63" spans="2:16">
      <c r="B63" s="106"/>
      <c r="C63" s="106"/>
      <c r="D63" s="106"/>
      <c r="E63" s="106"/>
      <c r="F63" s="106"/>
      <c r="G63" s="106"/>
      <c r="H63" s="106"/>
      <c r="I63" s="106"/>
      <c r="J63" s="106"/>
      <c r="K63" s="106"/>
      <c r="L63" s="106"/>
      <c r="M63" s="106"/>
      <c r="N63" s="106"/>
      <c r="O63" s="106"/>
      <c r="P63" s="106"/>
    </row>
    <row r="64" spans="2:16">
      <c r="B64" s="106"/>
      <c r="C64" s="106"/>
      <c r="D64" s="106"/>
      <c r="E64" s="106"/>
      <c r="F64" s="106"/>
      <c r="G64" s="106"/>
      <c r="H64" s="106"/>
      <c r="I64" s="106"/>
      <c r="J64" s="106"/>
      <c r="K64" s="106"/>
      <c r="L64" s="106"/>
      <c r="M64" s="106"/>
      <c r="N64" s="106"/>
      <c r="O64" s="106"/>
      <c r="P64" s="106"/>
    </row>
    <row r="65" spans="2:16">
      <c r="B65" s="106"/>
      <c r="C65" s="106"/>
      <c r="D65" s="106"/>
      <c r="E65" s="106"/>
      <c r="F65" s="106"/>
      <c r="G65" s="106"/>
      <c r="H65" s="106"/>
      <c r="I65" s="106"/>
      <c r="J65" s="106"/>
      <c r="K65" s="106"/>
      <c r="L65" s="106"/>
      <c r="M65" s="106"/>
      <c r="N65" s="106"/>
      <c r="O65" s="106"/>
      <c r="P65" s="106"/>
    </row>
    <row r="66" spans="2:16">
      <c r="B66" s="106"/>
      <c r="C66" s="106"/>
      <c r="D66" s="106"/>
      <c r="E66" s="106"/>
      <c r="F66" s="106"/>
      <c r="G66" s="106"/>
      <c r="H66" s="106"/>
      <c r="I66" s="106"/>
      <c r="J66" s="106"/>
      <c r="K66" s="106"/>
      <c r="L66" s="106"/>
      <c r="M66" s="106"/>
      <c r="N66" s="106"/>
      <c r="O66" s="106"/>
      <c r="P66" s="106"/>
    </row>
    <row r="67" spans="2:16">
      <c r="B67" s="106"/>
      <c r="C67" s="106"/>
      <c r="D67" s="106"/>
      <c r="E67" s="106"/>
      <c r="F67" s="106"/>
      <c r="G67" s="106"/>
      <c r="H67" s="106"/>
      <c r="I67" s="106"/>
      <c r="J67" s="106"/>
      <c r="K67" s="106"/>
      <c r="L67" s="106"/>
      <c r="M67" s="106"/>
      <c r="N67" s="106"/>
      <c r="O67" s="106"/>
      <c r="P67" s="106"/>
    </row>
    <row r="68" spans="2:16">
      <c r="B68" s="106"/>
      <c r="C68" s="106"/>
      <c r="D68" s="106"/>
      <c r="E68" s="106"/>
      <c r="F68" s="106"/>
      <c r="G68" s="106"/>
      <c r="H68" s="106"/>
      <c r="I68" s="106"/>
      <c r="J68" s="106"/>
      <c r="K68" s="106"/>
      <c r="L68" s="106"/>
      <c r="M68" s="106"/>
      <c r="N68" s="106"/>
      <c r="O68" s="106"/>
      <c r="P68" s="106"/>
    </row>
    <row r="69" spans="2:16">
      <c r="B69" s="106"/>
      <c r="C69" s="106"/>
      <c r="D69" s="106"/>
      <c r="E69" s="106"/>
      <c r="F69" s="106"/>
      <c r="G69" s="106"/>
      <c r="H69" s="106"/>
      <c r="I69" s="106"/>
      <c r="J69" s="106"/>
      <c r="K69" s="106"/>
      <c r="L69" s="106"/>
      <c r="M69" s="106"/>
      <c r="N69" s="106"/>
      <c r="O69" s="106"/>
      <c r="P69" s="106"/>
    </row>
    <row r="70" spans="2:16">
      <c r="B70" s="106"/>
      <c r="C70" s="106"/>
      <c r="D70" s="106"/>
      <c r="E70" s="106"/>
      <c r="F70" s="106"/>
      <c r="G70" s="106"/>
      <c r="H70" s="106"/>
      <c r="I70" s="106"/>
      <c r="J70" s="106"/>
      <c r="K70" s="106"/>
      <c r="L70" s="106"/>
      <c r="M70" s="106"/>
      <c r="N70" s="106"/>
      <c r="O70" s="106"/>
      <c r="P70" s="106"/>
    </row>
    <row r="71" spans="2:16">
      <c r="B71" s="106"/>
      <c r="C71" s="106"/>
      <c r="D71" s="106"/>
      <c r="E71" s="106"/>
      <c r="F71" s="106"/>
      <c r="G71" s="106"/>
      <c r="H71" s="106"/>
      <c r="I71" s="106"/>
      <c r="J71" s="106"/>
      <c r="K71" s="106"/>
      <c r="L71" s="106"/>
      <c r="M71" s="106"/>
      <c r="N71" s="106"/>
      <c r="O71" s="106"/>
      <c r="P71" s="106"/>
    </row>
    <row r="72" spans="2:16">
      <c r="B72" s="106"/>
      <c r="C72" s="106"/>
      <c r="D72" s="106"/>
      <c r="E72" s="106"/>
      <c r="F72" s="106"/>
      <c r="G72" s="106"/>
      <c r="H72" s="106"/>
      <c r="I72" s="106"/>
      <c r="J72" s="106"/>
      <c r="K72" s="106"/>
      <c r="L72" s="106"/>
      <c r="M72" s="106"/>
      <c r="N72" s="106"/>
      <c r="O72" s="106"/>
      <c r="P72" s="106"/>
    </row>
    <row r="73" spans="2:16">
      <c r="B73" s="106"/>
      <c r="C73" s="106"/>
      <c r="D73" s="106"/>
      <c r="E73" s="106"/>
      <c r="F73" s="106"/>
      <c r="G73" s="106"/>
      <c r="H73" s="106"/>
      <c r="I73" s="106"/>
      <c r="J73" s="106"/>
      <c r="K73" s="106"/>
      <c r="L73" s="106"/>
      <c r="M73" s="106"/>
      <c r="N73" s="106"/>
      <c r="O73" s="106"/>
      <c r="P73" s="106"/>
    </row>
    <row r="74" spans="2:16">
      <c r="B74" s="106"/>
      <c r="C74" s="106"/>
      <c r="D74" s="106"/>
      <c r="E74" s="106"/>
      <c r="F74" s="106"/>
      <c r="G74" s="106"/>
      <c r="H74" s="106"/>
      <c r="I74" s="106"/>
      <c r="J74" s="106"/>
      <c r="K74" s="106"/>
      <c r="L74" s="106"/>
      <c r="M74" s="106"/>
      <c r="N74" s="106"/>
      <c r="O74" s="106"/>
      <c r="P74" s="106"/>
    </row>
    <row r="75" spans="2:16">
      <c r="B75" s="106"/>
      <c r="C75" s="106"/>
      <c r="D75" s="106"/>
      <c r="E75" s="106"/>
      <c r="F75" s="106"/>
      <c r="G75" s="106"/>
      <c r="H75" s="106"/>
      <c r="I75" s="106"/>
      <c r="J75" s="106"/>
      <c r="K75" s="106"/>
      <c r="L75" s="106"/>
      <c r="M75" s="106"/>
      <c r="N75" s="106"/>
      <c r="O75" s="106"/>
      <c r="P75" s="106"/>
    </row>
    <row r="76" spans="2:16">
      <c r="B76" s="106"/>
      <c r="C76" s="106"/>
      <c r="D76" s="106"/>
      <c r="E76" s="106"/>
      <c r="F76" s="106"/>
      <c r="G76" s="106"/>
      <c r="H76" s="106"/>
      <c r="I76" s="106"/>
      <c r="J76" s="106"/>
      <c r="K76" s="106"/>
      <c r="L76" s="106"/>
      <c r="M76" s="106"/>
      <c r="N76" s="106"/>
      <c r="O76" s="106"/>
      <c r="P76" s="106"/>
    </row>
    <row r="77" spans="2:16">
      <c r="B77" s="106"/>
      <c r="C77" s="106"/>
      <c r="D77" s="106"/>
      <c r="E77" s="106"/>
      <c r="F77" s="106"/>
      <c r="G77" s="106"/>
      <c r="H77" s="106"/>
      <c r="I77" s="106"/>
      <c r="J77" s="106"/>
      <c r="K77" s="106"/>
      <c r="L77" s="106"/>
      <c r="M77" s="106"/>
      <c r="N77" s="106"/>
      <c r="O77" s="106"/>
      <c r="P77" s="106"/>
    </row>
    <row r="78" spans="2:16">
      <c r="B78" s="106"/>
      <c r="C78" s="106"/>
      <c r="D78" s="106"/>
      <c r="E78" s="106"/>
      <c r="F78" s="106"/>
      <c r="G78" s="106"/>
      <c r="H78" s="106"/>
      <c r="I78" s="106"/>
      <c r="J78" s="106"/>
      <c r="K78" s="106"/>
      <c r="L78" s="106"/>
      <c r="M78" s="106"/>
      <c r="N78" s="106"/>
      <c r="O78" s="106"/>
      <c r="P78" s="106"/>
    </row>
    <row r="79" spans="2:16">
      <c r="B79" s="106"/>
      <c r="C79" s="106"/>
      <c r="D79" s="106"/>
      <c r="E79" s="106"/>
      <c r="F79" s="106"/>
      <c r="G79" s="106"/>
      <c r="H79" s="106"/>
      <c r="I79" s="106"/>
      <c r="J79" s="106"/>
      <c r="K79" s="106"/>
      <c r="L79" s="106"/>
      <c r="M79" s="106"/>
      <c r="N79" s="106"/>
      <c r="O79" s="106"/>
      <c r="P79" s="106"/>
    </row>
    <row r="80" spans="2:16">
      <c r="B80" s="106"/>
      <c r="C80" s="106"/>
      <c r="D80" s="106"/>
      <c r="E80" s="106"/>
      <c r="F80" s="106"/>
      <c r="G80" s="106"/>
      <c r="H80" s="106"/>
      <c r="I80" s="106"/>
      <c r="J80" s="106"/>
      <c r="K80" s="106"/>
      <c r="L80" s="106"/>
      <c r="M80" s="106"/>
      <c r="N80" s="106"/>
      <c r="O80" s="106"/>
      <c r="P80" s="106"/>
    </row>
    <row r="81" spans="2:16">
      <c r="B81" s="106"/>
      <c r="C81" s="106"/>
      <c r="D81" s="106"/>
      <c r="E81" s="106"/>
      <c r="F81" s="106"/>
      <c r="G81" s="106"/>
      <c r="H81" s="106"/>
      <c r="I81" s="106"/>
      <c r="J81" s="106"/>
      <c r="K81" s="106"/>
      <c r="L81" s="106"/>
      <c r="M81" s="106"/>
      <c r="N81" s="106"/>
      <c r="O81" s="106"/>
      <c r="P81" s="106"/>
    </row>
    <row r="82" spans="2:16">
      <c r="B82" s="106"/>
      <c r="C82" s="106"/>
      <c r="D82" s="106"/>
      <c r="E82" s="106"/>
      <c r="F82" s="106"/>
      <c r="G82" s="106"/>
      <c r="H82" s="106"/>
      <c r="I82" s="106"/>
      <c r="J82" s="106"/>
      <c r="K82" s="106"/>
      <c r="L82" s="106"/>
      <c r="M82" s="106"/>
      <c r="N82" s="106"/>
      <c r="O82" s="106"/>
      <c r="P82" s="106"/>
    </row>
    <row r="83" spans="2:16">
      <c r="B83" s="106"/>
      <c r="C83" s="106"/>
      <c r="D83" s="106"/>
      <c r="E83" s="106"/>
      <c r="F83" s="106"/>
      <c r="G83" s="106"/>
      <c r="H83" s="106"/>
      <c r="I83" s="106"/>
      <c r="J83" s="106"/>
      <c r="K83" s="106"/>
      <c r="L83" s="106"/>
      <c r="M83" s="106"/>
      <c r="N83" s="106"/>
      <c r="O83" s="106"/>
      <c r="P83" s="106"/>
    </row>
    <row r="84" spans="2:16">
      <c r="B84" s="106"/>
      <c r="C84" s="106"/>
      <c r="D84" s="106"/>
      <c r="E84" s="106"/>
      <c r="F84" s="106"/>
      <c r="G84" s="106"/>
      <c r="H84" s="106"/>
      <c r="I84" s="106"/>
      <c r="J84" s="106"/>
      <c r="K84" s="106"/>
      <c r="L84" s="106"/>
      <c r="M84" s="106"/>
      <c r="N84" s="106"/>
      <c r="O84" s="106"/>
      <c r="P84" s="106"/>
    </row>
    <row r="85" spans="2:16">
      <c r="B85" s="106"/>
      <c r="C85" s="106"/>
      <c r="D85" s="106"/>
      <c r="E85" s="106"/>
      <c r="F85" s="106"/>
      <c r="G85" s="106"/>
      <c r="H85" s="106"/>
      <c r="I85" s="106"/>
      <c r="J85" s="106"/>
      <c r="K85" s="106"/>
      <c r="L85" s="106"/>
      <c r="M85" s="106"/>
      <c r="N85" s="106"/>
      <c r="O85" s="106"/>
      <c r="P85" s="106"/>
    </row>
    <row r="86" spans="2:16">
      <c r="B86" s="106"/>
      <c r="C86" s="106"/>
      <c r="D86" s="106"/>
      <c r="E86" s="106"/>
      <c r="F86" s="106"/>
      <c r="G86" s="106"/>
      <c r="H86" s="106"/>
      <c r="I86" s="106"/>
      <c r="J86" s="106"/>
      <c r="K86" s="106"/>
      <c r="L86" s="106"/>
      <c r="M86" s="106"/>
      <c r="N86" s="106"/>
      <c r="O86" s="106"/>
      <c r="P86" s="106"/>
    </row>
    <row r="87" spans="2:16">
      <c r="B87" s="106"/>
      <c r="C87" s="106"/>
      <c r="D87" s="106"/>
      <c r="E87" s="106"/>
      <c r="F87" s="106"/>
      <c r="G87" s="106"/>
      <c r="H87" s="106"/>
      <c r="I87" s="106"/>
      <c r="J87" s="106"/>
      <c r="K87" s="106"/>
      <c r="L87" s="106"/>
      <c r="M87" s="106"/>
      <c r="N87" s="106"/>
      <c r="O87" s="106"/>
      <c r="P87" s="106"/>
    </row>
    <row r="88" spans="2:16">
      <c r="B88" s="106"/>
      <c r="C88" s="106"/>
      <c r="D88" s="106"/>
      <c r="E88" s="106"/>
      <c r="F88" s="106"/>
      <c r="G88" s="106"/>
      <c r="H88" s="106"/>
      <c r="I88" s="106"/>
      <c r="J88" s="106"/>
      <c r="K88" s="106"/>
      <c r="L88" s="106"/>
      <c r="M88" s="106"/>
      <c r="N88" s="106"/>
      <c r="O88" s="106"/>
      <c r="P88" s="106"/>
    </row>
    <row r="89" spans="2:16">
      <c r="B89" s="106"/>
      <c r="C89" s="106"/>
      <c r="D89" s="106"/>
      <c r="E89" s="106"/>
      <c r="F89" s="106"/>
      <c r="G89" s="106"/>
      <c r="H89" s="106"/>
      <c r="I89" s="106"/>
      <c r="J89" s="106"/>
      <c r="K89" s="106"/>
      <c r="L89" s="106"/>
      <c r="M89" s="106"/>
      <c r="N89" s="106"/>
      <c r="O89" s="106"/>
      <c r="P89" s="106"/>
    </row>
    <row r="90" spans="2:16">
      <c r="B90" s="106"/>
      <c r="C90" s="106"/>
      <c r="D90" s="106"/>
      <c r="E90" s="106"/>
      <c r="F90" s="106"/>
      <c r="G90" s="106"/>
      <c r="H90" s="106"/>
      <c r="I90" s="106"/>
      <c r="J90" s="106"/>
      <c r="K90" s="106"/>
      <c r="L90" s="106"/>
      <c r="M90" s="106"/>
      <c r="N90" s="106"/>
      <c r="O90" s="106"/>
      <c r="P90" s="106"/>
    </row>
    <row r="91" spans="2:16">
      <c r="B91" s="106"/>
      <c r="C91" s="106"/>
      <c r="D91" s="106"/>
      <c r="E91" s="106"/>
      <c r="F91" s="106"/>
      <c r="G91" s="106"/>
      <c r="H91" s="106"/>
      <c r="I91" s="106"/>
      <c r="J91" s="106"/>
      <c r="K91" s="106"/>
      <c r="L91" s="106"/>
      <c r="M91" s="106"/>
      <c r="N91" s="106"/>
      <c r="O91" s="106"/>
      <c r="P91" s="106"/>
    </row>
    <row r="92" spans="2:16">
      <c r="B92" s="106"/>
      <c r="C92" s="106"/>
      <c r="D92" s="106"/>
      <c r="E92" s="106"/>
      <c r="F92" s="106"/>
      <c r="G92" s="106"/>
      <c r="H92" s="106"/>
      <c r="I92" s="106"/>
      <c r="J92" s="106"/>
      <c r="K92" s="106"/>
      <c r="L92" s="106"/>
      <c r="M92" s="106"/>
      <c r="N92" s="106"/>
      <c r="O92" s="106"/>
      <c r="P92" s="106"/>
    </row>
    <row r="93" spans="2:16">
      <c r="B93" s="106"/>
      <c r="C93" s="106"/>
      <c r="D93" s="106"/>
      <c r="E93" s="106"/>
      <c r="F93" s="106"/>
      <c r="G93" s="106"/>
      <c r="H93" s="106"/>
      <c r="I93" s="106"/>
      <c r="J93" s="106"/>
      <c r="K93" s="106"/>
      <c r="L93" s="106"/>
      <c r="M93" s="106"/>
      <c r="N93" s="106"/>
      <c r="O93" s="106"/>
      <c r="P93" s="106"/>
    </row>
    <row r="94" spans="2:16">
      <c r="B94" s="106"/>
      <c r="C94" s="106"/>
      <c r="D94" s="106"/>
      <c r="E94" s="106"/>
      <c r="F94" s="106"/>
      <c r="G94" s="106"/>
      <c r="H94" s="106"/>
      <c r="I94" s="106"/>
      <c r="J94" s="106"/>
      <c r="K94" s="106"/>
      <c r="L94" s="106"/>
      <c r="M94" s="106"/>
      <c r="N94" s="106"/>
      <c r="O94" s="106"/>
      <c r="P94" s="106"/>
    </row>
    <row r="95" spans="2:16">
      <c r="B95" s="106"/>
      <c r="C95" s="106"/>
      <c r="D95" s="106"/>
      <c r="E95" s="106"/>
      <c r="F95" s="106"/>
      <c r="G95" s="106"/>
      <c r="H95" s="106"/>
      <c r="I95" s="106"/>
      <c r="J95" s="106"/>
      <c r="K95" s="106"/>
      <c r="L95" s="106"/>
      <c r="M95" s="106"/>
      <c r="N95" s="106"/>
      <c r="O95" s="106"/>
      <c r="P95" s="106"/>
    </row>
    <row r="96" spans="2:16">
      <c r="B96" s="106"/>
      <c r="C96" s="106"/>
      <c r="D96" s="106"/>
      <c r="E96" s="106"/>
      <c r="F96" s="106"/>
      <c r="G96" s="106"/>
      <c r="H96" s="106"/>
      <c r="I96" s="106"/>
      <c r="J96" s="106"/>
      <c r="K96" s="106"/>
      <c r="L96" s="106"/>
      <c r="M96" s="106"/>
      <c r="N96" s="106"/>
      <c r="O96" s="106"/>
      <c r="P96" s="106"/>
    </row>
    <row r="97" spans="2:16">
      <c r="B97" s="106"/>
      <c r="C97" s="106"/>
      <c r="D97" s="106"/>
      <c r="E97" s="106"/>
      <c r="F97" s="106"/>
      <c r="G97" s="106"/>
      <c r="H97" s="106"/>
      <c r="I97" s="106"/>
      <c r="J97" s="106"/>
      <c r="K97" s="106"/>
      <c r="L97" s="106"/>
      <c r="M97" s="106"/>
      <c r="N97" s="106"/>
      <c r="O97" s="106"/>
      <c r="P97" s="106"/>
    </row>
    <row r="98" spans="2:16">
      <c r="B98" s="106"/>
      <c r="C98" s="106"/>
      <c r="D98" s="106"/>
      <c r="E98" s="106"/>
      <c r="F98" s="106"/>
      <c r="G98" s="106"/>
      <c r="H98" s="106"/>
      <c r="I98" s="106"/>
      <c r="J98" s="106"/>
      <c r="K98" s="106"/>
      <c r="L98" s="106"/>
      <c r="M98" s="106"/>
      <c r="N98" s="106"/>
      <c r="O98" s="106"/>
      <c r="P98" s="106"/>
    </row>
    <row r="99" spans="2:16">
      <c r="B99" s="106"/>
      <c r="C99" s="106"/>
      <c r="D99" s="106"/>
      <c r="E99" s="106"/>
      <c r="F99" s="106"/>
      <c r="G99" s="106"/>
      <c r="H99" s="106"/>
      <c r="I99" s="106"/>
      <c r="J99" s="106"/>
      <c r="K99" s="106"/>
      <c r="L99" s="106"/>
      <c r="M99" s="106"/>
      <c r="N99" s="106"/>
      <c r="O99" s="106"/>
      <c r="P99" s="106"/>
    </row>
    <row r="100" spans="2:16">
      <c r="B100" s="106"/>
      <c r="C100" s="106"/>
      <c r="D100" s="106"/>
      <c r="E100" s="106"/>
      <c r="F100" s="106"/>
      <c r="G100" s="106"/>
      <c r="H100" s="106"/>
      <c r="I100" s="106"/>
      <c r="J100" s="106"/>
      <c r="K100" s="106"/>
      <c r="L100" s="106"/>
      <c r="M100" s="106"/>
      <c r="N100" s="106"/>
      <c r="O100" s="106"/>
      <c r="P100" s="106"/>
    </row>
    <row r="101" spans="2:16">
      <c r="B101" s="106"/>
      <c r="C101" s="106"/>
      <c r="D101" s="106"/>
      <c r="E101" s="106"/>
      <c r="F101" s="106"/>
      <c r="G101" s="106"/>
      <c r="H101" s="106"/>
      <c r="I101" s="106"/>
      <c r="J101" s="106"/>
      <c r="K101" s="106"/>
      <c r="L101" s="106"/>
      <c r="M101" s="106"/>
      <c r="N101" s="106"/>
      <c r="O101" s="106"/>
      <c r="P101" s="106"/>
    </row>
    <row r="102" spans="2:16">
      <c r="B102" s="106"/>
      <c r="C102" s="106"/>
      <c r="D102" s="106"/>
      <c r="E102" s="106"/>
      <c r="F102" s="106"/>
      <c r="G102" s="106"/>
      <c r="H102" s="106"/>
      <c r="I102" s="106"/>
      <c r="J102" s="106"/>
      <c r="K102" s="106"/>
      <c r="L102" s="106"/>
      <c r="M102" s="106"/>
      <c r="N102" s="106"/>
      <c r="O102" s="106"/>
      <c r="P102" s="106"/>
    </row>
    <row r="103" spans="2:16">
      <c r="B103" s="106"/>
      <c r="C103" s="106"/>
      <c r="D103" s="106"/>
      <c r="E103" s="106"/>
      <c r="F103" s="106"/>
      <c r="G103" s="106"/>
      <c r="H103" s="106"/>
      <c r="I103" s="106"/>
      <c r="J103" s="106"/>
      <c r="K103" s="106"/>
      <c r="L103" s="106"/>
      <c r="M103" s="106"/>
      <c r="N103" s="106"/>
      <c r="O103" s="106"/>
      <c r="P103" s="106"/>
    </row>
    <row r="104" spans="2:16">
      <c r="B104" s="106"/>
      <c r="C104" s="106"/>
      <c r="D104" s="106"/>
      <c r="E104" s="106"/>
      <c r="F104" s="106"/>
      <c r="G104" s="106"/>
      <c r="H104" s="106"/>
      <c r="I104" s="106"/>
      <c r="J104" s="106"/>
      <c r="K104" s="106"/>
      <c r="L104" s="106"/>
      <c r="M104" s="106"/>
      <c r="N104" s="106"/>
      <c r="O104" s="106"/>
      <c r="P104" s="106"/>
    </row>
    <row r="105" spans="2:16">
      <c r="B105" s="106"/>
      <c r="C105" s="106"/>
      <c r="D105" s="106"/>
      <c r="E105" s="106"/>
      <c r="F105" s="106"/>
      <c r="G105" s="106"/>
      <c r="H105" s="106"/>
      <c r="I105" s="106"/>
      <c r="J105" s="106"/>
      <c r="K105" s="106"/>
      <c r="L105" s="106"/>
      <c r="M105" s="106"/>
      <c r="N105" s="106"/>
      <c r="O105" s="106"/>
      <c r="P105" s="106"/>
    </row>
    <row r="106" spans="2:16">
      <c r="B106" s="106"/>
      <c r="C106" s="106"/>
      <c r="D106" s="106"/>
      <c r="E106" s="106"/>
      <c r="F106" s="106"/>
      <c r="G106" s="106"/>
      <c r="H106" s="106"/>
      <c r="I106" s="106"/>
      <c r="J106" s="106"/>
      <c r="K106" s="106"/>
      <c r="L106" s="106"/>
      <c r="M106" s="106"/>
      <c r="N106" s="106"/>
      <c r="O106" s="106"/>
      <c r="P106" s="106"/>
    </row>
    <row r="107" spans="2:16">
      <c r="B107" s="106"/>
      <c r="C107" s="106"/>
      <c r="D107" s="106"/>
      <c r="E107" s="106"/>
      <c r="F107" s="106"/>
      <c r="G107" s="106"/>
      <c r="H107" s="106"/>
      <c r="I107" s="106"/>
      <c r="J107" s="106"/>
      <c r="K107" s="106"/>
      <c r="L107" s="106"/>
      <c r="M107" s="106"/>
      <c r="N107" s="106"/>
      <c r="O107" s="106"/>
      <c r="P107" s="106"/>
    </row>
    <row r="108" spans="2:16">
      <c r="B108" s="106"/>
      <c r="C108" s="106"/>
      <c r="D108" s="106"/>
      <c r="E108" s="106"/>
      <c r="F108" s="106"/>
      <c r="G108" s="106"/>
      <c r="H108" s="106"/>
      <c r="I108" s="106"/>
      <c r="J108" s="106"/>
      <c r="K108" s="106"/>
      <c r="L108" s="106"/>
      <c r="M108" s="106"/>
      <c r="N108" s="106"/>
      <c r="O108" s="106"/>
      <c r="P108" s="106"/>
    </row>
    <row r="109" spans="2:16">
      <c r="B109" s="106"/>
      <c r="C109" s="106"/>
      <c r="D109" s="106"/>
      <c r="E109" s="106"/>
      <c r="F109" s="106"/>
      <c r="G109" s="106"/>
      <c r="H109" s="106"/>
      <c r="I109" s="106"/>
      <c r="J109" s="106"/>
      <c r="K109" s="106"/>
      <c r="L109" s="106"/>
      <c r="M109" s="106"/>
      <c r="N109" s="106"/>
      <c r="O109" s="106"/>
      <c r="P109" s="106"/>
    </row>
    <row r="110" spans="2:16">
      <c r="B110" s="106"/>
      <c r="C110" s="106"/>
      <c r="D110" s="106"/>
      <c r="E110" s="106"/>
      <c r="F110" s="106"/>
      <c r="G110" s="106"/>
      <c r="H110" s="106"/>
      <c r="I110" s="106"/>
      <c r="J110" s="106"/>
      <c r="K110" s="106"/>
      <c r="L110" s="106"/>
      <c r="M110" s="106"/>
      <c r="N110" s="106"/>
      <c r="O110" s="106"/>
      <c r="P110" s="106"/>
    </row>
    <row r="111" spans="2:16">
      <c r="B111" s="106"/>
      <c r="C111" s="106"/>
      <c r="D111" s="106"/>
      <c r="E111" s="106"/>
      <c r="F111" s="106"/>
      <c r="G111" s="106"/>
      <c r="H111" s="106"/>
      <c r="I111" s="106"/>
      <c r="J111" s="106"/>
      <c r="K111" s="106"/>
      <c r="L111" s="106"/>
      <c r="M111" s="106"/>
      <c r="N111" s="106"/>
      <c r="O111" s="106"/>
      <c r="P111" s="106"/>
    </row>
    <row r="112" spans="2:16">
      <c r="B112" s="106"/>
      <c r="C112" s="106"/>
      <c r="D112" s="106"/>
      <c r="E112" s="106"/>
      <c r="F112" s="106"/>
      <c r="G112" s="106"/>
      <c r="H112" s="106"/>
      <c r="I112" s="106"/>
      <c r="J112" s="106"/>
      <c r="K112" s="106"/>
      <c r="L112" s="106"/>
      <c r="M112" s="106"/>
      <c r="N112" s="106"/>
      <c r="O112" s="106"/>
      <c r="P112" s="106"/>
    </row>
    <row r="113" spans="2:16">
      <c r="B113" s="106"/>
      <c r="C113" s="106"/>
      <c r="D113" s="106"/>
      <c r="E113" s="106"/>
      <c r="F113" s="106"/>
      <c r="G113" s="106"/>
      <c r="H113" s="106"/>
      <c r="I113" s="106"/>
      <c r="J113" s="106"/>
      <c r="K113" s="106"/>
      <c r="L113" s="106"/>
      <c r="M113" s="106"/>
      <c r="N113" s="106"/>
      <c r="O113" s="106"/>
      <c r="P113" s="106"/>
    </row>
    <row r="114" spans="2:16">
      <c r="B114" s="106"/>
      <c r="C114" s="106"/>
      <c r="D114" s="106"/>
      <c r="E114" s="106"/>
      <c r="F114" s="106"/>
      <c r="G114" s="106"/>
      <c r="H114" s="106"/>
      <c r="I114" s="106"/>
      <c r="J114" s="106"/>
      <c r="K114" s="106"/>
      <c r="L114" s="106"/>
      <c r="M114" s="106"/>
      <c r="N114" s="106"/>
      <c r="O114" s="106"/>
      <c r="P114" s="106"/>
    </row>
    <row r="115" spans="2:16">
      <c r="B115" s="106"/>
      <c r="C115" s="106"/>
      <c r="D115" s="106"/>
      <c r="E115" s="106"/>
      <c r="F115" s="106"/>
      <c r="G115" s="106"/>
      <c r="H115" s="106"/>
      <c r="I115" s="106"/>
      <c r="J115" s="106"/>
      <c r="K115" s="106"/>
      <c r="L115" s="106"/>
      <c r="M115" s="106"/>
      <c r="N115" s="106"/>
      <c r="O115" s="106"/>
      <c r="P115" s="106"/>
    </row>
    <row r="116" spans="2:16">
      <c r="B116" s="106"/>
      <c r="C116" s="106"/>
      <c r="D116" s="106"/>
      <c r="E116" s="106"/>
      <c r="F116" s="106"/>
      <c r="G116" s="106"/>
      <c r="H116" s="106"/>
      <c r="I116" s="106"/>
      <c r="J116" s="106"/>
      <c r="K116" s="106"/>
      <c r="L116" s="106"/>
      <c r="M116" s="106"/>
      <c r="N116" s="106"/>
      <c r="O116" s="106"/>
      <c r="P116" s="106"/>
    </row>
    <row r="117" spans="2:16">
      <c r="B117" s="106"/>
      <c r="C117" s="106"/>
      <c r="D117" s="106"/>
      <c r="E117" s="106"/>
      <c r="F117" s="106"/>
      <c r="G117" s="106"/>
      <c r="H117" s="106"/>
      <c r="I117" s="106"/>
      <c r="J117" s="106"/>
      <c r="K117" s="106"/>
      <c r="L117" s="106"/>
      <c r="M117" s="106"/>
      <c r="N117" s="106"/>
      <c r="O117" s="106"/>
      <c r="P117" s="106"/>
    </row>
    <row r="118" spans="2:16">
      <c r="B118" s="106"/>
      <c r="C118" s="106"/>
      <c r="D118" s="106"/>
      <c r="E118" s="106"/>
      <c r="F118" s="106"/>
      <c r="G118" s="106"/>
      <c r="H118" s="106"/>
      <c r="I118" s="106"/>
      <c r="J118" s="106"/>
      <c r="K118" s="106"/>
      <c r="L118" s="106"/>
      <c r="M118" s="106"/>
      <c r="N118" s="106"/>
      <c r="O118" s="106"/>
      <c r="P118" s="106"/>
    </row>
    <row r="119" spans="2:16">
      <c r="B119" s="106"/>
      <c r="C119" s="106"/>
      <c r="D119" s="106"/>
      <c r="E119" s="106"/>
      <c r="F119" s="106"/>
      <c r="G119" s="106"/>
      <c r="H119" s="106"/>
      <c r="I119" s="106"/>
      <c r="J119" s="106"/>
      <c r="K119" s="106"/>
      <c r="L119" s="106"/>
      <c r="M119" s="106"/>
      <c r="N119" s="106"/>
      <c r="O119" s="106"/>
      <c r="P119" s="106"/>
    </row>
    <row r="120" spans="2:16">
      <c r="B120" s="106"/>
      <c r="C120" s="106"/>
      <c r="D120" s="106"/>
      <c r="E120" s="106"/>
      <c r="F120" s="106"/>
      <c r="G120" s="106"/>
      <c r="H120" s="106"/>
      <c r="I120" s="106"/>
      <c r="J120" s="106"/>
      <c r="K120" s="106"/>
      <c r="L120" s="106"/>
      <c r="M120" s="106"/>
      <c r="N120" s="106"/>
      <c r="O120" s="106"/>
      <c r="P120" s="106"/>
    </row>
    <row r="121" spans="2:16">
      <c r="B121" s="106"/>
      <c r="C121" s="106"/>
      <c r="D121" s="106"/>
      <c r="E121" s="106"/>
      <c r="F121" s="106"/>
      <c r="G121" s="106"/>
      <c r="H121" s="106"/>
      <c r="I121" s="106"/>
      <c r="J121" s="106"/>
      <c r="K121" s="106"/>
      <c r="L121" s="106"/>
      <c r="M121" s="106"/>
      <c r="N121" s="106"/>
      <c r="O121" s="106"/>
      <c r="P121" s="106"/>
    </row>
    <row r="122" spans="2:16">
      <c r="B122" s="106"/>
      <c r="C122" s="106"/>
      <c r="D122" s="106"/>
      <c r="E122" s="106"/>
      <c r="F122" s="106"/>
      <c r="G122" s="106"/>
      <c r="H122" s="106"/>
      <c r="I122" s="106"/>
      <c r="J122" s="106"/>
      <c r="K122" s="106"/>
      <c r="L122" s="106"/>
      <c r="M122" s="106"/>
      <c r="N122" s="106"/>
      <c r="O122" s="106"/>
      <c r="P122" s="106"/>
    </row>
    <row r="123" spans="2:16">
      <c r="B123" s="106"/>
      <c r="C123" s="106"/>
      <c r="D123" s="106"/>
      <c r="E123" s="106"/>
      <c r="F123" s="106"/>
      <c r="G123" s="106"/>
      <c r="H123" s="106"/>
      <c r="I123" s="106"/>
      <c r="J123" s="106"/>
      <c r="K123" s="106"/>
      <c r="L123" s="106"/>
      <c r="M123" s="106"/>
      <c r="N123" s="106"/>
      <c r="O123" s="106"/>
      <c r="P123" s="106"/>
    </row>
    <row r="124" spans="2:16">
      <c r="B124" s="106"/>
      <c r="C124" s="106"/>
      <c r="D124" s="106"/>
      <c r="E124" s="106"/>
      <c r="F124" s="106"/>
      <c r="G124" s="106"/>
      <c r="H124" s="106"/>
      <c r="I124" s="106"/>
      <c r="J124" s="106"/>
      <c r="K124" s="106"/>
      <c r="L124" s="106"/>
      <c r="M124" s="106"/>
      <c r="N124" s="106"/>
      <c r="O124" s="106"/>
      <c r="P124" s="106"/>
    </row>
    <row r="125" spans="2:16">
      <c r="B125" s="106"/>
      <c r="C125" s="106"/>
      <c r="D125" s="106"/>
      <c r="E125" s="106"/>
      <c r="F125" s="106"/>
      <c r="G125" s="106"/>
      <c r="H125" s="106"/>
      <c r="I125" s="106"/>
      <c r="J125" s="106"/>
      <c r="K125" s="106"/>
      <c r="L125" s="106"/>
      <c r="M125" s="106"/>
      <c r="N125" s="106"/>
      <c r="O125" s="106"/>
      <c r="P125" s="106"/>
    </row>
    <row r="126" spans="2:16">
      <c r="B126" s="106"/>
      <c r="C126" s="106"/>
      <c r="D126" s="106"/>
      <c r="E126" s="106"/>
      <c r="F126" s="106"/>
      <c r="G126" s="106"/>
      <c r="H126" s="106"/>
      <c r="I126" s="106"/>
      <c r="J126" s="106"/>
      <c r="K126" s="106"/>
      <c r="L126" s="106"/>
      <c r="M126" s="106"/>
      <c r="N126" s="106"/>
      <c r="O126" s="106"/>
      <c r="P126" s="106"/>
    </row>
    <row r="127" spans="2:16">
      <c r="B127" s="106"/>
      <c r="C127" s="106"/>
      <c r="D127" s="106"/>
      <c r="E127" s="106"/>
      <c r="F127" s="106"/>
      <c r="G127" s="106"/>
      <c r="H127" s="106"/>
      <c r="I127" s="106"/>
      <c r="J127" s="106"/>
      <c r="K127" s="106"/>
      <c r="L127" s="106"/>
      <c r="M127" s="106"/>
      <c r="N127" s="106"/>
      <c r="O127" s="106"/>
      <c r="P127" s="106"/>
    </row>
    <row r="128" spans="2:16">
      <c r="B128" s="106"/>
      <c r="C128" s="106"/>
      <c r="D128" s="106"/>
      <c r="E128" s="106"/>
      <c r="F128" s="106"/>
      <c r="G128" s="106"/>
      <c r="H128" s="106"/>
      <c r="I128" s="106"/>
      <c r="J128" s="106"/>
      <c r="K128" s="106"/>
      <c r="L128" s="106"/>
      <c r="M128" s="106"/>
      <c r="N128" s="106"/>
      <c r="O128" s="106"/>
      <c r="P128" s="106"/>
    </row>
    <row r="129" spans="2:16">
      <c r="B129" s="106"/>
      <c r="C129" s="106"/>
      <c r="D129" s="106"/>
      <c r="E129" s="106"/>
      <c r="F129" s="106"/>
      <c r="G129" s="106"/>
      <c r="H129" s="106"/>
      <c r="I129" s="106"/>
      <c r="J129" s="106"/>
      <c r="K129" s="106"/>
      <c r="L129" s="106"/>
      <c r="M129" s="106"/>
      <c r="N129" s="106"/>
      <c r="O129" s="106"/>
      <c r="P129" s="106"/>
    </row>
    <row r="130" spans="2:16">
      <c r="B130" s="106"/>
      <c r="C130" s="106"/>
      <c r="D130" s="106"/>
      <c r="E130" s="106"/>
      <c r="F130" s="106"/>
      <c r="G130" s="106"/>
      <c r="H130" s="106"/>
      <c r="I130" s="106"/>
      <c r="J130" s="106"/>
      <c r="K130" s="106"/>
      <c r="L130" s="106"/>
      <c r="M130" s="106"/>
      <c r="N130" s="106"/>
      <c r="O130" s="106"/>
      <c r="P130" s="106"/>
    </row>
    <row r="131" spans="2:16">
      <c r="B131" s="106"/>
      <c r="C131" s="106"/>
      <c r="D131" s="106"/>
      <c r="E131" s="106"/>
      <c r="F131" s="106"/>
      <c r="G131" s="106"/>
      <c r="H131" s="106"/>
      <c r="I131" s="106"/>
      <c r="J131" s="106"/>
      <c r="K131" s="106"/>
      <c r="L131" s="106"/>
      <c r="M131" s="106"/>
      <c r="N131" s="106"/>
      <c r="O131" s="106"/>
      <c r="P131" s="106"/>
    </row>
    <row r="132" spans="2:16">
      <c r="B132" s="106"/>
      <c r="C132" s="106"/>
      <c r="D132" s="106"/>
      <c r="E132" s="106"/>
      <c r="F132" s="106"/>
      <c r="G132" s="106"/>
      <c r="H132" s="106"/>
      <c r="I132" s="106"/>
      <c r="J132" s="106"/>
      <c r="K132" s="106"/>
      <c r="L132" s="106"/>
      <c r="M132" s="106"/>
      <c r="N132" s="106"/>
      <c r="O132" s="106"/>
      <c r="P132" s="106"/>
    </row>
    <row r="133" spans="2:16">
      <c r="B133" s="106"/>
      <c r="C133" s="106"/>
      <c r="D133" s="106"/>
      <c r="E133" s="106"/>
      <c r="F133" s="106"/>
      <c r="G133" s="106"/>
      <c r="H133" s="106"/>
      <c r="I133" s="106"/>
      <c r="J133" s="106"/>
      <c r="K133" s="106"/>
      <c r="L133" s="106"/>
      <c r="M133" s="106"/>
      <c r="N133" s="106"/>
      <c r="O133" s="106"/>
      <c r="P133" s="106"/>
    </row>
    <row r="134" spans="2:16">
      <c r="B134" s="106"/>
      <c r="C134" s="106"/>
      <c r="D134" s="106"/>
      <c r="E134" s="106"/>
      <c r="F134" s="106"/>
      <c r="G134" s="106"/>
      <c r="H134" s="106"/>
      <c r="I134" s="106"/>
      <c r="J134" s="106"/>
      <c r="K134" s="106"/>
      <c r="L134" s="106"/>
      <c r="M134" s="106"/>
      <c r="N134" s="106"/>
      <c r="O134" s="106"/>
      <c r="P134" s="106"/>
    </row>
    <row r="135" spans="2:16">
      <c r="B135" s="106"/>
      <c r="C135" s="106"/>
      <c r="D135" s="106"/>
      <c r="E135" s="106"/>
      <c r="F135" s="106"/>
      <c r="G135" s="106"/>
      <c r="H135" s="106"/>
      <c r="I135" s="106"/>
      <c r="J135" s="106"/>
      <c r="K135" s="106"/>
      <c r="L135" s="106"/>
      <c r="M135" s="106"/>
      <c r="N135" s="106"/>
      <c r="O135" s="106"/>
      <c r="P135" s="106"/>
    </row>
    <row r="136" spans="2:16">
      <c r="B136" s="106"/>
      <c r="C136" s="106"/>
      <c r="D136" s="106"/>
      <c r="E136" s="106"/>
      <c r="F136" s="106"/>
      <c r="G136" s="106"/>
      <c r="H136" s="106"/>
      <c r="I136" s="106"/>
      <c r="J136" s="106"/>
      <c r="K136" s="106"/>
      <c r="L136" s="106"/>
      <c r="M136" s="106"/>
      <c r="N136" s="106"/>
      <c r="O136" s="106"/>
      <c r="P136" s="106"/>
    </row>
    <row r="137" spans="2:16">
      <c r="B137" s="106"/>
      <c r="C137" s="106"/>
      <c r="D137" s="106"/>
      <c r="E137" s="106"/>
      <c r="F137" s="106"/>
      <c r="G137" s="106"/>
      <c r="H137" s="106"/>
      <c r="I137" s="106"/>
      <c r="J137" s="106"/>
      <c r="K137" s="106"/>
      <c r="L137" s="106"/>
      <c r="M137" s="106"/>
      <c r="N137" s="106"/>
      <c r="O137" s="106"/>
      <c r="P137" s="106"/>
    </row>
    <row r="138" spans="2:16">
      <c r="B138" s="106"/>
      <c r="C138" s="106"/>
      <c r="D138" s="106"/>
      <c r="E138" s="106"/>
      <c r="F138" s="106"/>
      <c r="G138" s="106"/>
      <c r="H138" s="106"/>
      <c r="I138" s="106"/>
      <c r="J138" s="106"/>
      <c r="K138" s="106"/>
      <c r="L138" s="106"/>
      <c r="M138" s="106"/>
      <c r="N138" s="106"/>
      <c r="O138" s="106"/>
      <c r="P138" s="106"/>
    </row>
    <row r="139" spans="2:16">
      <c r="B139" s="106"/>
      <c r="C139" s="106"/>
      <c r="D139" s="106"/>
      <c r="E139" s="106"/>
      <c r="F139" s="106"/>
      <c r="G139" s="106"/>
      <c r="H139" s="106"/>
      <c r="I139" s="106"/>
      <c r="J139" s="106"/>
      <c r="K139" s="106"/>
      <c r="L139" s="106"/>
      <c r="M139" s="106"/>
      <c r="N139" s="106"/>
      <c r="O139" s="106"/>
      <c r="P139" s="106"/>
    </row>
    <row r="140" spans="2:16">
      <c r="B140" s="106"/>
      <c r="C140" s="106"/>
      <c r="D140" s="106"/>
      <c r="E140" s="106"/>
      <c r="F140" s="106"/>
      <c r="G140" s="106"/>
      <c r="H140" s="106"/>
      <c r="I140" s="106"/>
      <c r="J140" s="106"/>
      <c r="K140" s="106"/>
      <c r="L140" s="106"/>
      <c r="M140" s="106"/>
      <c r="N140" s="106"/>
      <c r="O140" s="106"/>
      <c r="P140" s="106"/>
    </row>
    <row r="141" spans="2:16">
      <c r="B141" s="106"/>
      <c r="C141" s="106"/>
      <c r="D141" s="106"/>
      <c r="E141" s="106"/>
      <c r="F141" s="106"/>
      <c r="G141" s="106"/>
      <c r="H141" s="106"/>
      <c r="I141" s="106"/>
      <c r="J141" s="106"/>
      <c r="K141" s="106"/>
      <c r="L141" s="106"/>
      <c r="M141" s="106"/>
      <c r="N141" s="106"/>
      <c r="O141" s="106"/>
      <c r="P141" s="106"/>
    </row>
    <row r="142" spans="2:16">
      <c r="B142" s="106"/>
      <c r="C142" s="106"/>
      <c r="D142" s="106"/>
      <c r="E142" s="106"/>
      <c r="F142" s="106"/>
      <c r="G142" s="106"/>
      <c r="H142" s="106"/>
      <c r="I142" s="106"/>
      <c r="J142" s="106"/>
      <c r="K142" s="106"/>
      <c r="L142" s="106"/>
      <c r="M142" s="106"/>
      <c r="N142" s="106"/>
      <c r="O142" s="106"/>
      <c r="P142" s="106"/>
    </row>
    <row r="143" spans="2:16">
      <c r="B143" s="106"/>
      <c r="C143" s="106"/>
      <c r="D143" s="106"/>
      <c r="E143" s="106"/>
      <c r="F143" s="106"/>
      <c r="G143" s="106"/>
      <c r="H143" s="106"/>
      <c r="I143" s="106"/>
      <c r="J143" s="106"/>
      <c r="K143" s="106"/>
      <c r="L143" s="106"/>
      <c r="M143" s="106"/>
      <c r="N143" s="106"/>
      <c r="O143" s="106"/>
      <c r="P143" s="106"/>
    </row>
    <row r="144" spans="2:16">
      <c r="B144" s="106"/>
      <c r="C144" s="106"/>
      <c r="D144" s="106"/>
      <c r="E144" s="106"/>
      <c r="F144" s="106"/>
      <c r="G144" s="106"/>
      <c r="H144" s="106"/>
      <c r="I144" s="106"/>
      <c r="J144" s="106"/>
      <c r="K144" s="106"/>
      <c r="L144" s="106"/>
      <c r="M144" s="106"/>
      <c r="N144" s="106"/>
      <c r="O144" s="106"/>
      <c r="P144" s="106"/>
    </row>
    <row r="145" spans="2:16">
      <c r="B145" s="106"/>
      <c r="C145" s="106"/>
      <c r="D145" s="106"/>
      <c r="E145" s="106"/>
      <c r="F145" s="106"/>
      <c r="G145" s="106"/>
      <c r="H145" s="106"/>
      <c r="I145" s="106"/>
      <c r="J145" s="106"/>
      <c r="K145" s="106"/>
      <c r="L145" s="106"/>
      <c r="M145" s="106"/>
      <c r="N145" s="106"/>
      <c r="O145" s="106"/>
      <c r="P145" s="106"/>
    </row>
    <row r="146" spans="2:16">
      <c r="B146" s="106"/>
      <c r="C146" s="106"/>
      <c r="D146" s="106"/>
      <c r="E146" s="106"/>
      <c r="F146" s="106"/>
      <c r="G146" s="106"/>
      <c r="H146" s="106"/>
      <c r="I146" s="106"/>
      <c r="J146" s="106"/>
      <c r="K146" s="106"/>
      <c r="L146" s="106"/>
      <c r="M146" s="106"/>
      <c r="N146" s="106"/>
      <c r="O146" s="106"/>
      <c r="P146" s="106"/>
    </row>
    <row r="147" spans="2:16">
      <c r="B147" s="106"/>
      <c r="C147" s="106"/>
      <c r="D147" s="106"/>
      <c r="E147" s="106"/>
      <c r="F147" s="106"/>
      <c r="G147" s="106"/>
      <c r="H147" s="106"/>
      <c r="I147" s="106"/>
      <c r="J147" s="106"/>
      <c r="K147" s="106"/>
      <c r="L147" s="106"/>
      <c r="M147" s="106"/>
      <c r="N147" s="106"/>
      <c r="O147" s="106"/>
      <c r="P147" s="106"/>
    </row>
    <row r="148" spans="2:16">
      <c r="B148" s="106"/>
      <c r="C148" s="106"/>
      <c r="D148" s="106"/>
      <c r="E148" s="106"/>
      <c r="F148" s="106"/>
      <c r="G148" s="106"/>
      <c r="H148" s="106"/>
      <c r="I148" s="106"/>
      <c r="J148" s="106"/>
      <c r="K148" s="106"/>
      <c r="L148" s="106"/>
      <c r="M148" s="106"/>
      <c r="N148" s="106"/>
      <c r="O148" s="106"/>
      <c r="P148" s="106"/>
    </row>
    <row r="149" spans="2:16">
      <c r="B149" s="106"/>
      <c r="C149" s="106"/>
      <c r="D149" s="106"/>
      <c r="E149" s="106"/>
      <c r="F149" s="106"/>
      <c r="G149" s="106"/>
      <c r="H149" s="106"/>
      <c r="I149" s="106"/>
      <c r="J149" s="106"/>
      <c r="K149" s="106"/>
      <c r="L149" s="106"/>
      <c r="M149" s="106"/>
      <c r="N149" s="106"/>
      <c r="O149" s="106"/>
      <c r="P149" s="106"/>
    </row>
    <row r="150" spans="2:16">
      <c r="B150" s="106"/>
      <c r="C150" s="106"/>
      <c r="D150" s="106"/>
      <c r="E150" s="106"/>
      <c r="F150" s="106"/>
      <c r="G150" s="106"/>
      <c r="H150" s="106"/>
      <c r="I150" s="106"/>
      <c r="J150" s="106"/>
      <c r="K150" s="106"/>
      <c r="L150" s="106"/>
      <c r="M150" s="106"/>
      <c r="N150" s="106"/>
      <c r="O150" s="106"/>
      <c r="P150" s="106"/>
    </row>
    <row r="151" spans="2:16">
      <c r="B151" s="106"/>
      <c r="C151" s="106"/>
      <c r="D151" s="106"/>
      <c r="E151" s="106"/>
      <c r="F151" s="106"/>
      <c r="G151" s="106"/>
      <c r="H151" s="106"/>
      <c r="I151" s="106"/>
      <c r="J151" s="106"/>
      <c r="K151" s="106"/>
      <c r="L151" s="106"/>
      <c r="M151" s="106"/>
      <c r="N151" s="106"/>
      <c r="O151" s="106"/>
      <c r="P151" s="106"/>
    </row>
    <row r="152" spans="2:16">
      <c r="B152" s="106"/>
      <c r="C152" s="106"/>
      <c r="D152" s="106"/>
      <c r="E152" s="106"/>
      <c r="F152" s="106"/>
      <c r="G152" s="106"/>
      <c r="H152" s="106"/>
      <c r="I152" s="106"/>
      <c r="J152" s="106"/>
      <c r="K152" s="106"/>
      <c r="L152" s="106"/>
      <c r="M152" s="106"/>
      <c r="N152" s="106"/>
      <c r="O152" s="106"/>
      <c r="P152" s="106"/>
    </row>
    <row r="153" spans="2:16">
      <c r="B153" s="106"/>
      <c r="C153" s="106"/>
      <c r="D153" s="106"/>
      <c r="E153" s="106"/>
      <c r="F153" s="106"/>
      <c r="G153" s="106"/>
      <c r="H153" s="106"/>
      <c r="I153" s="106"/>
      <c r="J153" s="106"/>
      <c r="K153" s="106"/>
      <c r="L153" s="106"/>
      <c r="M153" s="106"/>
      <c r="N153" s="106"/>
      <c r="O153" s="106"/>
      <c r="P153" s="106"/>
    </row>
    <row r="154" spans="2:16">
      <c r="B154" s="106"/>
      <c r="C154" s="106"/>
      <c r="D154" s="106"/>
      <c r="E154" s="106"/>
      <c r="F154" s="106"/>
      <c r="G154" s="106"/>
      <c r="H154" s="106"/>
      <c r="I154" s="106"/>
      <c r="J154" s="106"/>
      <c r="K154" s="106"/>
      <c r="L154" s="106"/>
      <c r="M154" s="106"/>
      <c r="N154" s="106"/>
      <c r="O154" s="106"/>
      <c r="P154" s="106"/>
    </row>
    <row r="155" spans="2:16">
      <c r="B155" s="106"/>
      <c r="C155" s="106"/>
      <c r="D155" s="106"/>
      <c r="E155" s="106"/>
      <c r="F155" s="106"/>
      <c r="G155" s="106"/>
      <c r="H155" s="106"/>
      <c r="I155" s="106"/>
      <c r="J155" s="106"/>
      <c r="K155" s="106"/>
      <c r="L155" s="106"/>
      <c r="M155" s="106"/>
      <c r="N155" s="106"/>
      <c r="O155" s="106"/>
      <c r="P155" s="106"/>
    </row>
    <row r="156" spans="2:16">
      <c r="B156" s="106"/>
      <c r="C156" s="106"/>
      <c r="D156" s="106"/>
      <c r="E156" s="106"/>
      <c r="F156" s="106"/>
      <c r="G156" s="106"/>
      <c r="H156" s="106"/>
      <c r="I156" s="106"/>
      <c r="J156" s="106"/>
      <c r="K156" s="106"/>
      <c r="L156" s="106"/>
      <c r="M156" s="106"/>
      <c r="N156" s="106"/>
      <c r="O156" s="106"/>
      <c r="P156" s="106"/>
    </row>
    <row r="157" spans="2:16">
      <c r="B157" s="106"/>
      <c r="C157" s="106"/>
      <c r="D157" s="106"/>
      <c r="E157" s="106"/>
      <c r="F157" s="106"/>
      <c r="G157" s="106"/>
      <c r="H157" s="106"/>
      <c r="I157" s="106"/>
      <c r="J157" s="106"/>
      <c r="K157" s="106"/>
      <c r="L157" s="106"/>
      <c r="M157" s="106"/>
      <c r="N157" s="106"/>
      <c r="O157" s="106"/>
      <c r="P157" s="106"/>
    </row>
    <row r="158" spans="2:16">
      <c r="B158" s="106"/>
      <c r="C158" s="106"/>
      <c r="D158" s="106"/>
      <c r="E158" s="106"/>
      <c r="F158" s="106"/>
      <c r="G158" s="106"/>
      <c r="H158" s="106"/>
      <c r="I158" s="106"/>
      <c r="J158" s="106"/>
      <c r="K158" s="106"/>
      <c r="L158" s="106"/>
      <c r="M158" s="106"/>
      <c r="N158" s="106"/>
      <c r="O158" s="106"/>
      <c r="P158" s="106"/>
    </row>
    <row r="159" spans="2:16">
      <c r="B159" s="106"/>
      <c r="C159" s="106"/>
      <c r="D159" s="106"/>
      <c r="E159" s="106"/>
      <c r="F159" s="106"/>
      <c r="G159" s="106"/>
      <c r="H159" s="106"/>
      <c r="I159" s="106"/>
      <c r="J159" s="106"/>
      <c r="K159" s="106"/>
      <c r="L159" s="106"/>
      <c r="M159" s="106"/>
      <c r="N159" s="106"/>
      <c r="O159" s="106"/>
      <c r="P159" s="106"/>
    </row>
    <row r="160" spans="2:16">
      <c r="B160" s="106"/>
      <c r="C160" s="106"/>
      <c r="D160" s="106"/>
      <c r="E160" s="106"/>
      <c r="F160" s="106"/>
      <c r="G160" s="106"/>
      <c r="H160" s="106"/>
      <c r="I160" s="106"/>
      <c r="J160" s="106"/>
      <c r="K160" s="106"/>
      <c r="L160" s="106"/>
      <c r="M160" s="106"/>
      <c r="N160" s="106"/>
      <c r="O160" s="106"/>
      <c r="P160" s="106"/>
    </row>
    <row r="161" spans="2:16">
      <c r="B161" s="106"/>
      <c r="C161" s="106"/>
      <c r="D161" s="106"/>
      <c r="E161" s="106"/>
      <c r="F161" s="106"/>
      <c r="G161" s="106"/>
      <c r="H161" s="106"/>
      <c r="I161" s="106"/>
      <c r="J161" s="106"/>
      <c r="K161" s="106"/>
      <c r="L161" s="106"/>
      <c r="M161" s="106"/>
      <c r="N161" s="106"/>
      <c r="O161" s="106"/>
      <c r="P161" s="106"/>
    </row>
    <row r="162" spans="2:16">
      <c r="B162" s="106"/>
      <c r="C162" s="106"/>
      <c r="D162" s="106"/>
      <c r="E162" s="106"/>
      <c r="F162" s="106"/>
      <c r="G162" s="106"/>
      <c r="H162" s="106"/>
      <c r="I162" s="106"/>
      <c r="J162" s="106"/>
      <c r="K162" s="106"/>
      <c r="L162" s="106"/>
      <c r="M162" s="106"/>
      <c r="N162" s="106"/>
      <c r="O162" s="106"/>
      <c r="P162" s="106"/>
    </row>
    <row r="163" spans="2:16">
      <c r="B163" s="106"/>
      <c r="C163" s="106"/>
      <c r="D163" s="106"/>
      <c r="E163" s="106"/>
      <c r="F163" s="106"/>
      <c r="G163" s="106"/>
      <c r="H163" s="106"/>
      <c r="I163" s="106"/>
      <c r="J163" s="106"/>
      <c r="K163" s="106"/>
      <c r="L163" s="106"/>
      <c r="M163" s="106"/>
      <c r="N163" s="106"/>
      <c r="O163" s="106"/>
      <c r="P163" s="106"/>
    </row>
    <row r="164" spans="2:16">
      <c r="B164" s="106"/>
      <c r="C164" s="106"/>
      <c r="D164" s="106"/>
      <c r="E164" s="106"/>
      <c r="F164" s="106"/>
      <c r="G164" s="106"/>
      <c r="H164" s="106"/>
      <c r="I164" s="106"/>
      <c r="J164" s="106"/>
      <c r="K164" s="106"/>
      <c r="L164" s="106"/>
      <c r="M164" s="106"/>
      <c r="N164" s="106"/>
      <c r="O164" s="106"/>
      <c r="P164" s="106"/>
    </row>
    <row r="165" spans="2:16">
      <c r="B165" s="106"/>
      <c r="C165" s="106"/>
      <c r="D165" s="106"/>
      <c r="E165" s="106"/>
      <c r="F165" s="106"/>
      <c r="G165" s="106"/>
      <c r="H165" s="106"/>
      <c r="I165" s="106"/>
      <c r="J165" s="106"/>
      <c r="K165" s="106"/>
      <c r="L165" s="106"/>
      <c r="M165" s="106"/>
      <c r="N165" s="106"/>
      <c r="O165" s="106"/>
      <c r="P165" s="106"/>
    </row>
    <row r="166" spans="2:16">
      <c r="B166" s="106"/>
      <c r="C166" s="106"/>
      <c r="D166" s="106"/>
      <c r="E166" s="106"/>
      <c r="F166" s="106"/>
      <c r="G166" s="106"/>
      <c r="H166" s="106"/>
      <c r="I166" s="106"/>
      <c r="J166" s="106"/>
      <c r="K166" s="106"/>
      <c r="L166" s="106"/>
      <c r="M166" s="106"/>
      <c r="N166" s="106"/>
      <c r="O166" s="106"/>
      <c r="P166" s="106"/>
    </row>
    <row r="167" spans="2:16">
      <c r="B167" s="106"/>
      <c r="C167" s="106"/>
      <c r="D167" s="106"/>
      <c r="E167" s="106"/>
      <c r="F167" s="106"/>
      <c r="G167" s="106"/>
      <c r="H167" s="106"/>
      <c r="I167" s="106"/>
      <c r="J167" s="106"/>
      <c r="K167" s="106"/>
      <c r="L167" s="106"/>
      <c r="M167" s="106"/>
      <c r="N167" s="106"/>
      <c r="O167" s="106"/>
      <c r="P167" s="106"/>
    </row>
    <row r="168" spans="2:16">
      <c r="B168" s="106"/>
      <c r="C168" s="106"/>
      <c r="D168" s="106"/>
      <c r="E168" s="106"/>
      <c r="F168" s="106"/>
      <c r="G168" s="106"/>
      <c r="H168" s="106"/>
      <c r="I168" s="106"/>
      <c r="J168" s="106"/>
      <c r="K168" s="106"/>
      <c r="L168" s="106"/>
      <c r="M168" s="106"/>
      <c r="N168" s="106"/>
      <c r="O168" s="106"/>
      <c r="P168" s="106"/>
    </row>
    <row r="169" spans="2:16">
      <c r="B169" s="106"/>
      <c r="C169" s="106"/>
      <c r="D169" s="106"/>
      <c r="E169" s="106"/>
      <c r="F169" s="106"/>
      <c r="G169" s="106"/>
      <c r="H169" s="106"/>
      <c r="I169" s="106"/>
      <c r="J169" s="106"/>
      <c r="K169" s="106"/>
      <c r="L169" s="106"/>
      <c r="M169" s="106"/>
      <c r="N169" s="106"/>
      <c r="O169" s="106"/>
      <c r="P169" s="106"/>
    </row>
    <row r="170" spans="2:16">
      <c r="B170" s="106"/>
      <c r="C170" s="106"/>
      <c r="D170" s="106"/>
      <c r="E170" s="106"/>
      <c r="F170" s="106"/>
      <c r="G170" s="106"/>
      <c r="H170" s="106"/>
      <c r="I170" s="106"/>
      <c r="J170" s="106"/>
      <c r="K170" s="106"/>
      <c r="L170" s="106"/>
      <c r="M170" s="106"/>
      <c r="N170" s="106"/>
      <c r="O170" s="106"/>
      <c r="P170" s="106"/>
    </row>
    <row r="171" spans="2:16">
      <c r="B171" s="106"/>
      <c r="C171" s="106"/>
      <c r="D171" s="106"/>
      <c r="E171" s="106"/>
      <c r="F171" s="106"/>
      <c r="G171" s="106"/>
      <c r="H171" s="106"/>
      <c r="I171" s="106"/>
      <c r="J171" s="106"/>
      <c r="K171" s="106"/>
      <c r="L171" s="106"/>
      <c r="M171" s="106"/>
      <c r="N171" s="106"/>
      <c r="O171" s="106"/>
      <c r="P171" s="106"/>
    </row>
    <row r="172" spans="2:16">
      <c r="B172" s="106"/>
      <c r="C172" s="106"/>
      <c r="D172" s="106"/>
      <c r="E172" s="106"/>
      <c r="F172" s="106"/>
      <c r="G172" s="106"/>
      <c r="H172" s="106"/>
      <c r="I172" s="106"/>
      <c r="J172" s="106"/>
      <c r="K172" s="106"/>
      <c r="L172" s="106"/>
      <c r="M172" s="106"/>
      <c r="N172" s="106"/>
      <c r="O172" s="106"/>
      <c r="P172" s="106"/>
    </row>
    <row r="173" spans="2:16">
      <c r="B173" s="106"/>
      <c r="C173" s="106"/>
      <c r="D173" s="106"/>
      <c r="E173" s="106"/>
      <c r="F173" s="106"/>
      <c r="G173" s="106"/>
      <c r="H173" s="106"/>
      <c r="I173" s="106"/>
      <c r="J173" s="106"/>
      <c r="K173" s="106"/>
      <c r="L173" s="106"/>
      <c r="M173" s="106"/>
      <c r="N173" s="106"/>
      <c r="O173" s="106"/>
      <c r="P173" s="106"/>
    </row>
    <row r="174" spans="2:16">
      <c r="B174" s="106"/>
      <c r="C174" s="106"/>
      <c r="D174" s="106"/>
      <c r="E174" s="106"/>
      <c r="F174" s="106"/>
      <c r="G174" s="106"/>
      <c r="H174" s="106"/>
      <c r="I174" s="106"/>
      <c r="J174" s="106"/>
      <c r="K174" s="106"/>
      <c r="L174" s="106"/>
      <c r="M174" s="106"/>
      <c r="N174" s="106"/>
      <c r="O174" s="106"/>
      <c r="P174" s="106"/>
    </row>
    <row r="175" spans="2:16">
      <c r="B175" s="106"/>
      <c r="C175" s="106"/>
      <c r="D175" s="106"/>
      <c r="E175" s="106"/>
      <c r="F175" s="106"/>
      <c r="G175" s="106"/>
      <c r="H175" s="106"/>
      <c r="I175" s="106"/>
      <c r="J175" s="106"/>
      <c r="K175" s="106"/>
      <c r="L175" s="106"/>
      <c r="M175" s="106"/>
      <c r="N175" s="106"/>
      <c r="O175" s="106"/>
      <c r="P175" s="106"/>
    </row>
    <row r="176" spans="2:16">
      <c r="B176" s="106"/>
      <c r="C176" s="106"/>
      <c r="D176" s="106"/>
      <c r="E176" s="106"/>
      <c r="F176" s="106"/>
      <c r="G176" s="106"/>
      <c r="H176" s="106"/>
      <c r="I176" s="106"/>
      <c r="J176" s="106"/>
      <c r="K176" s="106"/>
      <c r="L176" s="106"/>
      <c r="M176" s="106"/>
      <c r="N176" s="106"/>
      <c r="O176" s="106"/>
      <c r="P176" s="106"/>
    </row>
    <row r="177" spans="2:16">
      <c r="B177" s="106"/>
      <c r="C177" s="106"/>
      <c r="D177" s="106"/>
      <c r="E177" s="106"/>
      <c r="F177" s="106"/>
      <c r="G177" s="106"/>
      <c r="H177" s="106"/>
      <c r="I177" s="106"/>
      <c r="J177" s="106"/>
      <c r="K177" s="106"/>
      <c r="L177" s="106"/>
      <c r="M177" s="106"/>
      <c r="N177" s="106"/>
      <c r="O177" s="106"/>
      <c r="P177" s="106"/>
    </row>
    <row r="178" spans="2:16">
      <c r="B178" s="106"/>
      <c r="C178" s="106"/>
      <c r="D178" s="106"/>
      <c r="E178" s="106"/>
      <c r="F178" s="106"/>
      <c r="G178" s="106"/>
      <c r="H178" s="106"/>
      <c r="I178" s="106"/>
      <c r="J178" s="106"/>
      <c r="K178" s="106"/>
      <c r="L178" s="106"/>
      <c r="M178" s="106"/>
      <c r="N178" s="106"/>
      <c r="O178" s="106"/>
      <c r="P178" s="106"/>
    </row>
    <row r="179" spans="2:16">
      <c r="B179" s="106"/>
      <c r="C179" s="106"/>
      <c r="D179" s="106"/>
      <c r="E179" s="106"/>
      <c r="F179" s="106"/>
      <c r="G179" s="106"/>
      <c r="H179" s="106"/>
      <c r="I179" s="106"/>
      <c r="J179" s="106"/>
      <c r="K179" s="106"/>
      <c r="L179" s="106"/>
      <c r="M179" s="106"/>
      <c r="N179" s="106"/>
      <c r="O179" s="106"/>
      <c r="P179" s="106"/>
    </row>
    <row r="180" spans="2:16">
      <c r="B180" s="106"/>
      <c r="C180" s="106"/>
      <c r="D180" s="106"/>
      <c r="E180" s="106"/>
      <c r="F180" s="106"/>
      <c r="G180" s="106"/>
      <c r="H180" s="106"/>
      <c r="I180" s="106"/>
      <c r="J180" s="106"/>
      <c r="K180" s="106"/>
      <c r="L180" s="106"/>
      <c r="M180" s="106"/>
      <c r="N180" s="106"/>
      <c r="O180" s="106"/>
      <c r="P180" s="106"/>
    </row>
    <row r="181" spans="2:16">
      <c r="B181" s="106"/>
      <c r="C181" s="106"/>
      <c r="D181" s="106"/>
      <c r="E181" s="106"/>
      <c r="F181" s="106"/>
      <c r="G181" s="106"/>
      <c r="H181" s="106"/>
      <c r="I181" s="106"/>
      <c r="J181" s="106"/>
      <c r="K181" s="106"/>
      <c r="L181" s="106"/>
      <c r="M181" s="106"/>
      <c r="N181" s="106"/>
      <c r="O181" s="106"/>
      <c r="P181" s="106"/>
    </row>
    <row r="182" spans="2:16">
      <c r="B182" s="106"/>
      <c r="C182" s="106"/>
      <c r="D182" s="106"/>
      <c r="E182" s="106"/>
      <c r="F182" s="106"/>
      <c r="G182" s="106"/>
      <c r="H182" s="106"/>
      <c r="I182" s="106"/>
      <c r="J182" s="106"/>
      <c r="K182" s="106"/>
      <c r="L182" s="106"/>
      <c r="M182" s="106"/>
      <c r="N182" s="106"/>
      <c r="O182" s="106"/>
      <c r="P182" s="106"/>
    </row>
    <row r="183" spans="2:16">
      <c r="B183" s="106"/>
      <c r="C183" s="106"/>
      <c r="D183" s="106"/>
      <c r="E183" s="106"/>
      <c r="F183" s="106"/>
      <c r="G183" s="106"/>
      <c r="H183" s="106"/>
      <c r="I183" s="106"/>
      <c r="J183" s="106"/>
      <c r="K183" s="106"/>
      <c r="L183" s="106"/>
      <c r="M183" s="106"/>
      <c r="N183" s="106"/>
      <c r="O183" s="106"/>
      <c r="P183" s="106"/>
    </row>
    <row r="184" spans="2:16">
      <c r="B184" s="106"/>
      <c r="C184" s="106"/>
      <c r="D184" s="106"/>
      <c r="E184" s="106"/>
      <c r="F184" s="106"/>
      <c r="G184" s="106"/>
      <c r="H184" s="106"/>
      <c r="I184" s="106"/>
      <c r="J184" s="106"/>
      <c r="K184" s="106"/>
      <c r="L184" s="106"/>
      <c r="M184" s="106"/>
      <c r="N184" s="106"/>
      <c r="O184" s="106"/>
      <c r="P184" s="106"/>
    </row>
    <row r="185" spans="2:16">
      <c r="B185" s="106"/>
      <c r="C185" s="106"/>
      <c r="D185" s="106"/>
      <c r="E185" s="106"/>
      <c r="F185" s="106"/>
      <c r="G185" s="106"/>
      <c r="H185" s="106"/>
      <c r="I185" s="106"/>
      <c r="J185" s="106"/>
      <c r="K185" s="106"/>
      <c r="L185" s="106"/>
      <c r="M185" s="106"/>
      <c r="N185" s="106"/>
      <c r="O185" s="106"/>
      <c r="P185" s="106"/>
    </row>
    <row r="186" spans="2:16">
      <c r="B186" s="106"/>
      <c r="C186" s="106"/>
      <c r="D186" s="106"/>
      <c r="E186" s="106"/>
      <c r="F186" s="106"/>
      <c r="G186" s="106"/>
      <c r="H186" s="106"/>
      <c r="I186" s="106"/>
      <c r="J186" s="106"/>
      <c r="K186" s="106"/>
      <c r="L186" s="106"/>
      <c r="M186" s="106"/>
      <c r="N186" s="106"/>
      <c r="O186" s="106"/>
      <c r="P186" s="106"/>
    </row>
    <row r="187" spans="2:16">
      <c r="B187" s="106"/>
      <c r="C187" s="106"/>
      <c r="D187" s="106"/>
      <c r="E187" s="106"/>
      <c r="F187" s="106"/>
      <c r="G187" s="106"/>
      <c r="H187" s="106"/>
      <c r="I187" s="106"/>
      <c r="J187" s="106"/>
      <c r="K187" s="106"/>
      <c r="L187" s="106"/>
      <c r="M187" s="106"/>
      <c r="N187" s="106"/>
      <c r="O187" s="106"/>
      <c r="P187" s="106"/>
    </row>
    <row r="188" spans="2:16">
      <c r="B188" s="106"/>
      <c r="C188" s="106"/>
      <c r="D188" s="106"/>
      <c r="E188" s="106"/>
      <c r="F188" s="106"/>
      <c r="G188" s="106"/>
      <c r="H188" s="106"/>
      <c r="I188" s="106"/>
      <c r="J188" s="106"/>
      <c r="K188" s="106"/>
      <c r="L188" s="106"/>
      <c r="M188" s="106"/>
      <c r="N188" s="106"/>
      <c r="O188" s="106"/>
      <c r="P188" s="106"/>
    </row>
    <row r="189" spans="2:16">
      <c r="B189" s="106"/>
      <c r="C189" s="106"/>
      <c r="D189" s="106"/>
      <c r="E189" s="106"/>
      <c r="F189" s="106"/>
      <c r="G189" s="106"/>
      <c r="H189" s="106"/>
      <c r="I189" s="106"/>
      <c r="J189" s="106"/>
      <c r="K189" s="106"/>
      <c r="L189" s="106"/>
      <c r="M189" s="106"/>
      <c r="N189" s="106"/>
      <c r="O189" s="106"/>
      <c r="P189" s="106"/>
    </row>
    <row r="190" spans="2:16">
      <c r="B190" s="106"/>
      <c r="C190" s="106"/>
      <c r="D190" s="106"/>
      <c r="E190" s="106"/>
      <c r="F190" s="106"/>
      <c r="G190" s="106"/>
      <c r="H190" s="106"/>
      <c r="I190" s="106"/>
      <c r="J190" s="106"/>
      <c r="K190" s="106"/>
      <c r="L190" s="106"/>
      <c r="M190" s="106"/>
      <c r="N190" s="106"/>
      <c r="O190" s="106"/>
      <c r="P190" s="106"/>
    </row>
    <row r="191" spans="2:16">
      <c r="B191" s="106"/>
      <c r="C191" s="106"/>
      <c r="D191" s="106"/>
      <c r="E191" s="106"/>
      <c r="F191" s="106"/>
      <c r="G191" s="106"/>
      <c r="H191" s="106"/>
      <c r="I191" s="106"/>
      <c r="J191" s="106"/>
      <c r="K191" s="106"/>
      <c r="L191" s="106"/>
      <c r="M191" s="106"/>
      <c r="N191" s="106"/>
      <c r="O191" s="106"/>
      <c r="P191" s="106"/>
    </row>
    <row r="192" spans="2:16">
      <c r="B192" s="106"/>
      <c r="C192" s="106"/>
      <c r="D192" s="106"/>
      <c r="E192" s="106"/>
      <c r="F192" s="106"/>
      <c r="G192" s="106"/>
      <c r="H192" s="106"/>
      <c r="I192" s="106"/>
      <c r="J192" s="106"/>
      <c r="K192" s="106"/>
      <c r="L192" s="106"/>
      <c r="M192" s="106"/>
      <c r="N192" s="106"/>
      <c r="O192" s="106"/>
      <c r="P192" s="106"/>
    </row>
    <row r="193" spans="2:16">
      <c r="B193" s="106"/>
      <c r="C193" s="106"/>
      <c r="D193" s="106"/>
      <c r="E193" s="106"/>
      <c r="F193" s="106"/>
      <c r="G193" s="106"/>
      <c r="H193" s="106"/>
      <c r="I193" s="106"/>
      <c r="J193" s="106"/>
      <c r="K193" s="106"/>
      <c r="L193" s="106"/>
      <c r="M193" s="106"/>
      <c r="N193" s="106"/>
      <c r="O193" s="106"/>
      <c r="P193" s="106"/>
    </row>
    <row r="194" spans="2:16">
      <c r="B194" s="106"/>
      <c r="C194" s="106"/>
      <c r="D194" s="106"/>
      <c r="E194" s="106"/>
      <c r="F194" s="106"/>
      <c r="G194" s="106"/>
      <c r="H194" s="106"/>
      <c r="I194" s="106"/>
      <c r="J194" s="106"/>
      <c r="K194" s="106"/>
      <c r="L194" s="106"/>
      <c r="M194" s="106"/>
      <c r="N194" s="106"/>
      <c r="O194" s="106"/>
      <c r="P194" s="106"/>
    </row>
    <row r="195" spans="2:16">
      <c r="B195" s="106"/>
      <c r="C195" s="106"/>
      <c r="D195" s="106"/>
      <c r="E195" s="106"/>
      <c r="F195" s="106"/>
      <c r="G195" s="106"/>
      <c r="H195" s="106"/>
      <c r="I195" s="106"/>
      <c r="J195" s="106"/>
      <c r="K195" s="106"/>
      <c r="L195" s="106"/>
      <c r="M195" s="106"/>
      <c r="N195" s="106"/>
      <c r="O195" s="106"/>
      <c r="P195" s="106"/>
    </row>
    <row r="196" spans="2:16">
      <c r="B196" s="106"/>
      <c r="C196" s="106"/>
      <c r="D196" s="106"/>
      <c r="E196" s="106"/>
      <c r="F196" s="106"/>
      <c r="G196" s="106"/>
      <c r="H196" s="106"/>
      <c r="I196" s="106"/>
      <c r="J196" s="106"/>
      <c r="K196" s="106"/>
      <c r="L196" s="106"/>
      <c r="M196" s="106"/>
      <c r="N196" s="106"/>
      <c r="O196" s="106"/>
      <c r="P196" s="106"/>
    </row>
    <row r="197" spans="2:16">
      <c r="B197" s="106"/>
      <c r="C197" s="106"/>
      <c r="D197" s="106"/>
      <c r="E197" s="106"/>
      <c r="F197" s="106"/>
      <c r="G197" s="106"/>
      <c r="H197" s="106"/>
      <c r="I197" s="106"/>
      <c r="J197" s="106"/>
      <c r="K197" s="106"/>
      <c r="L197" s="106"/>
      <c r="M197" s="106"/>
      <c r="N197" s="106"/>
      <c r="O197" s="106"/>
      <c r="P197" s="106"/>
    </row>
    <row r="198" spans="2:16">
      <c r="B198" s="106"/>
      <c r="C198" s="106"/>
      <c r="D198" s="106"/>
      <c r="E198" s="106"/>
      <c r="F198" s="106"/>
      <c r="G198" s="106"/>
      <c r="H198" s="106"/>
      <c r="I198" s="106"/>
      <c r="J198" s="106"/>
      <c r="K198" s="106"/>
      <c r="L198" s="106"/>
      <c r="M198" s="106"/>
      <c r="N198" s="106"/>
      <c r="O198" s="106"/>
      <c r="P198" s="106"/>
    </row>
    <row r="199" spans="2:16">
      <c r="B199" s="106"/>
      <c r="C199" s="106"/>
      <c r="D199" s="106"/>
      <c r="E199" s="106"/>
      <c r="F199" s="106"/>
      <c r="G199" s="106"/>
      <c r="H199" s="106"/>
      <c r="I199" s="106"/>
      <c r="J199" s="106"/>
      <c r="K199" s="106"/>
      <c r="L199" s="106"/>
      <c r="M199" s="106"/>
      <c r="N199" s="106"/>
      <c r="O199" s="106"/>
      <c r="P199" s="106"/>
    </row>
    <row r="200" spans="2:16">
      <c r="B200" s="106"/>
      <c r="C200" s="106"/>
      <c r="D200" s="106"/>
      <c r="E200" s="106"/>
      <c r="F200" s="106"/>
      <c r="G200" s="106"/>
      <c r="H200" s="106"/>
      <c r="I200" s="106"/>
      <c r="J200" s="106"/>
      <c r="K200" s="106"/>
      <c r="L200" s="106"/>
      <c r="M200" s="106"/>
      <c r="N200" s="106"/>
      <c r="O200" s="106"/>
      <c r="P200" s="106"/>
    </row>
    <row r="201" spans="2:16">
      <c r="B201" s="106"/>
      <c r="C201" s="106"/>
      <c r="D201" s="106"/>
      <c r="E201" s="106"/>
      <c r="F201" s="106"/>
      <c r="G201" s="106"/>
      <c r="H201" s="106"/>
      <c r="I201" s="106"/>
      <c r="J201" s="106"/>
      <c r="K201" s="106"/>
      <c r="L201" s="106"/>
      <c r="M201" s="106"/>
      <c r="N201" s="106"/>
      <c r="O201" s="106"/>
      <c r="P201" s="106"/>
    </row>
    <row r="202" spans="2:16">
      <c r="B202" s="106"/>
      <c r="C202" s="106"/>
      <c r="D202" s="106"/>
      <c r="E202" s="106"/>
      <c r="F202" s="106"/>
      <c r="G202" s="106"/>
      <c r="H202" s="106"/>
      <c r="I202" s="106"/>
      <c r="J202" s="106"/>
      <c r="K202" s="106"/>
      <c r="L202" s="106"/>
      <c r="M202" s="106"/>
      <c r="N202" s="106"/>
      <c r="O202" s="106"/>
      <c r="P202" s="106"/>
    </row>
    <row r="203" spans="2:16">
      <c r="B203" s="106"/>
      <c r="C203" s="106"/>
      <c r="D203" s="106"/>
      <c r="E203" s="106"/>
      <c r="F203" s="106"/>
      <c r="G203" s="106"/>
      <c r="H203" s="106"/>
      <c r="I203" s="106"/>
      <c r="J203" s="106"/>
      <c r="K203" s="106"/>
      <c r="L203" s="106"/>
      <c r="M203" s="106"/>
      <c r="N203" s="106"/>
      <c r="O203" s="106"/>
      <c r="P203" s="106"/>
    </row>
    <row r="204" spans="2:16">
      <c r="B204" s="106"/>
      <c r="C204" s="106"/>
      <c r="D204" s="106"/>
      <c r="E204" s="106"/>
      <c r="F204" s="106"/>
      <c r="G204" s="106"/>
      <c r="H204" s="106"/>
      <c r="I204" s="106"/>
      <c r="J204" s="106"/>
      <c r="K204" s="106"/>
      <c r="L204" s="106"/>
      <c r="M204" s="106"/>
      <c r="N204" s="106"/>
      <c r="O204" s="106"/>
      <c r="P204" s="106"/>
    </row>
    <row r="205" spans="2:16">
      <c r="B205" s="106"/>
      <c r="C205" s="106"/>
      <c r="D205" s="106"/>
      <c r="E205" s="106"/>
      <c r="F205" s="106"/>
      <c r="G205" s="106"/>
      <c r="H205" s="106"/>
      <c r="I205" s="106"/>
      <c r="J205" s="106"/>
      <c r="K205" s="106"/>
      <c r="L205" s="106"/>
      <c r="M205" s="106"/>
      <c r="N205" s="106"/>
      <c r="O205" s="106"/>
      <c r="P205" s="106"/>
    </row>
    <row r="206" spans="2:16">
      <c r="B206" s="106"/>
      <c r="C206" s="106"/>
      <c r="D206" s="106"/>
      <c r="E206" s="106"/>
      <c r="F206" s="106"/>
      <c r="G206" s="106"/>
      <c r="H206" s="106"/>
      <c r="I206" s="106"/>
      <c r="J206" s="106"/>
      <c r="K206" s="106"/>
      <c r="L206" s="106"/>
      <c r="M206" s="106"/>
      <c r="N206" s="106"/>
      <c r="O206" s="106"/>
      <c r="P206" s="106"/>
    </row>
    <row r="207" spans="2:16">
      <c r="B207" s="106"/>
      <c r="C207" s="106"/>
      <c r="D207" s="106"/>
      <c r="E207" s="106"/>
      <c r="F207" s="106"/>
      <c r="G207" s="106"/>
      <c r="H207" s="106"/>
      <c r="I207" s="106"/>
      <c r="J207" s="106"/>
      <c r="K207" s="106"/>
      <c r="L207" s="106"/>
      <c r="M207" s="106"/>
      <c r="N207" s="106"/>
      <c r="O207" s="106"/>
      <c r="P207" s="106"/>
    </row>
    <row r="208" spans="2:16">
      <c r="B208" s="106"/>
      <c r="C208" s="106"/>
      <c r="D208" s="106"/>
      <c r="E208" s="106"/>
      <c r="F208" s="106"/>
      <c r="G208" s="106"/>
      <c r="H208" s="106"/>
      <c r="I208" s="106"/>
      <c r="J208" s="106"/>
      <c r="K208" s="106"/>
      <c r="L208" s="106"/>
      <c r="M208" s="106"/>
      <c r="N208" s="106"/>
      <c r="O208" s="106"/>
      <c r="P208" s="106"/>
    </row>
    <row r="209" spans="2:16">
      <c r="B209" s="106"/>
      <c r="C209" s="106"/>
      <c r="D209" s="106"/>
      <c r="E209" s="106"/>
      <c r="F209" s="106"/>
      <c r="G209" s="106"/>
      <c r="H209" s="106"/>
      <c r="I209" s="106"/>
      <c r="J209" s="106"/>
      <c r="K209" s="106"/>
      <c r="L209" s="106"/>
      <c r="M209" s="106"/>
      <c r="N209" s="106"/>
      <c r="O209" s="106"/>
      <c r="P209" s="106"/>
    </row>
    <row r="210" spans="2:16">
      <c r="B210" s="106"/>
      <c r="C210" s="106"/>
      <c r="D210" s="106"/>
      <c r="E210" s="106"/>
      <c r="F210" s="106"/>
      <c r="G210" s="106"/>
      <c r="H210" s="106"/>
      <c r="I210" s="106"/>
      <c r="J210" s="106"/>
      <c r="K210" s="106"/>
      <c r="L210" s="106"/>
      <c r="M210" s="106"/>
      <c r="N210" s="106"/>
      <c r="O210" s="106"/>
      <c r="P210" s="106"/>
    </row>
    <row r="211" spans="2:16">
      <c r="B211" s="106"/>
      <c r="C211" s="106"/>
      <c r="D211" s="106"/>
      <c r="E211" s="106"/>
      <c r="F211" s="106"/>
      <c r="G211" s="106"/>
      <c r="H211" s="106"/>
      <c r="I211" s="106"/>
      <c r="J211" s="106"/>
      <c r="K211" s="106"/>
      <c r="L211" s="106"/>
      <c r="M211" s="106"/>
      <c r="N211" s="106"/>
      <c r="O211" s="106"/>
      <c r="P211" s="106"/>
    </row>
    <row r="212" spans="2:16">
      <c r="B212" s="106"/>
      <c r="C212" s="106"/>
      <c r="D212" s="106"/>
      <c r="E212" s="106"/>
      <c r="F212" s="106"/>
      <c r="G212" s="106"/>
      <c r="H212" s="106"/>
      <c r="I212" s="106"/>
      <c r="J212" s="106"/>
      <c r="K212" s="106"/>
      <c r="L212" s="106"/>
      <c r="M212" s="106"/>
      <c r="N212" s="106"/>
      <c r="O212" s="106"/>
      <c r="P212" s="106"/>
    </row>
    <row r="213" spans="2:16">
      <c r="B213" s="106"/>
      <c r="C213" s="106"/>
      <c r="D213" s="106"/>
      <c r="E213" s="106"/>
      <c r="F213" s="106"/>
      <c r="G213" s="106"/>
      <c r="H213" s="106"/>
      <c r="I213" s="106"/>
      <c r="J213" s="106"/>
      <c r="K213" s="106"/>
      <c r="L213" s="106"/>
      <c r="M213" s="106"/>
      <c r="N213" s="106"/>
      <c r="O213" s="106"/>
      <c r="P213" s="106"/>
    </row>
    <row r="214" spans="2:16">
      <c r="B214" s="106"/>
      <c r="C214" s="106"/>
      <c r="D214" s="106"/>
      <c r="E214" s="106"/>
      <c r="F214" s="106"/>
      <c r="G214" s="106"/>
      <c r="H214" s="106"/>
      <c r="I214" s="106"/>
      <c r="J214" s="106"/>
      <c r="K214" s="106"/>
      <c r="L214" s="106"/>
      <c r="M214" s="106"/>
      <c r="N214" s="106"/>
      <c r="O214" s="106"/>
      <c r="P214" s="106"/>
    </row>
    <row r="215" spans="2:16">
      <c r="B215" s="106"/>
      <c r="C215" s="106"/>
      <c r="D215" s="106"/>
      <c r="E215" s="106"/>
      <c r="F215" s="106"/>
      <c r="G215" s="106"/>
      <c r="H215" s="106"/>
      <c r="I215" s="106"/>
      <c r="J215" s="106"/>
      <c r="K215" s="106"/>
      <c r="L215" s="106"/>
      <c r="M215" s="106"/>
      <c r="N215" s="106"/>
      <c r="O215" s="106"/>
      <c r="P215" s="106"/>
    </row>
    <row r="216" spans="2:16">
      <c r="B216" s="106"/>
      <c r="C216" s="106"/>
      <c r="D216" s="106"/>
      <c r="E216" s="106"/>
      <c r="F216" s="106"/>
      <c r="G216" s="106"/>
      <c r="H216" s="106"/>
      <c r="I216" s="106"/>
      <c r="J216" s="106"/>
      <c r="K216" s="106"/>
      <c r="L216" s="106"/>
      <c r="M216" s="106"/>
      <c r="N216" s="106"/>
      <c r="O216" s="106"/>
      <c r="P216" s="106"/>
    </row>
    <row r="217" spans="2:16">
      <c r="B217" s="106"/>
      <c r="C217" s="106"/>
      <c r="D217" s="106"/>
      <c r="E217" s="106"/>
      <c r="F217" s="106"/>
      <c r="G217" s="106"/>
      <c r="H217" s="106"/>
      <c r="I217" s="106"/>
      <c r="J217" s="106"/>
      <c r="K217" s="106"/>
      <c r="L217" s="106"/>
      <c r="M217" s="106"/>
      <c r="N217" s="106"/>
      <c r="O217" s="106"/>
      <c r="P217" s="106"/>
    </row>
    <row r="218" spans="2:16">
      <c r="B218" s="106"/>
      <c r="C218" s="106"/>
      <c r="D218" s="106"/>
      <c r="E218" s="106"/>
      <c r="F218" s="106"/>
      <c r="G218" s="106"/>
      <c r="H218" s="106"/>
      <c r="I218" s="106"/>
      <c r="J218" s="106"/>
      <c r="K218" s="106"/>
      <c r="L218" s="106"/>
      <c r="M218" s="106"/>
      <c r="N218" s="106"/>
      <c r="O218" s="106"/>
      <c r="P218" s="106"/>
    </row>
    <row r="219" spans="2:16">
      <c r="B219" s="106"/>
      <c r="C219" s="106"/>
      <c r="D219" s="106"/>
      <c r="E219" s="106"/>
      <c r="F219" s="106"/>
      <c r="G219" s="106"/>
      <c r="H219" s="106"/>
      <c r="I219" s="106"/>
      <c r="J219" s="106"/>
      <c r="K219" s="106"/>
      <c r="L219" s="106"/>
      <c r="M219" s="106"/>
      <c r="N219" s="106"/>
      <c r="O219" s="106"/>
      <c r="P219" s="106"/>
    </row>
    <row r="220" spans="2:16">
      <c r="B220" s="106"/>
      <c r="C220" s="106"/>
      <c r="D220" s="106"/>
      <c r="E220" s="106"/>
      <c r="F220" s="106"/>
      <c r="G220" s="106"/>
      <c r="H220" s="106"/>
      <c r="I220" s="106"/>
      <c r="J220" s="106"/>
      <c r="K220" s="106"/>
      <c r="L220" s="106"/>
      <c r="M220" s="106"/>
      <c r="N220" s="106"/>
      <c r="O220" s="106"/>
      <c r="P220" s="106"/>
    </row>
    <row r="221" spans="2:16">
      <c r="B221" s="106"/>
      <c r="C221" s="106"/>
      <c r="D221" s="106"/>
      <c r="E221" s="106"/>
      <c r="F221" s="106"/>
      <c r="G221" s="106"/>
      <c r="H221" s="106"/>
      <c r="I221" s="106"/>
      <c r="J221" s="106"/>
      <c r="K221" s="106"/>
      <c r="L221" s="106"/>
      <c r="M221" s="106"/>
      <c r="N221" s="106"/>
      <c r="O221" s="106"/>
      <c r="P221" s="106"/>
    </row>
    <row r="222" spans="2:16">
      <c r="B222" s="106"/>
      <c r="C222" s="106"/>
      <c r="D222" s="106"/>
      <c r="E222" s="106"/>
      <c r="F222" s="106"/>
      <c r="G222" s="106"/>
      <c r="H222" s="106"/>
      <c r="I222" s="106"/>
      <c r="J222" s="106"/>
      <c r="K222" s="106"/>
      <c r="L222" s="106"/>
      <c r="M222" s="106"/>
      <c r="N222" s="106"/>
      <c r="O222" s="106"/>
      <c r="P222" s="106"/>
    </row>
    <row r="223" spans="2:16">
      <c r="B223" s="106"/>
      <c r="C223" s="106"/>
      <c r="D223" s="106"/>
      <c r="E223" s="106"/>
      <c r="F223" s="106"/>
      <c r="G223" s="106"/>
      <c r="H223" s="106"/>
      <c r="I223" s="106"/>
      <c r="J223" s="106"/>
      <c r="K223" s="106"/>
      <c r="L223" s="106"/>
      <c r="M223" s="106"/>
      <c r="N223" s="106"/>
      <c r="O223" s="106"/>
      <c r="P223" s="106"/>
    </row>
    <row r="224" spans="2:16">
      <c r="B224" s="106"/>
      <c r="C224" s="106"/>
      <c r="D224" s="106"/>
      <c r="E224" s="106"/>
      <c r="F224" s="106"/>
      <c r="G224" s="106"/>
      <c r="H224" s="106"/>
      <c r="I224" s="106"/>
      <c r="J224" s="106"/>
      <c r="K224" s="106"/>
      <c r="L224" s="106"/>
      <c r="M224" s="106"/>
      <c r="N224" s="106"/>
      <c r="O224" s="106"/>
      <c r="P224" s="106"/>
    </row>
    <row r="225" spans="2:16">
      <c r="B225" s="106"/>
      <c r="C225" s="106"/>
      <c r="D225" s="106"/>
      <c r="E225" s="106"/>
      <c r="F225" s="106"/>
      <c r="G225" s="106"/>
      <c r="H225" s="106"/>
      <c r="I225" s="106"/>
      <c r="J225" s="106"/>
      <c r="K225" s="106"/>
      <c r="L225" s="106"/>
      <c r="M225" s="106"/>
      <c r="N225" s="106"/>
      <c r="O225" s="106"/>
      <c r="P225" s="106"/>
    </row>
    <row r="226" spans="2:16">
      <c r="B226" s="106"/>
      <c r="C226" s="106"/>
      <c r="D226" s="106"/>
      <c r="E226" s="106"/>
      <c r="F226" s="106"/>
      <c r="G226" s="106"/>
      <c r="H226" s="106"/>
      <c r="I226" s="106"/>
      <c r="J226" s="106"/>
      <c r="K226" s="106"/>
      <c r="L226" s="106"/>
      <c r="M226" s="106"/>
      <c r="N226" s="106"/>
      <c r="O226" s="106"/>
      <c r="P226" s="106"/>
    </row>
    <row r="227" spans="2:16">
      <c r="B227" s="106"/>
      <c r="C227" s="106"/>
      <c r="D227" s="106"/>
      <c r="E227" s="106"/>
      <c r="F227" s="106"/>
      <c r="G227" s="106"/>
      <c r="H227" s="106"/>
      <c r="I227" s="106"/>
      <c r="J227" s="106"/>
      <c r="K227" s="106"/>
      <c r="L227" s="106"/>
      <c r="M227" s="106"/>
      <c r="N227" s="106"/>
      <c r="O227" s="106"/>
      <c r="P227" s="106"/>
    </row>
    <row r="228" spans="2:16">
      <c r="B228" s="106"/>
      <c r="C228" s="106"/>
      <c r="D228" s="106"/>
      <c r="E228" s="106"/>
      <c r="F228" s="106"/>
      <c r="G228" s="106"/>
      <c r="H228" s="106"/>
      <c r="I228" s="106"/>
      <c r="J228" s="106"/>
      <c r="K228" s="106"/>
      <c r="L228" s="106"/>
      <c r="M228" s="106"/>
      <c r="N228" s="106"/>
      <c r="O228" s="106"/>
      <c r="P228" s="106"/>
    </row>
    <row r="229" spans="2:16">
      <c r="B229" s="106"/>
      <c r="C229" s="106"/>
      <c r="D229" s="106"/>
      <c r="E229" s="106"/>
      <c r="F229" s="106"/>
      <c r="G229" s="106"/>
      <c r="H229" s="106"/>
      <c r="I229" s="106"/>
      <c r="J229" s="106"/>
      <c r="K229" s="106"/>
      <c r="L229" s="106"/>
      <c r="M229" s="106"/>
      <c r="N229" s="106"/>
      <c r="O229" s="106"/>
      <c r="P229" s="106"/>
    </row>
    <row r="230" spans="2:16">
      <c r="B230" s="106"/>
      <c r="C230" s="106"/>
      <c r="D230" s="106"/>
      <c r="E230" s="106"/>
      <c r="F230" s="106"/>
      <c r="G230" s="106"/>
      <c r="H230" s="106"/>
      <c r="I230" s="106"/>
      <c r="J230" s="106"/>
      <c r="K230" s="106"/>
      <c r="L230" s="106"/>
      <c r="M230" s="106"/>
      <c r="N230" s="106"/>
      <c r="O230" s="106"/>
      <c r="P230" s="106"/>
    </row>
    <row r="231" spans="2:16">
      <c r="B231" s="106"/>
      <c r="C231" s="106"/>
      <c r="D231" s="106"/>
      <c r="E231" s="106"/>
      <c r="F231" s="106"/>
      <c r="G231" s="106"/>
      <c r="H231" s="106"/>
      <c r="I231" s="106"/>
      <c r="J231" s="106"/>
      <c r="K231" s="106"/>
      <c r="L231" s="106"/>
      <c r="M231" s="106"/>
      <c r="N231" s="106"/>
      <c r="O231" s="106"/>
      <c r="P231" s="106"/>
    </row>
    <row r="232" spans="2:16">
      <c r="B232" s="106"/>
      <c r="C232" s="106"/>
      <c r="D232" s="106"/>
      <c r="E232" s="106"/>
      <c r="F232" s="106"/>
      <c r="G232" s="106"/>
      <c r="H232" s="106"/>
      <c r="I232" s="106"/>
      <c r="J232" s="106"/>
      <c r="K232" s="106"/>
      <c r="L232" s="106"/>
      <c r="M232" s="106"/>
      <c r="N232" s="106"/>
      <c r="O232" s="106"/>
      <c r="P232" s="106"/>
    </row>
    <row r="233" spans="2:16">
      <c r="B233" s="106"/>
      <c r="C233" s="106"/>
      <c r="D233" s="106"/>
      <c r="E233" s="106"/>
      <c r="F233" s="106"/>
      <c r="G233" s="106"/>
      <c r="H233" s="106"/>
      <c r="I233" s="106"/>
      <c r="J233" s="106"/>
      <c r="K233" s="106"/>
      <c r="L233" s="106"/>
      <c r="M233" s="106"/>
      <c r="N233" s="106"/>
      <c r="O233" s="106"/>
      <c r="P233" s="106"/>
    </row>
    <row r="234" spans="2:16">
      <c r="B234" s="106"/>
      <c r="C234" s="106"/>
      <c r="D234" s="106"/>
      <c r="E234" s="106"/>
      <c r="F234" s="106"/>
      <c r="G234" s="106"/>
      <c r="H234" s="106"/>
      <c r="I234" s="106"/>
      <c r="J234" s="106"/>
      <c r="K234" s="106"/>
      <c r="L234" s="106"/>
      <c r="M234" s="106"/>
      <c r="N234" s="106"/>
      <c r="O234" s="106"/>
      <c r="P234" s="106"/>
    </row>
    <row r="235" spans="2:16">
      <c r="B235" s="106"/>
      <c r="C235" s="106"/>
      <c r="D235" s="106"/>
      <c r="E235" s="106"/>
      <c r="F235" s="106"/>
      <c r="G235" s="106"/>
      <c r="H235" s="106"/>
      <c r="I235" s="106"/>
      <c r="J235" s="106"/>
      <c r="K235" s="106"/>
      <c r="L235" s="106"/>
      <c r="M235" s="106"/>
      <c r="N235" s="106"/>
      <c r="O235" s="106"/>
      <c r="P235" s="106"/>
    </row>
    <row r="236" spans="2:16">
      <c r="B236" s="106"/>
      <c r="C236" s="106"/>
      <c r="D236" s="106"/>
      <c r="E236" s="106"/>
      <c r="F236" s="106"/>
      <c r="G236" s="106"/>
      <c r="H236" s="106"/>
      <c r="I236" s="106"/>
      <c r="J236" s="106"/>
      <c r="K236" s="106"/>
      <c r="L236" s="106"/>
      <c r="M236" s="106"/>
      <c r="N236" s="106"/>
      <c r="O236" s="106"/>
      <c r="P236" s="106"/>
    </row>
    <row r="237" spans="2:16">
      <c r="B237" s="106"/>
      <c r="C237" s="106"/>
      <c r="D237" s="106"/>
      <c r="E237" s="106"/>
      <c r="F237" s="106"/>
      <c r="G237" s="106"/>
      <c r="H237" s="106"/>
      <c r="I237" s="106"/>
      <c r="J237" s="106"/>
      <c r="K237" s="106"/>
      <c r="L237" s="106"/>
      <c r="M237" s="106"/>
      <c r="N237" s="106"/>
      <c r="O237" s="106"/>
      <c r="P237" s="106"/>
    </row>
    <row r="238" spans="2:16">
      <c r="B238" s="106"/>
      <c r="C238" s="106"/>
      <c r="D238" s="106"/>
      <c r="E238" s="106"/>
      <c r="F238" s="106"/>
      <c r="G238" s="106"/>
      <c r="H238" s="106"/>
      <c r="I238" s="106"/>
      <c r="J238" s="106"/>
      <c r="K238" s="106"/>
      <c r="L238" s="106"/>
      <c r="M238" s="106"/>
      <c r="N238" s="106"/>
      <c r="O238" s="106"/>
      <c r="P238" s="106"/>
    </row>
    <row r="239" spans="2:16">
      <c r="B239" s="106"/>
      <c r="C239" s="106"/>
      <c r="D239" s="106"/>
      <c r="E239" s="106"/>
      <c r="F239" s="106"/>
      <c r="G239" s="106"/>
      <c r="H239" s="106"/>
      <c r="I239" s="106"/>
      <c r="J239" s="106"/>
      <c r="K239" s="106"/>
      <c r="L239" s="106"/>
      <c r="M239" s="106"/>
      <c r="N239" s="106"/>
      <c r="O239" s="106"/>
      <c r="P239" s="106"/>
    </row>
    <row r="240" spans="2:16">
      <c r="B240" s="106"/>
      <c r="C240" s="106"/>
      <c r="D240" s="106"/>
      <c r="E240" s="106"/>
      <c r="F240" s="106"/>
      <c r="G240" s="106"/>
      <c r="H240" s="106"/>
      <c r="I240" s="106"/>
      <c r="J240" s="106"/>
      <c r="K240" s="106"/>
      <c r="L240" s="106"/>
      <c r="M240" s="106"/>
      <c r="N240" s="106"/>
      <c r="O240" s="106"/>
      <c r="P240" s="106"/>
    </row>
    <row r="241" spans="2:16">
      <c r="B241" s="106"/>
      <c r="C241" s="106"/>
      <c r="D241" s="106"/>
      <c r="E241" s="106"/>
      <c r="F241" s="106"/>
      <c r="G241" s="106"/>
      <c r="H241" s="106"/>
      <c r="I241" s="106"/>
      <c r="J241" s="106"/>
      <c r="K241" s="106"/>
      <c r="L241" s="106"/>
      <c r="M241" s="106"/>
      <c r="N241" s="106"/>
      <c r="O241" s="106"/>
      <c r="P241" s="106"/>
    </row>
    <row r="242" spans="2:16">
      <c r="B242" s="106"/>
      <c r="C242" s="106"/>
      <c r="D242" s="106"/>
      <c r="E242" s="106"/>
      <c r="F242" s="106"/>
      <c r="G242" s="106"/>
      <c r="H242" s="106"/>
      <c r="I242" s="106"/>
      <c r="J242" s="106"/>
      <c r="K242" s="106"/>
      <c r="L242" s="106"/>
      <c r="M242" s="106"/>
      <c r="N242" s="106"/>
      <c r="O242" s="106"/>
      <c r="P242" s="106"/>
    </row>
    <row r="243" spans="2:16">
      <c r="B243" s="106"/>
      <c r="C243" s="106"/>
      <c r="D243" s="106"/>
      <c r="E243" s="106"/>
      <c r="F243" s="106"/>
      <c r="G243" s="106"/>
      <c r="H243" s="106"/>
      <c r="I243" s="106"/>
      <c r="J243" s="106"/>
      <c r="K243" s="106"/>
      <c r="L243" s="106"/>
      <c r="M243" s="106"/>
      <c r="N243" s="106"/>
      <c r="O243" s="106"/>
      <c r="P243" s="106"/>
    </row>
    <row r="244" spans="2:16">
      <c r="B244" s="106"/>
      <c r="C244" s="106"/>
      <c r="D244" s="106"/>
      <c r="E244" s="106"/>
      <c r="F244" s="106"/>
      <c r="G244" s="106"/>
      <c r="H244" s="106"/>
      <c r="I244" s="106"/>
      <c r="J244" s="106"/>
      <c r="K244" s="106"/>
      <c r="L244" s="106"/>
      <c r="M244" s="106"/>
      <c r="N244" s="106"/>
      <c r="O244" s="106"/>
      <c r="P244" s="106"/>
    </row>
    <row r="245" spans="2:16">
      <c r="B245" s="106"/>
      <c r="C245" s="106"/>
      <c r="D245" s="106"/>
      <c r="E245" s="106"/>
      <c r="F245" s="106"/>
      <c r="G245" s="106"/>
      <c r="H245" s="106"/>
      <c r="I245" s="106"/>
      <c r="J245" s="106"/>
      <c r="K245" s="106"/>
      <c r="L245" s="106"/>
      <c r="M245" s="106"/>
      <c r="N245" s="106"/>
      <c r="O245" s="106"/>
      <c r="P245" s="106"/>
    </row>
    <row r="246" spans="2:16">
      <c r="B246" s="106"/>
      <c r="C246" s="106"/>
      <c r="D246" s="106"/>
      <c r="E246" s="106"/>
      <c r="F246" s="106"/>
      <c r="G246" s="106"/>
      <c r="H246" s="106"/>
      <c r="I246" s="106"/>
      <c r="J246" s="106"/>
      <c r="K246" s="106"/>
      <c r="L246" s="106"/>
      <c r="M246" s="106"/>
      <c r="N246" s="106"/>
      <c r="O246" s="106"/>
      <c r="P246" s="106"/>
    </row>
    <row r="247" spans="2:16">
      <c r="B247" s="106"/>
      <c r="C247" s="106"/>
      <c r="D247" s="106"/>
      <c r="E247" s="106"/>
      <c r="F247" s="106"/>
      <c r="G247" s="106"/>
      <c r="H247" s="106"/>
      <c r="I247" s="106"/>
      <c r="J247" s="106"/>
      <c r="K247" s="106"/>
      <c r="L247" s="106"/>
      <c r="M247" s="106"/>
      <c r="N247" s="106"/>
      <c r="O247" s="106"/>
      <c r="P247" s="106"/>
    </row>
    <row r="248" spans="2:16">
      <c r="B248" s="106"/>
      <c r="C248" s="106"/>
      <c r="D248" s="106"/>
      <c r="E248" s="106"/>
      <c r="F248" s="106"/>
      <c r="G248" s="106"/>
      <c r="H248" s="106"/>
      <c r="I248" s="106"/>
      <c r="J248" s="106"/>
      <c r="K248" s="106"/>
      <c r="L248" s="106"/>
      <c r="M248" s="106"/>
      <c r="N248" s="106"/>
      <c r="O248" s="106"/>
      <c r="P248" s="106"/>
    </row>
    <row r="249" spans="2:16">
      <c r="B249" s="106"/>
      <c r="C249" s="106"/>
      <c r="D249" s="106"/>
      <c r="E249" s="106"/>
      <c r="F249" s="106"/>
      <c r="G249" s="106"/>
      <c r="H249" s="106"/>
      <c r="I249" s="106"/>
      <c r="J249" s="106"/>
      <c r="K249" s="106"/>
      <c r="L249" s="106"/>
      <c r="M249" s="106"/>
      <c r="N249" s="106"/>
      <c r="O249" s="106"/>
      <c r="P249" s="106"/>
    </row>
    <row r="250" spans="2:16">
      <c r="B250" s="106"/>
      <c r="C250" s="106"/>
      <c r="D250" s="106"/>
      <c r="E250" s="106"/>
      <c r="F250" s="106"/>
      <c r="G250" s="106"/>
      <c r="H250" s="106"/>
      <c r="I250" s="106"/>
      <c r="J250" s="106"/>
      <c r="K250" s="106"/>
      <c r="L250" s="106"/>
      <c r="M250" s="106"/>
      <c r="N250" s="106"/>
      <c r="O250" s="106"/>
      <c r="P250" s="106"/>
    </row>
    <row r="251" spans="2:16">
      <c r="B251" s="106"/>
      <c r="C251" s="106"/>
      <c r="D251" s="106"/>
      <c r="E251" s="106"/>
      <c r="F251" s="106"/>
      <c r="G251" s="106"/>
      <c r="H251" s="106"/>
      <c r="I251" s="106"/>
      <c r="J251" s="106"/>
      <c r="K251" s="106"/>
      <c r="L251" s="106"/>
      <c r="M251" s="106"/>
      <c r="N251" s="106"/>
      <c r="O251" s="106"/>
      <c r="P251" s="106"/>
    </row>
    <row r="252" spans="2:16">
      <c r="B252" s="106"/>
      <c r="C252" s="106"/>
      <c r="D252" s="106"/>
      <c r="E252" s="106"/>
      <c r="F252" s="106"/>
      <c r="G252" s="106"/>
      <c r="H252" s="106"/>
      <c r="I252" s="106"/>
      <c r="J252" s="106"/>
      <c r="K252" s="106"/>
      <c r="L252" s="106"/>
      <c r="M252" s="106"/>
      <c r="N252" s="106"/>
      <c r="O252" s="106"/>
      <c r="P252" s="106"/>
    </row>
    <row r="253" spans="2:16">
      <c r="B253" s="106"/>
      <c r="C253" s="106"/>
      <c r="D253" s="106"/>
      <c r="E253" s="106"/>
      <c r="F253" s="106"/>
      <c r="G253" s="106"/>
      <c r="H253" s="106"/>
      <c r="I253" s="106"/>
      <c r="J253" s="106"/>
      <c r="K253" s="106"/>
      <c r="L253" s="106"/>
      <c r="M253" s="106"/>
      <c r="N253" s="106"/>
      <c r="O253" s="106"/>
      <c r="P253" s="106"/>
    </row>
    <row r="254" spans="2:16">
      <c r="B254" s="106"/>
      <c r="C254" s="106"/>
      <c r="D254" s="106"/>
      <c r="E254" s="106"/>
      <c r="F254" s="106"/>
      <c r="G254" s="106"/>
      <c r="H254" s="106"/>
      <c r="I254" s="106"/>
      <c r="J254" s="106"/>
      <c r="K254" s="106"/>
      <c r="L254" s="106"/>
      <c r="M254" s="106"/>
      <c r="N254" s="106"/>
      <c r="O254" s="106"/>
      <c r="P254" s="106"/>
    </row>
    <row r="255" spans="2:16">
      <c r="B255" s="106"/>
      <c r="C255" s="106"/>
      <c r="D255" s="106"/>
      <c r="E255" s="106"/>
      <c r="F255" s="106"/>
      <c r="G255" s="106"/>
      <c r="H255" s="106"/>
      <c r="I255" s="106"/>
      <c r="J255" s="106"/>
      <c r="K255" s="106"/>
      <c r="L255" s="106"/>
      <c r="M255" s="106"/>
      <c r="N255" s="106"/>
      <c r="O255" s="106"/>
      <c r="P255" s="106"/>
    </row>
    <row r="256" spans="2:16">
      <c r="B256" s="106"/>
      <c r="C256" s="106"/>
      <c r="D256" s="106"/>
      <c r="E256" s="106"/>
      <c r="F256" s="106"/>
      <c r="G256" s="106"/>
      <c r="H256" s="106"/>
      <c r="I256" s="106"/>
      <c r="J256" s="106"/>
      <c r="K256" s="106"/>
      <c r="L256" s="106"/>
      <c r="M256" s="106"/>
      <c r="N256" s="106"/>
      <c r="O256" s="106"/>
      <c r="P256" s="106"/>
    </row>
    <row r="257" spans="2:16">
      <c r="B257" s="106"/>
      <c r="C257" s="106"/>
      <c r="D257" s="106"/>
      <c r="E257" s="106"/>
      <c r="F257" s="106"/>
      <c r="G257" s="106"/>
      <c r="H257" s="106"/>
      <c r="I257" s="106"/>
      <c r="J257" s="106"/>
      <c r="K257" s="106"/>
      <c r="L257" s="106"/>
      <c r="M257" s="106"/>
      <c r="N257" s="106"/>
      <c r="O257" s="106"/>
      <c r="P257" s="106"/>
    </row>
    <row r="258" spans="2:16">
      <c r="B258" s="106"/>
      <c r="C258" s="106"/>
      <c r="D258" s="106"/>
      <c r="E258" s="106"/>
      <c r="F258" s="106"/>
      <c r="G258" s="106"/>
      <c r="H258" s="106"/>
      <c r="I258" s="106"/>
      <c r="J258" s="106"/>
      <c r="K258" s="106"/>
      <c r="L258" s="106"/>
      <c r="M258" s="106"/>
      <c r="N258" s="106"/>
      <c r="O258" s="106"/>
      <c r="P258" s="106"/>
    </row>
    <row r="259" spans="2:16">
      <c r="B259" s="106"/>
      <c r="C259" s="106"/>
      <c r="D259" s="106"/>
      <c r="E259" s="106"/>
      <c r="F259" s="106"/>
      <c r="G259" s="106"/>
      <c r="H259" s="106"/>
      <c r="I259" s="106"/>
      <c r="J259" s="106"/>
      <c r="K259" s="106"/>
      <c r="L259" s="106"/>
      <c r="M259" s="106"/>
      <c r="N259" s="106"/>
      <c r="O259" s="106"/>
      <c r="P259" s="106"/>
    </row>
    <row r="260" spans="2:16">
      <c r="B260" s="106"/>
      <c r="C260" s="106"/>
      <c r="D260" s="106"/>
      <c r="E260" s="106"/>
      <c r="F260" s="106"/>
      <c r="G260" s="106"/>
      <c r="H260" s="106"/>
      <c r="I260" s="106"/>
      <c r="J260" s="106"/>
      <c r="K260" s="106"/>
      <c r="L260" s="106"/>
      <c r="M260" s="106"/>
      <c r="N260" s="106"/>
      <c r="O260" s="106"/>
      <c r="P260" s="106"/>
    </row>
    <row r="261" spans="2:16">
      <c r="B261" s="106"/>
      <c r="C261" s="106"/>
      <c r="D261" s="106"/>
      <c r="E261" s="106"/>
      <c r="F261" s="106"/>
      <c r="G261" s="106"/>
      <c r="H261" s="106"/>
      <c r="I261" s="106"/>
      <c r="J261" s="106"/>
      <c r="K261" s="106"/>
      <c r="L261" s="106"/>
      <c r="M261" s="106"/>
      <c r="N261" s="106"/>
      <c r="O261" s="106"/>
      <c r="P261" s="106"/>
    </row>
    <row r="262" spans="2:16">
      <c r="B262" s="106"/>
      <c r="C262" s="106"/>
      <c r="D262" s="106"/>
      <c r="E262" s="106"/>
      <c r="F262" s="106"/>
      <c r="G262" s="106"/>
      <c r="H262" s="106"/>
      <c r="I262" s="106"/>
      <c r="J262" s="106"/>
      <c r="K262" s="106"/>
      <c r="L262" s="106"/>
      <c r="M262" s="106"/>
      <c r="N262" s="106"/>
      <c r="O262" s="106"/>
      <c r="P262" s="106"/>
    </row>
    <row r="263" spans="2:16">
      <c r="B263" s="106"/>
      <c r="C263" s="106"/>
      <c r="D263" s="106"/>
      <c r="E263" s="106"/>
      <c r="F263" s="106"/>
      <c r="G263" s="106"/>
      <c r="H263" s="106"/>
      <c r="I263" s="106"/>
      <c r="J263" s="106"/>
      <c r="K263" s="106"/>
      <c r="L263" s="106"/>
      <c r="M263" s="106"/>
      <c r="N263" s="106"/>
      <c r="O263" s="106"/>
      <c r="P263" s="106"/>
    </row>
    <row r="264" spans="2:16">
      <c r="B264" s="106"/>
      <c r="C264" s="106"/>
      <c r="D264" s="106"/>
      <c r="E264" s="106"/>
      <c r="F264" s="106"/>
      <c r="G264" s="106"/>
      <c r="H264" s="106"/>
      <c r="I264" s="106"/>
      <c r="J264" s="106"/>
      <c r="K264" s="106"/>
      <c r="L264" s="106"/>
      <c r="M264" s="106"/>
      <c r="N264" s="106"/>
      <c r="O264" s="106"/>
      <c r="P264" s="106"/>
    </row>
    <row r="265" spans="2:16">
      <c r="B265" s="106"/>
      <c r="C265" s="106"/>
      <c r="D265" s="106"/>
      <c r="E265" s="106"/>
      <c r="F265" s="106"/>
      <c r="G265" s="106"/>
      <c r="H265" s="106"/>
      <c r="I265" s="106"/>
      <c r="J265" s="106"/>
      <c r="K265" s="106"/>
      <c r="L265" s="106"/>
      <c r="M265" s="106"/>
      <c r="N265" s="106"/>
      <c r="O265" s="106"/>
      <c r="P265" s="106"/>
    </row>
    <row r="266" spans="2:16">
      <c r="B266" s="106"/>
      <c r="C266" s="106"/>
      <c r="D266" s="106"/>
      <c r="E266" s="106"/>
      <c r="F266" s="106"/>
      <c r="G266" s="106"/>
      <c r="H266" s="106"/>
      <c r="I266" s="106"/>
      <c r="J266" s="106"/>
      <c r="K266" s="106"/>
      <c r="L266" s="106"/>
      <c r="M266" s="106"/>
      <c r="N266" s="106"/>
      <c r="O266" s="106"/>
      <c r="P266" s="106"/>
    </row>
    <row r="267" spans="2:16">
      <c r="B267" s="106"/>
      <c r="C267" s="106"/>
      <c r="D267" s="106"/>
      <c r="E267" s="106"/>
      <c r="F267" s="106"/>
      <c r="G267" s="106"/>
      <c r="H267" s="106"/>
      <c r="I267" s="106"/>
      <c r="J267" s="106"/>
      <c r="K267" s="106"/>
      <c r="L267" s="106"/>
      <c r="M267" s="106"/>
      <c r="N267" s="106"/>
      <c r="O267" s="106"/>
      <c r="P267" s="106"/>
    </row>
    <row r="268" spans="2:16">
      <c r="B268" s="106"/>
      <c r="C268" s="106"/>
      <c r="D268" s="106"/>
      <c r="E268" s="106"/>
      <c r="F268" s="106"/>
      <c r="G268" s="106"/>
      <c r="H268" s="106"/>
      <c r="I268" s="106"/>
      <c r="J268" s="106"/>
      <c r="K268" s="106"/>
      <c r="L268" s="106"/>
      <c r="M268" s="106"/>
      <c r="N268" s="106"/>
      <c r="O268" s="106"/>
      <c r="P268" s="106"/>
    </row>
    <row r="269" spans="2:16">
      <c r="B269" s="106"/>
      <c r="C269" s="106"/>
      <c r="D269" s="106"/>
      <c r="E269" s="106"/>
      <c r="F269" s="106"/>
      <c r="G269" s="106"/>
      <c r="H269" s="106"/>
      <c r="I269" s="106"/>
      <c r="J269" s="106"/>
      <c r="K269" s="106"/>
      <c r="L269" s="106"/>
      <c r="M269" s="106"/>
      <c r="N269" s="106"/>
      <c r="O269" s="106"/>
      <c r="P269" s="106"/>
    </row>
    <row r="270" spans="2:16">
      <c r="B270" s="106"/>
      <c r="C270" s="106"/>
      <c r="D270" s="106"/>
      <c r="E270" s="106"/>
      <c r="F270" s="106"/>
      <c r="G270" s="106"/>
      <c r="H270" s="106"/>
      <c r="I270" s="106"/>
      <c r="J270" s="106"/>
      <c r="K270" s="106"/>
      <c r="L270" s="106"/>
      <c r="M270" s="106"/>
      <c r="N270" s="106"/>
      <c r="O270" s="106"/>
      <c r="P270" s="106"/>
    </row>
    <row r="271" spans="2:16">
      <c r="B271" s="106"/>
      <c r="C271" s="106"/>
      <c r="D271" s="106"/>
      <c r="E271" s="106"/>
      <c r="F271" s="106"/>
      <c r="G271" s="106"/>
      <c r="H271" s="106"/>
      <c r="I271" s="106"/>
      <c r="J271" s="106"/>
      <c r="K271" s="106"/>
      <c r="L271" s="106"/>
      <c r="M271" s="106"/>
      <c r="N271" s="106"/>
      <c r="O271" s="106"/>
      <c r="P271" s="106"/>
    </row>
    <row r="272" spans="2:16">
      <c r="B272" s="106"/>
      <c r="C272" s="106"/>
      <c r="D272" s="106"/>
      <c r="E272" s="106"/>
      <c r="F272" s="106"/>
      <c r="G272" s="106"/>
      <c r="H272" s="106"/>
      <c r="I272" s="106"/>
      <c r="J272" s="106"/>
      <c r="K272" s="106"/>
      <c r="L272" s="106"/>
      <c r="M272" s="106"/>
      <c r="N272" s="106"/>
      <c r="O272" s="106"/>
      <c r="P272" s="106"/>
    </row>
    <row r="273" spans="2:16">
      <c r="B273" s="106"/>
      <c r="C273" s="106"/>
      <c r="D273" s="106"/>
      <c r="E273" s="106"/>
      <c r="F273" s="106"/>
      <c r="G273" s="106"/>
      <c r="H273" s="106"/>
      <c r="I273" s="106"/>
      <c r="J273" s="106"/>
      <c r="K273" s="106"/>
      <c r="L273" s="106"/>
      <c r="M273" s="106"/>
      <c r="N273" s="106"/>
      <c r="O273" s="106"/>
      <c r="P273" s="106"/>
    </row>
    <row r="274" spans="2:16">
      <c r="B274" s="106"/>
      <c r="C274" s="106"/>
      <c r="D274" s="106"/>
      <c r="E274" s="106"/>
      <c r="F274" s="106"/>
      <c r="G274" s="106"/>
      <c r="H274" s="106"/>
      <c r="I274" s="106"/>
      <c r="J274" s="106"/>
      <c r="K274" s="106"/>
      <c r="L274" s="106"/>
      <c r="M274" s="106"/>
      <c r="N274" s="106"/>
      <c r="O274" s="106"/>
      <c r="P274" s="106"/>
    </row>
    <row r="275" spans="2:16">
      <c r="B275" s="106"/>
      <c r="C275" s="106"/>
      <c r="D275" s="106"/>
      <c r="E275" s="106"/>
      <c r="F275" s="106"/>
      <c r="G275" s="106"/>
      <c r="H275" s="106"/>
      <c r="I275" s="106"/>
      <c r="J275" s="106"/>
      <c r="K275" s="106"/>
      <c r="L275" s="106"/>
      <c r="M275" s="106"/>
      <c r="N275" s="106"/>
      <c r="O275" s="106"/>
      <c r="P275" s="106"/>
    </row>
    <row r="276" spans="2:16">
      <c r="B276" s="106"/>
      <c r="C276" s="106"/>
      <c r="D276" s="106"/>
      <c r="E276" s="106"/>
      <c r="F276" s="106"/>
      <c r="G276" s="106"/>
      <c r="H276" s="106"/>
      <c r="I276" s="106"/>
      <c r="J276" s="106"/>
      <c r="K276" s="106"/>
      <c r="L276" s="106"/>
      <c r="M276" s="106"/>
      <c r="N276" s="106"/>
      <c r="O276" s="106"/>
      <c r="P276" s="106"/>
    </row>
    <row r="277" spans="2:16">
      <c r="B277" s="106"/>
      <c r="C277" s="106"/>
      <c r="D277" s="106"/>
      <c r="E277" s="106"/>
      <c r="F277" s="106"/>
      <c r="G277" s="106"/>
      <c r="H277" s="106"/>
      <c r="I277" s="106"/>
      <c r="J277" s="106"/>
      <c r="K277" s="106"/>
      <c r="L277" s="106"/>
      <c r="M277" s="106"/>
      <c r="N277" s="106"/>
      <c r="O277" s="106"/>
      <c r="P277" s="106"/>
    </row>
    <row r="278" spans="2:16">
      <c r="B278" s="106"/>
      <c r="C278" s="106"/>
      <c r="D278" s="106"/>
      <c r="E278" s="106"/>
      <c r="F278" s="106"/>
      <c r="G278" s="106"/>
      <c r="H278" s="106"/>
      <c r="I278" s="106"/>
      <c r="J278" s="106"/>
      <c r="K278" s="106"/>
      <c r="L278" s="106"/>
      <c r="M278" s="106"/>
      <c r="N278" s="106"/>
      <c r="O278" s="106"/>
      <c r="P278" s="106"/>
    </row>
    <row r="279" spans="2:16">
      <c r="B279" s="106"/>
      <c r="C279" s="106"/>
      <c r="D279" s="106"/>
      <c r="E279" s="106"/>
      <c r="F279" s="106"/>
      <c r="G279" s="106"/>
      <c r="H279" s="106"/>
      <c r="I279" s="106"/>
      <c r="J279" s="106"/>
      <c r="K279" s="106"/>
      <c r="L279" s="106"/>
      <c r="M279" s="106"/>
      <c r="N279" s="106"/>
      <c r="O279" s="106"/>
      <c r="P279" s="106"/>
    </row>
    <row r="280" spans="2:16">
      <c r="B280" s="106"/>
      <c r="C280" s="106"/>
      <c r="D280" s="106"/>
      <c r="E280" s="106"/>
      <c r="F280" s="106"/>
      <c r="G280" s="106"/>
      <c r="H280" s="106"/>
      <c r="I280" s="106"/>
      <c r="J280" s="106"/>
      <c r="K280" s="106"/>
      <c r="L280" s="106"/>
      <c r="M280" s="106"/>
      <c r="N280" s="106"/>
      <c r="O280" s="106"/>
      <c r="P280" s="106"/>
    </row>
    <row r="281" spans="2:16">
      <c r="B281" s="106"/>
      <c r="C281" s="106"/>
      <c r="D281" s="106"/>
      <c r="E281" s="106"/>
      <c r="F281" s="106"/>
      <c r="G281" s="106"/>
      <c r="H281" s="106"/>
      <c r="I281" s="106"/>
      <c r="J281" s="106"/>
      <c r="K281" s="106"/>
      <c r="L281" s="106"/>
      <c r="M281" s="106"/>
      <c r="N281" s="106"/>
      <c r="O281" s="106"/>
      <c r="P281" s="106"/>
    </row>
    <row r="282" spans="2:16">
      <c r="B282" s="106"/>
      <c r="C282" s="106"/>
      <c r="D282" s="106"/>
      <c r="E282" s="106"/>
      <c r="F282" s="106"/>
      <c r="G282" s="106"/>
      <c r="H282" s="106"/>
      <c r="I282" s="106"/>
      <c r="J282" s="106"/>
      <c r="K282" s="106"/>
      <c r="L282" s="106"/>
      <c r="M282" s="106"/>
      <c r="N282" s="106"/>
      <c r="O282" s="106"/>
      <c r="P282" s="106"/>
    </row>
    <row r="283" spans="2:16">
      <c r="B283" s="106"/>
      <c r="C283" s="106"/>
      <c r="D283" s="106"/>
      <c r="E283" s="106"/>
      <c r="F283" s="106"/>
      <c r="G283" s="106"/>
      <c r="H283" s="106"/>
      <c r="I283" s="106"/>
      <c r="J283" s="106"/>
      <c r="K283" s="106"/>
      <c r="L283" s="106"/>
      <c r="M283" s="106"/>
      <c r="N283" s="106"/>
      <c r="O283" s="106"/>
      <c r="P283" s="106"/>
    </row>
    <row r="284" spans="2:16">
      <c r="B284" s="106"/>
      <c r="C284" s="106"/>
      <c r="D284" s="106"/>
      <c r="E284" s="106"/>
      <c r="F284" s="106"/>
      <c r="G284" s="106"/>
      <c r="H284" s="106"/>
      <c r="I284" s="106"/>
      <c r="J284" s="106"/>
      <c r="K284" s="106"/>
      <c r="L284" s="106"/>
      <c r="M284" s="106"/>
      <c r="N284" s="106"/>
      <c r="O284" s="106"/>
      <c r="P284" s="106"/>
    </row>
    <row r="285" spans="2:16">
      <c r="B285" s="106"/>
      <c r="C285" s="106"/>
      <c r="D285" s="106"/>
      <c r="E285" s="106"/>
      <c r="F285" s="106"/>
      <c r="G285" s="106"/>
      <c r="H285" s="106"/>
      <c r="I285" s="106"/>
      <c r="J285" s="106"/>
      <c r="K285" s="106"/>
      <c r="L285" s="106"/>
      <c r="M285" s="106"/>
      <c r="N285" s="106"/>
      <c r="O285" s="106"/>
      <c r="P285" s="106"/>
    </row>
    <row r="286" spans="2:16">
      <c r="B286" s="106"/>
      <c r="C286" s="106"/>
      <c r="D286" s="106"/>
      <c r="E286" s="106"/>
      <c r="F286" s="106"/>
      <c r="G286" s="106"/>
      <c r="H286" s="106"/>
      <c r="I286" s="106"/>
      <c r="J286" s="106"/>
      <c r="K286" s="106"/>
      <c r="L286" s="106"/>
      <c r="M286" s="106"/>
      <c r="N286" s="106"/>
      <c r="O286" s="106"/>
      <c r="P286" s="106"/>
    </row>
    <row r="287" spans="2:16">
      <c r="B287" s="106"/>
      <c r="C287" s="106"/>
      <c r="D287" s="106"/>
      <c r="E287" s="106"/>
      <c r="F287" s="106"/>
      <c r="G287" s="106"/>
      <c r="H287" s="106"/>
      <c r="I287" s="106"/>
      <c r="J287" s="106"/>
      <c r="K287" s="106"/>
      <c r="L287" s="106"/>
      <c r="M287" s="106"/>
      <c r="N287" s="106"/>
      <c r="O287" s="106"/>
      <c r="P287" s="106"/>
    </row>
    <row r="288" spans="2:16">
      <c r="B288" s="106"/>
      <c r="C288" s="106"/>
      <c r="D288" s="106"/>
      <c r="E288" s="106"/>
      <c r="F288" s="106"/>
      <c r="G288" s="106"/>
      <c r="H288" s="106"/>
      <c r="I288" s="106"/>
      <c r="J288" s="106"/>
      <c r="K288" s="106"/>
      <c r="L288" s="106"/>
      <c r="M288" s="106"/>
      <c r="N288" s="106"/>
      <c r="O288" s="106"/>
      <c r="P288" s="106"/>
    </row>
    <row r="289" spans="2:16">
      <c r="B289" s="106"/>
      <c r="C289" s="106"/>
      <c r="D289" s="106"/>
      <c r="E289" s="106"/>
      <c r="F289" s="106"/>
      <c r="G289" s="106"/>
      <c r="H289" s="106"/>
      <c r="I289" s="106"/>
      <c r="J289" s="106"/>
      <c r="K289" s="106"/>
      <c r="L289" s="106"/>
      <c r="M289" s="106"/>
      <c r="N289" s="106"/>
      <c r="O289" s="106"/>
      <c r="P289" s="106"/>
    </row>
    <row r="290" spans="2:16">
      <c r="B290" s="106"/>
      <c r="C290" s="106"/>
      <c r="D290" s="106"/>
      <c r="E290" s="106"/>
      <c r="F290" s="106"/>
      <c r="G290" s="106"/>
      <c r="H290" s="106"/>
      <c r="I290" s="106"/>
      <c r="J290" s="106"/>
      <c r="K290" s="106"/>
      <c r="L290" s="106"/>
      <c r="M290" s="106"/>
      <c r="N290" s="106"/>
      <c r="O290" s="106"/>
      <c r="P290" s="106"/>
    </row>
    <row r="291" spans="2:16">
      <c r="B291" s="106"/>
      <c r="C291" s="106"/>
      <c r="D291" s="106"/>
      <c r="E291" s="106"/>
      <c r="F291" s="106"/>
      <c r="G291" s="106"/>
      <c r="H291" s="106"/>
      <c r="I291" s="106"/>
      <c r="J291" s="106"/>
      <c r="K291" s="106"/>
      <c r="L291" s="106"/>
      <c r="M291" s="106"/>
      <c r="N291" s="106"/>
      <c r="O291" s="106"/>
      <c r="P291" s="106"/>
    </row>
    <row r="292" spans="2:16">
      <c r="B292" s="106"/>
      <c r="C292" s="106"/>
      <c r="D292" s="106"/>
      <c r="E292" s="106"/>
      <c r="F292" s="106"/>
      <c r="G292" s="106"/>
      <c r="H292" s="106"/>
      <c r="I292" s="106"/>
      <c r="J292" s="106"/>
      <c r="K292" s="106"/>
      <c r="L292" s="106"/>
      <c r="M292" s="106"/>
      <c r="N292" s="106"/>
      <c r="O292" s="106"/>
      <c r="P292" s="106"/>
    </row>
    <row r="293" spans="2:16">
      <c r="B293" s="106"/>
      <c r="C293" s="106"/>
      <c r="D293" s="106"/>
      <c r="E293" s="106"/>
      <c r="F293" s="106"/>
      <c r="G293" s="106"/>
      <c r="H293" s="106"/>
      <c r="I293" s="106"/>
      <c r="J293" s="106"/>
      <c r="K293" s="106"/>
      <c r="L293" s="106"/>
      <c r="M293" s="106"/>
      <c r="N293" s="106"/>
      <c r="O293" s="106"/>
      <c r="P293" s="106"/>
    </row>
    <row r="294" spans="2:16">
      <c r="B294" s="106"/>
      <c r="C294" s="106"/>
      <c r="D294" s="106"/>
      <c r="E294" s="106"/>
      <c r="F294" s="106"/>
      <c r="G294" s="106"/>
      <c r="H294" s="106"/>
      <c r="I294" s="106"/>
      <c r="J294" s="106"/>
      <c r="K294" s="106"/>
      <c r="L294" s="106"/>
      <c r="M294" s="106"/>
      <c r="N294" s="106"/>
      <c r="O294" s="106"/>
      <c r="P294" s="106"/>
    </row>
    <row r="295" spans="2:16">
      <c r="B295" s="106"/>
      <c r="C295" s="106"/>
      <c r="D295" s="106"/>
      <c r="E295" s="106"/>
      <c r="F295" s="106"/>
      <c r="G295" s="106"/>
      <c r="H295" s="106"/>
      <c r="I295" s="106"/>
      <c r="J295" s="106"/>
      <c r="K295" s="106"/>
      <c r="L295" s="106"/>
      <c r="M295" s="106"/>
      <c r="N295" s="106"/>
      <c r="O295" s="106"/>
      <c r="P295" s="106"/>
    </row>
    <row r="296" spans="2:16">
      <c r="B296" s="106"/>
      <c r="C296" s="106"/>
      <c r="D296" s="106"/>
      <c r="E296" s="106"/>
      <c r="F296" s="106"/>
      <c r="G296" s="106"/>
      <c r="H296" s="106"/>
      <c r="I296" s="106"/>
      <c r="J296" s="106"/>
      <c r="K296" s="106"/>
      <c r="L296" s="106"/>
      <c r="M296" s="106"/>
      <c r="N296" s="106"/>
      <c r="O296" s="106"/>
      <c r="P296" s="106"/>
    </row>
    <row r="297" spans="2:16">
      <c r="B297" s="106"/>
      <c r="C297" s="106"/>
      <c r="D297" s="106"/>
      <c r="E297" s="106"/>
      <c r="F297" s="106"/>
      <c r="G297" s="106"/>
      <c r="H297" s="106"/>
      <c r="I297" s="106"/>
      <c r="J297" s="106"/>
      <c r="K297" s="106"/>
      <c r="L297" s="106"/>
      <c r="M297" s="106"/>
      <c r="N297" s="106"/>
      <c r="O297" s="106"/>
      <c r="P297" s="106"/>
    </row>
    <row r="298" spans="2:16">
      <c r="B298" s="106"/>
      <c r="C298" s="106"/>
      <c r="D298" s="106"/>
      <c r="E298" s="106"/>
      <c r="F298" s="106"/>
      <c r="G298" s="106"/>
      <c r="H298" s="106"/>
      <c r="I298" s="106"/>
      <c r="J298" s="106"/>
      <c r="K298" s="106"/>
      <c r="L298" s="106"/>
      <c r="M298" s="106"/>
      <c r="N298" s="106"/>
      <c r="O298" s="106"/>
      <c r="P298" s="106"/>
    </row>
    <row r="299" spans="2:16">
      <c r="B299" s="106"/>
      <c r="C299" s="106"/>
      <c r="D299" s="106"/>
      <c r="E299" s="106"/>
      <c r="F299" s="106"/>
      <c r="G299" s="106"/>
      <c r="H299" s="106"/>
      <c r="I299" s="106"/>
      <c r="J299" s="106"/>
      <c r="K299" s="106"/>
      <c r="L299" s="106"/>
      <c r="M299" s="106"/>
      <c r="N299" s="106"/>
      <c r="O299" s="106"/>
      <c r="P299" s="106"/>
    </row>
    <row r="300" spans="2:16">
      <c r="B300" s="106"/>
      <c r="C300" s="106"/>
      <c r="D300" s="106"/>
      <c r="E300" s="106"/>
      <c r="F300" s="106"/>
      <c r="G300" s="106"/>
      <c r="H300" s="106"/>
      <c r="I300" s="106"/>
      <c r="J300" s="106"/>
      <c r="K300" s="106"/>
      <c r="L300" s="106"/>
      <c r="M300" s="106"/>
      <c r="N300" s="106"/>
      <c r="O300" s="106"/>
      <c r="P300" s="106"/>
    </row>
    <row r="301" spans="2:16">
      <c r="B301" s="106"/>
      <c r="C301" s="106"/>
      <c r="D301" s="106"/>
      <c r="E301" s="106"/>
      <c r="F301" s="106"/>
      <c r="G301" s="106"/>
      <c r="H301" s="106"/>
      <c r="I301" s="106"/>
      <c r="J301" s="106"/>
      <c r="K301" s="106"/>
      <c r="L301" s="106"/>
      <c r="M301" s="106"/>
      <c r="N301" s="106"/>
      <c r="O301" s="106"/>
      <c r="P301" s="106"/>
    </row>
    <row r="302" spans="2:16">
      <c r="B302" s="106"/>
      <c r="C302" s="106"/>
      <c r="D302" s="106"/>
      <c r="E302" s="106"/>
      <c r="F302" s="106"/>
      <c r="G302" s="106"/>
      <c r="H302" s="106"/>
      <c r="I302" s="106"/>
      <c r="J302" s="106"/>
      <c r="K302" s="106"/>
      <c r="L302" s="106"/>
      <c r="M302" s="106"/>
      <c r="N302" s="106"/>
      <c r="O302" s="106"/>
      <c r="P302" s="106"/>
    </row>
    <row r="303" spans="2:16">
      <c r="B303" s="106"/>
      <c r="C303" s="106"/>
      <c r="D303" s="106"/>
      <c r="E303" s="106"/>
      <c r="F303" s="106"/>
      <c r="G303" s="106"/>
      <c r="H303" s="106"/>
      <c r="I303" s="106"/>
      <c r="J303" s="106"/>
      <c r="K303" s="106"/>
      <c r="L303" s="106"/>
      <c r="M303" s="106"/>
      <c r="N303" s="106"/>
      <c r="O303" s="106"/>
      <c r="P303" s="106"/>
    </row>
    <row r="304" spans="2:16">
      <c r="B304" s="106"/>
      <c r="C304" s="106"/>
      <c r="D304" s="106"/>
      <c r="E304" s="106"/>
      <c r="F304" s="106"/>
      <c r="G304" s="106"/>
      <c r="H304" s="106"/>
      <c r="I304" s="106"/>
      <c r="J304" s="106"/>
      <c r="K304" s="106"/>
      <c r="L304" s="106"/>
      <c r="M304" s="106"/>
      <c r="N304" s="106"/>
      <c r="O304" s="106"/>
      <c r="P304" s="106"/>
    </row>
    <row r="305" spans="2:16">
      <c r="B305" s="106"/>
      <c r="C305" s="106"/>
      <c r="D305" s="106"/>
      <c r="E305" s="106"/>
      <c r="F305" s="106"/>
      <c r="G305" s="106"/>
      <c r="H305" s="106"/>
      <c r="I305" s="106"/>
      <c r="J305" s="106"/>
      <c r="K305" s="106"/>
      <c r="L305" s="106"/>
      <c r="M305" s="106"/>
      <c r="N305" s="106"/>
      <c r="O305" s="106"/>
      <c r="P305" s="106"/>
    </row>
    <row r="306" spans="2:16">
      <c r="B306" s="106"/>
      <c r="C306" s="106"/>
      <c r="D306" s="106"/>
      <c r="E306" s="106"/>
      <c r="F306" s="106"/>
      <c r="G306" s="106"/>
      <c r="H306" s="106"/>
      <c r="I306" s="106"/>
      <c r="J306" s="106"/>
      <c r="K306" s="106"/>
      <c r="L306" s="106"/>
      <c r="M306" s="106"/>
      <c r="N306" s="106"/>
      <c r="O306" s="106"/>
      <c r="P306" s="106"/>
    </row>
    <row r="307" spans="2:16">
      <c r="B307" s="106"/>
      <c r="C307" s="106"/>
      <c r="D307" s="106"/>
      <c r="E307" s="106"/>
      <c r="F307" s="106"/>
      <c r="G307" s="106"/>
      <c r="H307" s="106"/>
      <c r="I307" s="106"/>
      <c r="J307" s="106"/>
      <c r="K307" s="106"/>
      <c r="L307" s="106"/>
      <c r="M307" s="106"/>
      <c r="N307" s="106"/>
      <c r="O307" s="106"/>
      <c r="P307" s="106"/>
    </row>
    <row r="308" spans="2:16">
      <c r="B308" s="106"/>
      <c r="C308" s="106"/>
      <c r="D308" s="106"/>
      <c r="E308" s="106"/>
      <c r="F308" s="106"/>
      <c r="G308" s="106"/>
      <c r="H308" s="106"/>
      <c r="I308" s="106"/>
      <c r="J308" s="106"/>
      <c r="K308" s="106"/>
      <c r="L308" s="106"/>
      <c r="M308" s="106"/>
      <c r="N308" s="106"/>
      <c r="O308" s="106"/>
      <c r="P308" s="106"/>
    </row>
    <row r="309" spans="2:16">
      <c r="B309" s="106"/>
      <c r="C309" s="106"/>
      <c r="D309" s="106"/>
      <c r="E309" s="106"/>
      <c r="F309" s="106"/>
      <c r="G309" s="106"/>
      <c r="H309" s="106"/>
      <c r="I309" s="106"/>
      <c r="J309" s="106"/>
      <c r="K309" s="106"/>
      <c r="L309" s="106"/>
      <c r="M309" s="106"/>
      <c r="N309" s="106"/>
      <c r="O309" s="106"/>
      <c r="P309" s="106"/>
    </row>
    <row r="310" spans="2:16">
      <c r="B310" s="106"/>
      <c r="C310" s="106"/>
      <c r="D310" s="106"/>
      <c r="E310" s="106"/>
      <c r="F310" s="106"/>
      <c r="G310" s="106"/>
      <c r="H310" s="106"/>
      <c r="I310" s="106"/>
      <c r="J310" s="106"/>
      <c r="K310" s="106"/>
      <c r="L310" s="106"/>
      <c r="M310" s="106"/>
      <c r="N310" s="106"/>
      <c r="O310" s="106"/>
      <c r="P310" s="106"/>
    </row>
    <row r="311" spans="2:16">
      <c r="B311" s="106"/>
      <c r="C311" s="106"/>
      <c r="D311" s="106"/>
      <c r="E311" s="106"/>
      <c r="F311" s="106"/>
      <c r="G311" s="106"/>
      <c r="H311" s="106"/>
      <c r="I311" s="106"/>
      <c r="J311" s="106"/>
      <c r="K311" s="106"/>
      <c r="L311" s="106"/>
      <c r="M311" s="106"/>
      <c r="N311" s="106"/>
      <c r="O311" s="106"/>
      <c r="P311" s="106"/>
    </row>
    <row r="312" spans="2:16">
      <c r="B312" s="106"/>
      <c r="C312" s="106"/>
      <c r="D312" s="106"/>
      <c r="E312" s="106"/>
      <c r="F312" s="106"/>
      <c r="G312" s="106"/>
      <c r="H312" s="106"/>
      <c r="I312" s="106"/>
      <c r="J312" s="106"/>
      <c r="K312" s="106"/>
      <c r="L312" s="106"/>
      <c r="M312" s="106"/>
      <c r="N312" s="106"/>
      <c r="O312" s="106"/>
      <c r="P312" s="106"/>
    </row>
    <row r="313" spans="2:16">
      <c r="B313" s="106"/>
      <c r="C313" s="106"/>
      <c r="D313" s="106"/>
      <c r="E313" s="106"/>
      <c r="F313" s="106"/>
      <c r="G313" s="106"/>
      <c r="H313" s="106"/>
      <c r="I313" s="106"/>
      <c r="J313" s="106"/>
      <c r="K313" s="106"/>
      <c r="L313" s="106"/>
      <c r="M313" s="106"/>
      <c r="N313" s="106"/>
      <c r="O313" s="106"/>
      <c r="P313" s="106"/>
    </row>
    <row r="314" spans="2:16">
      <c r="B314" s="106"/>
      <c r="C314" s="106"/>
      <c r="D314" s="106"/>
      <c r="E314" s="106"/>
      <c r="F314" s="106"/>
      <c r="G314" s="106"/>
      <c r="H314" s="106"/>
      <c r="I314" s="106"/>
      <c r="J314" s="106"/>
      <c r="K314" s="106"/>
      <c r="L314" s="106"/>
      <c r="M314" s="106"/>
      <c r="N314" s="106"/>
      <c r="O314" s="106"/>
      <c r="P314" s="106"/>
    </row>
    <row r="315" spans="2:16">
      <c r="B315" s="106"/>
      <c r="C315" s="106"/>
      <c r="D315" s="106"/>
      <c r="E315" s="106"/>
      <c r="F315" s="106"/>
      <c r="G315" s="106"/>
      <c r="H315" s="106"/>
      <c r="I315" s="106"/>
      <c r="J315" s="106"/>
      <c r="K315" s="106"/>
      <c r="L315" s="106"/>
      <c r="M315" s="106"/>
      <c r="N315" s="106"/>
      <c r="O315" s="106"/>
      <c r="P315" s="106"/>
    </row>
    <row r="316" spans="2:16">
      <c r="B316" s="106"/>
      <c r="C316" s="106"/>
      <c r="D316" s="106"/>
      <c r="E316" s="106"/>
      <c r="F316" s="106"/>
      <c r="G316" s="106"/>
      <c r="H316" s="106"/>
      <c r="I316" s="106"/>
      <c r="J316" s="106"/>
      <c r="K316" s="106"/>
      <c r="L316" s="106"/>
      <c r="M316" s="106"/>
      <c r="N316" s="106"/>
      <c r="O316" s="106"/>
      <c r="P316" s="106"/>
    </row>
    <row r="317" spans="2:16">
      <c r="B317" s="106"/>
      <c r="C317" s="106"/>
      <c r="D317" s="106"/>
      <c r="E317" s="106"/>
      <c r="F317" s="106"/>
      <c r="G317" s="106"/>
      <c r="H317" s="106"/>
      <c r="I317" s="106"/>
      <c r="J317" s="106"/>
      <c r="K317" s="106"/>
      <c r="L317" s="106"/>
      <c r="M317" s="106"/>
      <c r="N317" s="106"/>
      <c r="O317" s="106"/>
      <c r="P317" s="106"/>
    </row>
    <row r="318" spans="2:16">
      <c r="B318" s="106"/>
      <c r="C318" s="106"/>
      <c r="D318" s="106"/>
      <c r="E318" s="106"/>
      <c r="F318" s="106"/>
      <c r="G318" s="106"/>
      <c r="H318" s="106"/>
      <c r="I318" s="106"/>
      <c r="J318" s="106"/>
      <c r="K318" s="106"/>
      <c r="L318" s="106"/>
      <c r="M318" s="106"/>
      <c r="N318" s="106"/>
      <c r="O318" s="106"/>
      <c r="P318" s="106"/>
    </row>
    <row r="319" spans="2:16">
      <c r="B319" s="106"/>
      <c r="C319" s="106"/>
      <c r="D319" s="106"/>
      <c r="E319" s="106"/>
      <c r="F319" s="106"/>
      <c r="G319" s="106"/>
      <c r="H319" s="106"/>
      <c r="I319" s="106"/>
      <c r="J319" s="106"/>
      <c r="K319" s="106"/>
      <c r="L319" s="106"/>
      <c r="M319" s="106"/>
      <c r="N319" s="106"/>
      <c r="O319" s="106"/>
      <c r="P319" s="106"/>
    </row>
    <row r="320" spans="2:16">
      <c r="B320" s="106"/>
      <c r="C320" s="106"/>
      <c r="D320" s="106"/>
      <c r="E320" s="106"/>
      <c r="F320" s="106"/>
      <c r="G320" s="106"/>
      <c r="H320" s="106"/>
      <c r="I320" s="106"/>
      <c r="J320" s="106"/>
      <c r="K320" s="106"/>
      <c r="L320" s="106"/>
      <c r="M320" s="106"/>
      <c r="N320" s="106"/>
      <c r="O320" s="106"/>
      <c r="P320" s="106"/>
    </row>
    <row r="321" spans="2:16">
      <c r="B321" s="106"/>
      <c r="C321" s="106"/>
      <c r="D321" s="106"/>
      <c r="E321" s="106"/>
      <c r="F321" s="106"/>
      <c r="G321" s="106"/>
      <c r="H321" s="106"/>
      <c r="I321" s="106"/>
      <c r="J321" s="106"/>
      <c r="K321" s="106"/>
      <c r="L321" s="106"/>
      <c r="M321" s="106"/>
      <c r="N321" s="106"/>
      <c r="O321" s="106"/>
      <c r="P321" s="106"/>
    </row>
    <row r="322" spans="2:16">
      <c r="B322" s="106"/>
      <c r="C322" s="106"/>
      <c r="D322" s="106"/>
      <c r="E322" s="106"/>
      <c r="F322" s="106"/>
      <c r="G322" s="106"/>
      <c r="H322" s="106"/>
      <c r="I322" s="106"/>
      <c r="J322" s="106"/>
      <c r="K322" s="106"/>
      <c r="L322" s="106"/>
      <c r="M322" s="106"/>
      <c r="N322" s="106"/>
      <c r="O322" s="106"/>
      <c r="P322" s="106"/>
    </row>
    <row r="323" spans="2:16">
      <c r="B323" s="106"/>
      <c r="C323" s="106"/>
      <c r="D323" s="106"/>
      <c r="E323" s="106"/>
      <c r="F323" s="106"/>
      <c r="G323" s="106"/>
      <c r="H323" s="106"/>
      <c r="I323" s="106"/>
      <c r="J323" s="106"/>
      <c r="K323" s="106"/>
      <c r="L323" s="106"/>
      <c r="M323" s="106"/>
      <c r="N323" s="106"/>
      <c r="O323" s="106"/>
      <c r="P323" s="106"/>
    </row>
    <row r="324" spans="2:16">
      <c r="B324" s="106"/>
      <c r="C324" s="106"/>
      <c r="D324" s="106"/>
      <c r="E324" s="106"/>
      <c r="F324" s="106"/>
      <c r="G324" s="106"/>
      <c r="H324" s="106"/>
      <c r="I324" s="106"/>
      <c r="J324" s="106"/>
      <c r="K324" s="106"/>
      <c r="L324" s="106"/>
      <c r="M324" s="106"/>
      <c r="N324" s="106"/>
      <c r="O324" s="106"/>
      <c r="P324" s="106"/>
    </row>
    <row r="325" spans="2:16">
      <c r="B325" s="106"/>
      <c r="C325" s="106"/>
      <c r="D325" s="106"/>
      <c r="E325" s="106"/>
      <c r="F325" s="106"/>
      <c r="G325" s="106"/>
      <c r="H325" s="106"/>
      <c r="I325" s="106"/>
      <c r="J325" s="106"/>
      <c r="K325" s="106"/>
      <c r="L325" s="106"/>
      <c r="M325" s="106"/>
      <c r="N325" s="106"/>
      <c r="O325" s="106"/>
      <c r="P325" s="106"/>
    </row>
    <row r="326" spans="2:16">
      <c r="B326" s="106"/>
      <c r="C326" s="106"/>
      <c r="D326" s="106"/>
      <c r="E326" s="106"/>
      <c r="F326" s="106"/>
      <c r="G326" s="106"/>
      <c r="H326" s="106"/>
      <c r="I326" s="106"/>
      <c r="J326" s="106"/>
      <c r="K326" s="106"/>
      <c r="L326" s="106"/>
      <c r="M326" s="106"/>
      <c r="N326" s="106"/>
      <c r="O326" s="106"/>
      <c r="P326" s="106"/>
    </row>
    <row r="327" spans="2:16">
      <c r="B327" s="106"/>
      <c r="C327" s="106"/>
      <c r="D327" s="106"/>
      <c r="E327" s="106"/>
      <c r="F327" s="106"/>
      <c r="G327" s="106"/>
      <c r="H327" s="106"/>
      <c r="I327" s="106"/>
      <c r="J327" s="106"/>
      <c r="K327" s="106"/>
      <c r="L327" s="106"/>
      <c r="M327" s="106"/>
      <c r="N327" s="106"/>
      <c r="O327" s="106"/>
      <c r="P327" s="106"/>
    </row>
    <row r="328" spans="2:16">
      <c r="B328" s="106"/>
      <c r="C328" s="106"/>
      <c r="D328" s="106"/>
      <c r="E328" s="106"/>
      <c r="F328" s="106"/>
      <c r="G328" s="106"/>
      <c r="H328" s="106"/>
      <c r="I328" s="106"/>
      <c r="J328" s="106"/>
      <c r="K328" s="106"/>
      <c r="L328" s="106"/>
      <c r="M328" s="106"/>
      <c r="N328" s="106"/>
      <c r="O328" s="106"/>
      <c r="P328" s="106"/>
    </row>
    <row r="329" spans="2:16">
      <c r="B329" s="106"/>
      <c r="C329" s="106"/>
      <c r="D329" s="106"/>
      <c r="E329" s="106"/>
      <c r="F329" s="106"/>
      <c r="G329" s="106"/>
      <c r="H329" s="106"/>
      <c r="I329" s="106"/>
      <c r="J329" s="106"/>
      <c r="K329" s="106"/>
      <c r="L329" s="106"/>
      <c r="M329" s="106"/>
      <c r="N329" s="106"/>
      <c r="O329" s="106"/>
      <c r="P329" s="106"/>
    </row>
    <row r="330" spans="2:16">
      <c r="B330" s="106"/>
      <c r="C330" s="106"/>
      <c r="D330" s="106"/>
      <c r="E330" s="106"/>
      <c r="F330" s="106"/>
      <c r="G330" s="106"/>
      <c r="H330" s="106"/>
      <c r="I330" s="106"/>
      <c r="J330" s="106"/>
      <c r="K330" s="106"/>
      <c r="L330" s="106"/>
      <c r="M330" s="106"/>
      <c r="N330" s="106"/>
      <c r="O330" s="106"/>
      <c r="P330" s="106"/>
    </row>
    <row r="331" spans="2:16">
      <c r="B331" s="106"/>
      <c r="C331" s="106"/>
      <c r="D331" s="106"/>
      <c r="E331" s="106"/>
      <c r="F331" s="106"/>
      <c r="G331" s="106"/>
      <c r="H331" s="106"/>
      <c r="I331" s="106"/>
      <c r="J331" s="106"/>
      <c r="K331" s="106"/>
      <c r="L331" s="106"/>
      <c r="M331" s="106"/>
      <c r="N331" s="106"/>
      <c r="O331" s="106"/>
      <c r="P331" s="106"/>
    </row>
    <row r="332" spans="2:16">
      <c r="B332" s="106"/>
      <c r="C332" s="106"/>
      <c r="D332" s="106"/>
      <c r="E332" s="106"/>
      <c r="F332" s="106"/>
      <c r="G332" s="106"/>
      <c r="H332" s="106"/>
      <c r="I332" s="106"/>
      <c r="J332" s="106"/>
      <c r="K332" s="106"/>
      <c r="L332" s="106"/>
      <c r="M332" s="106"/>
      <c r="N332" s="106"/>
      <c r="O332" s="106"/>
      <c r="P332" s="106"/>
    </row>
    <row r="333" spans="2:16">
      <c r="B333" s="106"/>
      <c r="C333" s="106"/>
      <c r="D333" s="106"/>
      <c r="E333" s="106"/>
      <c r="F333" s="106"/>
      <c r="G333" s="106"/>
      <c r="H333" s="106"/>
      <c r="I333" s="106"/>
      <c r="J333" s="106"/>
      <c r="K333" s="106"/>
      <c r="L333" s="106"/>
      <c r="M333" s="106"/>
      <c r="N333" s="106"/>
      <c r="O333" s="106"/>
      <c r="P333" s="106"/>
    </row>
    <row r="334" spans="2:16">
      <c r="B334" s="106"/>
      <c r="C334" s="106"/>
      <c r="D334" s="106"/>
      <c r="E334" s="106"/>
      <c r="F334" s="106"/>
      <c r="G334" s="106"/>
      <c r="H334" s="106"/>
      <c r="I334" s="106"/>
      <c r="J334" s="106"/>
      <c r="K334" s="106"/>
      <c r="L334" s="106"/>
      <c r="M334" s="106"/>
      <c r="N334" s="106"/>
      <c r="O334" s="106"/>
      <c r="P334" s="106"/>
    </row>
    <row r="335" spans="2:16">
      <c r="B335" s="106"/>
      <c r="C335" s="106"/>
      <c r="D335" s="106"/>
      <c r="E335" s="106"/>
      <c r="F335" s="106"/>
      <c r="G335" s="106"/>
      <c r="H335" s="106"/>
      <c r="I335" s="106"/>
      <c r="J335" s="106"/>
      <c r="K335" s="106"/>
      <c r="L335" s="106"/>
      <c r="M335" s="106"/>
      <c r="N335" s="106"/>
      <c r="O335" s="106"/>
      <c r="P335" s="106"/>
    </row>
    <row r="336" spans="2:16">
      <c r="B336" s="106"/>
      <c r="C336" s="106"/>
      <c r="D336" s="106"/>
      <c r="E336" s="106"/>
      <c r="F336" s="106"/>
      <c r="G336" s="106"/>
      <c r="H336" s="106"/>
      <c r="I336" s="106"/>
      <c r="J336" s="106"/>
      <c r="K336" s="106"/>
      <c r="L336" s="106"/>
      <c r="M336" s="106"/>
      <c r="N336" s="106"/>
      <c r="O336" s="106"/>
      <c r="P336" s="106"/>
    </row>
    <row r="337" spans="2:16">
      <c r="B337" s="106"/>
      <c r="C337" s="106"/>
      <c r="D337" s="106"/>
      <c r="E337" s="106"/>
      <c r="F337" s="106"/>
      <c r="G337" s="106"/>
      <c r="H337" s="106"/>
      <c r="I337" s="106"/>
      <c r="J337" s="106"/>
      <c r="K337" s="106"/>
      <c r="L337" s="106"/>
      <c r="M337" s="106"/>
      <c r="N337" s="106"/>
      <c r="O337" s="106"/>
      <c r="P337" s="106"/>
    </row>
    <row r="338" spans="2:16">
      <c r="B338" s="106"/>
      <c r="C338" s="106"/>
      <c r="D338" s="106"/>
      <c r="E338" s="106"/>
      <c r="F338" s="106"/>
      <c r="G338" s="106"/>
      <c r="H338" s="106"/>
      <c r="I338" s="106"/>
      <c r="J338" s="106"/>
      <c r="K338" s="106"/>
      <c r="L338" s="106"/>
      <c r="M338" s="106"/>
      <c r="N338" s="106"/>
      <c r="O338" s="106"/>
      <c r="P338" s="106"/>
    </row>
    <row r="339" spans="2:16">
      <c r="B339" s="106"/>
      <c r="C339" s="106"/>
      <c r="D339" s="106"/>
      <c r="E339" s="106"/>
      <c r="F339" s="106"/>
      <c r="G339" s="106"/>
      <c r="H339" s="106"/>
      <c r="I339" s="106"/>
      <c r="J339" s="106"/>
      <c r="K339" s="106"/>
      <c r="L339" s="106"/>
      <c r="M339" s="106"/>
      <c r="N339" s="106"/>
      <c r="O339" s="106"/>
      <c r="P339" s="106"/>
    </row>
    <row r="340" spans="2:16">
      <c r="B340" s="106"/>
      <c r="C340" s="106"/>
      <c r="D340" s="106"/>
      <c r="E340" s="106"/>
      <c r="F340" s="106"/>
      <c r="G340" s="106"/>
      <c r="H340" s="106"/>
      <c r="I340" s="106"/>
      <c r="J340" s="106"/>
      <c r="K340" s="106"/>
      <c r="L340" s="106"/>
      <c r="M340" s="106"/>
      <c r="N340" s="106"/>
      <c r="O340" s="106"/>
      <c r="P340" s="106"/>
    </row>
    <row r="341" spans="2:16">
      <c r="B341" s="106"/>
      <c r="C341" s="106"/>
      <c r="D341" s="106"/>
      <c r="E341" s="106"/>
      <c r="F341" s="106"/>
      <c r="G341" s="106"/>
      <c r="H341" s="106"/>
      <c r="I341" s="106"/>
      <c r="J341" s="106"/>
      <c r="K341" s="106"/>
      <c r="L341" s="106"/>
      <c r="M341" s="106"/>
      <c r="N341" s="106"/>
      <c r="O341" s="106"/>
      <c r="P341" s="106"/>
    </row>
    <row r="342" spans="2:16">
      <c r="B342" s="106"/>
      <c r="C342" s="106"/>
      <c r="D342" s="106"/>
      <c r="E342" s="106"/>
      <c r="F342" s="106"/>
      <c r="G342" s="106"/>
      <c r="H342" s="106"/>
      <c r="I342" s="106"/>
      <c r="J342" s="106"/>
      <c r="K342" s="106"/>
      <c r="L342" s="106"/>
      <c r="M342" s="106"/>
      <c r="N342" s="106"/>
      <c r="O342" s="106"/>
      <c r="P342" s="106"/>
    </row>
    <row r="343" spans="2:16">
      <c r="B343" s="106"/>
      <c r="C343" s="106"/>
      <c r="D343" s="106"/>
      <c r="E343" s="106"/>
      <c r="F343" s="106"/>
      <c r="G343" s="106"/>
      <c r="H343" s="106"/>
      <c r="I343" s="106"/>
      <c r="J343" s="106"/>
      <c r="K343" s="106"/>
      <c r="L343" s="106"/>
      <c r="M343" s="106"/>
      <c r="N343" s="106"/>
      <c r="O343" s="106"/>
      <c r="P343" s="106"/>
    </row>
    <row r="344" spans="2:16">
      <c r="B344" s="106"/>
      <c r="C344" s="106"/>
      <c r="D344" s="106"/>
      <c r="E344" s="106"/>
      <c r="F344" s="106"/>
      <c r="G344" s="106"/>
      <c r="H344" s="106"/>
      <c r="I344" s="106"/>
      <c r="J344" s="106"/>
      <c r="K344" s="106"/>
      <c r="L344" s="106"/>
      <c r="M344" s="106"/>
      <c r="N344" s="106"/>
      <c r="O344" s="106"/>
      <c r="P344" s="106"/>
    </row>
    <row r="345" spans="2:16">
      <c r="B345" s="106"/>
      <c r="C345" s="106"/>
      <c r="D345" s="106"/>
      <c r="E345" s="106"/>
      <c r="F345" s="106"/>
      <c r="G345" s="106"/>
      <c r="H345" s="106"/>
      <c r="I345" s="106"/>
      <c r="J345" s="106"/>
      <c r="K345" s="106"/>
      <c r="L345" s="106"/>
      <c r="M345" s="106"/>
      <c r="N345" s="106"/>
      <c r="O345" s="106"/>
      <c r="P345" s="106"/>
    </row>
    <row r="346" spans="2:16">
      <c r="B346" s="106"/>
      <c r="C346" s="106"/>
      <c r="D346" s="106"/>
      <c r="E346" s="106"/>
      <c r="F346" s="106"/>
      <c r="G346" s="106"/>
      <c r="H346" s="106"/>
      <c r="I346" s="106"/>
      <c r="J346" s="106"/>
      <c r="K346" s="106"/>
      <c r="L346" s="106"/>
      <c r="M346" s="106"/>
      <c r="N346" s="106"/>
      <c r="O346" s="106"/>
      <c r="P346" s="106"/>
    </row>
    <row r="347" spans="2:16">
      <c r="B347" s="106"/>
      <c r="C347" s="106"/>
      <c r="D347" s="106"/>
      <c r="E347" s="106"/>
      <c r="F347" s="106"/>
      <c r="G347" s="106"/>
      <c r="H347" s="106"/>
      <c r="I347" s="106"/>
      <c r="J347" s="106"/>
      <c r="K347" s="106"/>
      <c r="L347" s="106"/>
      <c r="M347" s="106"/>
      <c r="N347" s="106"/>
      <c r="O347" s="106"/>
      <c r="P347" s="106"/>
    </row>
    <row r="348" spans="2:16">
      <c r="B348" s="106"/>
      <c r="C348" s="106"/>
      <c r="D348" s="106"/>
      <c r="E348" s="106"/>
      <c r="F348" s="106"/>
      <c r="G348" s="106"/>
      <c r="H348" s="106"/>
      <c r="I348" s="106"/>
      <c r="J348" s="106"/>
      <c r="K348" s="106"/>
      <c r="L348" s="106"/>
      <c r="M348" s="106"/>
      <c r="N348" s="106"/>
      <c r="O348" s="106"/>
      <c r="P348" s="106"/>
    </row>
    <row r="349" spans="2:16">
      <c r="B349" s="106"/>
      <c r="C349" s="106"/>
      <c r="D349" s="106"/>
      <c r="E349" s="106"/>
      <c r="F349" s="106"/>
      <c r="G349" s="106"/>
      <c r="H349" s="106"/>
      <c r="I349" s="106"/>
      <c r="J349" s="106"/>
      <c r="K349" s="106"/>
      <c r="L349" s="106"/>
      <c r="M349" s="106"/>
      <c r="N349" s="106"/>
      <c r="O349" s="106"/>
      <c r="P349" s="106"/>
    </row>
    <row r="350" spans="2:16">
      <c r="B350" s="106"/>
      <c r="C350" s="106"/>
      <c r="D350" s="106"/>
      <c r="E350" s="106"/>
      <c r="F350" s="106"/>
      <c r="G350" s="106"/>
      <c r="H350" s="106"/>
      <c r="I350" s="106"/>
      <c r="J350" s="106"/>
      <c r="K350" s="106"/>
      <c r="L350" s="106"/>
      <c r="M350" s="106"/>
      <c r="N350" s="106"/>
      <c r="O350" s="106"/>
      <c r="P350" s="106"/>
    </row>
    <row r="351" spans="2:16">
      <c r="B351" s="106"/>
      <c r="C351" s="106"/>
      <c r="D351" s="106"/>
      <c r="E351" s="106"/>
      <c r="F351" s="106"/>
      <c r="G351" s="106"/>
      <c r="H351" s="106"/>
      <c r="I351" s="106"/>
      <c r="J351" s="106"/>
      <c r="K351" s="106"/>
      <c r="L351" s="106"/>
      <c r="M351" s="106"/>
      <c r="N351" s="106"/>
      <c r="O351" s="106"/>
      <c r="P351" s="106"/>
    </row>
    <row r="352" spans="2:16">
      <c r="B352" s="106"/>
      <c r="C352" s="106"/>
      <c r="D352" s="106"/>
      <c r="E352" s="106"/>
      <c r="F352" s="106"/>
      <c r="G352" s="106"/>
      <c r="H352" s="106"/>
      <c r="I352" s="106"/>
      <c r="J352" s="106"/>
      <c r="K352" s="106"/>
      <c r="L352" s="106"/>
      <c r="M352" s="106"/>
      <c r="N352" s="106"/>
      <c r="O352" s="106"/>
      <c r="P352" s="106"/>
    </row>
    <row r="353" spans="2:16">
      <c r="B353" s="106"/>
      <c r="C353" s="106"/>
      <c r="D353" s="106"/>
      <c r="E353" s="106"/>
      <c r="F353" s="106"/>
      <c r="G353" s="106"/>
      <c r="H353" s="106"/>
      <c r="I353" s="106"/>
      <c r="J353" s="106"/>
      <c r="K353" s="106"/>
      <c r="L353" s="106"/>
      <c r="M353" s="106"/>
      <c r="N353" s="106"/>
      <c r="O353" s="106"/>
      <c r="P353" s="106"/>
    </row>
    <row r="354" spans="2:16">
      <c r="B354" s="106"/>
      <c r="C354" s="106"/>
      <c r="D354" s="106"/>
      <c r="E354" s="106"/>
      <c r="F354" s="106"/>
      <c r="G354" s="106"/>
      <c r="H354" s="106"/>
      <c r="I354" s="106"/>
      <c r="J354" s="106"/>
      <c r="K354" s="106"/>
      <c r="L354" s="106"/>
      <c r="M354" s="106"/>
      <c r="N354" s="106"/>
      <c r="O354" s="106"/>
      <c r="P354" s="106"/>
    </row>
    <row r="355" spans="2:16">
      <c r="B355" s="106"/>
      <c r="C355" s="106"/>
      <c r="D355" s="106"/>
      <c r="E355" s="106"/>
      <c r="F355" s="106"/>
      <c r="G355" s="106"/>
      <c r="H355" s="106"/>
      <c r="I355" s="106"/>
      <c r="J355" s="106"/>
      <c r="K355" s="106"/>
      <c r="L355" s="106"/>
      <c r="M355" s="106"/>
      <c r="N355" s="106"/>
      <c r="O355" s="106"/>
      <c r="P355" s="106"/>
    </row>
    <row r="356" spans="2:16">
      <c r="B356" s="106"/>
      <c r="C356" s="106"/>
      <c r="D356" s="106"/>
      <c r="E356" s="106"/>
      <c r="F356" s="106"/>
      <c r="G356" s="106"/>
      <c r="H356" s="106"/>
      <c r="I356" s="106"/>
      <c r="J356" s="106"/>
      <c r="K356" s="106"/>
      <c r="L356" s="106"/>
      <c r="M356" s="106"/>
      <c r="N356" s="106"/>
      <c r="O356" s="106"/>
      <c r="P356" s="106"/>
    </row>
    <row r="357" spans="2:16">
      <c r="B357" s="106"/>
      <c r="C357" s="106"/>
      <c r="D357" s="106"/>
      <c r="E357" s="106"/>
      <c r="F357" s="106"/>
      <c r="G357" s="106"/>
      <c r="H357" s="106"/>
      <c r="I357" s="106"/>
      <c r="J357" s="106"/>
      <c r="K357" s="106"/>
      <c r="L357" s="106"/>
      <c r="M357" s="106"/>
      <c r="N357" s="106"/>
      <c r="O357" s="106"/>
      <c r="P357" s="106"/>
    </row>
    <row r="358" spans="2:16">
      <c r="B358" s="106"/>
      <c r="C358" s="106"/>
      <c r="D358" s="106"/>
      <c r="E358" s="106"/>
      <c r="F358" s="106"/>
      <c r="G358" s="106"/>
      <c r="H358" s="106"/>
      <c r="I358" s="106"/>
      <c r="J358" s="106"/>
      <c r="K358" s="106"/>
      <c r="L358" s="106"/>
      <c r="M358" s="106"/>
      <c r="N358" s="106"/>
      <c r="O358" s="106"/>
      <c r="P358" s="106"/>
    </row>
    <row r="359" spans="2:16">
      <c r="B359" s="106"/>
      <c r="C359" s="106"/>
      <c r="D359" s="106"/>
      <c r="E359" s="106"/>
      <c r="F359" s="106"/>
      <c r="G359" s="106"/>
      <c r="H359" s="106"/>
      <c r="I359" s="106"/>
      <c r="J359" s="106"/>
      <c r="K359" s="106"/>
      <c r="L359" s="106"/>
      <c r="M359" s="106"/>
      <c r="N359" s="106"/>
      <c r="O359" s="106"/>
      <c r="P359" s="106"/>
    </row>
    <row r="360" spans="2:16">
      <c r="B360" s="106"/>
      <c r="C360" s="106"/>
      <c r="D360" s="106"/>
      <c r="E360" s="106"/>
      <c r="F360" s="106"/>
      <c r="G360" s="106"/>
      <c r="H360" s="106"/>
      <c r="I360" s="106"/>
      <c r="J360" s="106"/>
      <c r="K360" s="106"/>
      <c r="L360" s="106"/>
      <c r="M360" s="106"/>
      <c r="N360" s="106"/>
      <c r="O360" s="106"/>
      <c r="P360" s="106"/>
    </row>
    <row r="361" spans="2:16">
      <c r="B361" s="106"/>
      <c r="C361" s="106"/>
      <c r="D361" s="106"/>
      <c r="E361" s="106"/>
      <c r="F361" s="106"/>
      <c r="G361" s="106"/>
      <c r="H361" s="106"/>
      <c r="I361" s="106"/>
      <c r="J361" s="106"/>
      <c r="K361" s="106"/>
      <c r="L361" s="106"/>
      <c r="M361" s="106"/>
      <c r="N361" s="106"/>
      <c r="O361" s="106"/>
      <c r="P361" s="106"/>
    </row>
    <row r="362" spans="2:16">
      <c r="B362" s="106"/>
      <c r="C362" s="106"/>
      <c r="D362" s="106"/>
      <c r="E362" s="106"/>
      <c r="F362" s="106"/>
      <c r="G362" s="106"/>
      <c r="H362" s="106"/>
      <c r="I362" s="106"/>
      <c r="J362" s="106"/>
      <c r="K362" s="106"/>
      <c r="L362" s="106"/>
      <c r="M362" s="106"/>
      <c r="N362" s="106"/>
      <c r="O362" s="106"/>
      <c r="P362" s="106"/>
    </row>
    <row r="363" spans="2:16">
      <c r="B363" s="106"/>
      <c r="C363" s="106"/>
      <c r="D363" s="106"/>
      <c r="E363" s="106"/>
      <c r="F363" s="106"/>
      <c r="G363" s="106"/>
      <c r="H363" s="106"/>
      <c r="I363" s="106"/>
      <c r="J363" s="106"/>
      <c r="K363" s="106"/>
      <c r="L363" s="106"/>
      <c r="M363" s="106"/>
      <c r="N363" s="106"/>
      <c r="O363" s="106"/>
      <c r="P363" s="106"/>
    </row>
    <row r="364" spans="2:16">
      <c r="B364" s="106"/>
      <c r="C364" s="106"/>
      <c r="D364" s="106"/>
      <c r="E364" s="106"/>
      <c r="F364" s="106"/>
      <c r="G364" s="106"/>
      <c r="H364" s="106"/>
      <c r="I364" s="106"/>
      <c r="J364" s="106"/>
      <c r="K364" s="106"/>
      <c r="L364" s="106"/>
      <c r="M364" s="106"/>
      <c r="N364" s="106"/>
      <c r="O364" s="106"/>
      <c r="P364" s="106"/>
    </row>
    <row r="365" spans="2:16">
      <c r="B365" s="106"/>
      <c r="C365" s="106"/>
      <c r="D365" s="106"/>
      <c r="E365" s="106"/>
      <c r="F365" s="106"/>
      <c r="G365" s="106"/>
      <c r="H365" s="106"/>
      <c r="I365" s="106"/>
      <c r="J365" s="106"/>
      <c r="K365" s="106"/>
      <c r="L365" s="106"/>
      <c r="M365" s="106"/>
      <c r="N365" s="106"/>
      <c r="O365" s="106"/>
      <c r="P365" s="106"/>
    </row>
    <row r="366" spans="2:16">
      <c r="B366" s="106"/>
      <c r="C366" s="106"/>
      <c r="D366" s="106"/>
      <c r="E366" s="106"/>
      <c r="F366" s="106"/>
      <c r="G366" s="106"/>
      <c r="H366" s="106"/>
      <c r="I366" s="106"/>
      <c r="J366" s="106"/>
      <c r="K366" s="106"/>
      <c r="L366" s="106"/>
      <c r="M366" s="106"/>
      <c r="N366" s="106"/>
      <c r="O366" s="106"/>
      <c r="P366" s="106"/>
    </row>
    <row r="367" spans="2:16">
      <c r="B367" s="106"/>
      <c r="C367" s="106"/>
      <c r="D367" s="106"/>
      <c r="E367" s="106"/>
      <c r="F367" s="106"/>
      <c r="G367" s="106"/>
      <c r="H367" s="106"/>
      <c r="I367" s="106"/>
      <c r="J367" s="106"/>
      <c r="K367" s="106"/>
      <c r="L367" s="106"/>
      <c r="M367" s="106"/>
      <c r="N367" s="106"/>
      <c r="O367" s="106"/>
      <c r="P367" s="106"/>
    </row>
    <row r="368" spans="2:16">
      <c r="B368" s="106"/>
      <c r="C368" s="106"/>
      <c r="D368" s="106"/>
      <c r="E368" s="106"/>
      <c r="F368" s="106"/>
      <c r="G368" s="106"/>
      <c r="H368" s="106"/>
      <c r="I368" s="106"/>
      <c r="J368" s="106"/>
      <c r="K368" s="106"/>
      <c r="L368" s="106"/>
      <c r="M368" s="106"/>
      <c r="N368" s="106"/>
      <c r="O368" s="106"/>
      <c r="P368" s="106"/>
    </row>
    <row r="369" spans="2:16">
      <c r="B369" s="106"/>
      <c r="C369" s="106"/>
      <c r="D369" s="106"/>
      <c r="E369" s="106"/>
      <c r="F369" s="106"/>
      <c r="G369" s="106"/>
      <c r="H369" s="106"/>
      <c r="I369" s="106"/>
      <c r="J369" s="106"/>
      <c r="K369" s="106"/>
      <c r="L369" s="106"/>
      <c r="M369" s="106"/>
      <c r="N369" s="106"/>
      <c r="O369" s="106"/>
      <c r="P369" s="106"/>
    </row>
    <row r="370" spans="2:16">
      <c r="B370" s="106"/>
      <c r="C370" s="106"/>
      <c r="D370" s="106"/>
      <c r="E370" s="106"/>
      <c r="F370" s="106"/>
      <c r="G370" s="106"/>
      <c r="H370" s="106"/>
      <c r="I370" s="106"/>
      <c r="J370" s="106"/>
      <c r="K370" s="106"/>
      <c r="L370" s="106"/>
      <c r="M370" s="106"/>
      <c r="N370" s="106"/>
      <c r="O370" s="106"/>
      <c r="P370" s="106"/>
    </row>
    <row r="371" spans="2:16">
      <c r="B371" s="106"/>
      <c r="C371" s="106"/>
      <c r="D371" s="106"/>
      <c r="E371" s="106"/>
      <c r="F371" s="106"/>
      <c r="G371" s="106"/>
      <c r="H371" s="106"/>
      <c r="I371" s="106"/>
      <c r="J371" s="106"/>
      <c r="K371" s="106"/>
      <c r="L371" s="106"/>
      <c r="M371" s="106"/>
      <c r="N371" s="106"/>
      <c r="O371" s="106"/>
      <c r="P371" s="106"/>
    </row>
    <row r="372" spans="2:16">
      <c r="B372" s="106"/>
      <c r="C372" s="106"/>
      <c r="D372" s="106"/>
      <c r="E372" s="106"/>
      <c r="F372" s="106"/>
      <c r="G372" s="106"/>
      <c r="H372" s="106"/>
      <c r="I372" s="106"/>
      <c r="J372" s="106"/>
      <c r="K372" s="106"/>
      <c r="L372" s="106"/>
      <c r="M372" s="106"/>
      <c r="N372" s="106"/>
      <c r="O372" s="106"/>
      <c r="P372" s="106"/>
    </row>
    <row r="373" spans="2:16">
      <c r="B373" s="106"/>
      <c r="C373" s="106"/>
      <c r="D373" s="106"/>
      <c r="E373" s="106"/>
      <c r="F373" s="106"/>
      <c r="G373" s="106"/>
      <c r="H373" s="106"/>
      <c r="I373" s="106"/>
      <c r="J373" s="106"/>
      <c r="K373" s="106"/>
      <c r="L373" s="106"/>
      <c r="M373" s="106"/>
      <c r="N373" s="106"/>
      <c r="O373" s="106"/>
      <c r="P373" s="106"/>
    </row>
    <row r="374" spans="2:16">
      <c r="B374" s="106"/>
      <c r="C374" s="106"/>
      <c r="D374" s="106"/>
      <c r="E374" s="106"/>
      <c r="F374" s="106"/>
      <c r="G374" s="106"/>
      <c r="H374" s="106"/>
      <c r="I374" s="106"/>
      <c r="J374" s="106"/>
      <c r="K374" s="106"/>
      <c r="L374" s="106"/>
      <c r="M374" s="106"/>
      <c r="N374" s="106"/>
      <c r="O374" s="106"/>
      <c r="P374" s="106"/>
    </row>
    <row r="375" spans="2:16">
      <c r="B375" s="106"/>
      <c r="C375" s="106"/>
      <c r="D375" s="106"/>
      <c r="E375" s="106"/>
      <c r="F375" s="106"/>
      <c r="G375" s="106"/>
      <c r="H375" s="106"/>
      <c r="I375" s="106"/>
      <c r="J375" s="106"/>
      <c r="K375" s="106"/>
      <c r="L375" s="106"/>
      <c r="M375" s="106"/>
      <c r="N375" s="106"/>
      <c r="O375" s="106"/>
      <c r="P375" s="106"/>
    </row>
    <row r="376" spans="2:16">
      <c r="B376" s="106"/>
      <c r="C376" s="106"/>
      <c r="D376" s="106"/>
      <c r="E376" s="106"/>
      <c r="F376" s="106"/>
      <c r="G376" s="106"/>
      <c r="H376" s="106"/>
      <c r="I376" s="106"/>
      <c r="J376" s="106"/>
      <c r="K376" s="106"/>
      <c r="L376" s="106"/>
      <c r="M376" s="106"/>
      <c r="N376" s="106"/>
      <c r="O376" s="106"/>
      <c r="P376" s="106"/>
    </row>
    <row r="377" spans="2:16">
      <c r="B377" s="106"/>
      <c r="C377" s="106"/>
      <c r="D377" s="106"/>
      <c r="E377" s="106"/>
      <c r="F377" s="106"/>
      <c r="G377" s="106"/>
      <c r="H377" s="106"/>
      <c r="I377" s="106"/>
      <c r="J377" s="106"/>
      <c r="K377" s="106"/>
      <c r="L377" s="106"/>
      <c r="M377" s="106"/>
      <c r="N377" s="106"/>
      <c r="O377" s="106"/>
      <c r="P377" s="106"/>
    </row>
    <row r="378" spans="2:16">
      <c r="B378" s="106"/>
      <c r="C378" s="106"/>
      <c r="D378" s="106"/>
      <c r="E378" s="106"/>
      <c r="F378" s="106"/>
      <c r="G378" s="106"/>
      <c r="H378" s="106"/>
      <c r="I378" s="106"/>
      <c r="J378" s="106"/>
      <c r="K378" s="106"/>
      <c r="L378" s="106"/>
      <c r="M378" s="106"/>
      <c r="N378" s="106"/>
      <c r="O378" s="106"/>
      <c r="P378" s="106"/>
    </row>
    <row r="379" spans="2:16">
      <c r="B379" s="106"/>
      <c r="C379" s="106"/>
      <c r="D379" s="106"/>
      <c r="E379" s="106"/>
      <c r="F379" s="106"/>
      <c r="G379" s="106"/>
      <c r="H379" s="106"/>
      <c r="I379" s="106"/>
      <c r="J379" s="106"/>
      <c r="K379" s="106"/>
      <c r="L379" s="106"/>
      <c r="M379" s="106"/>
      <c r="N379" s="106"/>
      <c r="O379" s="106"/>
      <c r="P379" s="106"/>
    </row>
    <row r="380" spans="2:16">
      <c r="B380" s="106"/>
      <c r="C380" s="106"/>
      <c r="D380" s="106"/>
      <c r="E380" s="106"/>
      <c r="F380" s="106"/>
      <c r="G380" s="106"/>
      <c r="H380" s="106"/>
      <c r="I380" s="106"/>
      <c r="J380" s="106"/>
      <c r="K380" s="106"/>
      <c r="L380" s="106"/>
      <c r="M380" s="106"/>
      <c r="N380" s="106"/>
      <c r="O380" s="106"/>
      <c r="P380" s="106"/>
    </row>
    <row r="381" spans="2:16">
      <c r="B381" s="106"/>
      <c r="C381" s="106"/>
      <c r="D381" s="106"/>
      <c r="E381" s="106"/>
      <c r="F381" s="106"/>
      <c r="G381" s="106"/>
      <c r="H381" s="106"/>
      <c r="I381" s="106"/>
      <c r="J381" s="106"/>
      <c r="K381" s="106"/>
      <c r="L381" s="106"/>
      <c r="M381" s="106"/>
      <c r="N381" s="106"/>
      <c r="O381" s="106"/>
      <c r="P381" s="106"/>
    </row>
    <row r="382" spans="2:16">
      <c r="B382" s="106"/>
      <c r="C382" s="106"/>
      <c r="D382" s="106"/>
      <c r="E382" s="106"/>
      <c r="F382" s="106"/>
      <c r="G382" s="106"/>
      <c r="H382" s="106"/>
      <c r="I382" s="106"/>
      <c r="J382" s="106"/>
      <c r="K382" s="106"/>
      <c r="L382" s="106"/>
      <c r="M382" s="106"/>
      <c r="N382" s="106"/>
      <c r="O382" s="106"/>
      <c r="P382" s="106"/>
    </row>
    <row r="383" spans="2:16">
      <c r="B383" s="106"/>
      <c r="C383" s="106"/>
      <c r="D383" s="106"/>
      <c r="E383" s="106"/>
      <c r="F383" s="106"/>
      <c r="G383" s="106"/>
      <c r="H383" s="106"/>
      <c r="I383" s="106"/>
      <c r="J383" s="106"/>
      <c r="K383" s="106"/>
      <c r="L383" s="106"/>
      <c r="M383" s="106"/>
      <c r="N383" s="106"/>
      <c r="O383" s="106"/>
      <c r="P383" s="106"/>
    </row>
    <row r="384" spans="2:16">
      <c r="B384" s="106"/>
      <c r="C384" s="106"/>
      <c r="D384" s="106"/>
      <c r="E384" s="106"/>
      <c r="F384" s="106"/>
      <c r="G384" s="106"/>
      <c r="H384" s="106"/>
      <c r="I384" s="106"/>
      <c r="J384" s="106"/>
      <c r="K384" s="106"/>
      <c r="L384" s="106"/>
      <c r="M384" s="106"/>
      <c r="N384" s="106"/>
      <c r="O384" s="106"/>
      <c r="P384" s="106"/>
    </row>
    <row r="385" spans="2:16">
      <c r="B385" s="106"/>
      <c r="C385" s="106"/>
      <c r="D385" s="106"/>
      <c r="E385" s="106"/>
      <c r="F385" s="106"/>
      <c r="G385" s="106"/>
      <c r="H385" s="106"/>
      <c r="I385" s="106"/>
      <c r="J385" s="106"/>
      <c r="K385" s="106"/>
      <c r="L385" s="106"/>
      <c r="M385" s="106"/>
      <c r="N385" s="106"/>
      <c r="O385" s="106"/>
      <c r="P385" s="106"/>
    </row>
    <row r="386" spans="2:16">
      <c r="B386" s="106"/>
      <c r="C386" s="106"/>
      <c r="D386" s="106"/>
      <c r="E386" s="106"/>
      <c r="F386" s="106"/>
      <c r="G386" s="106"/>
      <c r="H386" s="106"/>
      <c r="I386" s="106"/>
      <c r="J386" s="106"/>
      <c r="K386" s="106"/>
      <c r="L386" s="106"/>
      <c r="M386" s="106"/>
      <c r="N386" s="106"/>
      <c r="O386" s="106"/>
      <c r="P386" s="106"/>
    </row>
    <row r="387" spans="2:16">
      <c r="B387" s="106"/>
      <c r="C387" s="106"/>
      <c r="D387" s="106"/>
      <c r="E387" s="106"/>
      <c r="F387" s="106"/>
      <c r="G387" s="106"/>
      <c r="H387" s="106"/>
      <c r="I387" s="106"/>
      <c r="J387" s="106"/>
      <c r="K387" s="106"/>
      <c r="L387" s="106"/>
      <c r="M387" s="106"/>
      <c r="N387" s="106"/>
      <c r="O387" s="106"/>
      <c r="P387" s="106"/>
    </row>
    <row r="388" spans="2:16">
      <c r="B388" s="106"/>
      <c r="C388" s="106"/>
      <c r="D388" s="106"/>
      <c r="E388" s="106"/>
      <c r="F388" s="106"/>
      <c r="G388" s="106"/>
      <c r="H388" s="106"/>
      <c r="I388" s="106"/>
      <c r="J388" s="106"/>
      <c r="K388" s="106"/>
      <c r="L388" s="106"/>
      <c r="M388" s="106"/>
      <c r="N388" s="106"/>
      <c r="O388" s="106"/>
      <c r="P388" s="106"/>
    </row>
    <row r="389" spans="2:16">
      <c r="B389" s="106"/>
      <c r="C389" s="106"/>
      <c r="D389" s="106"/>
      <c r="E389" s="106"/>
      <c r="F389" s="106"/>
      <c r="G389" s="106"/>
      <c r="H389" s="106"/>
      <c r="I389" s="106"/>
      <c r="J389" s="106"/>
      <c r="K389" s="106"/>
      <c r="L389" s="106"/>
      <c r="M389" s="106"/>
      <c r="N389" s="106"/>
      <c r="O389" s="106"/>
      <c r="P389" s="106"/>
    </row>
    <row r="390" spans="2:16">
      <c r="B390" s="106"/>
      <c r="C390" s="106"/>
      <c r="D390" s="106"/>
      <c r="E390" s="106"/>
      <c r="F390" s="106"/>
      <c r="G390" s="106"/>
      <c r="H390" s="106"/>
      <c r="I390" s="106"/>
      <c r="J390" s="106"/>
      <c r="K390" s="106"/>
      <c r="L390" s="106"/>
      <c r="M390" s="106"/>
      <c r="N390" s="106"/>
      <c r="O390" s="106"/>
      <c r="P390" s="106"/>
    </row>
    <row r="391" spans="2:16">
      <c r="B391" s="106"/>
      <c r="C391" s="106"/>
      <c r="D391" s="106"/>
      <c r="E391" s="106"/>
      <c r="F391" s="106"/>
      <c r="G391" s="106"/>
      <c r="H391" s="106"/>
      <c r="I391" s="106"/>
      <c r="J391" s="106"/>
      <c r="K391" s="106"/>
      <c r="L391" s="106"/>
      <c r="M391" s="106"/>
      <c r="N391" s="106"/>
      <c r="O391" s="106"/>
      <c r="P391" s="106"/>
    </row>
    <row r="392" spans="2:16">
      <c r="B392" s="106"/>
      <c r="C392" s="106"/>
      <c r="D392" s="106"/>
      <c r="E392" s="106"/>
      <c r="F392" s="106"/>
      <c r="G392" s="106"/>
      <c r="H392" s="106"/>
      <c r="I392" s="106"/>
      <c r="J392" s="106"/>
      <c r="K392" s="106"/>
      <c r="L392" s="106"/>
      <c r="M392" s="106"/>
      <c r="N392" s="106"/>
      <c r="O392" s="106"/>
      <c r="P392" s="106"/>
    </row>
    <row r="393" spans="2:16">
      <c r="B393" s="106"/>
      <c r="C393" s="106"/>
      <c r="D393" s="106"/>
      <c r="E393" s="106"/>
      <c r="F393" s="106"/>
      <c r="G393" s="106"/>
      <c r="H393" s="106"/>
      <c r="I393" s="106"/>
      <c r="J393" s="106"/>
      <c r="K393" s="106"/>
      <c r="L393" s="106"/>
      <c r="M393" s="106"/>
      <c r="N393" s="106"/>
      <c r="O393" s="106"/>
      <c r="P393" s="106"/>
    </row>
    <row r="394" spans="2:16">
      <c r="B394" s="106"/>
      <c r="C394" s="106"/>
      <c r="D394" s="106"/>
      <c r="E394" s="106"/>
      <c r="F394" s="106"/>
      <c r="G394" s="106"/>
      <c r="H394" s="106"/>
      <c r="I394" s="106"/>
      <c r="J394" s="106"/>
      <c r="K394" s="106"/>
      <c r="L394" s="106"/>
      <c r="M394" s="106"/>
      <c r="N394" s="106"/>
      <c r="O394" s="106"/>
      <c r="P394" s="106"/>
    </row>
    <row r="395" spans="2:16">
      <c r="B395" s="106"/>
      <c r="C395" s="106"/>
      <c r="D395" s="106"/>
      <c r="E395" s="106"/>
      <c r="F395" s="106"/>
      <c r="G395" s="106"/>
      <c r="H395" s="106"/>
      <c r="I395" s="106"/>
      <c r="J395" s="106"/>
      <c r="K395" s="106"/>
      <c r="L395" s="106"/>
      <c r="M395" s="106"/>
      <c r="N395" s="106"/>
      <c r="O395" s="106"/>
      <c r="P395" s="106"/>
    </row>
    <row r="396" spans="2:16">
      <c r="B396" s="106"/>
      <c r="C396" s="106"/>
      <c r="D396" s="106"/>
      <c r="E396" s="106"/>
      <c r="F396" s="106"/>
      <c r="G396" s="106"/>
      <c r="H396" s="106"/>
      <c r="I396" s="106"/>
      <c r="J396" s="106"/>
      <c r="K396" s="106"/>
      <c r="L396" s="106"/>
      <c r="M396" s="106"/>
      <c r="N396" s="106"/>
      <c r="O396" s="106"/>
      <c r="P396" s="106"/>
    </row>
    <row r="397" spans="2:16">
      <c r="B397" s="106"/>
      <c r="C397" s="106"/>
      <c r="D397" s="106"/>
      <c r="E397" s="106"/>
      <c r="F397" s="106"/>
      <c r="G397" s="106"/>
      <c r="H397" s="106"/>
      <c r="I397" s="106"/>
      <c r="J397" s="106"/>
      <c r="K397" s="106"/>
      <c r="L397" s="106"/>
      <c r="M397" s="106"/>
      <c r="N397" s="106"/>
      <c r="O397" s="106"/>
      <c r="P397" s="106"/>
    </row>
    <row r="398" spans="2:16">
      <c r="B398" s="106"/>
      <c r="C398" s="106"/>
      <c r="D398" s="106"/>
      <c r="E398" s="106"/>
      <c r="F398" s="106"/>
      <c r="G398" s="106"/>
      <c r="H398" s="106"/>
      <c r="I398" s="106"/>
      <c r="J398" s="106"/>
      <c r="K398" s="106"/>
      <c r="L398" s="106"/>
      <c r="M398" s="106"/>
      <c r="N398" s="106"/>
      <c r="O398" s="106"/>
      <c r="P398" s="106"/>
    </row>
    <row r="399" spans="2:16">
      <c r="B399" s="106"/>
      <c r="C399" s="106"/>
      <c r="D399" s="106"/>
      <c r="E399" s="106"/>
      <c r="F399" s="106"/>
      <c r="G399" s="106"/>
      <c r="H399" s="106"/>
      <c r="I399" s="106"/>
      <c r="J399" s="106"/>
      <c r="K399" s="106"/>
      <c r="L399" s="106"/>
      <c r="M399" s="106"/>
      <c r="N399" s="106"/>
      <c r="O399" s="106"/>
      <c r="P399" s="106"/>
    </row>
    <row r="400" spans="2:16">
      <c r="B400" s="106"/>
      <c r="C400" s="106"/>
      <c r="D400" s="106"/>
      <c r="E400" s="106"/>
      <c r="F400" s="106"/>
      <c r="G400" s="106"/>
      <c r="H400" s="106"/>
      <c r="I400" s="106"/>
      <c r="J400" s="106"/>
      <c r="K400" s="106"/>
      <c r="L400" s="106"/>
      <c r="M400" s="106"/>
      <c r="N400" s="106"/>
      <c r="O400" s="106"/>
      <c r="P400" s="106"/>
    </row>
    <row r="401" spans="2:16">
      <c r="B401" s="106"/>
      <c r="C401" s="106"/>
      <c r="D401" s="106"/>
      <c r="E401" s="106"/>
      <c r="F401" s="106"/>
      <c r="G401" s="106"/>
      <c r="H401" s="106"/>
      <c r="I401" s="106"/>
      <c r="J401" s="106"/>
      <c r="K401" s="106"/>
      <c r="L401" s="106"/>
      <c r="M401" s="106"/>
      <c r="N401" s="106"/>
      <c r="O401" s="106"/>
      <c r="P401" s="106"/>
    </row>
    <row r="402" spans="2:16">
      <c r="B402" s="106"/>
      <c r="C402" s="106"/>
      <c r="D402" s="106"/>
      <c r="E402" s="106"/>
      <c r="F402" s="106"/>
      <c r="G402" s="106"/>
      <c r="H402" s="106"/>
      <c r="I402" s="106"/>
      <c r="J402" s="106"/>
      <c r="K402" s="106"/>
      <c r="L402" s="106"/>
      <c r="M402" s="106"/>
      <c r="N402" s="106"/>
      <c r="O402" s="106"/>
      <c r="P402" s="106"/>
    </row>
    <row r="403" spans="2:16">
      <c r="B403" s="106"/>
      <c r="C403" s="106"/>
      <c r="D403" s="106"/>
      <c r="E403" s="106"/>
      <c r="F403" s="106"/>
      <c r="G403" s="106"/>
      <c r="H403" s="106"/>
      <c r="I403" s="106"/>
      <c r="J403" s="106"/>
      <c r="K403" s="106"/>
      <c r="L403" s="106"/>
      <c r="M403" s="106"/>
      <c r="N403" s="106"/>
      <c r="O403" s="106"/>
      <c r="P403" s="106"/>
    </row>
    <row r="404" spans="2:16">
      <c r="B404" s="106"/>
      <c r="C404" s="106"/>
      <c r="D404" s="106"/>
      <c r="E404" s="106"/>
      <c r="F404" s="106"/>
      <c r="G404" s="106"/>
      <c r="H404" s="106"/>
      <c r="I404" s="106"/>
      <c r="J404" s="106"/>
      <c r="K404" s="106"/>
      <c r="L404" s="106"/>
      <c r="M404" s="106"/>
      <c r="N404" s="106"/>
      <c r="O404" s="106"/>
      <c r="P404" s="106"/>
    </row>
    <row r="405" spans="2:16">
      <c r="B405" s="106"/>
      <c r="C405" s="106"/>
      <c r="D405" s="106"/>
      <c r="E405" s="106"/>
      <c r="F405" s="106"/>
      <c r="G405" s="106"/>
      <c r="H405" s="106"/>
      <c r="I405" s="106"/>
      <c r="J405" s="106"/>
      <c r="K405" s="106"/>
      <c r="L405" s="106"/>
      <c r="M405" s="106"/>
      <c r="N405" s="106"/>
      <c r="O405" s="106"/>
      <c r="P405" s="106"/>
    </row>
    <row r="406" spans="2:16">
      <c r="B406" s="106"/>
      <c r="C406" s="106"/>
      <c r="D406" s="106"/>
      <c r="E406" s="106"/>
      <c r="F406" s="106"/>
      <c r="G406" s="106"/>
      <c r="H406" s="106"/>
      <c r="I406" s="106"/>
      <c r="J406" s="106"/>
      <c r="K406" s="106"/>
      <c r="L406" s="106"/>
      <c r="M406" s="106"/>
      <c r="N406" s="106"/>
      <c r="O406" s="106"/>
      <c r="P406" s="106"/>
    </row>
    <row r="407" spans="2:16">
      <c r="B407" s="106"/>
      <c r="C407" s="106"/>
      <c r="D407" s="106"/>
      <c r="E407" s="106"/>
      <c r="F407" s="106"/>
      <c r="G407" s="106"/>
      <c r="H407" s="106"/>
      <c r="I407" s="106"/>
      <c r="J407" s="106"/>
      <c r="K407" s="106"/>
      <c r="L407" s="106"/>
      <c r="M407" s="106"/>
      <c r="N407" s="106"/>
      <c r="O407" s="106"/>
      <c r="P407" s="106"/>
    </row>
    <row r="408" spans="2:16">
      <c r="B408" s="106"/>
      <c r="C408" s="106"/>
      <c r="D408" s="106"/>
      <c r="E408" s="106"/>
      <c r="F408" s="106"/>
      <c r="G408" s="106"/>
      <c r="H408" s="106"/>
      <c r="I408" s="106"/>
      <c r="J408" s="106"/>
      <c r="K408" s="106"/>
      <c r="L408" s="106"/>
      <c r="M408" s="106"/>
      <c r="N408" s="106"/>
      <c r="O408" s="106"/>
      <c r="P408" s="106"/>
    </row>
    <row r="409" spans="2:16">
      <c r="B409" s="106"/>
      <c r="C409" s="106"/>
      <c r="D409" s="106"/>
      <c r="E409" s="106"/>
      <c r="F409" s="106"/>
      <c r="G409" s="106"/>
      <c r="H409" s="106"/>
      <c r="I409" s="106"/>
      <c r="J409" s="106"/>
      <c r="K409" s="106"/>
      <c r="L409" s="106"/>
      <c r="M409" s="106"/>
      <c r="N409" s="106"/>
      <c r="O409" s="106"/>
      <c r="P409" s="106"/>
    </row>
    <row r="410" spans="2:16">
      <c r="B410" s="106"/>
      <c r="C410" s="106"/>
      <c r="D410" s="106"/>
      <c r="E410" s="106"/>
      <c r="F410" s="106"/>
      <c r="G410" s="106"/>
      <c r="H410" s="106"/>
      <c r="I410" s="106"/>
      <c r="J410" s="106"/>
      <c r="K410" s="106"/>
      <c r="L410" s="106"/>
      <c r="M410" s="106"/>
      <c r="N410" s="106"/>
      <c r="O410" s="106"/>
      <c r="P410" s="106"/>
    </row>
    <row r="411" spans="2:16">
      <c r="B411" s="106"/>
      <c r="C411" s="106"/>
      <c r="D411" s="106"/>
      <c r="E411" s="106"/>
      <c r="F411" s="106"/>
      <c r="G411" s="106"/>
      <c r="H411" s="106"/>
      <c r="I411" s="106"/>
      <c r="J411" s="106"/>
      <c r="K411" s="106"/>
      <c r="L411" s="106"/>
      <c r="M411" s="106"/>
      <c r="N411" s="106"/>
      <c r="O411" s="106"/>
      <c r="P411" s="106"/>
    </row>
    <row r="412" spans="2:16">
      <c r="B412" s="106"/>
      <c r="C412" s="106"/>
      <c r="D412" s="106"/>
      <c r="E412" s="106"/>
      <c r="F412" s="106"/>
      <c r="G412" s="106"/>
      <c r="H412" s="106"/>
      <c r="I412" s="106"/>
      <c r="J412" s="106"/>
      <c r="K412" s="106"/>
      <c r="L412" s="106"/>
      <c r="M412" s="106"/>
      <c r="N412" s="106"/>
      <c r="O412" s="106"/>
      <c r="P412" s="106"/>
    </row>
    <row r="413" spans="2:16">
      <c r="B413" s="106"/>
      <c r="C413" s="106"/>
      <c r="D413" s="106"/>
      <c r="E413" s="106"/>
      <c r="F413" s="106"/>
      <c r="G413" s="106"/>
      <c r="H413" s="106"/>
      <c r="I413" s="106"/>
      <c r="J413" s="106"/>
      <c r="K413" s="106"/>
      <c r="L413" s="106"/>
      <c r="M413" s="106"/>
      <c r="N413" s="106"/>
      <c r="O413" s="106"/>
      <c r="P413" s="106"/>
    </row>
    <row r="414" spans="2:16">
      <c r="B414" s="106"/>
      <c r="C414" s="106"/>
      <c r="D414" s="106"/>
      <c r="E414" s="106"/>
      <c r="F414" s="106"/>
      <c r="G414" s="106"/>
      <c r="H414" s="106"/>
      <c r="I414" s="106"/>
      <c r="J414" s="106"/>
      <c r="K414" s="106"/>
      <c r="L414" s="106"/>
      <c r="M414" s="106"/>
      <c r="N414" s="106"/>
      <c r="O414" s="106"/>
      <c r="P414" s="106"/>
    </row>
    <row r="415" spans="2:16">
      <c r="B415" s="106"/>
      <c r="C415" s="106"/>
      <c r="D415" s="106"/>
      <c r="E415" s="106"/>
      <c r="F415" s="106"/>
      <c r="G415" s="106"/>
      <c r="H415" s="106"/>
      <c r="I415" s="106"/>
      <c r="J415" s="106"/>
      <c r="K415" s="106"/>
      <c r="L415" s="106"/>
      <c r="M415" s="106"/>
      <c r="N415" s="106"/>
      <c r="O415" s="106"/>
      <c r="P415" s="106"/>
    </row>
    <row r="416" spans="2:16">
      <c r="B416" s="106"/>
      <c r="C416" s="106"/>
      <c r="D416" s="106"/>
      <c r="E416" s="106"/>
      <c r="F416" s="106"/>
      <c r="G416" s="106"/>
      <c r="H416" s="106"/>
      <c r="I416" s="106"/>
      <c r="J416" s="106"/>
      <c r="K416" s="106"/>
      <c r="L416" s="106"/>
      <c r="M416" s="106"/>
      <c r="N416" s="106"/>
      <c r="O416" s="106"/>
      <c r="P416" s="106"/>
    </row>
    <row r="417" spans="2:16">
      <c r="B417" s="106"/>
      <c r="C417" s="106"/>
      <c r="D417" s="106"/>
      <c r="E417" s="106"/>
      <c r="F417" s="106"/>
      <c r="G417" s="106"/>
      <c r="H417" s="106"/>
      <c r="I417" s="106"/>
      <c r="J417" s="106"/>
      <c r="K417" s="106"/>
      <c r="L417" s="106"/>
      <c r="M417" s="106"/>
      <c r="N417" s="106"/>
      <c r="O417" s="106"/>
      <c r="P417" s="106"/>
    </row>
    <row r="418" spans="2:16">
      <c r="B418" s="106"/>
      <c r="C418" s="106"/>
      <c r="D418" s="106"/>
      <c r="E418" s="106"/>
      <c r="F418" s="106"/>
      <c r="G418" s="106"/>
      <c r="H418" s="106"/>
      <c r="I418" s="106"/>
      <c r="J418" s="106"/>
      <c r="K418" s="106"/>
      <c r="L418" s="106"/>
      <c r="M418" s="106"/>
      <c r="N418" s="106"/>
      <c r="O418" s="106"/>
      <c r="P418" s="106"/>
    </row>
    <row r="419" spans="2:16">
      <c r="B419" s="106"/>
      <c r="C419" s="106"/>
      <c r="D419" s="106"/>
      <c r="E419" s="106"/>
      <c r="F419" s="106"/>
      <c r="G419" s="106"/>
      <c r="H419" s="106"/>
      <c r="I419" s="106"/>
      <c r="J419" s="106"/>
      <c r="K419" s="106"/>
      <c r="L419" s="106"/>
      <c r="M419" s="106"/>
      <c r="N419" s="106"/>
      <c r="O419" s="106"/>
      <c r="P419" s="106"/>
    </row>
    <row r="420" spans="2:16">
      <c r="B420" s="106"/>
      <c r="C420" s="106"/>
      <c r="D420" s="106"/>
      <c r="E420" s="106"/>
      <c r="F420" s="106"/>
      <c r="G420" s="106"/>
      <c r="H420" s="106"/>
      <c r="I420" s="106"/>
      <c r="J420" s="106"/>
      <c r="K420" s="106"/>
      <c r="L420" s="106"/>
      <c r="M420" s="106"/>
      <c r="N420" s="106"/>
      <c r="O420" s="106"/>
      <c r="P420" s="106"/>
    </row>
    <row r="421" spans="2:16">
      <c r="B421" s="106"/>
      <c r="C421" s="106"/>
      <c r="D421" s="106"/>
      <c r="E421" s="106"/>
      <c r="F421" s="106"/>
      <c r="G421" s="106"/>
      <c r="H421" s="106"/>
      <c r="I421" s="106"/>
      <c r="J421" s="106"/>
      <c r="K421" s="106"/>
      <c r="L421" s="106"/>
      <c r="M421" s="106"/>
      <c r="N421" s="106"/>
      <c r="O421" s="106"/>
      <c r="P421" s="106"/>
    </row>
    <row r="422" spans="2:16">
      <c r="B422" s="106"/>
      <c r="C422" s="106"/>
      <c r="D422" s="106"/>
      <c r="E422" s="106"/>
      <c r="F422" s="106"/>
      <c r="G422" s="106"/>
      <c r="H422" s="106"/>
      <c r="I422" s="106"/>
      <c r="J422" s="106"/>
      <c r="K422" s="106"/>
      <c r="L422" s="106"/>
      <c r="M422" s="106"/>
      <c r="N422" s="106"/>
      <c r="O422" s="106"/>
      <c r="P422" s="106"/>
    </row>
    <row r="423" spans="2:16">
      <c r="B423" s="106"/>
      <c r="C423" s="106"/>
      <c r="D423" s="106"/>
      <c r="E423" s="106"/>
      <c r="F423" s="106"/>
      <c r="G423" s="106"/>
      <c r="H423" s="106"/>
      <c r="I423" s="106"/>
      <c r="J423" s="106"/>
      <c r="K423" s="106"/>
      <c r="L423" s="106"/>
      <c r="M423" s="106"/>
      <c r="N423" s="106"/>
      <c r="O423" s="106"/>
      <c r="P423" s="106"/>
    </row>
    <row r="424" spans="2:16">
      <c r="B424" s="106"/>
      <c r="C424" s="106"/>
      <c r="D424" s="106"/>
      <c r="E424" s="106"/>
      <c r="F424" s="106"/>
      <c r="G424" s="106"/>
      <c r="H424" s="106"/>
      <c r="I424" s="106"/>
      <c r="J424" s="106"/>
      <c r="K424" s="106"/>
      <c r="L424" s="106"/>
      <c r="M424" s="106"/>
      <c r="N424" s="106"/>
      <c r="O424" s="106"/>
      <c r="P424" s="106"/>
    </row>
    <row r="425" spans="2:16">
      <c r="B425" s="106"/>
      <c r="C425" s="106"/>
      <c r="D425" s="106"/>
      <c r="E425" s="106"/>
      <c r="F425" s="106"/>
      <c r="G425" s="106"/>
      <c r="H425" s="106"/>
      <c r="I425" s="106"/>
      <c r="J425" s="106"/>
      <c r="K425" s="106"/>
      <c r="L425" s="106"/>
      <c r="M425" s="106"/>
      <c r="N425" s="106"/>
      <c r="O425" s="106"/>
      <c r="P425" s="106"/>
    </row>
    <row r="426" spans="2:16">
      <c r="B426" s="106"/>
      <c r="C426" s="106"/>
      <c r="D426" s="106"/>
      <c r="E426" s="106"/>
      <c r="F426" s="106"/>
      <c r="G426" s="106"/>
      <c r="H426" s="106"/>
      <c r="I426" s="106"/>
      <c r="J426" s="106"/>
      <c r="K426" s="106"/>
      <c r="L426" s="106"/>
      <c r="M426" s="106"/>
      <c r="N426" s="106"/>
      <c r="O426" s="106"/>
      <c r="P426" s="106"/>
    </row>
    <row r="427" spans="2:16">
      <c r="B427" s="106"/>
      <c r="C427" s="106"/>
      <c r="D427" s="106"/>
      <c r="E427" s="106"/>
      <c r="F427" s="106"/>
      <c r="G427" s="106"/>
      <c r="H427" s="106"/>
      <c r="I427" s="106"/>
      <c r="J427" s="106"/>
      <c r="K427" s="106"/>
      <c r="L427" s="106"/>
      <c r="M427" s="106"/>
      <c r="N427" s="106"/>
      <c r="O427" s="106"/>
      <c r="P427" s="106"/>
    </row>
    <row r="428" spans="2:16">
      <c r="B428" s="106"/>
      <c r="C428" s="106"/>
      <c r="D428" s="106"/>
      <c r="E428" s="106"/>
      <c r="F428" s="106"/>
      <c r="G428" s="106"/>
      <c r="H428" s="106"/>
      <c r="I428" s="106"/>
      <c r="J428" s="106"/>
      <c r="K428" s="106"/>
      <c r="L428" s="106"/>
      <c r="M428" s="106"/>
      <c r="N428" s="106"/>
      <c r="O428" s="106"/>
      <c r="P428" s="106"/>
    </row>
    <row r="429" spans="2:16">
      <c r="B429" s="106"/>
      <c r="C429" s="106"/>
      <c r="D429" s="106"/>
      <c r="E429" s="106"/>
      <c r="F429" s="106"/>
      <c r="G429" s="106"/>
      <c r="H429" s="106"/>
      <c r="I429" s="106"/>
      <c r="J429" s="106"/>
      <c r="K429" s="106"/>
      <c r="L429" s="106"/>
      <c r="M429" s="106"/>
      <c r="N429" s="106"/>
      <c r="O429" s="106"/>
      <c r="P429" s="106"/>
    </row>
    <row r="430" spans="2:16">
      <c r="B430" s="106"/>
      <c r="C430" s="106"/>
      <c r="D430" s="106"/>
      <c r="E430" s="106"/>
      <c r="F430" s="106"/>
      <c r="G430" s="106"/>
      <c r="H430" s="106"/>
      <c r="I430" s="106"/>
      <c r="J430" s="106"/>
      <c r="K430" s="106"/>
      <c r="L430" s="106"/>
      <c r="M430" s="106"/>
      <c r="N430" s="106"/>
      <c r="O430" s="106"/>
      <c r="P430" s="106"/>
    </row>
    <row r="431" spans="2:16">
      <c r="B431" s="106"/>
      <c r="C431" s="106"/>
      <c r="D431" s="106"/>
      <c r="E431" s="106"/>
      <c r="F431" s="106"/>
      <c r="G431" s="106"/>
      <c r="H431" s="106"/>
      <c r="I431" s="106"/>
      <c r="J431" s="106"/>
      <c r="K431" s="106"/>
      <c r="L431" s="106"/>
      <c r="M431" s="106"/>
      <c r="N431" s="106"/>
      <c r="O431" s="106"/>
      <c r="P431" s="106"/>
    </row>
    <row r="432" spans="2:16">
      <c r="B432" s="106"/>
      <c r="C432" s="106"/>
      <c r="D432" s="106"/>
      <c r="E432" s="106"/>
      <c r="F432" s="106"/>
      <c r="G432" s="106"/>
      <c r="H432" s="106"/>
      <c r="I432" s="106"/>
      <c r="J432" s="106"/>
      <c r="K432" s="106"/>
      <c r="L432" s="106"/>
      <c r="M432" s="106"/>
      <c r="N432" s="106"/>
      <c r="O432" s="106"/>
      <c r="P432" s="106"/>
    </row>
    <row r="433" spans="2:16">
      <c r="B433" s="106"/>
      <c r="C433" s="106"/>
      <c r="D433" s="106"/>
      <c r="E433" s="106"/>
      <c r="F433" s="106"/>
      <c r="G433" s="106"/>
      <c r="H433" s="106"/>
      <c r="I433" s="106"/>
      <c r="J433" s="106"/>
      <c r="K433" s="106"/>
      <c r="L433" s="106"/>
      <c r="M433" s="106"/>
      <c r="N433" s="106"/>
      <c r="O433" s="106"/>
      <c r="P433" s="106"/>
    </row>
    <row r="434" spans="2:16">
      <c r="B434" s="106"/>
      <c r="C434" s="106"/>
      <c r="D434" s="106"/>
      <c r="E434" s="106"/>
      <c r="F434" s="106"/>
      <c r="G434" s="106"/>
      <c r="H434" s="106"/>
      <c r="I434" s="106"/>
      <c r="J434" s="106"/>
      <c r="K434" s="106"/>
      <c r="L434" s="106"/>
      <c r="M434" s="106"/>
      <c r="N434" s="106"/>
      <c r="O434" s="106"/>
      <c r="P434" s="106"/>
    </row>
    <row r="435" spans="2:16">
      <c r="B435" s="106"/>
      <c r="C435" s="106"/>
      <c r="D435" s="106"/>
      <c r="E435" s="106"/>
      <c r="F435" s="106"/>
      <c r="G435" s="106"/>
      <c r="H435" s="106"/>
      <c r="I435" s="106"/>
      <c r="J435" s="106"/>
      <c r="K435" s="106"/>
      <c r="L435" s="106"/>
      <c r="M435" s="106"/>
      <c r="N435" s="106"/>
      <c r="O435" s="106"/>
      <c r="P435" s="106"/>
    </row>
    <row r="436" spans="2:16">
      <c r="B436" s="106"/>
      <c r="C436" s="106"/>
      <c r="D436" s="106"/>
      <c r="E436" s="106"/>
      <c r="F436" s="106"/>
      <c r="G436" s="106"/>
      <c r="H436" s="106"/>
      <c r="I436" s="106"/>
      <c r="J436" s="106"/>
      <c r="K436" s="106"/>
      <c r="L436" s="106"/>
      <c r="M436" s="106"/>
      <c r="N436" s="106"/>
      <c r="O436" s="106"/>
      <c r="P436" s="106"/>
    </row>
    <row r="437" spans="2:16">
      <c r="B437" s="106"/>
      <c r="C437" s="106"/>
      <c r="D437" s="106"/>
      <c r="E437" s="106"/>
      <c r="F437" s="106"/>
      <c r="G437" s="106"/>
      <c r="H437" s="106"/>
      <c r="I437" s="106"/>
      <c r="J437" s="106"/>
      <c r="K437" s="106"/>
      <c r="L437" s="106"/>
      <c r="M437" s="106"/>
      <c r="N437" s="106"/>
      <c r="O437" s="106"/>
      <c r="P437" s="106"/>
    </row>
    <row r="438" spans="2:16">
      <c r="B438" s="106"/>
      <c r="C438" s="106"/>
      <c r="D438" s="106"/>
      <c r="E438" s="106"/>
      <c r="F438" s="106"/>
      <c r="G438" s="106"/>
      <c r="H438" s="106"/>
      <c r="I438" s="106"/>
      <c r="J438" s="106"/>
      <c r="K438" s="106"/>
      <c r="L438" s="106"/>
      <c r="M438" s="106"/>
      <c r="N438" s="106"/>
      <c r="O438" s="106"/>
      <c r="P438" s="106"/>
    </row>
    <row r="439" spans="2:16">
      <c r="B439" s="106"/>
      <c r="C439" s="106"/>
      <c r="D439" s="106"/>
      <c r="E439" s="106"/>
      <c r="F439" s="106"/>
      <c r="G439" s="106"/>
      <c r="H439" s="106"/>
      <c r="I439" s="106"/>
      <c r="J439" s="106"/>
      <c r="K439" s="106"/>
      <c r="L439" s="106"/>
      <c r="M439" s="106"/>
      <c r="N439" s="106"/>
      <c r="O439" s="106"/>
      <c r="P439" s="106"/>
    </row>
    <row r="440" spans="2:16">
      <c r="B440" s="106"/>
      <c r="C440" s="106"/>
      <c r="D440" s="106"/>
      <c r="E440" s="106"/>
      <c r="F440" s="106"/>
      <c r="G440" s="106"/>
      <c r="H440" s="106"/>
      <c r="I440" s="106"/>
      <c r="J440" s="106"/>
      <c r="K440" s="106"/>
      <c r="L440" s="106"/>
      <c r="M440" s="106"/>
      <c r="N440" s="106"/>
      <c r="O440" s="106"/>
      <c r="P440" s="106"/>
    </row>
    <row r="441" spans="2:16">
      <c r="B441" s="106"/>
      <c r="C441" s="106"/>
      <c r="D441" s="106"/>
      <c r="E441" s="106"/>
      <c r="F441" s="106"/>
      <c r="G441" s="106"/>
      <c r="H441" s="106"/>
      <c r="I441" s="106"/>
      <c r="J441" s="106"/>
      <c r="K441" s="106"/>
      <c r="L441" s="106"/>
      <c r="M441" s="106"/>
      <c r="N441" s="106"/>
      <c r="O441" s="106"/>
      <c r="P441" s="106"/>
    </row>
    <row r="442" spans="2:16">
      <c r="B442" s="106"/>
      <c r="C442" s="106"/>
      <c r="D442" s="106"/>
      <c r="E442" s="106"/>
      <c r="F442" s="106"/>
      <c r="G442" s="106"/>
      <c r="H442" s="106"/>
      <c r="I442" s="106"/>
      <c r="J442" s="106"/>
      <c r="K442" s="106"/>
      <c r="L442" s="106"/>
      <c r="M442" s="106"/>
      <c r="N442" s="106"/>
      <c r="O442" s="106"/>
      <c r="P442" s="106"/>
    </row>
    <row r="443" spans="2:16">
      <c r="B443" s="106"/>
      <c r="C443" s="106"/>
      <c r="D443" s="106"/>
      <c r="E443" s="106"/>
      <c r="F443" s="106"/>
      <c r="G443" s="106"/>
      <c r="H443" s="106"/>
      <c r="I443" s="106"/>
      <c r="J443" s="106"/>
      <c r="K443" s="106"/>
      <c r="L443" s="106"/>
      <c r="M443" s="106"/>
      <c r="N443" s="106"/>
      <c r="O443" s="106"/>
      <c r="P443" s="106"/>
    </row>
    <row r="444" spans="2:16">
      <c r="B444" s="106"/>
      <c r="C444" s="106"/>
      <c r="D444" s="106"/>
      <c r="E444" s="106"/>
      <c r="F444" s="106"/>
      <c r="G444" s="106"/>
      <c r="H444" s="106"/>
      <c r="I444" s="106"/>
      <c r="J444" s="106"/>
      <c r="K444" s="106"/>
      <c r="L444" s="106"/>
      <c r="M444" s="106"/>
      <c r="N444" s="106"/>
      <c r="O444" s="106"/>
      <c r="P444" s="106"/>
    </row>
    <row r="445" spans="2:16">
      <c r="B445" s="106"/>
      <c r="C445" s="106"/>
      <c r="D445" s="106"/>
      <c r="E445" s="106"/>
      <c r="F445" s="106"/>
      <c r="G445" s="106"/>
      <c r="H445" s="106"/>
      <c r="I445" s="106"/>
      <c r="J445" s="106"/>
      <c r="K445" s="106"/>
      <c r="L445" s="106"/>
      <c r="M445" s="106"/>
      <c r="N445" s="106"/>
      <c r="O445" s="106"/>
      <c r="P445" s="106"/>
    </row>
    <row r="446" spans="2:16">
      <c r="B446" s="106"/>
      <c r="C446" s="106"/>
      <c r="D446" s="106"/>
      <c r="E446" s="106"/>
      <c r="F446" s="106"/>
      <c r="G446" s="106"/>
      <c r="H446" s="106"/>
      <c r="I446" s="106"/>
      <c r="J446" s="106"/>
      <c r="K446" s="106"/>
      <c r="L446" s="106"/>
      <c r="M446" s="106"/>
      <c r="N446" s="106"/>
      <c r="O446" s="106"/>
      <c r="P446" s="106"/>
    </row>
    <row r="447" spans="2:16">
      <c r="B447" s="106"/>
      <c r="C447" s="106"/>
      <c r="D447" s="106"/>
      <c r="E447" s="106"/>
      <c r="F447" s="106"/>
      <c r="G447" s="106"/>
      <c r="H447" s="106"/>
      <c r="I447" s="106"/>
      <c r="J447" s="106"/>
      <c r="K447" s="106"/>
      <c r="L447" s="106"/>
      <c r="M447" s="106"/>
      <c r="N447" s="106"/>
      <c r="O447" s="106"/>
      <c r="P447" s="106"/>
    </row>
    <row r="448" spans="2:16">
      <c r="B448" s="106"/>
      <c r="C448" s="106"/>
      <c r="D448" s="106"/>
      <c r="E448" s="106"/>
      <c r="F448" s="106"/>
      <c r="G448" s="106"/>
      <c r="H448" s="106"/>
      <c r="I448" s="106"/>
      <c r="J448" s="106"/>
      <c r="K448" s="106"/>
      <c r="L448" s="106"/>
      <c r="M448" s="106"/>
      <c r="N448" s="106"/>
      <c r="O448" s="106"/>
      <c r="P448" s="106"/>
    </row>
    <row r="449" spans="2:16">
      <c r="B449" s="106"/>
      <c r="C449" s="106"/>
      <c r="D449" s="106"/>
      <c r="E449" s="106"/>
      <c r="F449" s="106"/>
      <c r="G449" s="106"/>
      <c r="H449" s="106"/>
      <c r="I449" s="106"/>
      <c r="J449" s="106"/>
      <c r="K449" s="106"/>
      <c r="L449" s="106"/>
      <c r="M449" s="106"/>
      <c r="N449" s="106"/>
      <c r="O449" s="106"/>
      <c r="P449" s="106"/>
    </row>
    <row r="450" spans="2:16">
      <c r="B450" s="106"/>
      <c r="C450" s="106"/>
      <c r="D450" s="106"/>
      <c r="E450" s="106"/>
      <c r="F450" s="106"/>
      <c r="G450" s="106"/>
      <c r="H450" s="106"/>
      <c r="I450" s="106"/>
      <c r="J450" s="106"/>
      <c r="K450" s="106"/>
      <c r="L450" s="106"/>
      <c r="M450" s="106"/>
      <c r="N450" s="106"/>
      <c r="O450" s="106"/>
      <c r="P450" s="106"/>
    </row>
    <row r="451" spans="2:16">
      <c r="B451" s="106"/>
      <c r="C451" s="106"/>
      <c r="D451" s="106"/>
      <c r="E451" s="106"/>
      <c r="F451" s="106"/>
      <c r="G451" s="106"/>
      <c r="H451" s="106"/>
      <c r="I451" s="106"/>
      <c r="J451" s="106"/>
      <c r="K451" s="106"/>
      <c r="L451" s="106"/>
      <c r="M451" s="106"/>
      <c r="N451" s="106"/>
      <c r="O451" s="106"/>
      <c r="P451" s="106"/>
    </row>
    <row r="452" spans="2:16">
      <c r="B452" s="106"/>
      <c r="C452" s="106"/>
      <c r="D452" s="106"/>
      <c r="E452" s="106"/>
      <c r="F452" s="106"/>
      <c r="G452" s="106"/>
      <c r="H452" s="106"/>
      <c r="I452" s="106"/>
      <c r="J452" s="106"/>
      <c r="K452" s="106"/>
      <c r="L452" s="106"/>
      <c r="M452" s="106"/>
      <c r="N452" s="106"/>
      <c r="O452" s="106"/>
      <c r="P452" s="106"/>
    </row>
    <row r="453" spans="2:16">
      <c r="B453" s="106"/>
      <c r="C453" s="106"/>
      <c r="D453" s="106"/>
      <c r="E453" s="106"/>
      <c r="F453" s="106"/>
      <c r="G453" s="106"/>
      <c r="H453" s="106"/>
      <c r="I453" s="106"/>
      <c r="J453" s="106"/>
      <c r="K453" s="106"/>
      <c r="L453" s="106"/>
      <c r="M453" s="106"/>
      <c r="N453" s="106"/>
      <c r="O453" s="106"/>
      <c r="P453" s="106"/>
    </row>
    <row r="454" spans="2:16">
      <c r="B454" s="106"/>
      <c r="C454" s="106"/>
      <c r="D454" s="106"/>
      <c r="E454" s="106"/>
      <c r="F454" s="106"/>
      <c r="G454" s="106"/>
      <c r="H454" s="106"/>
      <c r="I454" s="106"/>
      <c r="J454" s="106"/>
      <c r="K454" s="106"/>
      <c r="L454" s="106"/>
      <c r="M454" s="106"/>
      <c r="N454" s="106"/>
      <c r="O454" s="106"/>
      <c r="P454" s="106"/>
    </row>
    <row r="455" spans="2:16">
      <c r="B455" s="106"/>
      <c r="C455" s="106"/>
      <c r="D455" s="106"/>
      <c r="E455" s="106"/>
      <c r="F455" s="106"/>
      <c r="G455" s="106"/>
      <c r="H455" s="106"/>
      <c r="I455" s="106"/>
      <c r="J455" s="106"/>
      <c r="K455" s="106"/>
      <c r="L455" s="106"/>
      <c r="M455" s="106"/>
      <c r="N455" s="106"/>
      <c r="O455" s="106"/>
      <c r="P455" s="106"/>
    </row>
    <row r="456" spans="2:16">
      <c r="B456" s="106"/>
      <c r="C456" s="106"/>
      <c r="D456" s="106"/>
      <c r="E456" s="106"/>
      <c r="F456" s="106"/>
      <c r="G456" s="106"/>
      <c r="H456" s="106"/>
      <c r="I456" s="106"/>
      <c r="J456" s="106"/>
      <c r="K456" s="106"/>
      <c r="L456" s="106"/>
      <c r="M456" s="106"/>
      <c r="N456" s="106"/>
      <c r="O456" s="106"/>
      <c r="P456" s="106"/>
    </row>
    <row r="457" spans="2:16">
      <c r="B457" s="106"/>
      <c r="C457" s="106"/>
      <c r="D457" s="106"/>
      <c r="E457" s="106"/>
      <c r="F457" s="106"/>
      <c r="G457" s="106"/>
      <c r="H457" s="106"/>
      <c r="I457" s="106"/>
      <c r="J457" s="106"/>
      <c r="K457" s="106"/>
      <c r="L457" s="106"/>
      <c r="M457" s="106"/>
      <c r="N457" s="106"/>
      <c r="O457" s="106"/>
      <c r="P457" s="106"/>
    </row>
    <row r="458" spans="2:16">
      <c r="B458" s="106"/>
      <c r="C458" s="106"/>
      <c r="D458" s="106"/>
      <c r="E458" s="106"/>
      <c r="F458" s="106"/>
      <c r="G458" s="106"/>
      <c r="H458" s="106"/>
      <c r="I458" s="106"/>
      <c r="J458" s="106"/>
      <c r="K458" s="106"/>
      <c r="L458" s="106"/>
      <c r="M458" s="106"/>
      <c r="N458" s="106"/>
      <c r="O458" s="106"/>
      <c r="P458" s="106"/>
    </row>
    <row r="459" spans="2:16">
      <c r="B459" s="106"/>
      <c r="C459" s="106"/>
      <c r="D459" s="106"/>
      <c r="E459" s="106"/>
      <c r="F459" s="106"/>
      <c r="G459" s="106"/>
      <c r="H459" s="106"/>
      <c r="I459" s="106"/>
      <c r="J459" s="106"/>
      <c r="K459" s="106"/>
      <c r="L459" s="106"/>
      <c r="M459" s="106"/>
      <c r="N459" s="106"/>
      <c r="O459" s="106"/>
      <c r="P459" s="106"/>
    </row>
    <row r="460" spans="2:16">
      <c r="B460" s="106"/>
      <c r="C460" s="106"/>
      <c r="D460" s="106"/>
      <c r="E460" s="106"/>
      <c r="F460" s="106"/>
      <c r="G460" s="106"/>
      <c r="H460" s="106"/>
      <c r="I460" s="106"/>
      <c r="J460" s="106"/>
      <c r="K460" s="106"/>
      <c r="L460" s="106"/>
      <c r="M460" s="106"/>
      <c r="N460" s="106"/>
      <c r="O460" s="106"/>
      <c r="P460" s="106"/>
    </row>
    <row r="461" spans="2:16">
      <c r="B461" s="106"/>
      <c r="C461" s="106"/>
      <c r="D461" s="106"/>
      <c r="E461" s="106"/>
      <c r="F461" s="106"/>
      <c r="G461" s="106"/>
      <c r="H461" s="106"/>
      <c r="I461" s="106"/>
      <c r="J461" s="106"/>
      <c r="K461" s="106"/>
      <c r="L461" s="106"/>
      <c r="M461" s="106"/>
      <c r="N461" s="106"/>
      <c r="O461" s="106"/>
      <c r="P461" s="106"/>
    </row>
    <row r="462" spans="2:16">
      <c r="B462" s="106"/>
      <c r="C462" s="106"/>
      <c r="D462" s="106"/>
      <c r="E462" s="106"/>
      <c r="F462" s="106"/>
      <c r="G462" s="106"/>
      <c r="H462" s="106"/>
      <c r="I462" s="106"/>
      <c r="J462" s="106"/>
      <c r="K462" s="106"/>
      <c r="L462" s="106"/>
      <c r="M462" s="106"/>
      <c r="N462" s="106"/>
      <c r="O462" s="106"/>
      <c r="P462" s="106"/>
    </row>
    <row r="463" spans="2:16">
      <c r="B463" s="106"/>
      <c r="C463" s="106"/>
      <c r="D463" s="106"/>
      <c r="E463" s="106"/>
      <c r="F463" s="106"/>
      <c r="G463" s="106"/>
      <c r="H463" s="106"/>
      <c r="I463" s="106"/>
      <c r="J463" s="106"/>
      <c r="K463" s="106"/>
      <c r="L463" s="106"/>
      <c r="M463" s="106"/>
      <c r="N463" s="106"/>
      <c r="O463" s="106"/>
      <c r="P463" s="106"/>
    </row>
    <row r="464" spans="2:16">
      <c r="B464" s="106"/>
      <c r="C464" s="106"/>
      <c r="D464" s="106"/>
      <c r="E464" s="106"/>
      <c r="F464" s="106"/>
      <c r="G464" s="106"/>
      <c r="H464" s="106"/>
      <c r="I464" s="106"/>
      <c r="J464" s="106"/>
      <c r="K464" s="106"/>
      <c r="L464" s="106"/>
      <c r="M464" s="106"/>
      <c r="N464" s="106"/>
      <c r="O464" s="106"/>
      <c r="P464" s="106"/>
    </row>
    <row r="465" spans="2:16">
      <c r="B465" s="106"/>
      <c r="C465" s="106"/>
      <c r="D465" s="106"/>
      <c r="E465" s="106"/>
      <c r="F465" s="106"/>
      <c r="G465" s="106"/>
      <c r="H465" s="106"/>
      <c r="I465" s="106"/>
      <c r="J465" s="106"/>
      <c r="K465" s="106"/>
      <c r="L465" s="106"/>
      <c r="M465" s="106"/>
      <c r="N465" s="106"/>
      <c r="O465" s="106"/>
      <c r="P465" s="106"/>
    </row>
    <row r="466" spans="2:16">
      <c r="B466" s="106"/>
      <c r="C466" s="106"/>
      <c r="D466" s="106"/>
      <c r="E466" s="106"/>
      <c r="F466" s="106"/>
      <c r="G466" s="106"/>
      <c r="H466" s="106"/>
      <c r="I466" s="106"/>
      <c r="J466" s="106"/>
      <c r="K466" s="106"/>
      <c r="L466" s="106"/>
      <c r="M466" s="106"/>
      <c r="N466" s="106"/>
      <c r="O466" s="106"/>
      <c r="P466" s="106"/>
    </row>
    <row r="467" spans="2:16">
      <c r="B467" s="106"/>
      <c r="C467" s="106"/>
      <c r="D467" s="106"/>
      <c r="E467" s="106"/>
      <c r="F467" s="106"/>
      <c r="G467" s="106"/>
      <c r="H467" s="106"/>
      <c r="I467" s="106"/>
      <c r="J467" s="106"/>
      <c r="K467" s="106"/>
      <c r="L467" s="106"/>
      <c r="M467" s="106"/>
      <c r="N467" s="106"/>
      <c r="O467" s="106"/>
      <c r="P467" s="106"/>
    </row>
    <row r="468" spans="2:16">
      <c r="B468" s="106"/>
      <c r="C468" s="106"/>
      <c r="D468" s="106"/>
      <c r="E468" s="106"/>
      <c r="F468" s="106"/>
      <c r="G468" s="106"/>
      <c r="H468" s="106"/>
      <c r="I468" s="106"/>
      <c r="J468" s="106"/>
      <c r="K468" s="106"/>
      <c r="L468" s="106"/>
      <c r="M468" s="106"/>
      <c r="N468" s="106"/>
      <c r="O468" s="106"/>
      <c r="P468" s="106"/>
    </row>
    <row r="469" spans="2:16">
      <c r="B469" s="106"/>
      <c r="C469" s="106"/>
      <c r="D469" s="106"/>
      <c r="E469" s="106"/>
      <c r="F469" s="106"/>
      <c r="G469" s="106"/>
      <c r="H469" s="106"/>
      <c r="I469" s="106"/>
      <c r="J469" s="106"/>
      <c r="K469" s="106"/>
      <c r="L469" s="106"/>
      <c r="M469" s="106"/>
      <c r="N469" s="106"/>
      <c r="O469" s="106"/>
      <c r="P469" s="106"/>
    </row>
    <row r="470" spans="2:16">
      <c r="B470" s="106"/>
      <c r="C470" s="106"/>
      <c r="D470" s="106"/>
      <c r="E470" s="106"/>
      <c r="F470" s="106"/>
      <c r="G470" s="106"/>
      <c r="H470" s="106"/>
      <c r="I470" s="106"/>
      <c r="J470" s="106"/>
      <c r="K470" s="106"/>
      <c r="L470" s="106"/>
      <c r="M470" s="106"/>
      <c r="N470" s="106"/>
      <c r="O470" s="106"/>
      <c r="P470" s="106"/>
    </row>
    <row r="471" spans="2:16">
      <c r="B471" s="106"/>
      <c r="C471" s="106"/>
      <c r="D471" s="106"/>
      <c r="E471" s="106"/>
      <c r="F471" s="106"/>
      <c r="G471" s="106"/>
      <c r="H471" s="106"/>
      <c r="I471" s="106"/>
      <c r="J471" s="106"/>
      <c r="K471" s="106"/>
      <c r="L471" s="106"/>
      <c r="M471" s="106"/>
      <c r="N471" s="106"/>
      <c r="O471" s="106"/>
      <c r="P471" s="106"/>
    </row>
    <row r="472" spans="2:16">
      <c r="B472" s="106"/>
      <c r="C472" s="106"/>
      <c r="D472" s="106"/>
      <c r="E472" s="106"/>
      <c r="F472" s="106"/>
      <c r="G472" s="106"/>
      <c r="H472" s="106"/>
      <c r="I472" s="106"/>
      <c r="J472" s="106"/>
      <c r="K472" s="106"/>
      <c r="L472" s="106"/>
      <c r="M472" s="106"/>
      <c r="N472" s="106"/>
      <c r="O472" s="106"/>
      <c r="P472" s="106"/>
    </row>
    <row r="473" spans="2:16">
      <c r="B473" s="106"/>
      <c r="C473" s="106"/>
      <c r="D473" s="106"/>
      <c r="E473" s="106"/>
      <c r="F473" s="106"/>
      <c r="G473" s="106"/>
      <c r="H473" s="106"/>
      <c r="I473" s="106"/>
      <c r="J473" s="106"/>
      <c r="K473" s="106"/>
      <c r="L473" s="106"/>
      <c r="M473" s="106"/>
      <c r="N473" s="106"/>
      <c r="O473" s="106"/>
      <c r="P473" s="106"/>
    </row>
    <row r="474" spans="2:16">
      <c r="B474" s="106"/>
      <c r="C474" s="106"/>
      <c r="D474" s="106"/>
      <c r="E474" s="106"/>
      <c r="F474" s="106"/>
      <c r="G474" s="106"/>
      <c r="H474" s="106"/>
      <c r="I474" s="106"/>
      <c r="J474" s="106"/>
      <c r="K474" s="106"/>
      <c r="L474" s="106"/>
      <c r="M474" s="106"/>
      <c r="N474" s="106"/>
      <c r="O474" s="106"/>
      <c r="P474" s="106"/>
    </row>
    <row r="475" spans="2:16">
      <c r="B475" s="106"/>
      <c r="C475" s="106"/>
      <c r="D475" s="106"/>
      <c r="E475" s="106"/>
      <c r="F475" s="106"/>
      <c r="G475" s="106"/>
      <c r="H475" s="106"/>
      <c r="I475" s="106"/>
      <c r="J475" s="106"/>
      <c r="K475" s="106"/>
      <c r="L475" s="106"/>
      <c r="M475" s="106"/>
      <c r="N475" s="106"/>
      <c r="O475" s="106"/>
      <c r="P475" s="106"/>
    </row>
    <row r="476" spans="2:16">
      <c r="B476" s="106"/>
      <c r="C476" s="106"/>
      <c r="D476" s="106"/>
      <c r="E476" s="106"/>
      <c r="F476" s="106"/>
      <c r="G476" s="106"/>
      <c r="H476" s="106"/>
      <c r="I476" s="106"/>
      <c r="J476" s="106"/>
      <c r="K476" s="106"/>
      <c r="L476" s="106"/>
      <c r="M476" s="106"/>
      <c r="N476" s="106"/>
      <c r="O476" s="106"/>
      <c r="P476" s="106"/>
    </row>
    <row r="477" spans="2:16">
      <c r="B477" s="106"/>
      <c r="C477" s="106"/>
      <c r="D477" s="106"/>
      <c r="E477" s="106"/>
      <c r="F477" s="106"/>
      <c r="G477" s="106"/>
      <c r="H477" s="106"/>
      <c r="I477" s="106"/>
      <c r="J477" s="106"/>
      <c r="K477" s="106"/>
      <c r="L477" s="106"/>
      <c r="M477" s="106"/>
      <c r="N477" s="106"/>
      <c r="O477" s="106"/>
      <c r="P477" s="106"/>
    </row>
    <row r="478" spans="2:16">
      <c r="B478" s="106"/>
      <c r="C478" s="106"/>
      <c r="D478" s="106"/>
      <c r="E478" s="106"/>
      <c r="F478" s="106"/>
      <c r="G478" s="106"/>
      <c r="H478" s="106"/>
      <c r="I478" s="106"/>
      <c r="J478" s="106"/>
      <c r="K478" s="106"/>
      <c r="L478" s="106"/>
      <c r="M478" s="106"/>
      <c r="N478" s="106"/>
      <c r="O478" s="106"/>
      <c r="P478" s="106"/>
    </row>
    <row r="479" spans="2:16">
      <c r="B479" s="106"/>
      <c r="C479" s="106"/>
      <c r="D479" s="106"/>
      <c r="E479" s="106"/>
      <c r="F479" s="106"/>
      <c r="G479" s="106"/>
      <c r="H479" s="106"/>
      <c r="I479" s="106"/>
      <c r="J479" s="106"/>
      <c r="K479" s="106"/>
      <c r="L479" s="106"/>
      <c r="M479" s="106"/>
      <c r="N479" s="106"/>
      <c r="O479" s="106"/>
      <c r="P479" s="106"/>
    </row>
    <row r="480" spans="2:16">
      <c r="B480" s="106"/>
      <c r="C480" s="106"/>
      <c r="D480" s="106"/>
      <c r="E480" s="106"/>
      <c r="F480" s="106"/>
      <c r="G480" s="106"/>
      <c r="H480" s="106"/>
      <c r="I480" s="106"/>
      <c r="J480" s="106"/>
      <c r="K480" s="106"/>
      <c r="L480" s="106"/>
      <c r="M480" s="106"/>
      <c r="N480" s="106"/>
      <c r="O480" s="106"/>
      <c r="P480" s="106"/>
    </row>
    <row r="481" spans="2:16">
      <c r="B481" s="106"/>
      <c r="C481" s="106"/>
      <c r="D481" s="106"/>
      <c r="E481" s="106"/>
      <c r="F481" s="106"/>
      <c r="G481" s="106"/>
      <c r="H481" s="106"/>
      <c r="I481" s="106"/>
      <c r="J481" s="106"/>
      <c r="K481" s="106"/>
      <c r="L481" s="106"/>
      <c r="M481" s="106"/>
      <c r="N481" s="106"/>
      <c r="O481" s="106"/>
      <c r="P481" s="106"/>
    </row>
    <row r="482" spans="2:16">
      <c r="B482" s="106"/>
      <c r="C482" s="106"/>
      <c r="D482" s="106"/>
      <c r="E482" s="106"/>
      <c r="F482" s="106"/>
      <c r="G482" s="106"/>
      <c r="H482" s="106"/>
      <c r="I482" s="106"/>
      <c r="J482" s="106"/>
      <c r="K482" s="106"/>
      <c r="L482" s="106"/>
      <c r="M482" s="106"/>
      <c r="N482" s="106"/>
      <c r="O482" s="106"/>
      <c r="P482" s="106"/>
    </row>
    <row r="483" spans="2:16">
      <c r="B483" s="106"/>
      <c r="C483" s="106"/>
      <c r="D483" s="106"/>
      <c r="E483" s="106"/>
      <c r="F483" s="106"/>
      <c r="G483" s="106"/>
      <c r="H483" s="106"/>
      <c r="I483" s="106"/>
      <c r="J483" s="106"/>
      <c r="K483" s="106"/>
      <c r="L483" s="106"/>
      <c r="M483" s="106"/>
      <c r="N483" s="106"/>
      <c r="O483" s="106"/>
      <c r="P483" s="106"/>
    </row>
    <row r="484" spans="2:16">
      <c r="B484" s="106"/>
      <c r="C484" s="106"/>
      <c r="D484" s="106"/>
      <c r="E484" s="106"/>
      <c r="F484" s="106"/>
      <c r="G484" s="106"/>
      <c r="H484" s="106"/>
      <c r="I484" s="106"/>
      <c r="J484" s="106"/>
      <c r="K484" s="106"/>
      <c r="L484" s="106"/>
      <c r="M484" s="106"/>
      <c r="N484" s="106"/>
      <c r="O484" s="106"/>
      <c r="P484" s="106"/>
    </row>
    <row r="485" spans="2:16">
      <c r="B485" s="106"/>
      <c r="C485" s="106"/>
      <c r="D485" s="106"/>
      <c r="E485" s="106"/>
      <c r="F485" s="106"/>
      <c r="G485" s="106"/>
      <c r="H485" s="106"/>
      <c r="I485" s="106"/>
      <c r="J485" s="106"/>
      <c r="K485" s="106"/>
      <c r="L485" s="106"/>
      <c r="M485" s="106"/>
      <c r="N485" s="106"/>
      <c r="O485" s="106"/>
      <c r="P485" s="106"/>
    </row>
    <row r="486" spans="2:16">
      <c r="B486" s="106"/>
      <c r="C486" s="106"/>
      <c r="D486" s="106"/>
      <c r="E486" s="106"/>
      <c r="F486" s="106"/>
      <c r="G486" s="106"/>
      <c r="H486" s="106"/>
      <c r="I486" s="106"/>
      <c r="J486" s="106"/>
      <c r="K486" s="106"/>
      <c r="L486" s="106"/>
      <c r="M486" s="106"/>
      <c r="N486" s="106"/>
      <c r="O486" s="106"/>
      <c r="P486" s="106"/>
    </row>
    <row r="487" spans="2:16">
      <c r="B487" s="106"/>
      <c r="C487" s="106"/>
      <c r="D487" s="106"/>
      <c r="E487" s="106"/>
      <c r="F487" s="106"/>
      <c r="G487" s="106"/>
      <c r="H487" s="106"/>
      <c r="I487" s="106"/>
      <c r="J487" s="106"/>
      <c r="K487" s="106"/>
      <c r="L487" s="106"/>
      <c r="M487" s="106"/>
      <c r="N487" s="106"/>
      <c r="O487" s="106"/>
      <c r="P487" s="106"/>
    </row>
    <row r="488" spans="2:16">
      <c r="B488" s="106"/>
      <c r="C488" s="106"/>
      <c r="D488" s="106"/>
      <c r="E488" s="106"/>
      <c r="F488" s="106"/>
      <c r="G488" s="106"/>
      <c r="H488" s="106"/>
      <c r="I488" s="106"/>
      <c r="J488" s="106"/>
      <c r="K488" s="106"/>
      <c r="L488" s="106"/>
      <c r="M488" s="106"/>
      <c r="N488" s="106"/>
      <c r="O488" s="106"/>
      <c r="P488" s="106"/>
    </row>
    <row r="489" spans="2:16">
      <c r="B489" s="106"/>
      <c r="C489" s="106"/>
      <c r="D489" s="106"/>
      <c r="E489" s="106"/>
      <c r="F489" s="106"/>
      <c r="G489" s="106"/>
      <c r="H489" s="106"/>
      <c r="I489" s="106"/>
      <c r="J489" s="106"/>
      <c r="K489" s="106"/>
      <c r="L489" s="106"/>
      <c r="M489" s="106"/>
      <c r="N489" s="106"/>
      <c r="O489" s="106"/>
      <c r="P489" s="106"/>
    </row>
    <row r="490" spans="2:16">
      <c r="B490" s="106"/>
      <c r="C490" s="106"/>
      <c r="D490" s="106"/>
      <c r="E490" s="106"/>
      <c r="F490" s="106"/>
      <c r="G490" s="106"/>
      <c r="H490" s="106"/>
      <c r="I490" s="106"/>
      <c r="J490" s="106"/>
      <c r="K490" s="106"/>
      <c r="L490" s="106"/>
      <c r="M490" s="106"/>
      <c r="N490" s="106"/>
      <c r="O490" s="106"/>
      <c r="P490" s="106"/>
    </row>
    <row r="491" spans="2:16">
      <c r="B491" s="106"/>
      <c r="C491" s="106"/>
      <c r="D491" s="106"/>
      <c r="E491" s="106"/>
      <c r="F491" s="106"/>
      <c r="G491" s="106"/>
      <c r="H491" s="106"/>
      <c r="I491" s="106"/>
      <c r="J491" s="106"/>
      <c r="K491" s="106"/>
      <c r="L491" s="106"/>
      <c r="M491" s="106"/>
      <c r="N491" s="106"/>
      <c r="O491" s="106"/>
      <c r="P491" s="106"/>
    </row>
    <row r="492" spans="2:16">
      <c r="B492" s="106"/>
      <c r="C492" s="106"/>
      <c r="D492" s="106"/>
      <c r="E492" s="106"/>
      <c r="F492" s="106"/>
      <c r="G492" s="106"/>
      <c r="H492" s="106"/>
      <c r="I492" s="106"/>
      <c r="J492" s="106"/>
      <c r="K492" s="106"/>
      <c r="L492" s="106"/>
      <c r="M492" s="106"/>
      <c r="N492" s="106"/>
      <c r="O492" s="106"/>
      <c r="P492" s="106"/>
    </row>
    <row r="493" spans="2:16">
      <c r="B493" s="106"/>
      <c r="C493" s="106"/>
      <c r="D493" s="106"/>
      <c r="E493" s="106"/>
      <c r="F493" s="106"/>
      <c r="G493" s="106"/>
      <c r="H493" s="106"/>
      <c r="I493" s="106"/>
      <c r="J493" s="106"/>
      <c r="K493" s="106"/>
      <c r="L493" s="106"/>
      <c r="M493" s="106"/>
      <c r="N493" s="106"/>
      <c r="O493" s="106"/>
      <c r="P493" s="106"/>
    </row>
    <row r="494" spans="2:16">
      <c r="B494" s="106"/>
      <c r="C494" s="106"/>
      <c r="D494" s="106"/>
      <c r="E494" s="106"/>
      <c r="F494" s="106"/>
      <c r="G494" s="106"/>
      <c r="H494" s="106"/>
      <c r="I494" s="106"/>
      <c r="J494" s="106"/>
      <c r="K494" s="106"/>
      <c r="L494" s="106"/>
      <c r="M494" s="106"/>
      <c r="N494" s="106"/>
      <c r="O494" s="106"/>
      <c r="P494" s="106"/>
    </row>
    <row r="495" spans="2:16">
      <c r="B495" s="106"/>
      <c r="C495" s="106"/>
      <c r="D495" s="106"/>
      <c r="E495" s="106"/>
      <c r="F495" s="106"/>
      <c r="G495" s="106"/>
      <c r="H495" s="106"/>
      <c r="I495" s="106"/>
      <c r="J495" s="106"/>
      <c r="K495" s="106"/>
      <c r="L495" s="106"/>
      <c r="M495" s="106"/>
      <c r="N495" s="106"/>
      <c r="O495" s="106"/>
      <c r="P495" s="106"/>
    </row>
    <row r="496" spans="2:16">
      <c r="B496" s="106"/>
      <c r="C496" s="106"/>
      <c r="D496" s="106"/>
      <c r="E496" s="106"/>
      <c r="F496" s="106"/>
      <c r="G496" s="106"/>
      <c r="H496" s="106"/>
      <c r="I496" s="106"/>
      <c r="J496" s="106"/>
      <c r="K496" s="106"/>
      <c r="L496" s="106"/>
      <c r="M496" s="106"/>
      <c r="N496" s="106"/>
      <c r="O496" s="106"/>
      <c r="P496" s="106"/>
    </row>
    <row r="497" spans="2:16">
      <c r="B497" s="106"/>
      <c r="C497" s="106"/>
      <c r="D497" s="106"/>
      <c r="E497" s="106"/>
      <c r="F497" s="106"/>
      <c r="G497" s="106"/>
      <c r="H497" s="106"/>
      <c r="I497" s="106"/>
      <c r="J497" s="106"/>
      <c r="K497" s="106"/>
      <c r="L497" s="106"/>
      <c r="M497" s="106"/>
      <c r="N497" s="106"/>
      <c r="O497" s="106"/>
      <c r="P497" s="106"/>
    </row>
    <row r="498" spans="2:16">
      <c r="B498" s="106"/>
      <c r="C498" s="106"/>
      <c r="D498" s="106"/>
      <c r="E498" s="106"/>
      <c r="F498" s="106"/>
      <c r="G498" s="106"/>
      <c r="H498" s="106"/>
      <c r="I498" s="106"/>
      <c r="J498" s="106"/>
      <c r="K498" s="106"/>
      <c r="L498" s="106"/>
      <c r="M498" s="106"/>
      <c r="N498" s="106"/>
      <c r="O498" s="106"/>
      <c r="P498" s="106"/>
    </row>
    <row r="499" spans="2:16">
      <c r="B499" s="106"/>
      <c r="C499" s="106"/>
      <c r="D499" s="106"/>
      <c r="E499" s="106"/>
      <c r="F499" s="106"/>
      <c r="G499" s="106"/>
      <c r="H499" s="106"/>
      <c r="I499" s="106"/>
      <c r="J499" s="106"/>
      <c r="K499" s="106"/>
      <c r="L499" s="106"/>
      <c r="M499" s="106"/>
      <c r="N499" s="106"/>
      <c r="O499" s="106"/>
      <c r="P499" s="106"/>
    </row>
    <row r="500" spans="2:16">
      <c r="B500" s="106"/>
      <c r="C500" s="106"/>
      <c r="D500" s="106"/>
      <c r="E500" s="106"/>
      <c r="F500" s="106"/>
      <c r="G500" s="106"/>
      <c r="H500" s="106"/>
      <c r="I500" s="106"/>
      <c r="J500" s="106"/>
      <c r="K500" s="106"/>
      <c r="L500" s="106"/>
      <c r="M500" s="106"/>
      <c r="N500" s="106"/>
      <c r="O500" s="106"/>
      <c r="P500" s="106"/>
    </row>
    <row r="501" spans="2:16">
      <c r="B501" s="106"/>
      <c r="C501" s="106"/>
      <c r="D501" s="106"/>
      <c r="E501" s="106"/>
      <c r="F501" s="106"/>
      <c r="G501" s="106"/>
      <c r="H501" s="106"/>
      <c r="I501" s="106"/>
      <c r="J501" s="106"/>
      <c r="K501" s="106"/>
      <c r="L501" s="106"/>
      <c r="M501" s="106"/>
      <c r="N501" s="106"/>
      <c r="O501" s="106"/>
      <c r="P501" s="106"/>
    </row>
    <row r="502" spans="2:16">
      <c r="B502" s="106"/>
      <c r="C502" s="106"/>
      <c r="D502" s="106"/>
      <c r="E502" s="106"/>
      <c r="F502" s="106"/>
      <c r="G502" s="106"/>
      <c r="H502" s="106"/>
      <c r="I502" s="106"/>
      <c r="J502" s="106"/>
      <c r="K502" s="106"/>
      <c r="L502" s="106"/>
      <c r="M502" s="106"/>
      <c r="N502" s="106"/>
      <c r="O502" s="106"/>
      <c r="P502" s="106"/>
    </row>
    <row r="503" spans="2:16">
      <c r="B503" s="106"/>
      <c r="C503" s="106"/>
      <c r="D503" s="106"/>
      <c r="E503" s="106"/>
      <c r="F503" s="106"/>
      <c r="G503" s="106"/>
      <c r="H503" s="106"/>
      <c r="I503" s="106"/>
      <c r="J503" s="106"/>
      <c r="K503" s="106"/>
      <c r="L503" s="106"/>
      <c r="M503" s="106"/>
      <c r="N503" s="106"/>
      <c r="O503" s="106"/>
      <c r="P503" s="106"/>
    </row>
    <row r="504" spans="2:16">
      <c r="B504" s="106"/>
      <c r="C504" s="106"/>
      <c r="D504" s="106"/>
      <c r="E504" s="106"/>
      <c r="F504" s="106"/>
      <c r="G504" s="106"/>
      <c r="H504" s="106"/>
      <c r="I504" s="106"/>
      <c r="J504" s="106"/>
      <c r="K504" s="106"/>
      <c r="L504" s="106"/>
      <c r="M504" s="106"/>
      <c r="N504" s="106"/>
      <c r="O504" s="106"/>
      <c r="P504" s="106"/>
    </row>
    <row r="505" spans="2:16">
      <c r="B505" s="106"/>
      <c r="C505" s="106"/>
      <c r="D505" s="106"/>
      <c r="E505" s="106"/>
      <c r="F505" s="106"/>
      <c r="G505" s="106"/>
      <c r="H505" s="106"/>
      <c r="I505" s="106"/>
      <c r="J505" s="106"/>
      <c r="K505" s="106"/>
      <c r="L505" s="106"/>
      <c r="M505" s="106"/>
      <c r="N505" s="106"/>
      <c r="O505" s="106"/>
      <c r="P505" s="106"/>
    </row>
    <row r="506" spans="2:16">
      <c r="B506" s="106"/>
      <c r="C506" s="106"/>
      <c r="D506" s="106"/>
      <c r="E506" s="106"/>
      <c r="F506" s="106"/>
      <c r="G506" s="106"/>
      <c r="H506" s="106"/>
      <c r="I506" s="106"/>
      <c r="J506" s="106"/>
      <c r="K506" s="106"/>
      <c r="L506" s="106"/>
      <c r="M506" s="106"/>
      <c r="N506" s="106"/>
      <c r="O506" s="106"/>
      <c r="P506" s="106"/>
    </row>
    <row r="507" spans="2:16">
      <c r="B507" s="106"/>
      <c r="C507" s="106"/>
      <c r="D507" s="106"/>
      <c r="E507" s="106"/>
      <c r="F507" s="106"/>
      <c r="G507" s="106"/>
      <c r="H507" s="106"/>
      <c r="I507" s="106"/>
      <c r="J507" s="106"/>
      <c r="K507" s="106"/>
      <c r="L507" s="106"/>
      <c r="M507" s="106"/>
      <c r="N507" s="106"/>
      <c r="O507" s="106"/>
      <c r="P507" s="106"/>
    </row>
    <row r="508" spans="2:16">
      <c r="B508" s="106"/>
      <c r="C508" s="106"/>
      <c r="D508" s="106"/>
      <c r="E508" s="106"/>
      <c r="F508" s="106"/>
      <c r="G508" s="106"/>
      <c r="H508" s="106"/>
      <c r="I508" s="106"/>
      <c r="J508" s="106"/>
      <c r="K508" s="106"/>
      <c r="L508" s="106"/>
      <c r="M508" s="106"/>
      <c r="N508" s="106"/>
      <c r="O508" s="106"/>
      <c r="P508" s="106"/>
    </row>
    <row r="509" spans="2:16">
      <c r="B509" s="106"/>
      <c r="C509" s="106"/>
      <c r="D509" s="106"/>
      <c r="E509" s="106"/>
      <c r="F509" s="106"/>
      <c r="G509" s="106"/>
      <c r="H509" s="106"/>
      <c r="I509" s="106"/>
      <c r="J509" s="106"/>
      <c r="K509" s="106"/>
      <c r="L509" s="106"/>
      <c r="M509" s="106"/>
      <c r="N509" s="106"/>
      <c r="O509" s="106"/>
      <c r="P509" s="106"/>
    </row>
    <row r="510" spans="2:16">
      <c r="B510" s="106"/>
      <c r="C510" s="106"/>
      <c r="D510" s="106"/>
      <c r="E510" s="106"/>
      <c r="F510" s="106"/>
      <c r="G510" s="106"/>
      <c r="H510" s="106"/>
      <c r="I510" s="106"/>
      <c r="J510" s="106"/>
      <c r="K510" s="106"/>
      <c r="L510" s="106"/>
      <c r="M510" s="106"/>
      <c r="N510" s="106"/>
      <c r="O510" s="106"/>
      <c r="P510" s="106"/>
    </row>
    <row r="511" spans="2:16">
      <c r="B511" s="106"/>
      <c r="C511" s="106"/>
      <c r="D511" s="106"/>
      <c r="E511" s="106"/>
      <c r="F511" s="106"/>
      <c r="G511" s="106"/>
      <c r="H511" s="106"/>
      <c r="I511" s="106"/>
      <c r="J511" s="106"/>
      <c r="K511" s="106"/>
      <c r="L511" s="106"/>
      <c r="M511" s="106"/>
      <c r="N511" s="106"/>
      <c r="O511" s="106"/>
      <c r="P511" s="106"/>
    </row>
    <row r="512" spans="2:16">
      <c r="B512" s="106"/>
      <c r="C512" s="106"/>
      <c r="D512" s="106"/>
      <c r="E512" s="106"/>
      <c r="F512" s="106"/>
      <c r="G512" s="106"/>
      <c r="H512" s="106"/>
      <c r="I512" s="106"/>
      <c r="J512" s="106"/>
      <c r="K512" s="106"/>
      <c r="L512" s="106"/>
      <c r="M512" s="106"/>
      <c r="N512" s="106"/>
      <c r="O512" s="106"/>
      <c r="P512" s="106"/>
    </row>
    <row r="513" spans="2:16">
      <c r="B513" s="106"/>
      <c r="C513" s="106"/>
      <c r="D513" s="106"/>
      <c r="E513" s="106"/>
      <c r="F513" s="106"/>
      <c r="G513" s="106"/>
      <c r="H513" s="106"/>
      <c r="I513" s="106"/>
      <c r="J513" s="106"/>
      <c r="K513" s="106"/>
      <c r="L513" s="106"/>
      <c r="M513" s="106"/>
      <c r="N513" s="106"/>
      <c r="O513" s="106"/>
      <c r="P513" s="106"/>
    </row>
    <row r="514" spans="2:16">
      <c r="B514" s="106"/>
      <c r="C514" s="106"/>
      <c r="D514" s="106"/>
      <c r="E514" s="106"/>
      <c r="F514" s="106"/>
      <c r="G514" s="106"/>
      <c r="H514" s="106"/>
      <c r="I514" s="106"/>
      <c r="J514" s="106"/>
      <c r="K514" s="106"/>
      <c r="L514" s="106"/>
      <c r="M514" s="106"/>
      <c r="N514" s="106"/>
      <c r="O514" s="106"/>
      <c r="P514" s="106"/>
    </row>
    <row r="515" spans="2:16">
      <c r="B515" s="106"/>
      <c r="C515" s="106"/>
      <c r="D515" s="106"/>
      <c r="E515" s="106"/>
      <c r="F515" s="106"/>
      <c r="G515" s="106"/>
      <c r="H515" s="106"/>
      <c r="I515" s="106"/>
      <c r="J515" s="106"/>
      <c r="K515" s="106"/>
      <c r="L515" s="106"/>
      <c r="M515" s="106"/>
      <c r="N515" s="106"/>
      <c r="O515" s="106"/>
      <c r="P515" s="106"/>
    </row>
    <row r="516" spans="2:16">
      <c r="B516" s="106"/>
      <c r="C516" s="106"/>
      <c r="D516" s="106"/>
      <c r="E516" s="106"/>
      <c r="F516" s="106"/>
      <c r="G516" s="106"/>
      <c r="H516" s="106"/>
      <c r="I516" s="106"/>
      <c r="J516" s="106"/>
      <c r="K516" s="106"/>
      <c r="L516" s="106"/>
      <c r="M516" s="106"/>
      <c r="N516" s="106"/>
      <c r="O516" s="106"/>
      <c r="P516" s="106"/>
    </row>
    <row r="517" spans="2:16">
      <c r="B517" s="106"/>
      <c r="C517" s="106"/>
      <c r="D517" s="106"/>
      <c r="E517" s="106"/>
      <c r="F517" s="106"/>
      <c r="G517" s="106"/>
      <c r="H517" s="106"/>
      <c r="I517" s="106"/>
      <c r="J517" s="106"/>
      <c r="K517" s="106"/>
      <c r="L517" s="106"/>
      <c r="M517" s="106"/>
      <c r="N517" s="106"/>
      <c r="O517" s="106"/>
      <c r="P517" s="106"/>
    </row>
    <row r="518" spans="2:16">
      <c r="B518" s="106"/>
      <c r="C518" s="106"/>
      <c r="D518" s="106"/>
      <c r="E518" s="106"/>
      <c r="F518" s="106"/>
      <c r="G518" s="106"/>
      <c r="H518" s="106"/>
      <c r="I518" s="106"/>
      <c r="J518" s="106"/>
      <c r="K518" s="106"/>
      <c r="L518" s="106"/>
      <c r="M518" s="106"/>
      <c r="N518" s="106"/>
      <c r="O518" s="106"/>
      <c r="P518" s="106"/>
    </row>
    <row r="519" spans="2:16">
      <c r="B519" s="106"/>
      <c r="C519" s="106"/>
      <c r="D519" s="106"/>
      <c r="E519" s="106"/>
      <c r="F519" s="106"/>
      <c r="G519" s="106"/>
      <c r="H519" s="106"/>
      <c r="I519" s="106"/>
      <c r="J519" s="106"/>
      <c r="K519" s="106"/>
      <c r="L519" s="106"/>
      <c r="M519" s="106"/>
      <c r="N519" s="106"/>
      <c r="O519" s="106"/>
      <c r="P519" s="106"/>
    </row>
    <row r="520" spans="2:16">
      <c r="B520" s="106"/>
      <c r="C520" s="106"/>
      <c r="D520" s="106"/>
      <c r="E520" s="106"/>
      <c r="F520" s="106"/>
      <c r="G520" s="106"/>
      <c r="H520" s="106"/>
      <c r="I520" s="106"/>
      <c r="J520" s="106"/>
      <c r="K520" s="106"/>
      <c r="L520" s="106"/>
      <c r="M520" s="106"/>
      <c r="N520" s="106"/>
      <c r="O520" s="106"/>
      <c r="P520" s="106"/>
    </row>
    <row r="521" spans="2:16">
      <c r="B521" s="106"/>
      <c r="C521" s="106"/>
      <c r="D521" s="106"/>
      <c r="E521" s="106"/>
      <c r="F521" s="106"/>
      <c r="G521" s="106"/>
      <c r="H521" s="106"/>
      <c r="I521" s="106"/>
      <c r="J521" s="106"/>
      <c r="K521" s="106"/>
      <c r="L521" s="106"/>
      <c r="M521" s="106"/>
      <c r="N521" s="106"/>
      <c r="O521" s="106"/>
      <c r="P521" s="106"/>
    </row>
    <row r="522" spans="2:16">
      <c r="B522" s="106"/>
      <c r="C522" s="106"/>
      <c r="D522" s="106"/>
      <c r="E522" s="106"/>
      <c r="F522" s="106"/>
      <c r="G522" s="106"/>
      <c r="H522" s="106"/>
      <c r="I522" s="106"/>
      <c r="J522" s="106"/>
      <c r="K522" s="106"/>
      <c r="L522" s="106"/>
      <c r="M522" s="106"/>
      <c r="N522" s="106"/>
      <c r="O522" s="106"/>
      <c r="P522" s="106"/>
    </row>
    <row r="523" spans="2:16">
      <c r="B523" s="106"/>
      <c r="C523" s="106"/>
      <c r="D523" s="106"/>
      <c r="E523" s="106"/>
      <c r="F523" s="106"/>
      <c r="G523" s="106"/>
      <c r="H523" s="106"/>
      <c r="I523" s="106"/>
      <c r="J523" s="106"/>
      <c r="K523" s="106"/>
      <c r="L523" s="106"/>
      <c r="M523" s="106"/>
      <c r="N523" s="106"/>
      <c r="O523" s="106"/>
      <c r="P523" s="106"/>
    </row>
    <row r="524" spans="2:16">
      <c r="B524" s="106"/>
      <c r="C524" s="106"/>
      <c r="D524" s="106"/>
      <c r="E524" s="106"/>
      <c r="F524" s="106"/>
      <c r="G524" s="106"/>
      <c r="H524" s="106"/>
      <c r="I524" s="106"/>
      <c r="J524" s="106"/>
      <c r="K524" s="106"/>
      <c r="L524" s="106"/>
      <c r="M524" s="106"/>
      <c r="N524" s="106"/>
      <c r="O524" s="106"/>
      <c r="P524" s="106"/>
    </row>
    <row r="525" spans="2:16">
      <c r="B525" s="106"/>
      <c r="C525" s="106"/>
      <c r="D525" s="106"/>
      <c r="E525" s="106"/>
      <c r="F525" s="106"/>
      <c r="G525" s="106"/>
      <c r="H525" s="106"/>
      <c r="I525" s="106"/>
      <c r="J525" s="106"/>
      <c r="K525" s="106"/>
      <c r="L525" s="106"/>
      <c r="M525" s="106"/>
      <c r="N525" s="106"/>
      <c r="O525" s="106"/>
      <c r="P525" s="106"/>
    </row>
    <row r="526" spans="2:16">
      <c r="B526" s="106"/>
      <c r="C526" s="106"/>
      <c r="D526" s="106"/>
      <c r="E526" s="106"/>
      <c r="F526" s="106"/>
      <c r="G526" s="106"/>
      <c r="H526" s="106"/>
      <c r="I526" s="106"/>
      <c r="J526" s="106"/>
      <c r="K526" s="106"/>
      <c r="L526" s="106"/>
      <c r="M526" s="106"/>
      <c r="N526" s="106"/>
      <c r="O526" s="106"/>
      <c r="P526" s="106"/>
    </row>
    <row r="527" spans="2:16">
      <c r="B527" s="106"/>
      <c r="C527" s="106"/>
      <c r="D527" s="106"/>
      <c r="E527" s="106"/>
      <c r="F527" s="106"/>
      <c r="G527" s="106"/>
      <c r="H527" s="106"/>
      <c r="I527" s="106"/>
      <c r="J527" s="106"/>
      <c r="K527" s="106"/>
      <c r="L527" s="106"/>
      <c r="M527" s="106"/>
      <c r="N527" s="106"/>
      <c r="O527" s="106"/>
      <c r="P527" s="106"/>
    </row>
    <row r="528" spans="2:16">
      <c r="B528" s="106"/>
      <c r="C528" s="106"/>
      <c r="D528" s="106"/>
      <c r="E528" s="106"/>
      <c r="F528" s="106"/>
      <c r="G528" s="106"/>
      <c r="H528" s="106"/>
      <c r="I528" s="106"/>
      <c r="J528" s="106"/>
      <c r="K528" s="106"/>
      <c r="L528" s="106"/>
      <c r="M528" s="106"/>
      <c r="N528" s="106"/>
      <c r="O528" s="106"/>
      <c r="P528" s="106"/>
    </row>
    <row r="529" spans="2:16">
      <c r="B529" s="106"/>
      <c r="C529" s="106"/>
      <c r="D529" s="106"/>
      <c r="E529" s="106"/>
      <c r="F529" s="106"/>
      <c r="G529" s="106"/>
      <c r="H529" s="106"/>
      <c r="I529" s="106"/>
      <c r="J529" s="106"/>
      <c r="K529" s="106"/>
      <c r="L529" s="106"/>
      <c r="M529" s="106"/>
      <c r="N529" s="106"/>
      <c r="O529" s="106"/>
      <c r="P529" s="106"/>
    </row>
    <row r="530" spans="2:16">
      <c r="B530" s="106"/>
      <c r="C530" s="106"/>
      <c r="D530" s="106"/>
      <c r="E530" s="106"/>
      <c r="F530" s="106"/>
      <c r="G530" s="106"/>
      <c r="H530" s="106"/>
      <c r="I530" s="106"/>
      <c r="J530" s="106"/>
      <c r="K530" s="106"/>
      <c r="L530" s="106"/>
      <c r="M530" s="106"/>
      <c r="N530" s="106"/>
      <c r="O530" s="106"/>
      <c r="P530" s="106"/>
    </row>
    <row r="531" spans="2:16">
      <c r="B531" s="106"/>
      <c r="C531" s="106"/>
      <c r="D531" s="106"/>
      <c r="E531" s="106"/>
      <c r="F531" s="106"/>
      <c r="G531" s="106"/>
      <c r="H531" s="106"/>
      <c r="I531" s="106"/>
      <c r="J531" s="106"/>
      <c r="K531" s="106"/>
      <c r="L531" s="106"/>
      <c r="M531" s="106"/>
      <c r="N531" s="106"/>
      <c r="O531" s="106"/>
      <c r="P531" s="106"/>
    </row>
    <row r="532" spans="2:16">
      <c r="B532" s="106"/>
      <c r="C532" s="106"/>
      <c r="D532" s="106"/>
      <c r="E532" s="106"/>
      <c r="F532" s="106"/>
      <c r="G532" s="106"/>
      <c r="H532" s="106"/>
      <c r="I532" s="106"/>
      <c r="J532" s="106"/>
      <c r="K532" s="106"/>
      <c r="L532" s="106"/>
      <c r="M532" s="106"/>
      <c r="N532" s="106"/>
      <c r="O532" s="106"/>
      <c r="P532" s="106"/>
    </row>
    <row r="533" spans="2:16">
      <c r="B533" s="106"/>
      <c r="C533" s="106"/>
      <c r="D533" s="106"/>
      <c r="E533" s="106"/>
      <c r="F533" s="106"/>
      <c r="G533" s="106"/>
      <c r="H533" s="106"/>
      <c r="I533" s="106"/>
      <c r="J533" s="106"/>
      <c r="K533" s="106"/>
      <c r="L533" s="106"/>
      <c r="M533" s="106"/>
      <c r="N533" s="106"/>
      <c r="O533" s="106"/>
      <c r="P533" s="106"/>
    </row>
    <row r="534" spans="2:16">
      <c r="B534" s="106"/>
      <c r="C534" s="106"/>
      <c r="D534" s="106"/>
      <c r="E534" s="106"/>
      <c r="F534" s="106"/>
      <c r="G534" s="106"/>
      <c r="H534" s="106"/>
      <c r="I534" s="106"/>
      <c r="J534" s="106"/>
      <c r="K534" s="106"/>
      <c r="L534" s="106"/>
      <c r="M534" s="106"/>
      <c r="N534" s="106"/>
      <c r="O534" s="106"/>
      <c r="P534" s="106"/>
    </row>
    <row r="535" spans="2:16">
      <c r="B535" s="106"/>
      <c r="C535" s="106"/>
      <c r="D535" s="106"/>
      <c r="E535" s="106"/>
      <c r="F535" s="106"/>
      <c r="G535" s="106"/>
      <c r="H535" s="106"/>
      <c r="I535" s="106"/>
      <c r="J535" s="106"/>
      <c r="K535" s="106"/>
      <c r="L535" s="106"/>
      <c r="M535" s="106"/>
      <c r="N535" s="106"/>
      <c r="O535" s="106"/>
      <c r="P535" s="106"/>
    </row>
    <row r="536" spans="2:16">
      <c r="B536" s="106"/>
      <c r="C536" s="106"/>
      <c r="D536" s="106"/>
      <c r="E536" s="106"/>
      <c r="F536" s="106"/>
      <c r="G536" s="106"/>
      <c r="H536" s="106"/>
      <c r="I536" s="106"/>
      <c r="J536" s="106"/>
      <c r="K536" s="106"/>
      <c r="L536" s="106"/>
      <c r="M536" s="106"/>
      <c r="N536" s="106"/>
      <c r="O536" s="106"/>
      <c r="P536" s="106"/>
    </row>
    <row r="537" spans="2:16">
      <c r="B537" s="106"/>
      <c r="C537" s="106"/>
      <c r="D537" s="106"/>
      <c r="E537" s="106"/>
      <c r="F537" s="106"/>
      <c r="G537" s="106"/>
      <c r="H537" s="106"/>
      <c r="I537" s="106"/>
      <c r="J537" s="106"/>
      <c r="K537" s="106"/>
      <c r="L537" s="106"/>
      <c r="M537" s="106"/>
      <c r="N537" s="106"/>
      <c r="O537" s="106"/>
      <c r="P537" s="106"/>
    </row>
    <row r="538" spans="2:16">
      <c r="B538" s="106"/>
      <c r="C538" s="106"/>
      <c r="D538" s="106"/>
      <c r="E538" s="106"/>
      <c r="F538" s="106"/>
      <c r="G538" s="106"/>
      <c r="H538" s="106"/>
      <c r="I538" s="106"/>
      <c r="J538" s="106"/>
      <c r="K538" s="106"/>
      <c r="L538" s="106"/>
      <c r="M538" s="106"/>
      <c r="N538" s="106"/>
      <c r="O538" s="106"/>
      <c r="P538" s="106"/>
    </row>
    <row r="539" spans="2:16">
      <c r="B539" s="106"/>
      <c r="C539" s="106"/>
      <c r="D539" s="106"/>
      <c r="E539" s="106"/>
      <c r="F539" s="106"/>
      <c r="G539" s="106"/>
      <c r="H539" s="106"/>
      <c r="I539" s="106"/>
      <c r="J539" s="106"/>
      <c r="K539" s="106"/>
      <c r="L539" s="106"/>
      <c r="M539" s="106"/>
      <c r="N539" s="106"/>
      <c r="O539" s="106"/>
      <c r="P539" s="106"/>
    </row>
    <row r="540" spans="2:16">
      <c r="B540" s="106"/>
      <c r="C540" s="106"/>
      <c r="D540" s="106"/>
      <c r="E540" s="106"/>
      <c r="F540" s="106"/>
      <c r="G540" s="106"/>
      <c r="H540" s="106"/>
      <c r="I540" s="106"/>
      <c r="J540" s="106"/>
      <c r="K540" s="106"/>
      <c r="L540" s="106"/>
      <c r="M540" s="106"/>
      <c r="N540" s="106"/>
      <c r="O540" s="106"/>
      <c r="P540" s="106"/>
    </row>
    <row r="541" spans="2:16">
      <c r="B541" s="106"/>
      <c r="C541" s="106"/>
      <c r="D541" s="106"/>
      <c r="E541" s="106"/>
      <c r="F541" s="106"/>
      <c r="G541" s="106"/>
      <c r="H541" s="106"/>
      <c r="I541" s="106"/>
      <c r="J541" s="106"/>
      <c r="K541" s="106"/>
      <c r="L541" s="106"/>
      <c r="M541" s="106"/>
      <c r="N541" s="106"/>
      <c r="O541" s="106"/>
      <c r="P541" s="106"/>
    </row>
    <row r="542" spans="2:16">
      <c r="B542" s="106"/>
      <c r="C542" s="106"/>
      <c r="D542" s="106"/>
      <c r="E542" s="106"/>
      <c r="F542" s="106"/>
      <c r="G542" s="106"/>
      <c r="H542" s="106"/>
      <c r="I542" s="106"/>
      <c r="J542" s="106"/>
      <c r="K542" s="106"/>
      <c r="L542" s="106"/>
      <c r="M542" s="106"/>
      <c r="N542" s="106"/>
      <c r="O542" s="106"/>
      <c r="P542" s="106"/>
    </row>
    <row r="543" spans="2:16">
      <c r="B543" s="106"/>
      <c r="C543" s="106"/>
      <c r="D543" s="106"/>
      <c r="E543" s="106"/>
      <c r="F543" s="106"/>
      <c r="G543" s="106"/>
      <c r="H543" s="106"/>
      <c r="I543" s="106"/>
      <c r="J543" s="106"/>
      <c r="K543" s="106"/>
      <c r="L543" s="106"/>
      <c r="M543" s="106"/>
      <c r="N543" s="106"/>
      <c r="O543" s="106"/>
      <c r="P543" s="106"/>
    </row>
    <row r="544" spans="2:16">
      <c r="B544" s="106"/>
      <c r="C544" s="106"/>
      <c r="D544" s="106"/>
      <c r="E544" s="106"/>
      <c r="F544" s="106"/>
      <c r="G544" s="106"/>
      <c r="H544" s="106"/>
      <c r="I544" s="106"/>
      <c r="J544" s="106"/>
      <c r="K544" s="106"/>
      <c r="L544" s="106"/>
      <c r="M544" s="106"/>
      <c r="N544" s="106"/>
      <c r="O544" s="106"/>
      <c r="P544" s="106"/>
    </row>
    <row r="545" spans="2:16">
      <c r="B545" s="106"/>
      <c r="C545" s="106"/>
      <c r="D545" s="106"/>
      <c r="E545" s="106"/>
      <c r="F545" s="106"/>
      <c r="G545" s="106"/>
      <c r="H545" s="106"/>
      <c r="I545" s="106"/>
      <c r="J545" s="106"/>
      <c r="K545" s="106"/>
      <c r="L545" s="106"/>
      <c r="M545" s="106"/>
      <c r="N545" s="106"/>
      <c r="O545" s="106"/>
      <c r="P545" s="106"/>
    </row>
    <row r="546" spans="2:16">
      <c r="B546" s="106"/>
      <c r="C546" s="106"/>
      <c r="D546" s="106"/>
      <c r="E546" s="106"/>
      <c r="F546" s="106"/>
      <c r="G546" s="106"/>
      <c r="H546" s="106"/>
      <c r="I546" s="106"/>
      <c r="J546" s="106"/>
      <c r="K546" s="106"/>
      <c r="L546" s="106"/>
      <c r="M546" s="106"/>
      <c r="N546" s="106"/>
      <c r="O546" s="106"/>
      <c r="P546" s="106"/>
    </row>
    <row r="547" spans="2:16">
      <c r="B547" s="106"/>
      <c r="C547" s="106"/>
      <c r="D547" s="106"/>
      <c r="E547" s="106"/>
      <c r="F547" s="106"/>
      <c r="G547" s="106"/>
      <c r="H547" s="106"/>
      <c r="I547" s="106"/>
      <c r="J547" s="106"/>
      <c r="K547" s="106"/>
      <c r="L547" s="106"/>
      <c r="M547" s="106"/>
      <c r="N547" s="106"/>
      <c r="O547" s="106"/>
      <c r="P547" s="106"/>
    </row>
    <row r="548" spans="2:16">
      <c r="B548" s="106"/>
      <c r="C548" s="106"/>
      <c r="D548" s="106"/>
      <c r="E548" s="106"/>
      <c r="F548" s="106"/>
      <c r="G548" s="106"/>
      <c r="H548" s="106"/>
      <c r="I548" s="106"/>
      <c r="J548" s="106"/>
      <c r="K548" s="106"/>
      <c r="L548" s="106"/>
      <c r="M548" s="106"/>
      <c r="N548" s="106"/>
      <c r="O548" s="106"/>
      <c r="P548" s="106"/>
    </row>
    <row r="549" spans="2:16">
      <c r="B549" s="106"/>
      <c r="C549" s="106"/>
      <c r="D549" s="106"/>
      <c r="E549" s="106"/>
      <c r="F549" s="106"/>
      <c r="G549" s="106"/>
      <c r="H549" s="106"/>
      <c r="I549" s="106"/>
      <c r="J549" s="106"/>
      <c r="K549" s="106"/>
      <c r="L549" s="106"/>
      <c r="M549" s="106"/>
      <c r="N549" s="106"/>
      <c r="O549" s="106"/>
      <c r="P549" s="106"/>
    </row>
    <row r="550" spans="2:16">
      <c r="B550" s="106"/>
      <c r="C550" s="106"/>
      <c r="D550" s="106"/>
      <c r="E550" s="106"/>
      <c r="F550" s="106"/>
      <c r="G550" s="106"/>
      <c r="H550" s="106"/>
      <c r="I550" s="106"/>
      <c r="J550" s="106"/>
      <c r="K550" s="106"/>
      <c r="L550" s="106"/>
      <c r="M550" s="106"/>
      <c r="N550" s="106"/>
      <c r="O550" s="106"/>
      <c r="P550" s="106"/>
    </row>
    <row r="551" spans="2:16">
      <c r="B551" s="106"/>
      <c r="C551" s="106"/>
      <c r="D551" s="106"/>
      <c r="E551" s="106"/>
      <c r="F551" s="106"/>
      <c r="G551" s="106"/>
      <c r="H551" s="106"/>
      <c r="I551" s="106"/>
      <c r="J551" s="106"/>
      <c r="K551" s="106"/>
      <c r="L551" s="106"/>
      <c r="M551" s="106"/>
      <c r="N551" s="106"/>
      <c r="O551" s="106"/>
      <c r="P551" s="106"/>
    </row>
    <row r="552" spans="2:16">
      <c r="B552" s="106"/>
      <c r="C552" s="106"/>
      <c r="D552" s="106"/>
      <c r="E552" s="106"/>
      <c r="F552" s="106"/>
      <c r="G552" s="106"/>
      <c r="H552" s="106"/>
      <c r="I552" s="106"/>
      <c r="J552" s="106"/>
      <c r="K552" s="106"/>
      <c r="L552" s="106"/>
      <c r="M552" s="106"/>
      <c r="N552" s="106"/>
      <c r="O552" s="106"/>
      <c r="P552" s="106"/>
    </row>
    <row r="553" spans="2:16">
      <c r="B553" s="106"/>
      <c r="C553" s="106"/>
      <c r="D553" s="106"/>
      <c r="E553" s="106"/>
      <c r="F553" s="106"/>
      <c r="G553" s="106"/>
      <c r="H553" s="106"/>
      <c r="I553" s="106"/>
      <c r="J553" s="106"/>
      <c r="K553" s="106"/>
      <c r="L553" s="106"/>
      <c r="M553" s="106"/>
      <c r="N553" s="106"/>
      <c r="O553" s="106"/>
      <c r="P553" s="106"/>
    </row>
    <row r="554" spans="2:16">
      <c r="B554" s="106"/>
      <c r="C554" s="106"/>
      <c r="D554" s="106"/>
      <c r="E554" s="106"/>
      <c r="F554" s="106"/>
      <c r="G554" s="106"/>
      <c r="H554" s="106"/>
      <c r="I554" s="106"/>
      <c r="J554" s="106"/>
      <c r="K554" s="106"/>
      <c r="L554" s="106"/>
      <c r="M554" s="106"/>
      <c r="N554" s="106"/>
      <c r="O554" s="106"/>
      <c r="P554" s="106"/>
    </row>
    <row r="555" spans="2:16">
      <c r="B555" s="106"/>
      <c r="C555" s="106"/>
      <c r="D555" s="106"/>
      <c r="E555" s="106"/>
      <c r="F555" s="106"/>
      <c r="G555" s="106"/>
      <c r="H555" s="106"/>
      <c r="I555" s="106"/>
      <c r="J555" s="106"/>
      <c r="K555" s="106"/>
      <c r="L555" s="106"/>
      <c r="M555" s="106"/>
      <c r="N555" s="106"/>
      <c r="O555" s="106"/>
      <c r="P555" s="106"/>
    </row>
    <row r="556" spans="2:16">
      <c r="B556" s="106"/>
      <c r="C556" s="106"/>
      <c r="D556" s="106"/>
      <c r="E556" s="106"/>
      <c r="F556" s="106"/>
      <c r="G556" s="106"/>
      <c r="H556" s="106"/>
      <c r="I556" s="106"/>
      <c r="J556" s="106"/>
      <c r="K556" s="106"/>
      <c r="L556" s="106"/>
      <c r="M556" s="106"/>
      <c r="N556" s="106"/>
      <c r="O556" s="106"/>
      <c r="P556" s="106"/>
    </row>
    <row r="557" spans="2:16">
      <c r="B557" s="106"/>
      <c r="C557" s="106"/>
      <c r="D557" s="106"/>
      <c r="E557" s="106"/>
      <c r="F557" s="106"/>
      <c r="G557" s="106"/>
      <c r="H557" s="106"/>
      <c r="I557" s="106"/>
      <c r="J557" s="106"/>
      <c r="K557" s="106"/>
      <c r="L557" s="106"/>
      <c r="M557" s="106"/>
      <c r="N557" s="106"/>
      <c r="O557" s="106"/>
      <c r="P557" s="106"/>
    </row>
    <row r="558" spans="2:16">
      <c r="B558" s="106"/>
      <c r="C558" s="106"/>
      <c r="D558" s="106"/>
      <c r="E558" s="106"/>
      <c r="F558" s="106"/>
      <c r="G558" s="106"/>
      <c r="H558" s="106"/>
      <c r="I558" s="106"/>
      <c r="J558" s="106"/>
      <c r="K558" s="106"/>
      <c r="L558" s="106"/>
      <c r="M558" s="106"/>
      <c r="N558" s="106"/>
      <c r="O558" s="106"/>
      <c r="P558" s="106"/>
    </row>
    <row r="559" spans="2:16">
      <c r="B559" s="106"/>
      <c r="C559" s="106"/>
      <c r="D559" s="106"/>
      <c r="E559" s="106"/>
      <c r="F559" s="106"/>
      <c r="G559" s="106"/>
      <c r="H559" s="106"/>
      <c r="I559" s="106"/>
      <c r="J559" s="106"/>
      <c r="K559" s="106"/>
      <c r="L559" s="106"/>
      <c r="M559" s="106"/>
      <c r="N559" s="106"/>
      <c r="O559" s="106"/>
      <c r="P559" s="106"/>
    </row>
    <row r="560" spans="2:16">
      <c r="B560" s="106"/>
      <c r="C560" s="106"/>
      <c r="D560" s="106"/>
      <c r="E560" s="106"/>
      <c r="F560" s="106"/>
      <c r="G560" s="106"/>
      <c r="H560" s="106"/>
      <c r="I560" s="106"/>
      <c r="J560" s="106"/>
      <c r="K560" s="106"/>
      <c r="L560" s="106"/>
      <c r="M560" s="106"/>
      <c r="N560" s="106"/>
      <c r="O560" s="106"/>
      <c r="P560" s="106"/>
    </row>
    <row r="561" spans="2:16">
      <c r="B561" s="106"/>
      <c r="C561" s="106"/>
      <c r="D561" s="106"/>
      <c r="E561" s="106"/>
      <c r="F561" s="106"/>
      <c r="G561" s="106"/>
      <c r="H561" s="106"/>
      <c r="I561" s="106"/>
      <c r="J561" s="106"/>
      <c r="K561" s="106"/>
      <c r="L561" s="106"/>
      <c r="M561" s="106"/>
      <c r="N561" s="106"/>
      <c r="O561" s="106"/>
      <c r="P561" s="106"/>
    </row>
    <row r="562" spans="2:16">
      <c r="B562" s="106"/>
      <c r="C562" s="106"/>
      <c r="D562" s="106"/>
      <c r="E562" s="106"/>
      <c r="F562" s="106"/>
      <c r="G562" s="106"/>
      <c r="H562" s="106"/>
      <c r="I562" s="106"/>
      <c r="J562" s="106"/>
      <c r="K562" s="106"/>
      <c r="L562" s="106"/>
      <c r="M562" s="106"/>
      <c r="N562" s="106"/>
      <c r="O562" s="106"/>
      <c r="P562" s="106"/>
    </row>
    <row r="563" spans="2:16">
      <c r="B563" s="106"/>
      <c r="C563" s="106"/>
      <c r="D563" s="106"/>
      <c r="E563" s="106"/>
      <c r="F563" s="106"/>
      <c r="G563" s="106"/>
      <c r="H563" s="106"/>
      <c r="I563" s="106"/>
      <c r="J563" s="106"/>
      <c r="K563" s="106"/>
      <c r="L563" s="106"/>
      <c r="M563" s="106"/>
      <c r="N563" s="106"/>
      <c r="O563" s="106"/>
      <c r="P563" s="106"/>
    </row>
    <row r="564" spans="2:16">
      <c r="B564" s="106"/>
      <c r="C564" s="106"/>
      <c r="D564" s="106"/>
      <c r="E564" s="106"/>
      <c r="F564" s="106"/>
      <c r="G564" s="106"/>
      <c r="H564" s="106"/>
      <c r="I564" s="106"/>
      <c r="J564" s="106"/>
      <c r="K564" s="106"/>
      <c r="L564" s="106"/>
      <c r="M564" s="106"/>
      <c r="N564" s="106"/>
      <c r="O564" s="106"/>
      <c r="P564" s="106"/>
    </row>
    <row r="565" spans="2:16">
      <c r="B565" s="106"/>
      <c r="C565" s="106"/>
      <c r="D565" s="106"/>
      <c r="E565" s="106"/>
      <c r="F565" s="106"/>
      <c r="G565" s="106"/>
      <c r="H565" s="106"/>
      <c r="I565" s="106"/>
      <c r="J565" s="106"/>
      <c r="K565" s="106"/>
      <c r="L565" s="106"/>
      <c r="M565" s="106"/>
      <c r="N565" s="106"/>
      <c r="O565" s="106"/>
      <c r="P565" s="106"/>
    </row>
    <row r="566" spans="2:16">
      <c r="B566" s="106"/>
      <c r="C566" s="106"/>
      <c r="D566" s="106"/>
      <c r="E566" s="106"/>
      <c r="F566" s="106"/>
      <c r="G566" s="106"/>
      <c r="H566" s="106"/>
      <c r="I566" s="106"/>
      <c r="J566" s="106"/>
      <c r="K566" s="106"/>
      <c r="L566" s="106"/>
      <c r="M566" s="106"/>
      <c r="N566" s="106"/>
      <c r="O566" s="106"/>
      <c r="P566" s="106"/>
    </row>
    <row r="567" spans="2:16">
      <c r="B567" s="106"/>
      <c r="C567" s="106"/>
      <c r="D567" s="106"/>
      <c r="E567" s="106"/>
      <c r="F567" s="106"/>
      <c r="G567" s="106"/>
      <c r="H567" s="106"/>
      <c r="I567" s="106"/>
      <c r="J567" s="106"/>
      <c r="K567" s="106"/>
      <c r="L567" s="106"/>
      <c r="M567" s="106"/>
      <c r="N567" s="106"/>
      <c r="O567" s="106"/>
      <c r="P567" s="106"/>
    </row>
    <row r="568" spans="2:16">
      <c r="B568" s="106"/>
      <c r="C568" s="106"/>
      <c r="D568" s="106"/>
      <c r="E568" s="106"/>
      <c r="F568" s="106"/>
      <c r="G568" s="106"/>
      <c r="H568" s="106"/>
      <c r="I568" s="106"/>
      <c r="J568" s="106"/>
      <c r="K568" s="106"/>
      <c r="L568" s="106"/>
      <c r="M568" s="106"/>
      <c r="N568" s="106"/>
      <c r="O568" s="106"/>
      <c r="P568" s="106"/>
    </row>
    <row r="569" spans="2:16">
      <c r="B569" s="106"/>
      <c r="C569" s="106"/>
      <c r="D569" s="106"/>
      <c r="E569" s="106"/>
      <c r="F569" s="106"/>
      <c r="G569" s="106"/>
      <c r="H569" s="106"/>
      <c r="I569" s="106"/>
      <c r="J569" s="106"/>
      <c r="K569" s="106"/>
      <c r="L569" s="106"/>
      <c r="M569" s="106"/>
      <c r="N569" s="106"/>
      <c r="O569" s="106"/>
      <c r="P569" s="106"/>
    </row>
    <row r="570" spans="2:16">
      <c r="B570" s="106"/>
      <c r="C570" s="106"/>
      <c r="D570" s="106"/>
      <c r="E570" s="106"/>
      <c r="F570" s="106"/>
      <c r="G570" s="106"/>
      <c r="H570" s="106"/>
      <c r="I570" s="106"/>
      <c r="J570" s="106"/>
      <c r="K570" s="106"/>
      <c r="L570" s="106"/>
      <c r="M570" s="106"/>
      <c r="N570" s="106"/>
      <c r="O570" s="106"/>
      <c r="P570" s="106"/>
    </row>
    <row r="571" spans="2:16">
      <c r="B571" s="106"/>
      <c r="C571" s="106"/>
      <c r="D571" s="106"/>
      <c r="E571" s="106"/>
      <c r="F571" s="106"/>
      <c r="G571" s="106"/>
      <c r="H571" s="106"/>
      <c r="I571" s="106"/>
      <c r="J571" s="106"/>
      <c r="K571" s="106"/>
      <c r="L571" s="106"/>
      <c r="M571" s="106"/>
      <c r="N571" s="106"/>
      <c r="O571" s="106"/>
      <c r="P571" s="106"/>
    </row>
    <row r="572" spans="2:16">
      <c r="B572" s="106"/>
      <c r="C572" s="106"/>
      <c r="D572" s="106"/>
      <c r="E572" s="106"/>
      <c r="F572" s="106"/>
      <c r="G572" s="106"/>
      <c r="H572" s="106"/>
      <c r="I572" s="106"/>
      <c r="J572" s="106"/>
      <c r="K572" s="106"/>
      <c r="L572" s="106"/>
      <c r="M572" s="106"/>
      <c r="N572" s="106"/>
      <c r="O572" s="106"/>
      <c r="P572" s="106"/>
    </row>
    <row r="573" spans="2:16">
      <c r="B573" s="106"/>
      <c r="C573" s="106"/>
      <c r="D573" s="106"/>
      <c r="E573" s="106"/>
      <c r="F573" s="106"/>
      <c r="G573" s="106"/>
      <c r="H573" s="106"/>
      <c r="I573" s="106"/>
      <c r="J573" s="106"/>
      <c r="K573" s="106"/>
      <c r="L573" s="106"/>
      <c r="M573" s="106"/>
      <c r="N573" s="106"/>
      <c r="O573" s="106"/>
      <c r="P573" s="106"/>
    </row>
    <row r="574" spans="2:16">
      <c r="B574" s="106"/>
      <c r="C574" s="106"/>
      <c r="D574" s="106"/>
      <c r="E574" s="106"/>
      <c r="F574" s="106"/>
      <c r="G574" s="106"/>
      <c r="H574" s="106"/>
      <c r="I574" s="106"/>
      <c r="J574" s="106"/>
      <c r="K574" s="106"/>
      <c r="L574" s="106"/>
      <c r="M574" s="106"/>
      <c r="N574" s="106"/>
      <c r="O574" s="106"/>
      <c r="P574" s="106"/>
    </row>
    <row r="575" spans="2:16">
      <c r="B575" s="106"/>
      <c r="C575" s="106"/>
      <c r="D575" s="106"/>
      <c r="E575" s="106"/>
      <c r="F575" s="106"/>
      <c r="G575" s="106"/>
      <c r="H575" s="106"/>
      <c r="I575" s="106"/>
      <c r="J575" s="106"/>
      <c r="K575" s="106"/>
      <c r="L575" s="106"/>
      <c r="M575" s="106"/>
      <c r="N575" s="106"/>
      <c r="O575" s="106"/>
      <c r="P575" s="106"/>
    </row>
    <row r="576" spans="2:16">
      <c r="B576" s="106"/>
      <c r="C576" s="106"/>
      <c r="D576" s="106"/>
      <c r="E576" s="106"/>
      <c r="F576" s="106"/>
      <c r="G576" s="106"/>
      <c r="H576" s="106"/>
      <c r="I576" s="106"/>
      <c r="J576" s="106"/>
      <c r="K576" s="106"/>
      <c r="L576" s="106"/>
      <c r="M576" s="106"/>
      <c r="N576" s="106"/>
      <c r="O576" s="106"/>
      <c r="P576" s="106"/>
    </row>
    <row r="577" spans="2:16">
      <c r="B577" s="106"/>
      <c r="C577" s="106"/>
      <c r="D577" s="106"/>
      <c r="E577" s="106"/>
      <c r="F577" s="106"/>
      <c r="G577" s="106"/>
      <c r="H577" s="106"/>
      <c r="I577" s="106"/>
      <c r="J577" s="106"/>
      <c r="K577" s="106"/>
      <c r="L577" s="106"/>
      <c r="M577" s="106"/>
      <c r="N577" s="106"/>
      <c r="O577" s="106"/>
      <c r="P577" s="106"/>
    </row>
    <row r="578" spans="2:16">
      <c r="B578" s="106"/>
      <c r="C578" s="106"/>
      <c r="D578" s="106"/>
      <c r="E578" s="106"/>
      <c r="F578" s="106"/>
      <c r="G578" s="106"/>
      <c r="H578" s="106"/>
      <c r="I578" s="106"/>
      <c r="J578" s="106"/>
      <c r="K578" s="106"/>
      <c r="L578" s="106"/>
      <c r="M578" s="106"/>
      <c r="N578" s="106"/>
      <c r="O578" s="106"/>
      <c r="P578" s="106"/>
    </row>
    <row r="579" spans="2:16">
      <c r="B579" s="106"/>
      <c r="C579" s="106"/>
      <c r="D579" s="106"/>
      <c r="E579" s="106"/>
      <c r="F579" s="106"/>
      <c r="G579" s="106"/>
      <c r="H579" s="106"/>
      <c r="I579" s="106"/>
      <c r="J579" s="106"/>
      <c r="K579" s="106"/>
      <c r="L579" s="106"/>
      <c r="M579" s="106"/>
      <c r="N579" s="106"/>
      <c r="O579" s="106"/>
      <c r="P579" s="106"/>
    </row>
    <row r="580" spans="2:16">
      <c r="B580" s="106"/>
      <c r="C580" s="106"/>
      <c r="D580" s="106"/>
      <c r="E580" s="106"/>
      <c r="F580" s="106"/>
      <c r="G580" s="106"/>
      <c r="H580" s="106"/>
      <c r="I580" s="106"/>
      <c r="J580" s="106"/>
      <c r="K580" s="106"/>
      <c r="L580" s="106"/>
      <c r="M580" s="106"/>
      <c r="N580" s="106"/>
      <c r="O580" s="106"/>
      <c r="P580" s="106"/>
    </row>
    <row r="581" spans="2:16">
      <c r="B581" s="106"/>
      <c r="C581" s="106"/>
      <c r="D581" s="106"/>
      <c r="E581" s="106"/>
      <c r="F581" s="106"/>
      <c r="G581" s="106"/>
      <c r="H581" s="106"/>
      <c r="I581" s="106"/>
      <c r="J581" s="106"/>
      <c r="K581" s="106"/>
      <c r="L581" s="106"/>
      <c r="M581" s="106"/>
      <c r="N581" s="106"/>
      <c r="O581" s="106"/>
      <c r="P581" s="106"/>
    </row>
    <row r="582" spans="2:16">
      <c r="B582" s="106"/>
      <c r="C582" s="106"/>
      <c r="D582" s="106"/>
      <c r="E582" s="106"/>
      <c r="F582" s="106"/>
      <c r="G582" s="106"/>
      <c r="H582" s="106"/>
      <c r="I582" s="106"/>
      <c r="J582" s="106"/>
      <c r="K582" s="106"/>
      <c r="L582" s="106"/>
      <c r="M582" s="106"/>
      <c r="N582" s="106"/>
      <c r="O582" s="106"/>
      <c r="P582" s="106"/>
    </row>
    <row r="583" spans="2:16">
      <c r="B583" s="106"/>
      <c r="C583" s="106"/>
      <c r="D583" s="106"/>
      <c r="E583" s="106"/>
      <c r="F583" s="106"/>
      <c r="G583" s="106"/>
      <c r="H583" s="106"/>
      <c r="I583" s="106"/>
      <c r="J583" s="106"/>
      <c r="K583" s="106"/>
      <c r="L583" s="106"/>
      <c r="M583" s="106"/>
      <c r="N583" s="106"/>
      <c r="O583" s="106"/>
      <c r="P583" s="106"/>
    </row>
    <row r="584" spans="2:16">
      <c r="B584" s="106"/>
      <c r="C584" s="106"/>
      <c r="D584" s="106"/>
      <c r="E584" s="106"/>
      <c r="F584" s="106"/>
      <c r="G584" s="106"/>
      <c r="H584" s="106"/>
      <c r="I584" s="106"/>
      <c r="J584" s="106"/>
      <c r="K584" s="106"/>
      <c r="L584" s="106"/>
      <c r="M584" s="106"/>
      <c r="N584" s="106"/>
      <c r="O584" s="106"/>
      <c r="P584" s="106"/>
    </row>
    <row r="585" spans="2:16">
      <c r="B585" s="106"/>
      <c r="C585" s="106"/>
      <c r="D585" s="106"/>
      <c r="E585" s="106"/>
      <c r="F585" s="106"/>
      <c r="G585" s="106"/>
      <c r="H585" s="106"/>
      <c r="I585" s="106"/>
      <c r="J585" s="106"/>
      <c r="K585" s="106"/>
      <c r="L585" s="106"/>
      <c r="M585" s="106"/>
      <c r="N585" s="106"/>
      <c r="O585" s="106"/>
      <c r="P585" s="106"/>
    </row>
    <row r="586" spans="2:16">
      <c r="B586" s="106"/>
      <c r="C586" s="106"/>
      <c r="D586" s="106"/>
      <c r="E586" s="106"/>
      <c r="F586" s="106"/>
      <c r="G586" s="106"/>
      <c r="H586" s="106"/>
      <c r="I586" s="106"/>
      <c r="J586" s="106"/>
      <c r="K586" s="106"/>
      <c r="L586" s="106"/>
      <c r="M586" s="106"/>
      <c r="N586" s="106"/>
      <c r="O586" s="106"/>
      <c r="P586" s="106"/>
    </row>
    <row r="587" spans="2:16">
      <c r="B587" s="106"/>
      <c r="C587" s="106"/>
      <c r="D587" s="106"/>
      <c r="E587" s="106"/>
      <c r="F587" s="106"/>
      <c r="G587" s="106"/>
      <c r="H587" s="106"/>
      <c r="I587" s="106"/>
      <c r="J587" s="106"/>
      <c r="K587" s="106"/>
      <c r="L587" s="106"/>
      <c r="M587" s="106"/>
      <c r="N587" s="106"/>
      <c r="O587" s="106"/>
      <c r="P587" s="106"/>
    </row>
    <row r="588" spans="2:16">
      <c r="B588" s="106"/>
      <c r="C588" s="106"/>
      <c r="D588" s="106"/>
      <c r="E588" s="106"/>
      <c r="F588" s="106"/>
      <c r="G588" s="106"/>
      <c r="H588" s="106"/>
      <c r="I588" s="106"/>
      <c r="J588" s="106"/>
      <c r="K588" s="106"/>
      <c r="L588" s="106"/>
      <c r="M588" s="106"/>
      <c r="N588" s="106"/>
      <c r="O588" s="106"/>
      <c r="P588" s="106"/>
    </row>
    <row r="589" spans="2:16">
      <c r="B589" s="106"/>
      <c r="C589" s="106"/>
      <c r="D589" s="106"/>
      <c r="E589" s="106"/>
      <c r="F589" s="106"/>
      <c r="G589" s="106"/>
      <c r="H589" s="106"/>
      <c r="I589" s="106"/>
      <c r="J589" s="106"/>
      <c r="K589" s="106"/>
      <c r="L589" s="106"/>
      <c r="M589" s="106"/>
      <c r="N589" s="106"/>
      <c r="O589" s="106"/>
      <c r="P589" s="106"/>
    </row>
    <row r="590" spans="2:16">
      <c r="B590" s="106"/>
      <c r="C590" s="106"/>
      <c r="D590" s="106"/>
      <c r="E590" s="106"/>
      <c r="F590" s="106"/>
      <c r="G590" s="106"/>
      <c r="H590" s="106"/>
      <c r="I590" s="106"/>
      <c r="J590" s="106"/>
      <c r="K590" s="106"/>
      <c r="L590" s="106"/>
      <c r="M590" s="106"/>
      <c r="N590" s="106"/>
      <c r="O590" s="106"/>
      <c r="P590" s="106"/>
    </row>
    <row r="591" spans="2:16">
      <c r="B591" s="106"/>
      <c r="C591" s="106"/>
      <c r="D591" s="106"/>
      <c r="E591" s="106"/>
      <c r="F591" s="106"/>
      <c r="G591" s="106"/>
      <c r="H591" s="106"/>
      <c r="I591" s="106"/>
      <c r="J591" s="106"/>
      <c r="K591" s="106"/>
      <c r="L591" s="106"/>
      <c r="M591" s="106"/>
      <c r="N591" s="106"/>
      <c r="O591" s="106"/>
      <c r="P591" s="106"/>
    </row>
    <row r="592" spans="2:16">
      <c r="B592" s="106"/>
      <c r="C592" s="106"/>
      <c r="D592" s="106"/>
      <c r="E592" s="106"/>
      <c r="F592" s="106"/>
      <c r="G592" s="106"/>
      <c r="H592" s="106"/>
      <c r="I592" s="106"/>
      <c r="J592" s="106"/>
      <c r="K592" s="106"/>
      <c r="L592" s="106"/>
      <c r="M592" s="106"/>
      <c r="N592" s="106"/>
      <c r="O592" s="106"/>
      <c r="P592" s="106"/>
    </row>
    <row r="593" spans="2:16">
      <c r="B593" s="106"/>
      <c r="C593" s="106"/>
      <c r="D593" s="106"/>
      <c r="E593" s="106"/>
      <c r="F593" s="106"/>
      <c r="G593" s="106"/>
      <c r="H593" s="106"/>
      <c r="I593" s="106"/>
      <c r="J593" s="106"/>
      <c r="K593" s="106"/>
      <c r="L593" s="106"/>
      <c r="M593" s="106"/>
      <c r="N593" s="106"/>
      <c r="O593" s="106"/>
      <c r="P593" s="106"/>
    </row>
    <row r="594" spans="2:16">
      <c r="B594" s="106"/>
      <c r="C594" s="106"/>
      <c r="D594" s="106"/>
      <c r="E594" s="106"/>
      <c r="F594" s="106"/>
      <c r="G594" s="106"/>
      <c r="H594" s="106"/>
      <c r="I594" s="106"/>
      <c r="J594" s="106"/>
      <c r="K594" s="106"/>
      <c r="L594" s="106"/>
      <c r="M594" s="106"/>
      <c r="N594" s="106"/>
      <c r="O594" s="106"/>
      <c r="P594" s="106"/>
    </row>
    <row r="595" spans="2:16">
      <c r="B595" s="106"/>
      <c r="C595" s="106"/>
      <c r="D595" s="106"/>
      <c r="E595" s="106"/>
      <c r="F595" s="106"/>
      <c r="G595" s="106"/>
      <c r="H595" s="106"/>
      <c r="I595" s="106"/>
      <c r="J595" s="106"/>
      <c r="K595" s="106"/>
      <c r="L595" s="106"/>
      <c r="M595" s="106"/>
      <c r="N595" s="106"/>
      <c r="O595" s="106"/>
      <c r="P595" s="106"/>
    </row>
    <row r="596" spans="2:16">
      <c r="B596" s="106"/>
      <c r="C596" s="106"/>
      <c r="D596" s="106"/>
      <c r="E596" s="106"/>
      <c r="F596" s="106"/>
      <c r="G596" s="106"/>
      <c r="H596" s="106"/>
      <c r="I596" s="106"/>
      <c r="J596" s="106"/>
      <c r="K596" s="106"/>
      <c r="L596" s="106"/>
      <c r="M596" s="106"/>
      <c r="N596" s="106"/>
      <c r="O596" s="106"/>
      <c r="P596" s="106"/>
    </row>
    <row r="597" spans="2:16">
      <c r="B597" s="106"/>
      <c r="C597" s="106"/>
      <c r="D597" s="106"/>
      <c r="E597" s="106"/>
      <c r="F597" s="106"/>
      <c r="G597" s="106"/>
      <c r="H597" s="106"/>
      <c r="I597" s="106"/>
      <c r="J597" s="106"/>
      <c r="K597" s="106"/>
      <c r="L597" s="106"/>
      <c r="M597" s="106"/>
      <c r="N597" s="106"/>
      <c r="O597" s="106"/>
      <c r="P597" s="106"/>
    </row>
    <row r="598" spans="2:16">
      <c r="B598" s="106"/>
      <c r="C598" s="106"/>
      <c r="D598" s="106"/>
      <c r="E598" s="106"/>
      <c r="F598" s="106"/>
      <c r="G598" s="106"/>
      <c r="H598" s="106"/>
      <c r="I598" s="106"/>
      <c r="J598" s="106"/>
      <c r="K598" s="106"/>
      <c r="L598" s="106"/>
      <c r="M598" s="106"/>
      <c r="N598" s="106"/>
      <c r="O598" s="106"/>
      <c r="P598" s="106"/>
    </row>
    <row r="599" spans="2:16">
      <c r="B599" s="106"/>
      <c r="C599" s="106"/>
      <c r="D599" s="106"/>
      <c r="E599" s="106"/>
      <c r="F599" s="106"/>
      <c r="G599" s="106"/>
      <c r="H599" s="106"/>
      <c r="I599" s="106"/>
      <c r="J599" s="106"/>
      <c r="K599" s="106"/>
      <c r="L599" s="106"/>
      <c r="M599" s="106"/>
      <c r="N599" s="106"/>
      <c r="O599" s="106"/>
      <c r="P599" s="106"/>
    </row>
    <row r="600" spans="2:16">
      <c r="B600" s="106"/>
      <c r="C600" s="106"/>
      <c r="D600" s="106"/>
      <c r="E600" s="106"/>
      <c r="F600" s="106"/>
      <c r="G600" s="106"/>
      <c r="H600" s="106"/>
      <c r="I600" s="106"/>
      <c r="J600" s="106"/>
      <c r="K600" s="106"/>
      <c r="L600" s="106"/>
      <c r="M600" s="106"/>
      <c r="N600" s="106"/>
      <c r="O600" s="106"/>
      <c r="P600" s="106"/>
    </row>
    <row r="601" spans="2:16">
      <c r="B601" s="106"/>
      <c r="C601" s="106"/>
      <c r="D601" s="106"/>
      <c r="E601" s="106"/>
      <c r="F601" s="106"/>
      <c r="G601" s="106"/>
      <c r="H601" s="106"/>
      <c r="I601" s="106"/>
      <c r="J601" s="106"/>
      <c r="K601" s="106"/>
      <c r="L601" s="106"/>
      <c r="M601" s="106"/>
      <c r="N601" s="106"/>
      <c r="O601" s="106"/>
      <c r="P601" s="106"/>
    </row>
    <row r="602" spans="2:16">
      <c r="B602" s="106"/>
      <c r="C602" s="106"/>
      <c r="D602" s="106"/>
      <c r="E602" s="106"/>
      <c r="F602" s="106"/>
      <c r="G602" s="106"/>
      <c r="H602" s="106"/>
      <c r="I602" s="106"/>
      <c r="J602" s="106"/>
      <c r="K602" s="106"/>
      <c r="L602" s="106"/>
      <c r="M602" s="106"/>
      <c r="N602" s="106"/>
      <c r="O602" s="106"/>
      <c r="P602" s="106"/>
    </row>
    <row r="603" spans="2:16">
      <c r="B603" s="106"/>
      <c r="C603" s="106"/>
      <c r="D603" s="106"/>
      <c r="E603" s="106"/>
      <c r="F603" s="106"/>
      <c r="G603" s="106"/>
      <c r="H603" s="106"/>
      <c r="I603" s="106"/>
      <c r="J603" s="106"/>
      <c r="K603" s="106"/>
      <c r="L603" s="106"/>
      <c r="M603" s="106"/>
      <c r="N603" s="106"/>
      <c r="O603" s="106"/>
      <c r="P603" s="106"/>
    </row>
    <row r="604" spans="2:16">
      <c r="B604" s="106"/>
      <c r="C604" s="106"/>
      <c r="D604" s="106"/>
      <c r="E604" s="106"/>
      <c r="F604" s="106"/>
      <c r="G604" s="106"/>
      <c r="H604" s="106"/>
      <c r="I604" s="106"/>
      <c r="J604" s="106"/>
      <c r="K604" s="106"/>
      <c r="L604" s="106"/>
      <c r="M604" s="106"/>
      <c r="N604" s="106"/>
      <c r="O604" s="106"/>
      <c r="P604" s="106"/>
    </row>
    <row r="605" spans="2:16">
      <c r="B605" s="106"/>
      <c r="C605" s="106"/>
      <c r="D605" s="106"/>
      <c r="E605" s="106"/>
      <c r="F605" s="106"/>
      <c r="G605" s="106"/>
      <c r="H605" s="106"/>
      <c r="I605" s="106"/>
      <c r="J605" s="106"/>
      <c r="K605" s="106"/>
      <c r="L605" s="106"/>
      <c r="M605" s="106"/>
      <c r="N605" s="106"/>
      <c r="O605" s="106"/>
      <c r="P605" s="106"/>
    </row>
    <row r="606" spans="2:16">
      <c r="B606" s="106"/>
      <c r="C606" s="106"/>
      <c r="D606" s="106"/>
      <c r="E606" s="106"/>
      <c r="F606" s="106"/>
      <c r="G606" s="106"/>
      <c r="H606" s="106"/>
      <c r="I606" s="106"/>
      <c r="J606" s="106"/>
      <c r="K606" s="106"/>
      <c r="L606" s="106"/>
      <c r="M606" s="106"/>
      <c r="N606" s="106"/>
      <c r="O606" s="106"/>
      <c r="P606" s="106"/>
    </row>
    <row r="607" spans="2:16">
      <c r="B607" s="106"/>
      <c r="C607" s="106"/>
      <c r="D607" s="106"/>
      <c r="E607" s="106"/>
      <c r="F607" s="106"/>
      <c r="G607" s="106"/>
      <c r="H607" s="106"/>
      <c r="I607" s="106"/>
      <c r="J607" s="106"/>
      <c r="K607" s="106"/>
      <c r="L607" s="106"/>
      <c r="M607" s="106"/>
      <c r="N607" s="106"/>
      <c r="O607" s="106"/>
      <c r="P607" s="106"/>
    </row>
    <row r="608" spans="2:16">
      <c r="B608" s="106"/>
      <c r="C608" s="106"/>
      <c r="D608" s="106"/>
      <c r="E608" s="106"/>
      <c r="F608" s="106"/>
      <c r="G608" s="106"/>
      <c r="H608" s="106"/>
      <c r="I608" s="106"/>
      <c r="J608" s="106"/>
      <c r="K608" s="106"/>
      <c r="L608" s="106"/>
      <c r="M608" s="106"/>
      <c r="N608" s="106"/>
      <c r="O608" s="106"/>
      <c r="P608" s="106"/>
    </row>
    <row r="609" spans="2:16">
      <c r="B609" s="106"/>
      <c r="C609" s="106"/>
      <c r="D609" s="106"/>
      <c r="E609" s="106"/>
      <c r="F609" s="106"/>
      <c r="G609" s="106"/>
      <c r="H609" s="106"/>
      <c r="I609" s="106"/>
      <c r="J609" s="106"/>
      <c r="K609" s="106"/>
      <c r="L609" s="106"/>
      <c r="M609" s="106"/>
      <c r="N609" s="106"/>
      <c r="O609" s="106"/>
      <c r="P609" s="106"/>
    </row>
    <row r="610" spans="2:16">
      <c r="B610" s="106"/>
      <c r="C610" s="106"/>
      <c r="D610" s="106"/>
      <c r="E610" s="106"/>
      <c r="F610" s="106"/>
      <c r="G610" s="106"/>
      <c r="H610" s="106"/>
      <c r="I610" s="106"/>
      <c r="J610" s="106"/>
      <c r="K610" s="106"/>
      <c r="L610" s="106"/>
      <c r="M610" s="106"/>
      <c r="N610" s="106"/>
      <c r="O610" s="106"/>
      <c r="P610" s="106"/>
    </row>
    <row r="611" spans="2:16">
      <c r="B611" s="106"/>
      <c r="C611" s="106"/>
      <c r="D611" s="106"/>
      <c r="E611" s="106"/>
      <c r="F611" s="106"/>
      <c r="G611" s="106"/>
      <c r="H611" s="106"/>
      <c r="I611" s="106"/>
      <c r="J611" s="106"/>
      <c r="K611" s="106"/>
      <c r="L611" s="106"/>
      <c r="M611" s="106"/>
      <c r="N611" s="106"/>
      <c r="O611" s="106"/>
      <c r="P611" s="106"/>
    </row>
    <row r="612" spans="2:16">
      <c r="B612" s="106"/>
      <c r="C612" s="106"/>
      <c r="D612" s="106"/>
      <c r="E612" s="106"/>
      <c r="F612" s="106"/>
      <c r="G612" s="106"/>
      <c r="H612" s="106"/>
      <c r="I612" s="106"/>
      <c r="J612" s="106"/>
      <c r="K612" s="106"/>
      <c r="L612" s="106"/>
      <c r="M612" s="106"/>
      <c r="N612" s="106"/>
      <c r="O612" s="106"/>
      <c r="P612" s="106"/>
    </row>
    <row r="613" spans="2:16">
      <c r="B613" s="106"/>
      <c r="C613" s="106"/>
      <c r="D613" s="106"/>
      <c r="E613" s="106"/>
      <c r="F613" s="106"/>
      <c r="G613" s="106"/>
      <c r="H613" s="106"/>
      <c r="I613" s="106"/>
      <c r="J613" s="106"/>
      <c r="K613" s="106"/>
      <c r="L613" s="106"/>
      <c r="M613" s="106"/>
      <c r="N613" s="106"/>
      <c r="O613" s="106"/>
      <c r="P613" s="106"/>
    </row>
    <row r="614" spans="2:16">
      <c r="B614" s="106"/>
      <c r="C614" s="106"/>
      <c r="D614" s="106"/>
      <c r="E614" s="106"/>
      <c r="F614" s="106"/>
      <c r="G614" s="106"/>
      <c r="H614" s="106"/>
      <c r="I614" s="106"/>
      <c r="J614" s="106"/>
      <c r="K614" s="106"/>
      <c r="L614" s="106"/>
      <c r="M614" s="106"/>
      <c r="N614" s="106"/>
      <c r="O614" s="106"/>
      <c r="P614" s="106"/>
    </row>
    <row r="615" spans="2:16">
      <c r="B615" s="106"/>
      <c r="C615" s="106"/>
      <c r="D615" s="106"/>
      <c r="E615" s="106"/>
      <c r="F615" s="106"/>
      <c r="G615" s="106"/>
      <c r="H615" s="106"/>
      <c r="I615" s="106"/>
      <c r="J615" s="106"/>
      <c r="K615" s="106"/>
      <c r="L615" s="106"/>
      <c r="M615" s="106"/>
      <c r="N615" s="106"/>
      <c r="O615" s="106"/>
      <c r="P615" s="106"/>
    </row>
    <row r="616" spans="2:16">
      <c r="B616" s="106"/>
      <c r="C616" s="106"/>
      <c r="D616" s="106"/>
      <c r="E616" s="106"/>
      <c r="F616" s="106"/>
      <c r="G616" s="106"/>
      <c r="H616" s="106"/>
      <c r="I616" s="106"/>
      <c r="J616" s="106"/>
      <c r="K616" s="106"/>
      <c r="L616" s="106"/>
      <c r="M616" s="106"/>
      <c r="N616" s="106"/>
      <c r="O616" s="106"/>
      <c r="P616" s="106"/>
    </row>
    <row r="617" spans="2:16">
      <c r="B617" s="106"/>
      <c r="C617" s="106"/>
      <c r="D617" s="106"/>
      <c r="E617" s="106"/>
      <c r="F617" s="106"/>
      <c r="G617" s="106"/>
      <c r="H617" s="106"/>
      <c r="I617" s="106"/>
      <c r="J617" s="106"/>
      <c r="K617" s="106"/>
      <c r="L617" s="106"/>
      <c r="M617" s="106"/>
      <c r="N617" s="106"/>
      <c r="O617" s="106"/>
      <c r="P617" s="106"/>
    </row>
    <row r="618" spans="2:16">
      <c r="B618" s="106"/>
      <c r="C618" s="106"/>
      <c r="D618" s="106"/>
      <c r="E618" s="106"/>
      <c r="F618" s="106"/>
      <c r="G618" s="106"/>
      <c r="H618" s="106"/>
      <c r="I618" s="106"/>
      <c r="J618" s="106"/>
      <c r="K618" s="106"/>
      <c r="L618" s="106"/>
      <c r="M618" s="106"/>
      <c r="N618" s="106"/>
      <c r="O618" s="106"/>
      <c r="P618" s="106"/>
    </row>
    <row r="619" spans="2:16">
      <c r="B619" s="106"/>
      <c r="C619" s="106"/>
      <c r="D619" s="106"/>
      <c r="E619" s="106"/>
      <c r="F619" s="106"/>
      <c r="G619" s="106"/>
      <c r="H619" s="106"/>
      <c r="I619" s="106"/>
      <c r="J619" s="106"/>
      <c r="K619" s="106"/>
      <c r="L619" s="106"/>
      <c r="M619" s="106"/>
      <c r="N619" s="106"/>
      <c r="O619" s="106"/>
      <c r="P619" s="106"/>
    </row>
    <row r="620" spans="2:16">
      <c r="B620" s="106"/>
      <c r="C620" s="106"/>
      <c r="D620" s="106"/>
      <c r="E620" s="106"/>
      <c r="F620" s="106"/>
      <c r="G620" s="106"/>
      <c r="H620" s="106"/>
      <c r="I620" s="106"/>
      <c r="J620" s="106"/>
      <c r="K620" s="106"/>
      <c r="L620" s="106"/>
      <c r="M620" s="106"/>
      <c r="N620" s="106"/>
      <c r="O620" s="106"/>
      <c r="P620" s="106"/>
    </row>
    <row r="621" spans="2:16">
      <c r="B621" s="106"/>
      <c r="C621" s="106"/>
      <c r="D621" s="106"/>
      <c r="E621" s="106"/>
      <c r="F621" s="106"/>
      <c r="G621" s="106"/>
      <c r="H621" s="106"/>
      <c r="I621" s="106"/>
      <c r="J621" s="106"/>
      <c r="K621" s="106"/>
      <c r="L621" s="106"/>
      <c r="M621" s="106"/>
      <c r="N621" s="106"/>
      <c r="O621" s="106"/>
      <c r="P621" s="106"/>
    </row>
    <row r="622" spans="2:16">
      <c r="B622" s="106"/>
      <c r="C622" s="106"/>
      <c r="D622" s="106"/>
      <c r="E622" s="106"/>
      <c r="F622" s="106"/>
      <c r="G622" s="106"/>
      <c r="H622" s="106"/>
      <c r="I622" s="106"/>
      <c r="J622" s="106"/>
      <c r="K622" s="106"/>
      <c r="L622" s="106"/>
      <c r="M622" s="106"/>
      <c r="N622" s="106"/>
      <c r="O622" s="106"/>
      <c r="P622" s="106"/>
    </row>
    <row r="623" spans="2:16">
      <c r="B623" s="106"/>
      <c r="C623" s="106"/>
      <c r="D623" s="106"/>
      <c r="E623" s="106"/>
      <c r="F623" s="106"/>
      <c r="G623" s="106"/>
      <c r="H623" s="106"/>
      <c r="I623" s="106"/>
      <c r="J623" s="106"/>
      <c r="K623" s="106"/>
      <c r="L623" s="106"/>
      <c r="M623" s="106"/>
      <c r="N623" s="106"/>
      <c r="O623" s="106"/>
      <c r="P623" s="106"/>
    </row>
    <row r="624" spans="2:16">
      <c r="B624" s="106"/>
      <c r="C624" s="106"/>
      <c r="D624" s="106"/>
      <c r="E624" s="106"/>
      <c r="F624" s="106"/>
      <c r="G624" s="106"/>
      <c r="H624" s="106"/>
      <c r="I624" s="106"/>
      <c r="J624" s="106"/>
      <c r="K624" s="106"/>
      <c r="L624" s="106"/>
      <c r="M624" s="106"/>
      <c r="N624" s="106"/>
      <c r="O624" s="106"/>
      <c r="P624" s="106"/>
    </row>
    <row r="625" spans="2:16">
      <c r="B625" s="106"/>
      <c r="C625" s="106"/>
      <c r="D625" s="106"/>
      <c r="E625" s="106"/>
      <c r="F625" s="106"/>
      <c r="G625" s="106"/>
      <c r="H625" s="106"/>
      <c r="I625" s="106"/>
      <c r="J625" s="106"/>
      <c r="K625" s="106"/>
      <c r="L625" s="106"/>
      <c r="M625" s="106"/>
      <c r="N625" s="106"/>
      <c r="O625" s="106"/>
      <c r="P625" s="106"/>
    </row>
    <row r="626" spans="2:16">
      <c r="B626" s="106"/>
      <c r="C626" s="106"/>
      <c r="D626" s="106"/>
      <c r="E626" s="106"/>
      <c r="F626" s="106"/>
      <c r="G626" s="106"/>
      <c r="H626" s="106"/>
      <c r="I626" s="106"/>
      <c r="J626" s="106"/>
      <c r="K626" s="106"/>
      <c r="L626" s="106"/>
      <c r="M626" s="106"/>
      <c r="N626" s="106"/>
      <c r="O626" s="106"/>
      <c r="P626" s="106"/>
    </row>
    <row r="627" spans="2:16">
      <c r="B627" s="106"/>
      <c r="C627" s="106"/>
      <c r="D627" s="106"/>
      <c r="E627" s="106"/>
      <c r="F627" s="106"/>
      <c r="G627" s="106"/>
      <c r="H627" s="106"/>
      <c r="I627" s="106"/>
      <c r="J627" s="106"/>
      <c r="K627" s="106"/>
      <c r="L627" s="106"/>
      <c r="M627" s="106"/>
      <c r="N627" s="106"/>
      <c r="O627" s="106"/>
      <c r="P627" s="106"/>
    </row>
    <row r="628" spans="2:16">
      <c r="B628" s="106"/>
      <c r="C628" s="106"/>
      <c r="D628" s="106"/>
      <c r="E628" s="106"/>
      <c r="F628" s="106"/>
      <c r="G628" s="106"/>
      <c r="H628" s="106"/>
      <c r="I628" s="106"/>
      <c r="J628" s="106"/>
      <c r="K628" s="106"/>
      <c r="L628" s="106"/>
      <c r="M628" s="106"/>
      <c r="N628" s="106"/>
      <c r="O628" s="106"/>
      <c r="P628" s="106"/>
    </row>
    <row r="629" spans="2:16">
      <c r="B629" s="106"/>
      <c r="C629" s="106"/>
      <c r="D629" s="106"/>
      <c r="E629" s="106"/>
      <c r="F629" s="106"/>
      <c r="G629" s="106"/>
      <c r="H629" s="106"/>
      <c r="I629" s="106"/>
      <c r="J629" s="106"/>
      <c r="K629" s="106"/>
      <c r="L629" s="106"/>
      <c r="M629" s="106"/>
      <c r="N629" s="106"/>
      <c r="O629" s="106"/>
      <c r="P629" s="106"/>
    </row>
    <row r="630" spans="2:16">
      <c r="B630" s="106"/>
      <c r="C630" s="106"/>
      <c r="D630" s="106"/>
      <c r="E630" s="106"/>
      <c r="F630" s="106"/>
      <c r="G630" s="106"/>
      <c r="H630" s="106"/>
      <c r="I630" s="106"/>
      <c r="J630" s="106"/>
      <c r="K630" s="106"/>
      <c r="L630" s="106"/>
      <c r="M630" s="106"/>
      <c r="N630" s="106"/>
      <c r="O630" s="106"/>
      <c r="P630" s="106"/>
    </row>
    <row r="631" spans="2:16">
      <c r="B631" s="106"/>
      <c r="C631" s="106"/>
      <c r="D631" s="106"/>
      <c r="E631" s="106"/>
      <c r="F631" s="106"/>
      <c r="G631" s="106"/>
      <c r="H631" s="106"/>
      <c r="I631" s="106"/>
      <c r="J631" s="106"/>
      <c r="K631" s="106"/>
      <c r="L631" s="106"/>
      <c r="M631" s="106"/>
      <c r="N631" s="106"/>
      <c r="O631" s="106"/>
      <c r="P631" s="106"/>
    </row>
    <row r="632" spans="2:16">
      <c r="B632" s="106"/>
      <c r="C632" s="106"/>
      <c r="D632" s="106"/>
      <c r="E632" s="106"/>
      <c r="F632" s="106"/>
      <c r="G632" s="106"/>
      <c r="H632" s="106"/>
      <c r="I632" s="106"/>
      <c r="J632" s="106"/>
      <c r="K632" s="106"/>
      <c r="L632" s="106"/>
      <c r="M632" s="106"/>
      <c r="N632" s="106"/>
      <c r="O632" s="106"/>
      <c r="P632" s="106"/>
    </row>
    <row r="633" spans="2:16">
      <c r="B633" s="106"/>
      <c r="C633" s="106"/>
      <c r="D633" s="106"/>
      <c r="E633" s="106"/>
      <c r="F633" s="106"/>
      <c r="G633" s="106"/>
      <c r="H633" s="106"/>
      <c r="I633" s="106"/>
      <c r="J633" s="106"/>
      <c r="K633" s="106"/>
      <c r="L633" s="106"/>
      <c r="M633" s="106"/>
      <c r="N633" s="106"/>
      <c r="O633" s="106"/>
      <c r="P633" s="106"/>
    </row>
    <row r="634" spans="2:16">
      <c r="B634" s="106"/>
      <c r="C634" s="106"/>
      <c r="D634" s="106"/>
      <c r="E634" s="106"/>
      <c r="F634" s="106"/>
      <c r="G634" s="106"/>
      <c r="H634" s="106"/>
      <c r="I634" s="106"/>
      <c r="J634" s="106"/>
      <c r="K634" s="106"/>
      <c r="L634" s="106"/>
      <c r="M634" s="106"/>
      <c r="N634" s="106"/>
      <c r="O634" s="106"/>
      <c r="P634" s="106"/>
    </row>
    <row r="635" spans="2:16">
      <c r="B635" s="106"/>
      <c r="C635" s="106"/>
      <c r="D635" s="106"/>
      <c r="E635" s="106"/>
      <c r="F635" s="106"/>
      <c r="G635" s="106"/>
      <c r="H635" s="106"/>
      <c r="I635" s="106"/>
      <c r="J635" s="106"/>
      <c r="K635" s="106"/>
      <c r="L635" s="106"/>
      <c r="M635" s="106"/>
      <c r="N635" s="106"/>
      <c r="O635" s="106"/>
      <c r="P635" s="106"/>
    </row>
    <row r="636" spans="2:16">
      <c r="B636" s="106"/>
      <c r="C636" s="106"/>
      <c r="D636" s="106"/>
      <c r="E636" s="106"/>
      <c r="F636" s="106"/>
      <c r="G636" s="106"/>
      <c r="H636" s="106"/>
      <c r="I636" s="106"/>
      <c r="J636" s="106"/>
      <c r="K636" s="106"/>
      <c r="L636" s="106"/>
      <c r="M636" s="106"/>
      <c r="N636" s="106"/>
      <c r="O636" s="106"/>
      <c r="P636" s="106"/>
    </row>
    <row r="637" spans="2:16">
      <c r="B637" s="106"/>
      <c r="C637" s="106"/>
      <c r="D637" s="106"/>
      <c r="E637" s="106"/>
      <c r="F637" s="106"/>
      <c r="G637" s="106"/>
      <c r="H637" s="106"/>
      <c r="I637" s="106"/>
      <c r="J637" s="106"/>
      <c r="K637" s="106"/>
      <c r="L637" s="106"/>
      <c r="M637" s="106"/>
      <c r="N637" s="106"/>
      <c r="O637" s="106"/>
      <c r="P637" s="106"/>
    </row>
    <row r="638" spans="2:16">
      <c r="B638" s="106"/>
      <c r="C638" s="106"/>
      <c r="D638" s="106"/>
      <c r="E638" s="106"/>
      <c r="F638" s="106"/>
      <c r="G638" s="106"/>
      <c r="H638" s="106"/>
      <c r="I638" s="106"/>
      <c r="J638" s="106"/>
      <c r="K638" s="106"/>
      <c r="L638" s="106"/>
      <c r="M638" s="106"/>
      <c r="N638" s="106"/>
      <c r="O638" s="106"/>
      <c r="P638" s="106"/>
    </row>
    <row r="639" spans="2:16">
      <c r="B639" s="106"/>
      <c r="C639" s="106"/>
      <c r="D639" s="106"/>
      <c r="E639" s="106"/>
      <c r="F639" s="106"/>
      <c r="G639" s="106"/>
      <c r="H639" s="106"/>
      <c r="I639" s="106"/>
      <c r="J639" s="106"/>
      <c r="K639" s="106"/>
      <c r="L639" s="106"/>
      <c r="M639" s="106"/>
      <c r="N639" s="106"/>
      <c r="O639" s="106"/>
      <c r="P639" s="106"/>
    </row>
    <row r="640" spans="2:16">
      <c r="B640" s="106"/>
      <c r="C640" s="106"/>
      <c r="D640" s="106"/>
      <c r="E640" s="106"/>
      <c r="F640" s="106"/>
      <c r="G640" s="106"/>
      <c r="H640" s="106"/>
      <c r="I640" s="106"/>
      <c r="J640" s="106"/>
      <c r="K640" s="106"/>
      <c r="L640" s="106"/>
      <c r="M640" s="106"/>
      <c r="N640" s="106"/>
      <c r="O640" s="106"/>
      <c r="P640" s="106"/>
    </row>
    <row r="641" spans="2:16">
      <c r="B641" s="106"/>
      <c r="C641" s="106"/>
      <c r="D641" s="106"/>
      <c r="E641" s="106"/>
      <c r="F641" s="106"/>
      <c r="G641" s="106"/>
      <c r="H641" s="106"/>
      <c r="I641" s="106"/>
      <c r="J641" s="106"/>
      <c r="K641" s="106"/>
      <c r="L641" s="106"/>
      <c r="M641" s="106"/>
      <c r="N641" s="106"/>
      <c r="O641" s="106"/>
      <c r="P641" s="106"/>
    </row>
    <row r="642" spans="2:16">
      <c r="B642" s="106"/>
      <c r="C642" s="106"/>
      <c r="D642" s="106"/>
      <c r="E642" s="106"/>
      <c r="F642" s="106"/>
      <c r="G642" s="106"/>
      <c r="H642" s="106"/>
      <c r="I642" s="106"/>
      <c r="J642" s="106"/>
      <c r="K642" s="106"/>
      <c r="L642" s="106"/>
      <c r="M642" s="106"/>
      <c r="N642" s="106"/>
      <c r="O642" s="106"/>
      <c r="P642" s="106"/>
    </row>
    <row r="643" spans="2:16">
      <c r="B643" s="106"/>
      <c r="C643" s="106"/>
      <c r="D643" s="106"/>
      <c r="E643" s="106"/>
      <c r="F643" s="106"/>
      <c r="G643" s="106"/>
      <c r="H643" s="106"/>
      <c r="I643" s="106"/>
      <c r="J643" s="106"/>
      <c r="K643" s="106"/>
      <c r="L643" s="106"/>
      <c r="M643" s="106"/>
      <c r="N643" s="106"/>
      <c r="O643" s="106"/>
      <c r="P643" s="106"/>
    </row>
    <row r="644" spans="2:16">
      <c r="B644" s="106"/>
      <c r="C644" s="106"/>
      <c r="D644" s="106"/>
      <c r="E644" s="106"/>
      <c r="F644" s="106"/>
      <c r="G644" s="106"/>
      <c r="H644" s="106"/>
      <c r="I644" s="106"/>
      <c r="J644" s="106"/>
      <c r="K644" s="106"/>
      <c r="L644" s="106"/>
      <c r="M644" s="106"/>
      <c r="N644" s="106"/>
      <c r="O644" s="106"/>
      <c r="P644" s="106"/>
    </row>
    <row r="645" spans="2:16">
      <c r="B645" s="106"/>
      <c r="C645" s="106"/>
      <c r="D645" s="106"/>
      <c r="E645" s="106"/>
      <c r="F645" s="106"/>
      <c r="G645" s="106"/>
      <c r="H645" s="106"/>
      <c r="I645" s="106"/>
      <c r="J645" s="106"/>
      <c r="K645" s="106"/>
      <c r="L645" s="106"/>
      <c r="M645" s="106"/>
      <c r="N645" s="106"/>
      <c r="O645" s="106"/>
      <c r="P645" s="106"/>
    </row>
    <row r="646" spans="2:16">
      <c r="B646" s="106"/>
      <c r="C646" s="106"/>
      <c r="D646" s="106"/>
      <c r="E646" s="106"/>
      <c r="F646" s="106"/>
      <c r="G646" s="106"/>
      <c r="H646" s="106"/>
      <c r="I646" s="106"/>
      <c r="J646" s="106"/>
      <c r="K646" s="106"/>
      <c r="L646" s="106"/>
      <c r="M646" s="106"/>
      <c r="N646" s="106"/>
      <c r="O646" s="106"/>
      <c r="P646" s="106"/>
    </row>
    <row r="647" spans="2:16">
      <c r="B647" s="106"/>
      <c r="C647" s="106"/>
      <c r="D647" s="106"/>
      <c r="E647" s="106"/>
      <c r="F647" s="106"/>
      <c r="G647" s="106"/>
      <c r="H647" s="106"/>
      <c r="I647" s="106"/>
      <c r="J647" s="106"/>
      <c r="K647" s="106"/>
      <c r="L647" s="106"/>
      <c r="M647" s="106"/>
      <c r="N647" s="106"/>
      <c r="O647" s="106"/>
      <c r="P647" s="106"/>
    </row>
    <row r="648" spans="2:16">
      <c r="B648" s="106"/>
      <c r="C648" s="106"/>
      <c r="D648" s="106"/>
      <c r="E648" s="106"/>
      <c r="F648" s="106"/>
      <c r="G648" s="106"/>
      <c r="H648" s="106"/>
      <c r="I648" s="106"/>
      <c r="J648" s="106"/>
      <c r="K648" s="106"/>
      <c r="L648" s="106"/>
      <c r="M648" s="106"/>
      <c r="N648" s="106"/>
      <c r="O648" s="106"/>
      <c r="P648" s="106"/>
    </row>
    <row r="649" spans="2:16">
      <c r="B649" s="106"/>
      <c r="C649" s="106"/>
      <c r="D649" s="106"/>
      <c r="E649" s="106"/>
      <c r="F649" s="106"/>
      <c r="G649" s="106"/>
      <c r="H649" s="106"/>
      <c r="I649" s="106"/>
      <c r="J649" s="106"/>
      <c r="K649" s="106"/>
      <c r="L649" s="106"/>
      <c r="M649" s="106"/>
      <c r="N649" s="106"/>
      <c r="O649" s="106"/>
      <c r="P649" s="106"/>
    </row>
    <row r="650" spans="2:16">
      <c r="B650" s="106"/>
      <c r="C650" s="106"/>
      <c r="D650" s="106"/>
      <c r="E650" s="106"/>
      <c r="F650" s="106"/>
      <c r="G650" s="106"/>
      <c r="H650" s="106"/>
      <c r="I650" s="106"/>
      <c r="J650" s="106"/>
      <c r="K650" s="106"/>
      <c r="L650" s="106"/>
      <c r="M650" s="106"/>
      <c r="N650" s="106"/>
      <c r="O650" s="106"/>
      <c r="P650" s="106"/>
    </row>
    <row r="651" spans="2:16">
      <c r="B651" s="106"/>
      <c r="C651" s="106"/>
      <c r="D651" s="106"/>
      <c r="E651" s="106"/>
      <c r="F651" s="106"/>
      <c r="G651" s="106"/>
      <c r="H651" s="106"/>
      <c r="I651" s="106"/>
      <c r="J651" s="106"/>
      <c r="K651" s="106"/>
      <c r="L651" s="106"/>
      <c r="M651" s="106"/>
      <c r="N651" s="106"/>
      <c r="O651" s="106"/>
      <c r="P651" s="106"/>
    </row>
    <row r="652" spans="2:16">
      <c r="B652" s="106"/>
      <c r="C652" s="106"/>
      <c r="D652" s="106"/>
      <c r="E652" s="106"/>
      <c r="F652" s="106"/>
      <c r="G652" s="106"/>
      <c r="H652" s="106"/>
      <c r="I652" s="106"/>
      <c r="J652" s="106"/>
      <c r="K652" s="106"/>
      <c r="L652" s="106"/>
      <c r="M652" s="106"/>
      <c r="N652" s="106"/>
      <c r="O652" s="106"/>
      <c r="P652" s="106"/>
    </row>
    <row r="653" spans="2:16">
      <c r="B653" s="106"/>
      <c r="C653" s="106"/>
      <c r="D653" s="106"/>
      <c r="E653" s="106"/>
      <c r="F653" s="106"/>
      <c r="G653" s="106"/>
      <c r="H653" s="106"/>
      <c r="I653" s="106"/>
      <c r="J653" s="106"/>
      <c r="K653" s="106"/>
      <c r="L653" s="106"/>
      <c r="M653" s="106"/>
      <c r="N653" s="106"/>
      <c r="O653" s="106"/>
      <c r="P653" s="106"/>
    </row>
    <row r="654" spans="2:16">
      <c r="B654" s="106"/>
      <c r="C654" s="106"/>
      <c r="D654" s="106"/>
      <c r="E654" s="106"/>
      <c r="F654" s="106"/>
      <c r="G654" s="106"/>
      <c r="H654" s="106"/>
      <c r="I654" s="106"/>
      <c r="J654" s="106"/>
      <c r="K654" s="106"/>
      <c r="L654" s="106"/>
      <c r="M654" s="106"/>
      <c r="N654" s="106"/>
      <c r="O654" s="106"/>
      <c r="P654" s="106"/>
    </row>
    <row r="655" spans="2:16">
      <c r="B655" s="106"/>
      <c r="C655" s="106"/>
      <c r="D655" s="106"/>
      <c r="E655" s="106"/>
      <c r="F655" s="106"/>
      <c r="G655" s="106"/>
      <c r="H655" s="106"/>
      <c r="I655" s="106"/>
      <c r="J655" s="106"/>
      <c r="K655" s="106"/>
      <c r="L655" s="106"/>
      <c r="M655" s="106"/>
      <c r="N655" s="106"/>
      <c r="O655" s="106"/>
      <c r="P655" s="106"/>
    </row>
    <row r="656" spans="2:16">
      <c r="B656" s="106"/>
      <c r="C656" s="106"/>
      <c r="D656" s="106"/>
      <c r="E656" s="106"/>
      <c r="F656" s="106"/>
      <c r="G656" s="106"/>
      <c r="H656" s="106"/>
      <c r="I656" s="106"/>
      <c r="J656" s="106"/>
      <c r="K656" s="106"/>
      <c r="L656" s="106"/>
      <c r="M656" s="106"/>
      <c r="N656" s="106"/>
      <c r="O656" s="106"/>
      <c r="P656" s="106"/>
    </row>
    <row r="657" spans="2:16">
      <c r="B657" s="106"/>
      <c r="C657" s="106"/>
      <c r="D657" s="106"/>
      <c r="E657" s="106"/>
      <c r="F657" s="106"/>
      <c r="G657" s="106"/>
      <c r="H657" s="106"/>
      <c r="I657" s="106"/>
      <c r="J657" s="106"/>
      <c r="K657" s="106"/>
      <c r="L657" s="106"/>
      <c r="M657" s="106"/>
      <c r="N657" s="106"/>
      <c r="O657" s="106"/>
      <c r="P657" s="106"/>
    </row>
    <row r="658" spans="2:16">
      <c r="B658" s="106"/>
      <c r="C658" s="106"/>
      <c r="D658" s="106"/>
      <c r="E658" s="106"/>
      <c r="F658" s="106"/>
      <c r="G658" s="106"/>
      <c r="H658" s="106"/>
      <c r="I658" s="106"/>
      <c r="J658" s="106"/>
      <c r="K658" s="106"/>
      <c r="L658" s="106"/>
      <c r="M658" s="106"/>
      <c r="N658" s="106"/>
      <c r="O658" s="106"/>
      <c r="P658" s="106"/>
    </row>
    <row r="659" spans="2:16">
      <c r="B659" s="106"/>
      <c r="C659" s="106"/>
      <c r="D659" s="106"/>
      <c r="E659" s="106"/>
      <c r="F659" s="106"/>
      <c r="G659" s="106"/>
      <c r="H659" s="106"/>
      <c r="I659" s="106"/>
      <c r="J659" s="106"/>
      <c r="K659" s="106"/>
      <c r="L659" s="106"/>
      <c r="M659" s="106"/>
      <c r="N659" s="106"/>
      <c r="O659" s="106"/>
      <c r="P659" s="106"/>
    </row>
    <row r="660" spans="2:16">
      <c r="B660" s="106"/>
      <c r="C660" s="106"/>
      <c r="D660" s="106"/>
      <c r="E660" s="106"/>
      <c r="F660" s="106"/>
      <c r="G660" s="106"/>
      <c r="H660" s="106"/>
      <c r="I660" s="106"/>
      <c r="J660" s="106"/>
      <c r="K660" s="106"/>
      <c r="L660" s="106"/>
      <c r="M660" s="106"/>
      <c r="N660" s="106"/>
      <c r="O660" s="106"/>
      <c r="P660" s="106"/>
    </row>
    <row r="661" spans="2:16">
      <c r="B661" s="106"/>
      <c r="C661" s="106"/>
      <c r="D661" s="106"/>
      <c r="E661" s="106"/>
      <c r="F661" s="106"/>
      <c r="G661" s="106"/>
      <c r="H661" s="106"/>
      <c r="I661" s="106"/>
      <c r="J661" s="106"/>
      <c r="K661" s="106"/>
      <c r="L661" s="106"/>
      <c r="M661" s="106"/>
      <c r="N661" s="106"/>
      <c r="O661" s="106"/>
      <c r="P661" s="106"/>
    </row>
    <row r="662" spans="2:16">
      <c r="B662" s="106"/>
      <c r="C662" s="106"/>
      <c r="D662" s="106"/>
      <c r="E662" s="106"/>
      <c r="F662" s="106"/>
      <c r="G662" s="106"/>
      <c r="H662" s="106"/>
      <c r="I662" s="106"/>
      <c r="J662" s="106"/>
      <c r="K662" s="106"/>
      <c r="L662" s="106"/>
      <c r="M662" s="106"/>
      <c r="N662" s="106"/>
      <c r="O662" s="106"/>
      <c r="P662" s="106"/>
    </row>
    <row r="663" spans="2:16">
      <c r="B663" s="106"/>
      <c r="C663" s="106"/>
      <c r="D663" s="106"/>
      <c r="E663" s="106"/>
      <c r="F663" s="106"/>
      <c r="G663" s="106"/>
      <c r="H663" s="106"/>
      <c r="I663" s="106"/>
      <c r="J663" s="106"/>
      <c r="K663" s="106"/>
      <c r="L663" s="106"/>
      <c r="M663" s="106"/>
      <c r="N663" s="106"/>
      <c r="O663" s="106"/>
      <c r="P663" s="106"/>
    </row>
    <row r="664" spans="2:16">
      <c r="B664" s="106"/>
      <c r="C664" s="106"/>
      <c r="D664" s="106"/>
      <c r="E664" s="106"/>
      <c r="F664" s="106"/>
      <c r="G664" s="106"/>
      <c r="H664" s="106"/>
      <c r="I664" s="106"/>
      <c r="J664" s="106"/>
      <c r="K664" s="106"/>
      <c r="L664" s="106"/>
      <c r="M664" s="106"/>
      <c r="N664" s="106"/>
      <c r="O664" s="106"/>
      <c r="P664" s="106"/>
    </row>
    <row r="665" spans="2:16">
      <c r="B665" s="106"/>
      <c r="C665" s="106"/>
      <c r="D665" s="106"/>
      <c r="E665" s="106"/>
      <c r="F665" s="106"/>
      <c r="G665" s="106"/>
      <c r="H665" s="106"/>
      <c r="I665" s="106"/>
      <c r="J665" s="106"/>
      <c r="K665" s="106"/>
      <c r="L665" s="106"/>
      <c r="M665" s="106"/>
      <c r="N665" s="106"/>
      <c r="O665" s="106"/>
      <c r="P665" s="106"/>
    </row>
    <row r="666" spans="2:16">
      <c r="B666" s="106"/>
      <c r="C666" s="106"/>
      <c r="D666" s="106"/>
      <c r="E666" s="106"/>
      <c r="F666" s="106"/>
      <c r="G666" s="106"/>
      <c r="H666" s="106"/>
      <c r="I666" s="106"/>
      <c r="J666" s="106"/>
      <c r="K666" s="106"/>
      <c r="L666" s="106"/>
      <c r="M666" s="106"/>
      <c r="N666" s="106"/>
      <c r="O666" s="106"/>
      <c r="P666" s="106"/>
    </row>
    <row r="667" spans="2:16">
      <c r="B667" s="106"/>
      <c r="C667" s="106"/>
      <c r="D667" s="106"/>
      <c r="E667" s="106"/>
      <c r="F667" s="106"/>
      <c r="G667" s="106"/>
      <c r="H667" s="106"/>
      <c r="I667" s="106"/>
      <c r="J667" s="106"/>
      <c r="K667" s="106"/>
      <c r="L667" s="106"/>
      <c r="M667" s="106"/>
      <c r="N667" s="106"/>
      <c r="O667" s="106"/>
      <c r="P667" s="106"/>
    </row>
    <row r="668" spans="2:16">
      <c r="B668" s="106"/>
      <c r="C668" s="106"/>
      <c r="D668" s="106"/>
      <c r="E668" s="106"/>
      <c r="F668" s="106"/>
      <c r="G668" s="106"/>
      <c r="H668" s="106"/>
      <c r="I668" s="106"/>
      <c r="J668" s="106"/>
      <c r="K668" s="106"/>
      <c r="L668" s="106"/>
      <c r="M668" s="106"/>
      <c r="N668" s="106"/>
      <c r="O668" s="106"/>
      <c r="P668" s="106"/>
    </row>
    <row r="669" spans="2:16">
      <c r="B669" s="106"/>
      <c r="C669" s="106"/>
      <c r="D669" s="106"/>
      <c r="E669" s="106"/>
      <c r="F669" s="106"/>
      <c r="G669" s="106"/>
      <c r="H669" s="106"/>
      <c r="I669" s="106"/>
      <c r="J669" s="106"/>
      <c r="K669" s="106"/>
      <c r="L669" s="106"/>
      <c r="M669" s="106"/>
      <c r="N669" s="106"/>
      <c r="O669" s="106"/>
      <c r="P669" s="106"/>
    </row>
    <row r="670" spans="2:16">
      <c r="B670" s="106"/>
      <c r="C670" s="106"/>
      <c r="D670" s="106"/>
      <c r="E670" s="106"/>
      <c r="F670" s="106"/>
      <c r="G670" s="106"/>
      <c r="H670" s="106"/>
      <c r="I670" s="106"/>
      <c r="J670" s="106"/>
      <c r="K670" s="106"/>
      <c r="L670" s="106"/>
      <c r="M670" s="106"/>
      <c r="N670" s="106"/>
      <c r="O670" s="106"/>
      <c r="P670" s="106"/>
    </row>
    <row r="671" spans="2:16">
      <c r="B671" s="106"/>
      <c r="C671" s="106"/>
      <c r="D671" s="106"/>
      <c r="E671" s="106"/>
      <c r="F671" s="106"/>
      <c r="G671" s="106"/>
      <c r="H671" s="106"/>
      <c r="I671" s="106"/>
      <c r="J671" s="106"/>
      <c r="K671" s="106"/>
      <c r="L671" s="106"/>
      <c r="M671" s="106"/>
      <c r="N671" s="106"/>
      <c r="O671" s="106"/>
      <c r="P671" s="106"/>
    </row>
    <row r="672" spans="2:16">
      <c r="B672" s="106"/>
      <c r="C672" s="106"/>
      <c r="D672" s="106"/>
      <c r="E672" s="106"/>
      <c r="F672" s="106"/>
      <c r="G672" s="106"/>
      <c r="H672" s="106"/>
      <c r="I672" s="106"/>
      <c r="J672" s="106"/>
      <c r="K672" s="106"/>
      <c r="L672" s="106"/>
      <c r="M672" s="106"/>
      <c r="N672" s="106"/>
      <c r="O672" s="106"/>
      <c r="P672" s="106"/>
    </row>
    <row r="673" spans="2:16">
      <c r="B673" s="106"/>
      <c r="C673" s="106"/>
      <c r="D673" s="106"/>
      <c r="E673" s="106"/>
      <c r="F673" s="106"/>
      <c r="G673" s="106"/>
      <c r="H673" s="106"/>
      <c r="I673" s="106"/>
      <c r="J673" s="106"/>
      <c r="K673" s="106"/>
      <c r="L673" s="106"/>
      <c r="M673" s="106"/>
      <c r="N673" s="106"/>
      <c r="O673" s="106"/>
      <c r="P673" s="106"/>
    </row>
    <row r="674" spans="2:16">
      <c r="B674" s="106"/>
      <c r="C674" s="106"/>
      <c r="D674" s="106"/>
      <c r="E674" s="106"/>
      <c r="F674" s="106"/>
      <c r="G674" s="106"/>
      <c r="H674" s="106"/>
      <c r="I674" s="106"/>
      <c r="J674" s="106"/>
      <c r="K674" s="106"/>
      <c r="L674" s="106"/>
      <c r="M674" s="106"/>
      <c r="N674" s="106"/>
      <c r="O674" s="106"/>
      <c r="P674" s="106"/>
    </row>
    <row r="675" spans="2:16">
      <c r="B675" s="106"/>
      <c r="C675" s="106"/>
      <c r="D675" s="106"/>
      <c r="E675" s="106"/>
      <c r="F675" s="106"/>
      <c r="G675" s="106"/>
      <c r="H675" s="106"/>
      <c r="I675" s="106"/>
      <c r="J675" s="106"/>
      <c r="K675" s="106"/>
      <c r="L675" s="106"/>
      <c r="M675" s="106"/>
      <c r="N675" s="106"/>
      <c r="O675" s="106"/>
      <c r="P675" s="106"/>
    </row>
    <row r="676" spans="2:16">
      <c r="B676" s="106"/>
      <c r="C676" s="106"/>
      <c r="D676" s="106"/>
      <c r="E676" s="106"/>
      <c r="F676" s="106"/>
      <c r="G676" s="106"/>
      <c r="H676" s="106"/>
      <c r="I676" s="106"/>
      <c r="J676" s="106"/>
      <c r="K676" s="106"/>
      <c r="L676" s="106"/>
      <c r="M676" s="106"/>
      <c r="N676" s="106"/>
      <c r="O676" s="106"/>
      <c r="P676" s="106"/>
    </row>
    <row r="677" spans="2:16">
      <c r="B677" s="106"/>
      <c r="C677" s="106"/>
      <c r="D677" s="106"/>
      <c r="E677" s="106"/>
      <c r="F677" s="106"/>
      <c r="G677" s="106"/>
      <c r="H677" s="106"/>
      <c r="I677" s="106"/>
      <c r="J677" s="106"/>
      <c r="K677" s="106"/>
      <c r="L677" s="106"/>
      <c r="M677" s="106"/>
      <c r="N677" s="106"/>
      <c r="O677" s="106"/>
      <c r="P677" s="106"/>
    </row>
    <row r="678" spans="2:16">
      <c r="B678" s="106"/>
      <c r="C678" s="106"/>
      <c r="D678" s="106"/>
      <c r="E678" s="106"/>
      <c r="F678" s="106"/>
      <c r="G678" s="106"/>
      <c r="H678" s="106"/>
      <c r="I678" s="106"/>
      <c r="J678" s="106"/>
      <c r="K678" s="106"/>
      <c r="L678" s="106"/>
      <c r="M678" s="106"/>
      <c r="N678" s="106"/>
      <c r="O678" s="106"/>
      <c r="P678" s="106"/>
    </row>
    <row r="679" spans="2:16">
      <c r="B679" s="106"/>
      <c r="C679" s="106"/>
      <c r="D679" s="106"/>
      <c r="E679" s="106"/>
      <c r="F679" s="106"/>
      <c r="G679" s="106"/>
      <c r="H679" s="106"/>
      <c r="I679" s="106"/>
      <c r="J679" s="106"/>
      <c r="K679" s="106"/>
      <c r="L679" s="106"/>
      <c r="M679" s="106"/>
      <c r="N679" s="106"/>
      <c r="O679" s="106"/>
      <c r="P679" s="106"/>
    </row>
    <row r="680" spans="2:16">
      <c r="B680" s="106"/>
      <c r="C680" s="106"/>
      <c r="D680" s="106"/>
      <c r="E680" s="106"/>
      <c r="F680" s="106"/>
      <c r="G680" s="106"/>
      <c r="H680" s="106"/>
      <c r="I680" s="106"/>
      <c r="J680" s="106"/>
      <c r="K680" s="106"/>
      <c r="L680" s="106"/>
      <c r="M680" s="106"/>
      <c r="N680" s="106"/>
      <c r="O680" s="106"/>
      <c r="P680" s="106"/>
    </row>
    <row r="681" spans="2:16">
      <c r="B681" s="106"/>
      <c r="C681" s="106"/>
      <c r="D681" s="106"/>
      <c r="E681" s="106"/>
      <c r="F681" s="106"/>
      <c r="G681" s="106"/>
      <c r="H681" s="106"/>
      <c r="I681" s="106"/>
      <c r="J681" s="106"/>
      <c r="K681" s="106"/>
      <c r="L681" s="106"/>
      <c r="M681" s="106"/>
      <c r="N681" s="106"/>
      <c r="O681" s="106"/>
      <c r="P681" s="106"/>
    </row>
    <row r="682" spans="2:16">
      <c r="B682" s="106"/>
      <c r="C682" s="106"/>
      <c r="D682" s="106"/>
      <c r="E682" s="106"/>
      <c r="F682" s="106"/>
      <c r="G682" s="106"/>
      <c r="H682" s="106"/>
      <c r="I682" s="106"/>
      <c r="J682" s="106"/>
      <c r="K682" s="106"/>
      <c r="L682" s="106"/>
      <c r="M682" s="106"/>
      <c r="N682" s="106"/>
      <c r="O682" s="106"/>
      <c r="P682" s="106"/>
    </row>
    <row r="683" spans="2:16">
      <c r="B683" s="106"/>
      <c r="C683" s="106"/>
      <c r="D683" s="106"/>
      <c r="E683" s="106"/>
      <c r="F683" s="106"/>
      <c r="G683" s="106"/>
      <c r="H683" s="106"/>
      <c r="I683" s="106"/>
      <c r="J683" s="106"/>
      <c r="K683" s="106"/>
      <c r="L683" s="106"/>
      <c r="M683" s="106"/>
      <c r="N683" s="106"/>
      <c r="O683" s="106"/>
      <c r="P683" s="106"/>
    </row>
    <row r="684" spans="2:16">
      <c r="B684" s="106"/>
      <c r="C684" s="106"/>
      <c r="D684" s="106"/>
      <c r="E684" s="106"/>
      <c r="F684" s="106"/>
      <c r="G684" s="106"/>
      <c r="H684" s="106"/>
      <c r="I684" s="106"/>
      <c r="J684" s="106"/>
      <c r="K684" s="106"/>
      <c r="L684" s="106"/>
      <c r="M684" s="106"/>
      <c r="N684" s="106"/>
      <c r="O684" s="106"/>
      <c r="P684" s="106"/>
    </row>
    <row r="685" spans="2:16">
      <c r="B685" s="106"/>
      <c r="C685" s="106"/>
      <c r="D685" s="106"/>
      <c r="E685" s="106"/>
      <c r="F685" s="106"/>
      <c r="G685" s="106"/>
      <c r="H685" s="106"/>
      <c r="I685" s="106"/>
      <c r="J685" s="106"/>
      <c r="K685" s="106"/>
      <c r="L685" s="106"/>
      <c r="M685" s="106"/>
      <c r="N685" s="106"/>
      <c r="O685" s="106"/>
      <c r="P685" s="106"/>
    </row>
    <row r="686" spans="2:16">
      <c r="B686" s="106"/>
      <c r="C686" s="106"/>
      <c r="D686" s="106"/>
      <c r="E686" s="106"/>
      <c r="F686" s="106"/>
      <c r="G686" s="106"/>
      <c r="H686" s="106"/>
      <c r="I686" s="106"/>
      <c r="J686" s="106"/>
      <c r="K686" s="106"/>
      <c r="L686" s="106"/>
      <c r="M686" s="106"/>
      <c r="N686" s="106"/>
      <c r="O686" s="106"/>
      <c r="P686" s="106"/>
    </row>
    <row r="687" spans="2:16">
      <c r="B687" s="106"/>
      <c r="C687" s="106"/>
      <c r="D687" s="106"/>
      <c r="E687" s="106"/>
      <c r="F687" s="106"/>
      <c r="G687" s="106"/>
      <c r="H687" s="106"/>
      <c r="I687" s="106"/>
      <c r="J687" s="106"/>
      <c r="K687" s="106"/>
      <c r="L687" s="106"/>
      <c r="M687" s="106"/>
      <c r="N687" s="106"/>
      <c r="O687" s="106"/>
      <c r="P687" s="106"/>
    </row>
    <row r="688" spans="2:16">
      <c r="B688" s="106"/>
      <c r="C688" s="106"/>
      <c r="D688" s="106"/>
      <c r="E688" s="106"/>
      <c r="F688" s="106"/>
      <c r="G688" s="106"/>
      <c r="H688" s="106"/>
      <c r="I688" s="106"/>
      <c r="J688" s="106"/>
      <c r="K688" s="106"/>
      <c r="L688" s="106"/>
      <c r="M688" s="106"/>
      <c r="N688" s="106"/>
      <c r="O688" s="106"/>
      <c r="P688" s="106"/>
    </row>
    <row r="689" spans="2:16">
      <c r="B689" s="106"/>
      <c r="C689" s="106"/>
      <c r="D689" s="106"/>
      <c r="E689" s="106"/>
      <c r="F689" s="106"/>
      <c r="G689" s="106"/>
      <c r="H689" s="106"/>
      <c r="I689" s="106"/>
      <c r="J689" s="106"/>
      <c r="K689" s="106"/>
      <c r="L689" s="106"/>
      <c r="M689" s="106"/>
      <c r="N689" s="106"/>
      <c r="O689" s="106"/>
      <c r="P689" s="106"/>
    </row>
    <row r="690" spans="2:16">
      <c r="B690" s="106"/>
      <c r="C690" s="106"/>
      <c r="D690" s="106"/>
      <c r="E690" s="106"/>
      <c r="F690" s="106"/>
      <c r="G690" s="106"/>
      <c r="H690" s="106"/>
      <c r="I690" s="106"/>
      <c r="J690" s="106"/>
      <c r="K690" s="106"/>
      <c r="L690" s="106"/>
      <c r="M690" s="106"/>
      <c r="N690" s="106"/>
      <c r="O690" s="106"/>
      <c r="P690" s="106"/>
    </row>
    <row r="691" spans="2:16">
      <c r="B691" s="106"/>
      <c r="C691" s="106"/>
      <c r="D691" s="106"/>
      <c r="E691" s="106"/>
      <c r="F691" s="106"/>
      <c r="G691" s="106"/>
      <c r="H691" s="106"/>
      <c r="I691" s="106"/>
      <c r="J691" s="106"/>
      <c r="K691" s="106"/>
      <c r="L691" s="106"/>
      <c r="M691" s="106"/>
      <c r="N691" s="106"/>
      <c r="O691" s="106"/>
      <c r="P691" s="106"/>
    </row>
    <row r="692" spans="2:16">
      <c r="B692" s="106"/>
      <c r="C692" s="106"/>
      <c r="D692" s="106"/>
      <c r="E692" s="106"/>
      <c r="F692" s="106"/>
      <c r="G692" s="106"/>
      <c r="H692" s="106"/>
      <c r="I692" s="106"/>
      <c r="J692" s="106"/>
      <c r="K692" s="106"/>
      <c r="L692" s="106"/>
      <c r="M692" s="106"/>
      <c r="N692" s="106"/>
      <c r="O692" s="106"/>
      <c r="P692" s="106"/>
    </row>
    <row r="693" spans="2:16">
      <c r="B693" s="106"/>
      <c r="C693" s="106"/>
      <c r="D693" s="106"/>
      <c r="E693" s="106"/>
      <c r="F693" s="106"/>
      <c r="G693" s="106"/>
      <c r="H693" s="106"/>
      <c r="I693" s="106"/>
      <c r="J693" s="106"/>
      <c r="K693" s="106"/>
      <c r="L693" s="106"/>
      <c r="M693" s="106"/>
      <c r="N693" s="106"/>
      <c r="O693" s="106"/>
      <c r="P693" s="106"/>
    </row>
    <row r="694" spans="2:16">
      <c r="B694" s="106"/>
      <c r="C694" s="106"/>
      <c r="D694" s="106"/>
      <c r="E694" s="106"/>
      <c r="F694" s="106"/>
      <c r="G694" s="106"/>
      <c r="H694" s="106"/>
      <c r="I694" s="106"/>
      <c r="J694" s="106"/>
      <c r="K694" s="106"/>
      <c r="L694" s="106"/>
      <c r="M694" s="106"/>
      <c r="N694" s="106"/>
      <c r="O694" s="106"/>
      <c r="P694" s="106"/>
    </row>
    <row r="695" spans="2:16">
      <c r="B695" s="106"/>
      <c r="C695" s="106"/>
      <c r="D695" s="106"/>
      <c r="E695" s="106"/>
      <c r="F695" s="106"/>
      <c r="G695" s="106"/>
      <c r="H695" s="106"/>
      <c r="I695" s="106"/>
      <c r="J695" s="106"/>
      <c r="K695" s="106"/>
      <c r="L695" s="106"/>
      <c r="M695" s="106"/>
      <c r="N695" s="106"/>
      <c r="O695" s="106"/>
      <c r="P695" s="106"/>
    </row>
    <row r="696" spans="2:16">
      <c r="B696" s="106"/>
      <c r="C696" s="106"/>
      <c r="D696" s="106"/>
      <c r="E696" s="106"/>
      <c r="F696" s="106"/>
      <c r="G696" s="106"/>
      <c r="H696" s="106"/>
      <c r="I696" s="106"/>
      <c r="J696" s="106"/>
      <c r="K696" s="106"/>
      <c r="L696" s="106"/>
      <c r="M696" s="106"/>
      <c r="N696" s="106"/>
      <c r="O696" s="106"/>
      <c r="P696" s="106"/>
    </row>
    <row r="697" spans="2:16">
      <c r="B697" s="106"/>
      <c r="C697" s="106"/>
      <c r="D697" s="106"/>
      <c r="E697" s="106"/>
      <c r="F697" s="106"/>
      <c r="G697" s="106"/>
      <c r="H697" s="106"/>
      <c r="I697" s="106"/>
      <c r="J697" s="106"/>
      <c r="K697" s="106"/>
      <c r="L697" s="106"/>
      <c r="M697" s="106"/>
      <c r="N697" s="106"/>
      <c r="O697" s="106"/>
      <c r="P697" s="106"/>
    </row>
    <row r="698" spans="2:16">
      <c r="B698" s="106"/>
      <c r="C698" s="106"/>
      <c r="D698" s="106"/>
      <c r="E698" s="106"/>
      <c r="F698" s="106"/>
      <c r="G698" s="106"/>
      <c r="H698" s="106"/>
      <c r="I698" s="106"/>
      <c r="J698" s="106"/>
      <c r="K698" s="106"/>
      <c r="L698" s="106"/>
      <c r="M698" s="106"/>
      <c r="N698" s="106"/>
      <c r="O698" s="106"/>
      <c r="P698" s="106"/>
    </row>
    <row r="699" spans="2:16">
      <c r="B699" s="106"/>
      <c r="C699" s="106"/>
      <c r="D699" s="106"/>
      <c r="E699" s="106"/>
      <c r="F699" s="106"/>
      <c r="G699" s="106"/>
      <c r="H699" s="106"/>
      <c r="I699" s="106"/>
      <c r="J699" s="106"/>
      <c r="K699" s="106"/>
      <c r="L699" s="106"/>
      <c r="M699" s="106"/>
      <c r="N699" s="106"/>
      <c r="O699" s="106"/>
      <c r="P699" s="106"/>
    </row>
    <row r="700" spans="2:16">
      <c r="B700" s="106"/>
      <c r="C700" s="106"/>
      <c r="D700" s="106"/>
      <c r="E700" s="106"/>
      <c r="F700" s="106"/>
      <c r="G700" s="106"/>
      <c r="H700" s="106"/>
      <c r="I700" s="106"/>
      <c r="J700" s="106"/>
      <c r="K700" s="106"/>
      <c r="L700" s="106"/>
      <c r="M700" s="106"/>
      <c r="N700" s="106"/>
      <c r="O700" s="106"/>
      <c r="P700" s="106"/>
    </row>
    <row r="701" spans="2:16">
      <c r="B701" s="106"/>
      <c r="C701" s="106"/>
      <c r="D701" s="106"/>
      <c r="E701" s="106"/>
      <c r="F701" s="106"/>
      <c r="G701" s="106"/>
      <c r="H701" s="106"/>
      <c r="I701" s="106"/>
      <c r="J701" s="106"/>
      <c r="K701" s="106"/>
      <c r="L701" s="106"/>
      <c r="M701" s="106"/>
      <c r="N701" s="106"/>
      <c r="O701" s="106"/>
      <c r="P701" s="106"/>
    </row>
    <row r="702" spans="2:16">
      <c r="B702" s="106"/>
      <c r="C702" s="106"/>
      <c r="D702" s="106"/>
      <c r="E702" s="106"/>
      <c r="F702" s="106"/>
      <c r="G702" s="106"/>
      <c r="H702" s="106"/>
      <c r="I702" s="106"/>
      <c r="J702" s="106"/>
      <c r="K702" s="106"/>
      <c r="L702" s="106"/>
      <c r="M702" s="106"/>
      <c r="N702" s="106"/>
      <c r="O702" s="106"/>
      <c r="P702" s="106"/>
    </row>
    <row r="703" spans="2:16">
      <c r="B703" s="106"/>
      <c r="C703" s="106"/>
      <c r="D703" s="106"/>
      <c r="E703" s="106"/>
      <c r="F703" s="106"/>
      <c r="G703" s="106"/>
      <c r="H703" s="106"/>
      <c r="I703" s="106"/>
      <c r="J703" s="106"/>
      <c r="K703" s="106"/>
      <c r="L703" s="106"/>
      <c r="M703" s="106"/>
      <c r="N703" s="106"/>
      <c r="O703" s="106"/>
      <c r="P703" s="106"/>
    </row>
    <row r="704" spans="2:16">
      <c r="B704" s="106"/>
      <c r="C704" s="106"/>
      <c r="D704" s="106"/>
      <c r="E704" s="106"/>
      <c r="F704" s="106"/>
      <c r="G704" s="106"/>
      <c r="H704" s="106"/>
      <c r="I704" s="106"/>
      <c r="J704" s="106"/>
      <c r="K704" s="106"/>
      <c r="L704" s="106"/>
      <c r="M704" s="106"/>
      <c r="N704" s="106"/>
      <c r="O704" s="106"/>
      <c r="P704" s="106"/>
    </row>
    <row r="705" spans="2:16">
      <c r="B705" s="106"/>
      <c r="C705" s="106"/>
      <c r="D705" s="106"/>
      <c r="E705" s="106"/>
      <c r="F705" s="106"/>
      <c r="G705" s="106"/>
      <c r="H705" s="106"/>
      <c r="I705" s="106"/>
      <c r="J705" s="106"/>
      <c r="K705" s="106"/>
      <c r="L705" s="106"/>
      <c r="M705" s="106"/>
      <c r="N705" s="106"/>
      <c r="O705" s="106"/>
      <c r="P705" s="106"/>
    </row>
    <row r="706" spans="2:16">
      <c r="B706" s="106"/>
      <c r="C706" s="106"/>
      <c r="D706" s="106"/>
      <c r="E706" s="106"/>
      <c r="F706" s="106"/>
      <c r="G706" s="106"/>
      <c r="H706" s="106"/>
      <c r="I706" s="106"/>
      <c r="J706" s="106"/>
      <c r="K706" s="106"/>
      <c r="L706" s="106"/>
      <c r="M706" s="106"/>
      <c r="N706" s="106"/>
      <c r="O706" s="106"/>
      <c r="P706" s="106"/>
    </row>
    <row r="707" spans="2:16">
      <c r="B707" s="106"/>
      <c r="C707" s="106"/>
      <c r="D707" s="106"/>
      <c r="E707" s="106"/>
      <c r="F707" s="106"/>
      <c r="G707" s="106"/>
      <c r="H707" s="106"/>
      <c r="I707" s="106"/>
      <c r="J707" s="106"/>
      <c r="K707" s="106"/>
      <c r="L707" s="106"/>
      <c r="M707" s="106"/>
      <c r="N707" s="106"/>
      <c r="O707" s="106"/>
      <c r="P707" s="106"/>
    </row>
    <row r="708" spans="2:16">
      <c r="B708" s="106"/>
      <c r="C708" s="106"/>
      <c r="D708" s="106"/>
      <c r="E708" s="106"/>
      <c r="F708" s="106"/>
      <c r="G708" s="106"/>
      <c r="H708" s="106"/>
      <c r="I708" s="106"/>
      <c r="J708" s="106"/>
      <c r="K708" s="106"/>
      <c r="L708" s="106"/>
      <c r="M708" s="106"/>
      <c r="N708" s="106"/>
      <c r="O708" s="106"/>
      <c r="P708" s="106"/>
    </row>
    <row r="709" spans="2:16">
      <c r="B709" s="106"/>
      <c r="C709" s="106"/>
      <c r="D709" s="106"/>
      <c r="E709" s="106"/>
      <c r="F709" s="106"/>
      <c r="G709" s="106"/>
      <c r="H709" s="106"/>
      <c r="I709" s="106"/>
      <c r="J709" s="106"/>
      <c r="K709" s="106"/>
      <c r="L709" s="106"/>
      <c r="M709" s="106"/>
      <c r="N709" s="106"/>
      <c r="O709" s="106"/>
      <c r="P709" s="106"/>
    </row>
    <row r="710" spans="2:16">
      <c r="B710" s="106"/>
      <c r="C710" s="106"/>
      <c r="D710" s="106"/>
      <c r="E710" s="106"/>
      <c r="F710" s="106"/>
      <c r="G710" s="106"/>
      <c r="H710" s="106"/>
      <c r="I710" s="106"/>
      <c r="J710" s="106"/>
      <c r="K710" s="106"/>
      <c r="L710" s="106"/>
      <c r="M710" s="106"/>
      <c r="N710" s="106"/>
      <c r="O710" s="106"/>
      <c r="P710" s="106"/>
    </row>
    <row r="711" spans="2:16">
      <c r="B711" s="106"/>
      <c r="C711" s="106"/>
      <c r="D711" s="106"/>
      <c r="E711" s="106"/>
      <c r="F711" s="106"/>
      <c r="G711" s="106"/>
      <c r="H711" s="106"/>
      <c r="I711" s="106"/>
      <c r="J711" s="106"/>
      <c r="K711" s="106"/>
      <c r="L711" s="106"/>
      <c r="M711" s="106"/>
      <c r="N711" s="106"/>
      <c r="O711" s="106"/>
      <c r="P711" s="106"/>
    </row>
    <row r="712" spans="2:16">
      <c r="B712" s="106"/>
      <c r="C712" s="106"/>
      <c r="D712" s="106"/>
      <c r="E712" s="106"/>
      <c r="F712" s="106"/>
      <c r="G712" s="106"/>
      <c r="H712" s="106"/>
      <c r="I712" s="106"/>
      <c r="J712" s="106"/>
      <c r="K712" s="106"/>
      <c r="L712" s="106"/>
      <c r="M712" s="106"/>
      <c r="N712" s="106"/>
      <c r="O712" s="106"/>
      <c r="P712" s="106"/>
    </row>
    <row r="713" spans="2:16">
      <c r="B713" s="106"/>
      <c r="C713" s="106"/>
      <c r="D713" s="106"/>
      <c r="E713" s="106"/>
      <c r="F713" s="106"/>
      <c r="G713" s="106"/>
      <c r="H713" s="106"/>
      <c r="I713" s="106"/>
      <c r="J713" s="106"/>
      <c r="K713" s="106"/>
      <c r="L713" s="106"/>
      <c r="M713" s="106"/>
      <c r="N713" s="106"/>
      <c r="O713" s="106"/>
      <c r="P713" s="106"/>
    </row>
    <row r="714" spans="2:16">
      <c r="B714" s="106"/>
      <c r="C714" s="106"/>
      <c r="D714" s="106"/>
      <c r="E714" s="106"/>
      <c r="F714" s="106"/>
      <c r="G714" s="106"/>
      <c r="H714" s="106"/>
      <c r="I714" s="106"/>
      <c r="J714" s="106"/>
      <c r="K714" s="106"/>
      <c r="L714" s="106"/>
      <c r="M714" s="106"/>
      <c r="N714" s="106"/>
      <c r="O714" s="106"/>
      <c r="P714" s="106"/>
    </row>
    <row r="715" spans="2:16">
      <c r="B715" s="106"/>
      <c r="C715" s="106"/>
      <c r="D715" s="106"/>
      <c r="E715" s="106"/>
      <c r="F715" s="106"/>
      <c r="G715" s="106"/>
      <c r="H715" s="106"/>
      <c r="I715" s="106"/>
      <c r="J715" s="106"/>
      <c r="K715" s="106"/>
      <c r="L715" s="106"/>
      <c r="M715" s="106"/>
      <c r="N715" s="106"/>
      <c r="O715" s="106"/>
      <c r="P715" s="106"/>
    </row>
    <row r="716" spans="2:16">
      <c r="B716" s="106"/>
      <c r="C716" s="106"/>
      <c r="D716" s="106"/>
      <c r="E716" s="106"/>
      <c r="F716" s="106"/>
      <c r="G716" s="106"/>
      <c r="H716" s="106"/>
      <c r="I716" s="106"/>
      <c r="J716" s="106"/>
      <c r="K716" s="106"/>
      <c r="L716" s="106"/>
      <c r="M716" s="106"/>
      <c r="N716" s="106"/>
      <c r="O716" s="106"/>
      <c r="P716" s="106"/>
    </row>
    <row r="717" spans="2:16">
      <c r="B717" s="106"/>
      <c r="C717" s="106"/>
      <c r="D717" s="106"/>
      <c r="E717" s="106"/>
      <c r="F717" s="106"/>
      <c r="G717" s="106"/>
      <c r="H717" s="106"/>
      <c r="I717" s="106"/>
      <c r="J717" s="106"/>
      <c r="K717" s="106"/>
      <c r="L717" s="106"/>
      <c r="M717" s="106"/>
      <c r="N717" s="106"/>
      <c r="O717" s="106"/>
      <c r="P717" s="106"/>
    </row>
    <row r="718" spans="2:16">
      <c r="B718" s="106"/>
      <c r="C718" s="106"/>
      <c r="D718" s="106"/>
      <c r="E718" s="106"/>
      <c r="F718" s="106"/>
      <c r="G718" s="106"/>
      <c r="H718" s="106"/>
      <c r="I718" s="106"/>
      <c r="J718" s="106"/>
      <c r="K718" s="106"/>
      <c r="L718" s="106"/>
      <c r="M718" s="106"/>
      <c r="N718" s="106"/>
      <c r="O718" s="106"/>
      <c r="P718" s="106"/>
    </row>
    <row r="719" spans="2:16">
      <c r="B719" s="106"/>
      <c r="C719" s="106"/>
      <c r="D719" s="106"/>
      <c r="E719" s="106"/>
      <c r="F719" s="106"/>
      <c r="G719" s="106"/>
      <c r="H719" s="106"/>
      <c r="I719" s="106"/>
      <c r="J719" s="106"/>
      <c r="K719" s="106"/>
      <c r="L719" s="106"/>
      <c r="M719" s="106"/>
      <c r="N719" s="106"/>
      <c r="O719" s="106"/>
      <c r="P719" s="106"/>
    </row>
    <row r="720" spans="2:16">
      <c r="B720" s="106"/>
      <c r="C720" s="106"/>
      <c r="D720" s="106"/>
      <c r="E720" s="106"/>
      <c r="F720" s="106"/>
      <c r="G720" s="106"/>
      <c r="H720" s="106"/>
      <c r="I720" s="106"/>
      <c r="J720" s="106"/>
      <c r="K720" s="106"/>
      <c r="L720" s="106"/>
      <c r="M720" s="106"/>
      <c r="N720" s="106"/>
      <c r="O720" s="106"/>
      <c r="P720" s="106"/>
    </row>
    <row r="721" spans="2:16">
      <c r="B721" s="106"/>
      <c r="C721" s="106"/>
      <c r="D721" s="106"/>
      <c r="E721" s="106"/>
      <c r="F721" s="106"/>
      <c r="G721" s="106"/>
      <c r="H721" s="106"/>
      <c r="I721" s="106"/>
      <c r="J721" s="106"/>
      <c r="K721" s="106"/>
      <c r="L721" s="106"/>
      <c r="M721" s="106"/>
      <c r="N721" s="106"/>
      <c r="O721" s="106"/>
      <c r="P721" s="106"/>
    </row>
    <row r="722" spans="2:16">
      <c r="B722" s="106"/>
      <c r="C722" s="106"/>
      <c r="D722" s="106"/>
      <c r="E722" s="106"/>
      <c r="F722" s="106"/>
      <c r="G722" s="106"/>
      <c r="H722" s="106"/>
      <c r="I722" s="106"/>
      <c r="J722" s="106"/>
      <c r="K722" s="106"/>
      <c r="L722" s="106"/>
      <c r="M722" s="106"/>
      <c r="N722" s="106"/>
      <c r="O722" s="106"/>
      <c r="P722" s="106"/>
    </row>
    <row r="723" spans="2:16">
      <c r="B723" s="106"/>
      <c r="C723" s="106"/>
      <c r="D723" s="106"/>
      <c r="E723" s="106"/>
      <c r="F723" s="106"/>
      <c r="G723" s="106"/>
      <c r="H723" s="106"/>
      <c r="I723" s="106"/>
      <c r="J723" s="106"/>
      <c r="K723" s="106"/>
      <c r="L723" s="106"/>
      <c r="M723" s="106"/>
      <c r="N723" s="106"/>
      <c r="O723" s="106"/>
      <c r="P723" s="106"/>
    </row>
    <row r="724" spans="2:16">
      <c r="B724" s="106"/>
      <c r="C724" s="106"/>
      <c r="D724" s="106"/>
      <c r="E724" s="106"/>
      <c r="F724" s="106"/>
      <c r="G724" s="106"/>
      <c r="H724" s="106"/>
      <c r="I724" s="106"/>
      <c r="J724" s="106"/>
      <c r="K724" s="106"/>
      <c r="L724" s="106"/>
      <c r="M724" s="106"/>
      <c r="N724" s="106"/>
      <c r="O724" s="106"/>
      <c r="P724" s="106"/>
    </row>
    <row r="725" spans="2:16">
      <c r="B725" s="106"/>
      <c r="C725" s="106"/>
      <c r="D725" s="106"/>
      <c r="E725" s="106"/>
      <c r="F725" s="106"/>
      <c r="G725" s="106"/>
      <c r="H725" s="106"/>
      <c r="I725" s="106"/>
      <c r="J725" s="106"/>
      <c r="K725" s="106"/>
      <c r="L725" s="106"/>
      <c r="M725" s="106"/>
      <c r="N725" s="106"/>
      <c r="O725" s="106"/>
      <c r="P725" s="106"/>
    </row>
    <row r="726" spans="2:16">
      <c r="B726" s="106"/>
      <c r="C726" s="106"/>
      <c r="D726" s="106"/>
      <c r="E726" s="106"/>
      <c r="F726" s="106"/>
      <c r="G726" s="106"/>
      <c r="H726" s="106"/>
      <c r="I726" s="106"/>
      <c r="J726" s="106"/>
      <c r="K726" s="106"/>
      <c r="L726" s="106"/>
      <c r="M726" s="106"/>
      <c r="N726" s="106"/>
      <c r="O726" s="106"/>
      <c r="P726" s="106"/>
    </row>
    <row r="727" spans="2:16">
      <c r="B727" s="106"/>
      <c r="C727" s="106"/>
      <c r="D727" s="106"/>
      <c r="E727" s="106"/>
      <c r="F727" s="106"/>
      <c r="G727" s="106"/>
      <c r="H727" s="106"/>
      <c r="I727" s="106"/>
      <c r="J727" s="106"/>
      <c r="K727" s="106"/>
      <c r="L727" s="106"/>
      <c r="M727" s="106"/>
      <c r="N727" s="106"/>
      <c r="O727" s="106"/>
      <c r="P727" s="106"/>
    </row>
    <row r="728" spans="2:16">
      <c r="B728" s="106"/>
      <c r="C728" s="106"/>
      <c r="D728" s="106"/>
      <c r="E728" s="106"/>
      <c r="F728" s="106"/>
      <c r="G728" s="106"/>
      <c r="H728" s="106"/>
      <c r="I728" s="106"/>
      <c r="J728" s="106"/>
      <c r="K728" s="106"/>
      <c r="L728" s="106"/>
      <c r="M728" s="106"/>
      <c r="N728" s="106"/>
      <c r="O728" s="106"/>
      <c r="P728" s="106"/>
    </row>
    <row r="729" spans="2:16">
      <c r="B729" s="106"/>
      <c r="C729" s="106"/>
      <c r="D729" s="106"/>
      <c r="E729" s="106"/>
      <c r="F729" s="106"/>
      <c r="G729" s="106"/>
      <c r="H729" s="106"/>
      <c r="I729" s="106"/>
      <c r="J729" s="106"/>
      <c r="K729" s="106"/>
      <c r="L729" s="106"/>
      <c r="M729" s="106"/>
      <c r="N729" s="106"/>
      <c r="O729" s="106"/>
      <c r="P729" s="106"/>
    </row>
    <row r="730" spans="2:16">
      <c r="B730" s="106"/>
      <c r="C730" s="106"/>
      <c r="D730" s="106"/>
      <c r="E730" s="106"/>
      <c r="F730" s="106"/>
      <c r="G730" s="106"/>
      <c r="H730" s="106"/>
      <c r="I730" s="106"/>
      <c r="J730" s="106"/>
      <c r="K730" s="106"/>
      <c r="L730" s="106"/>
      <c r="M730" s="106"/>
      <c r="N730" s="106"/>
      <c r="O730" s="106"/>
      <c r="P730" s="106"/>
    </row>
    <row r="731" spans="2:16">
      <c r="B731" s="106"/>
      <c r="C731" s="106"/>
      <c r="D731" s="106"/>
      <c r="E731" s="106"/>
      <c r="F731" s="106"/>
      <c r="G731" s="106"/>
      <c r="H731" s="106"/>
      <c r="I731" s="106"/>
      <c r="J731" s="106"/>
      <c r="K731" s="106"/>
      <c r="L731" s="106"/>
      <c r="M731" s="106"/>
      <c r="N731" s="106"/>
      <c r="O731" s="106"/>
      <c r="P731" s="106"/>
    </row>
    <row r="732" spans="2:16">
      <c r="B732" s="106"/>
      <c r="C732" s="106"/>
      <c r="D732" s="106"/>
      <c r="E732" s="106"/>
      <c r="F732" s="106"/>
      <c r="G732" s="106"/>
      <c r="H732" s="106"/>
      <c r="I732" s="106"/>
      <c r="J732" s="106"/>
      <c r="K732" s="106"/>
      <c r="L732" s="106"/>
      <c r="M732" s="106"/>
      <c r="N732" s="106"/>
      <c r="O732" s="106"/>
      <c r="P732" s="106"/>
    </row>
    <row r="733" spans="2:16">
      <c r="B733" s="106"/>
      <c r="C733" s="106"/>
      <c r="D733" s="106"/>
      <c r="E733" s="106"/>
      <c r="F733" s="106"/>
      <c r="G733" s="106"/>
      <c r="H733" s="106"/>
      <c r="I733" s="106"/>
      <c r="J733" s="106"/>
      <c r="K733" s="106"/>
      <c r="L733" s="106"/>
      <c r="M733" s="106"/>
      <c r="N733" s="106"/>
      <c r="O733" s="106"/>
      <c r="P733" s="106"/>
    </row>
    <row r="734" spans="2:16">
      <c r="B734" s="106"/>
      <c r="C734" s="106"/>
      <c r="D734" s="106"/>
      <c r="E734" s="106"/>
      <c r="F734" s="106"/>
      <c r="G734" s="106"/>
      <c r="H734" s="106"/>
      <c r="I734" s="106"/>
      <c r="J734" s="106"/>
      <c r="K734" s="106"/>
      <c r="L734" s="106"/>
      <c r="M734" s="106"/>
      <c r="N734" s="106"/>
      <c r="O734" s="106"/>
      <c r="P734" s="106"/>
    </row>
    <row r="735" spans="2:16">
      <c r="B735" s="106"/>
      <c r="C735" s="106"/>
      <c r="D735" s="106"/>
      <c r="E735" s="106"/>
      <c r="F735" s="106"/>
      <c r="G735" s="106"/>
      <c r="H735" s="106"/>
      <c r="I735" s="106"/>
      <c r="J735" s="106"/>
      <c r="K735" s="106"/>
      <c r="L735" s="106"/>
      <c r="M735" s="106"/>
      <c r="N735" s="106"/>
      <c r="O735" s="106"/>
      <c r="P735" s="106"/>
    </row>
    <row r="736" spans="2:16">
      <c r="B736" s="106"/>
      <c r="C736" s="106"/>
      <c r="D736" s="106"/>
      <c r="E736" s="106"/>
      <c r="F736" s="106"/>
      <c r="G736" s="106"/>
      <c r="H736" s="106"/>
      <c r="I736" s="106"/>
      <c r="J736" s="106"/>
      <c r="K736" s="106"/>
      <c r="L736" s="106"/>
      <c r="M736" s="106"/>
      <c r="N736" s="106"/>
      <c r="O736" s="106"/>
      <c r="P736" s="106"/>
    </row>
    <row r="737" spans="2:16">
      <c r="B737" s="106"/>
      <c r="C737" s="106"/>
      <c r="D737" s="106"/>
      <c r="E737" s="106"/>
      <c r="F737" s="106"/>
      <c r="G737" s="106"/>
      <c r="H737" s="106"/>
      <c r="I737" s="106"/>
      <c r="J737" s="106"/>
      <c r="K737" s="106"/>
      <c r="L737" s="106"/>
      <c r="M737" s="106"/>
      <c r="N737" s="106"/>
      <c r="O737" s="106"/>
      <c r="P737" s="106"/>
    </row>
    <row r="738" spans="2:16">
      <c r="B738" s="106"/>
      <c r="C738" s="106"/>
      <c r="D738" s="106"/>
      <c r="E738" s="106"/>
      <c r="F738" s="106"/>
      <c r="G738" s="106"/>
      <c r="H738" s="106"/>
      <c r="I738" s="106"/>
      <c r="J738" s="106"/>
      <c r="K738" s="106"/>
      <c r="L738" s="106"/>
      <c r="M738" s="106"/>
      <c r="N738" s="106"/>
      <c r="O738" s="106"/>
      <c r="P738" s="106"/>
    </row>
    <row r="739" spans="2:16">
      <c r="B739" s="106"/>
      <c r="C739" s="106"/>
      <c r="D739" s="106"/>
      <c r="E739" s="106"/>
      <c r="F739" s="106"/>
      <c r="G739" s="106"/>
      <c r="H739" s="106"/>
      <c r="I739" s="106"/>
      <c r="J739" s="106"/>
      <c r="K739" s="106"/>
      <c r="L739" s="106"/>
      <c r="M739" s="106"/>
      <c r="N739" s="106"/>
      <c r="O739" s="106"/>
      <c r="P739" s="106"/>
    </row>
    <row r="740" spans="2:16">
      <c r="B740" s="106"/>
      <c r="C740" s="106"/>
      <c r="D740" s="106"/>
      <c r="E740" s="106"/>
      <c r="F740" s="106"/>
      <c r="G740" s="106"/>
      <c r="H740" s="106"/>
      <c r="I740" s="106"/>
      <c r="J740" s="106"/>
      <c r="K740" s="106"/>
      <c r="L740" s="106"/>
      <c r="M740" s="106"/>
      <c r="N740" s="106"/>
      <c r="O740" s="106"/>
      <c r="P740" s="106"/>
    </row>
    <row r="741" spans="2:16">
      <c r="B741" s="106"/>
      <c r="C741" s="106"/>
      <c r="D741" s="106"/>
      <c r="E741" s="106"/>
      <c r="F741" s="106"/>
      <c r="G741" s="106"/>
      <c r="H741" s="106"/>
      <c r="I741" s="106"/>
      <c r="J741" s="106"/>
      <c r="K741" s="106"/>
      <c r="L741" s="106"/>
      <c r="M741" s="106"/>
      <c r="N741" s="106"/>
      <c r="O741" s="106"/>
      <c r="P741" s="106"/>
    </row>
    <row r="742" spans="2:16">
      <c r="B742" s="106"/>
      <c r="C742" s="106"/>
      <c r="D742" s="106"/>
      <c r="E742" s="106"/>
      <c r="F742" s="106"/>
      <c r="G742" s="106"/>
      <c r="H742" s="106"/>
      <c r="I742" s="106"/>
      <c r="J742" s="106"/>
      <c r="K742" s="106"/>
      <c r="L742" s="106"/>
      <c r="M742" s="106"/>
      <c r="N742" s="106"/>
      <c r="O742" s="106"/>
      <c r="P742" s="106"/>
    </row>
    <row r="743" spans="2:16">
      <c r="B743" s="106"/>
      <c r="C743" s="106"/>
      <c r="D743" s="106"/>
      <c r="E743" s="106"/>
      <c r="F743" s="106"/>
      <c r="G743" s="106"/>
      <c r="H743" s="106"/>
      <c r="I743" s="106"/>
      <c r="J743" s="106"/>
      <c r="K743" s="106"/>
      <c r="L743" s="106"/>
      <c r="M743" s="106"/>
      <c r="N743" s="106"/>
      <c r="O743" s="106"/>
      <c r="P743" s="106"/>
    </row>
    <row r="744" spans="2:16">
      <c r="B744" s="106"/>
      <c r="C744" s="106"/>
      <c r="D744" s="106"/>
      <c r="E744" s="106"/>
      <c r="F744" s="106"/>
      <c r="G744" s="106"/>
      <c r="H744" s="106"/>
      <c r="I744" s="106"/>
      <c r="J744" s="106"/>
      <c r="K744" s="106"/>
      <c r="L744" s="106"/>
      <c r="M744" s="106"/>
      <c r="N744" s="106"/>
      <c r="O744" s="106"/>
      <c r="P744" s="106"/>
    </row>
    <row r="745" spans="2:16">
      <c r="B745" s="106"/>
      <c r="C745" s="106"/>
      <c r="D745" s="106"/>
      <c r="E745" s="106"/>
      <c r="F745" s="106"/>
      <c r="G745" s="106"/>
      <c r="H745" s="106"/>
      <c r="I745" s="106"/>
      <c r="J745" s="106"/>
      <c r="K745" s="106"/>
      <c r="L745" s="106"/>
      <c r="M745" s="106"/>
      <c r="N745" s="106"/>
      <c r="O745" s="106"/>
      <c r="P745" s="106"/>
    </row>
    <row r="746" spans="2:16">
      <c r="B746" s="106"/>
      <c r="C746" s="106"/>
      <c r="D746" s="106"/>
      <c r="E746" s="106"/>
      <c r="F746" s="106"/>
      <c r="G746" s="106"/>
      <c r="H746" s="106"/>
      <c r="I746" s="106"/>
      <c r="J746" s="106"/>
      <c r="K746" s="106"/>
      <c r="L746" s="106"/>
      <c r="M746" s="106"/>
      <c r="N746" s="106"/>
      <c r="O746" s="106"/>
      <c r="P746" s="106"/>
    </row>
    <row r="747" spans="2:16">
      <c r="B747" s="106"/>
      <c r="C747" s="106"/>
      <c r="D747" s="106"/>
      <c r="E747" s="106"/>
      <c r="F747" s="106"/>
      <c r="G747" s="106"/>
      <c r="H747" s="106"/>
      <c r="I747" s="106"/>
      <c r="J747" s="106"/>
      <c r="K747" s="106"/>
      <c r="L747" s="106"/>
      <c r="M747" s="106"/>
      <c r="N747" s="106"/>
      <c r="O747" s="106"/>
      <c r="P747" s="106"/>
    </row>
    <row r="748" spans="2:16">
      <c r="B748" s="106"/>
      <c r="C748" s="106"/>
      <c r="D748" s="106"/>
      <c r="E748" s="106"/>
      <c r="F748" s="106"/>
      <c r="G748" s="106"/>
      <c r="H748" s="106"/>
      <c r="I748" s="106"/>
      <c r="J748" s="106"/>
      <c r="K748" s="106"/>
      <c r="L748" s="106"/>
      <c r="M748" s="106"/>
      <c r="N748" s="106"/>
      <c r="O748" s="106"/>
      <c r="P748" s="106"/>
    </row>
    <row r="749" spans="2:16">
      <c r="B749" s="106"/>
      <c r="C749" s="106"/>
      <c r="D749" s="106"/>
      <c r="E749" s="106"/>
      <c r="F749" s="106"/>
      <c r="G749" s="106"/>
      <c r="H749" s="106"/>
      <c r="I749" s="106"/>
      <c r="J749" s="106"/>
      <c r="K749" s="106"/>
      <c r="L749" s="106"/>
      <c r="M749" s="106"/>
      <c r="N749" s="106"/>
      <c r="O749" s="106"/>
      <c r="P749" s="106"/>
    </row>
    <row r="750" spans="2:16">
      <c r="B750" s="106"/>
      <c r="C750" s="106"/>
      <c r="D750" s="106"/>
      <c r="E750" s="106"/>
      <c r="F750" s="106"/>
      <c r="G750" s="106"/>
      <c r="H750" s="106"/>
      <c r="I750" s="106"/>
      <c r="J750" s="106"/>
      <c r="K750" s="106"/>
      <c r="L750" s="106"/>
      <c r="M750" s="106"/>
      <c r="N750" s="106"/>
      <c r="O750" s="106"/>
      <c r="P750" s="106"/>
    </row>
    <row r="751" spans="2:16">
      <c r="B751" s="106"/>
      <c r="C751" s="106"/>
      <c r="D751" s="106"/>
      <c r="E751" s="106"/>
      <c r="F751" s="106"/>
      <c r="G751" s="106"/>
      <c r="H751" s="106"/>
      <c r="I751" s="106"/>
      <c r="J751" s="106"/>
      <c r="K751" s="106"/>
      <c r="L751" s="106"/>
      <c r="M751" s="106"/>
      <c r="N751" s="106"/>
      <c r="O751" s="106"/>
      <c r="P751" s="106"/>
    </row>
    <row r="752" spans="2:16">
      <c r="B752" s="106"/>
      <c r="C752" s="106"/>
      <c r="D752" s="106"/>
      <c r="E752" s="106"/>
      <c r="F752" s="106"/>
      <c r="G752" s="106"/>
      <c r="H752" s="106"/>
      <c r="I752" s="106"/>
      <c r="J752" s="106"/>
      <c r="K752" s="106"/>
      <c r="L752" s="106"/>
      <c r="M752" s="106"/>
      <c r="N752" s="106"/>
      <c r="O752" s="106"/>
      <c r="P752" s="106"/>
    </row>
    <row r="753" spans="2:16">
      <c r="B753" s="106"/>
      <c r="C753" s="106"/>
      <c r="D753" s="106"/>
      <c r="E753" s="106"/>
      <c r="F753" s="106"/>
      <c r="G753" s="106"/>
      <c r="H753" s="106"/>
      <c r="I753" s="106"/>
      <c r="J753" s="106"/>
      <c r="K753" s="106"/>
      <c r="L753" s="106"/>
      <c r="M753" s="106"/>
      <c r="N753" s="106"/>
      <c r="O753" s="106"/>
      <c r="P753" s="106"/>
    </row>
    <row r="754" spans="2:16">
      <c r="B754" s="106"/>
      <c r="C754" s="106"/>
      <c r="D754" s="106"/>
      <c r="E754" s="106"/>
      <c r="F754" s="106"/>
      <c r="G754" s="106"/>
      <c r="H754" s="106"/>
      <c r="I754" s="106"/>
      <c r="J754" s="106"/>
      <c r="K754" s="106"/>
      <c r="L754" s="106"/>
      <c r="M754" s="106"/>
      <c r="N754" s="106"/>
      <c r="O754" s="106"/>
      <c r="P754" s="106"/>
    </row>
    <row r="755" spans="2:16">
      <c r="B755" s="106"/>
      <c r="C755" s="106"/>
      <c r="D755" s="106"/>
      <c r="E755" s="106"/>
      <c r="F755" s="106"/>
      <c r="G755" s="106"/>
      <c r="H755" s="106"/>
      <c r="I755" s="106"/>
      <c r="J755" s="106"/>
      <c r="K755" s="106"/>
      <c r="L755" s="106"/>
      <c r="M755" s="106"/>
      <c r="N755" s="106"/>
      <c r="O755" s="106"/>
      <c r="P755" s="106"/>
    </row>
    <row r="756" spans="2:16">
      <c r="B756" s="106"/>
      <c r="C756" s="106"/>
      <c r="D756" s="106"/>
      <c r="E756" s="106"/>
      <c r="F756" s="106"/>
      <c r="G756" s="106"/>
      <c r="H756" s="106"/>
      <c r="I756" s="106"/>
      <c r="J756" s="106"/>
      <c r="K756" s="106"/>
      <c r="L756" s="106"/>
      <c r="M756" s="106"/>
      <c r="N756" s="106"/>
      <c r="O756" s="106"/>
      <c r="P756" s="106"/>
    </row>
    <row r="757" spans="2:16">
      <c r="B757" s="106"/>
      <c r="C757" s="106"/>
      <c r="D757" s="106"/>
      <c r="E757" s="106"/>
      <c r="F757" s="106"/>
      <c r="G757" s="106"/>
      <c r="H757" s="106"/>
      <c r="I757" s="106"/>
      <c r="J757" s="106"/>
      <c r="K757" s="106"/>
      <c r="L757" s="106"/>
      <c r="M757" s="106"/>
      <c r="N757" s="106"/>
      <c r="O757" s="106"/>
      <c r="P757" s="106"/>
    </row>
    <row r="758" spans="2:16">
      <c r="B758" s="106"/>
      <c r="C758" s="106"/>
      <c r="D758" s="106"/>
      <c r="E758" s="106"/>
      <c r="F758" s="106"/>
      <c r="G758" s="106"/>
      <c r="H758" s="106"/>
      <c r="I758" s="106"/>
      <c r="J758" s="106"/>
      <c r="K758" s="106"/>
      <c r="L758" s="106"/>
      <c r="M758" s="106"/>
      <c r="N758" s="106"/>
      <c r="O758" s="106"/>
      <c r="P758" s="106"/>
    </row>
    <row r="759" spans="2:16">
      <c r="B759" s="106"/>
      <c r="C759" s="106"/>
      <c r="D759" s="106"/>
      <c r="E759" s="106"/>
      <c r="F759" s="106"/>
      <c r="G759" s="106"/>
      <c r="H759" s="106"/>
      <c r="I759" s="106"/>
      <c r="J759" s="106"/>
      <c r="K759" s="106"/>
      <c r="L759" s="106"/>
      <c r="M759" s="106"/>
      <c r="N759" s="106"/>
      <c r="O759" s="106"/>
      <c r="P759" s="106"/>
    </row>
    <row r="760" spans="2:16">
      <c r="B760" s="106"/>
      <c r="C760" s="106"/>
      <c r="D760" s="106"/>
      <c r="E760" s="106"/>
      <c r="F760" s="106"/>
      <c r="G760" s="106"/>
      <c r="H760" s="106"/>
      <c r="I760" s="106"/>
      <c r="J760" s="106"/>
      <c r="K760" s="106"/>
      <c r="L760" s="106"/>
      <c r="M760" s="106"/>
      <c r="N760" s="106"/>
      <c r="O760" s="106"/>
      <c r="P760" s="106"/>
    </row>
    <row r="761" spans="2:16">
      <c r="B761" s="106"/>
      <c r="C761" s="106"/>
      <c r="D761" s="106"/>
      <c r="E761" s="106"/>
      <c r="F761" s="106"/>
      <c r="G761" s="106"/>
      <c r="H761" s="106"/>
      <c r="I761" s="106"/>
      <c r="J761" s="106"/>
      <c r="K761" s="106"/>
      <c r="L761" s="106"/>
      <c r="M761" s="106"/>
      <c r="N761" s="106"/>
      <c r="O761" s="106"/>
      <c r="P761" s="106"/>
    </row>
    <row r="762" spans="2:16">
      <c r="B762" s="106"/>
      <c r="C762" s="106"/>
      <c r="D762" s="106"/>
      <c r="E762" s="106"/>
      <c r="F762" s="106"/>
      <c r="G762" s="106"/>
      <c r="H762" s="106"/>
      <c r="I762" s="106"/>
      <c r="J762" s="106"/>
      <c r="K762" s="106"/>
      <c r="L762" s="106"/>
      <c r="M762" s="106"/>
      <c r="N762" s="106"/>
      <c r="O762" s="106"/>
      <c r="P762" s="106"/>
    </row>
    <row r="763" spans="2:16">
      <c r="B763" s="106"/>
      <c r="C763" s="106"/>
      <c r="D763" s="106"/>
      <c r="E763" s="106"/>
      <c r="F763" s="106"/>
      <c r="G763" s="106"/>
      <c r="H763" s="106"/>
      <c r="I763" s="106"/>
      <c r="J763" s="106"/>
      <c r="K763" s="106"/>
      <c r="L763" s="106"/>
      <c r="M763" s="106"/>
      <c r="N763" s="106"/>
      <c r="O763" s="106"/>
      <c r="P763" s="106"/>
    </row>
    <row r="764" spans="2:16">
      <c r="B764" s="106"/>
      <c r="C764" s="106"/>
      <c r="D764" s="106"/>
      <c r="E764" s="106"/>
      <c r="F764" s="106"/>
      <c r="G764" s="106"/>
      <c r="H764" s="106"/>
      <c r="I764" s="106"/>
      <c r="J764" s="106"/>
      <c r="K764" s="106"/>
      <c r="L764" s="106"/>
      <c r="M764" s="106"/>
      <c r="N764" s="106"/>
      <c r="O764" s="106"/>
      <c r="P764" s="106"/>
    </row>
    <row r="765" spans="2:16">
      <c r="B765" s="106"/>
      <c r="C765" s="106"/>
      <c r="D765" s="106"/>
      <c r="E765" s="106"/>
      <c r="F765" s="106"/>
      <c r="G765" s="106"/>
      <c r="H765" s="106"/>
      <c r="I765" s="106"/>
      <c r="J765" s="106"/>
      <c r="K765" s="106"/>
      <c r="L765" s="106"/>
      <c r="M765" s="106"/>
      <c r="N765" s="106"/>
      <c r="O765" s="106"/>
      <c r="P765" s="106"/>
    </row>
    <row r="766" spans="2:16">
      <c r="B766" s="106"/>
      <c r="C766" s="106"/>
      <c r="D766" s="106"/>
      <c r="E766" s="106"/>
      <c r="F766" s="106"/>
      <c r="G766" s="106"/>
      <c r="H766" s="106"/>
      <c r="I766" s="106"/>
      <c r="J766" s="106"/>
      <c r="K766" s="106"/>
      <c r="L766" s="106"/>
      <c r="M766" s="106"/>
      <c r="N766" s="106"/>
      <c r="O766" s="106"/>
      <c r="P766" s="106"/>
    </row>
    <row r="767" spans="2:16">
      <c r="B767" s="106"/>
      <c r="C767" s="106"/>
      <c r="D767" s="106"/>
      <c r="E767" s="106"/>
      <c r="F767" s="106"/>
      <c r="G767" s="106"/>
      <c r="H767" s="106"/>
      <c r="I767" s="106"/>
      <c r="J767" s="106"/>
      <c r="K767" s="106"/>
      <c r="L767" s="106"/>
      <c r="M767" s="106"/>
      <c r="N767" s="106"/>
      <c r="O767" s="106"/>
      <c r="P767" s="106"/>
    </row>
    <row r="768" spans="2:16">
      <c r="B768" s="106"/>
      <c r="C768" s="106"/>
      <c r="D768" s="106"/>
      <c r="E768" s="106"/>
      <c r="F768" s="106"/>
      <c r="G768" s="106"/>
      <c r="H768" s="106"/>
      <c r="I768" s="106"/>
      <c r="J768" s="106"/>
      <c r="K768" s="106"/>
      <c r="L768" s="106"/>
      <c r="M768" s="106"/>
      <c r="N768" s="106"/>
      <c r="O768" s="106"/>
      <c r="P768" s="106"/>
    </row>
    <row r="769" spans="2:16">
      <c r="B769" s="106"/>
      <c r="C769" s="106"/>
      <c r="D769" s="106"/>
      <c r="E769" s="106"/>
      <c r="F769" s="106"/>
      <c r="G769" s="106"/>
      <c r="H769" s="106"/>
      <c r="I769" s="106"/>
      <c r="J769" s="106"/>
      <c r="K769" s="106"/>
      <c r="L769" s="106"/>
      <c r="M769" s="106"/>
      <c r="N769" s="106"/>
      <c r="O769" s="106"/>
      <c r="P769" s="106"/>
    </row>
    <row r="770" spans="2:16">
      <c r="B770" s="106"/>
      <c r="C770" s="106"/>
      <c r="D770" s="106"/>
      <c r="E770" s="106"/>
      <c r="F770" s="106"/>
      <c r="G770" s="106"/>
      <c r="H770" s="106"/>
      <c r="I770" s="106"/>
      <c r="J770" s="106"/>
      <c r="K770" s="106"/>
      <c r="L770" s="106"/>
      <c r="M770" s="106"/>
      <c r="N770" s="106"/>
      <c r="O770" s="106"/>
      <c r="P770" s="106"/>
    </row>
    <row r="771" spans="2:16">
      <c r="B771" s="106"/>
      <c r="C771" s="106"/>
      <c r="D771" s="106"/>
      <c r="E771" s="106"/>
      <c r="F771" s="106"/>
      <c r="G771" s="106"/>
      <c r="H771" s="106"/>
      <c r="I771" s="106"/>
      <c r="J771" s="106"/>
      <c r="K771" s="106"/>
      <c r="L771" s="106"/>
      <c r="M771" s="106"/>
      <c r="N771" s="106"/>
      <c r="O771" s="106"/>
      <c r="P771" s="106"/>
    </row>
    <row r="772" spans="2:16">
      <c r="B772" s="106"/>
      <c r="C772" s="106"/>
      <c r="D772" s="106"/>
      <c r="E772" s="106"/>
      <c r="F772" s="106"/>
      <c r="G772" s="106"/>
      <c r="H772" s="106"/>
      <c r="I772" s="106"/>
      <c r="J772" s="106"/>
      <c r="K772" s="106"/>
      <c r="L772" s="106"/>
      <c r="M772" s="106"/>
      <c r="N772" s="106"/>
      <c r="O772" s="106"/>
      <c r="P772" s="106"/>
    </row>
    <row r="773" spans="2:16">
      <c r="B773" s="106"/>
      <c r="C773" s="106"/>
      <c r="D773" s="106"/>
      <c r="E773" s="106"/>
      <c r="F773" s="106"/>
      <c r="G773" s="106"/>
      <c r="H773" s="106"/>
      <c r="I773" s="106"/>
      <c r="J773" s="106"/>
      <c r="K773" s="106"/>
      <c r="L773" s="106"/>
      <c r="M773" s="106"/>
      <c r="N773" s="106"/>
      <c r="O773" s="106"/>
      <c r="P773" s="106"/>
    </row>
    <row r="774" spans="2:16">
      <c r="B774" s="106"/>
      <c r="C774" s="106"/>
      <c r="D774" s="106"/>
      <c r="E774" s="106"/>
      <c r="F774" s="106"/>
      <c r="G774" s="106"/>
      <c r="H774" s="106"/>
      <c r="I774" s="106"/>
      <c r="J774" s="106"/>
      <c r="K774" s="106"/>
      <c r="L774" s="106"/>
      <c r="M774" s="106"/>
      <c r="N774" s="106"/>
      <c r="O774" s="106"/>
      <c r="P774" s="106"/>
    </row>
    <row r="775" spans="2:16">
      <c r="B775" s="106"/>
      <c r="C775" s="106"/>
      <c r="D775" s="106"/>
      <c r="E775" s="106"/>
      <c r="F775" s="106"/>
      <c r="G775" s="106"/>
      <c r="H775" s="106"/>
      <c r="I775" s="106"/>
      <c r="J775" s="106"/>
      <c r="K775" s="106"/>
      <c r="L775" s="106"/>
      <c r="M775" s="106"/>
      <c r="N775" s="106"/>
      <c r="O775" s="106"/>
      <c r="P775" s="106"/>
    </row>
    <row r="776" spans="2:16">
      <c r="B776" s="106"/>
      <c r="C776" s="106"/>
      <c r="D776" s="106"/>
      <c r="E776" s="106"/>
      <c r="F776" s="106"/>
      <c r="G776" s="106"/>
      <c r="H776" s="106"/>
      <c r="I776" s="106"/>
      <c r="J776" s="106"/>
      <c r="K776" s="106"/>
      <c r="L776" s="106"/>
      <c r="M776" s="106"/>
      <c r="N776" s="106"/>
      <c r="O776" s="106"/>
      <c r="P776" s="106"/>
    </row>
    <row r="777" spans="2:16">
      <c r="B777" s="106"/>
      <c r="C777" s="106"/>
      <c r="D777" s="106"/>
      <c r="E777" s="106"/>
      <c r="F777" s="106"/>
      <c r="G777" s="106"/>
      <c r="H777" s="106"/>
      <c r="I777" s="106"/>
      <c r="J777" s="106"/>
      <c r="K777" s="106"/>
      <c r="L777" s="106"/>
      <c r="M777" s="106"/>
      <c r="N777" s="106"/>
      <c r="O777" s="106"/>
      <c r="P777" s="106"/>
    </row>
    <row r="778" spans="2:16">
      <c r="B778" s="106"/>
      <c r="C778" s="106"/>
      <c r="D778" s="106"/>
      <c r="E778" s="106"/>
      <c r="F778" s="106"/>
      <c r="G778" s="106"/>
      <c r="H778" s="106"/>
      <c r="I778" s="106"/>
      <c r="J778" s="106"/>
      <c r="K778" s="106"/>
      <c r="L778" s="106"/>
      <c r="M778" s="106"/>
      <c r="N778" s="106"/>
      <c r="O778" s="106"/>
      <c r="P778" s="106"/>
    </row>
    <row r="779" spans="2:16">
      <c r="B779" s="106"/>
      <c r="C779" s="106"/>
      <c r="D779" s="106"/>
      <c r="E779" s="106"/>
      <c r="F779" s="106"/>
      <c r="G779" s="106"/>
      <c r="H779" s="106"/>
      <c r="I779" s="106"/>
      <c r="J779" s="106"/>
      <c r="K779" s="106"/>
      <c r="L779" s="106"/>
      <c r="M779" s="106"/>
      <c r="N779" s="106"/>
      <c r="O779" s="106"/>
      <c r="P779" s="106"/>
    </row>
    <row r="780" spans="2:16">
      <c r="B780" s="106"/>
      <c r="C780" s="106"/>
      <c r="D780" s="106"/>
      <c r="E780" s="106"/>
      <c r="F780" s="106"/>
      <c r="G780" s="106"/>
      <c r="H780" s="106"/>
      <c r="I780" s="106"/>
      <c r="J780" s="106"/>
      <c r="K780" s="106"/>
      <c r="L780" s="106"/>
      <c r="M780" s="106"/>
      <c r="N780" s="106"/>
      <c r="O780" s="106"/>
      <c r="P780" s="106"/>
    </row>
    <row r="781" spans="2:16">
      <c r="B781" s="106"/>
      <c r="C781" s="106"/>
      <c r="D781" s="106"/>
      <c r="E781" s="106"/>
      <c r="F781" s="106"/>
      <c r="G781" s="106"/>
      <c r="H781" s="106"/>
      <c r="I781" s="106"/>
      <c r="J781" s="106"/>
      <c r="K781" s="106"/>
      <c r="L781" s="106"/>
      <c r="M781" s="106"/>
      <c r="N781" s="106"/>
      <c r="O781" s="106"/>
      <c r="P781" s="106"/>
    </row>
    <row r="782" spans="2:16">
      <c r="B782" s="106"/>
      <c r="C782" s="106"/>
      <c r="D782" s="106"/>
      <c r="E782" s="106"/>
      <c r="F782" s="106"/>
      <c r="G782" s="106"/>
      <c r="H782" s="106"/>
      <c r="I782" s="106"/>
      <c r="J782" s="106"/>
      <c r="K782" s="106"/>
      <c r="L782" s="106"/>
      <c r="M782" s="106"/>
      <c r="N782" s="106"/>
      <c r="O782" s="106"/>
      <c r="P782" s="106"/>
    </row>
    <row r="783" spans="2:16">
      <c r="B783" s="106"/>
      <c r="C783" s="106"/>
      <c r="D783" s="106"/>
      <c r="E783" s="106"/>
      <c r="F783" s="106"/>
      <c r="G783" s="106"/>
      <c r="H783" s="106"/>
      <c r="I783" s="106"/>
      <c r="J783" s="106"/>
      <c r="K783" s="106"/>
      <c r="L783" s="106"/>
      <c r="M783" s="106"/>
      <c r="N783" s="106"/>
      <c r="O783" s="106"/>
      <c r="P783" s="106"/>
    </row>
    <row r="784" spans="2:16">
      <c r="B784" s="106"/>
      <c r="C784" s="106"/>
      <c r="D784" s="106"/>
      <c r="E784" s="106"/>
      <c r="F784" s="106"/>
      <c r="G784" s="106"/>
      <c r="H784" s="106"/>
      <c r="I784" s="106"/>
      <c r="J784" s="106"/>
      <c r="K784" s="106"/>
      <c r="L784" s="106"/>
      <c r="M784" s="106"/>
      <c r="N784" s="106"/>
      <c r="O784" s="106"/>
      <c r="P784" s="106"/>
    </row>
    <row r="785" spans="2:16">
      <c r="B785" s="106"/>
      <c r="C785" s="106"/>
      <c r="D785" s="106"/>
      <c r="E785" s="106"/>
      <c r="F785" s="106"/>
      <c r="G785" s="106"/>
      <c r="H785" s="106"/>
      <c r="I785" s="106"/>
      <c r="J785" s="106"/>
      <c r="K785" s="106"/>
      <c r="L785" s="106"/>
      <c r="M785" s="106"/>
      <c r="N785" s="106"/>
      <c r="O785" s="106"/>
      <c r="P785" s="106"/>
    </row>
    <row r="786" spans="2:16">
      <c r="B786" s="106"/>
      <c r="C786" s="106"/>
      <c r="D786" s="106"/>
      <c r="E786" s="106"/>
      <c r="F786" s="106"/>
      <c r="G786" s="106"/>
      <c r="H786" s="106"/>
      <c r="I786" s="106"/>
      <c r="J786" s="106"/>
      <c r="K786" s="106"/>
      <c r="L786" s="106"/>
      <c r="M786" s="106"/>
      <c r="N786" s="106"/>
      <c r="O786" s="106"/>
      <c r="P786" s="106"/>
    </row>
    <row r="787" spans="2:16">
      <c r="B787" s="106"/>
      <c r="C787" s="106"/>
      <c r="D787" s="106"/>
      <c r="E787" s="106"/>
      <c r="F787" s="106"/>
      <c r="G787" s="106"/>
      <c r="H787" s="106"/>
      <c r="I787" s="106"/>
      <c r="J787" s="106"/>
      <c r="K787" s="106"/>
      <c r="L787" s="106"/>
      <c r="M787" s="106"/>
      <c r="N787" s="106"/>
      <c r="O787" s="106"/>
      <c r="P787" s="106"/>
    </row>
    <row r="788" spans="2:16">
      <c r="B788" s="106"/>
      <c r="C788" s="106"/>
      <c r="D788" s="106"/>
      <c r="E788" s="106"/>
      <c r="F788" s="106"/>
      <c r="G788" s="106"/>
      <c r="H788" s="106"/>
      <c r="I788" s="106"/>
      <c r="J788" s="106"/>
      <c r="K788" s="106"/>
      <c r="L788" s="106"/>
      <c r="M788" s="106"/>
      <c r="N788" s="106"/>
      <c r="O788" s="106"/>
      <c r="P788" s="106"/>
    </row>
    <row r="789" spans="2:16">
      <c r="B789" s="106"/>
      <c r="C789" s="106"/>
      <c r="D789" s="106"/>
      <c r="E789" s="106"/>
      <c r="F789" s="106"/>
      <c r="G789" s="106"/>
      <c r="H789" s="106"/>
      <c r="I789" s="106"/>
      <c r="J789" s="106"/>
      <c r="K789" s="106"/>
      <c r="L789" s="106"/>
      <c r="M789" s="106"/>
      <c r="N789" s="106"/>
      <c r="O789" s="106"/>
      <c r="P789" s="106"/>
    </row>
    <row r="790" spans="2:16">
      <c r="B790" s="106"/>
      <c r="C790" s="106"/>
      <c r="D790" s="106"/>
      <c r="E790" s="106"/>
      <c r="F790" s="106"/>
      <c r="G790" s="106"/>
      <c r="H790" s="106"/>
      <c r="I790" s="106"/>
      <c r="J790" s="106"/>
      <c r="K790" s="106"/>
      <c r="L790" s="106"/>
      <c r="M790" s="106"/>
      <c r="N790" s="106"/>
      <c r="O790" s="106"/>
      <c r="P790" s="106"/>
    </row>
    <row r="791" spans="2:16">
      <c r="B791" s="106"/>
      <c r="C791" s="106"/>
      <c r="D791" s="106"/>
      <c r="E791" s="106"/>
      <c r="F791" s="106"/>
      <c r="G791" s="106"/>
      <c r="H791" s="106"/>
      <c r="I791" s="106"/>
      <c r="J791" s="106"/>
      <c r="K791" s="106"/>
      <c r="L791" s="106"/>
      <c r="M791" s="106"/>
      <c r="N791" s="106"/>
      <c r="O791" s="106"/>
      <c r="P791" s="106"/>
    </row>
    <row r="792" spans="2:16">
      <c r="B792" s="106"/>
      <c r="C792" s="106"/>
      <c r="D792" s="106"/>
      <c r="E792" s="106"/>
      <c r="F792" s="106"/>
      <c r="G792" s="106"/>
      <c r="H792" s="106"/>
      <c r="I792" s="106"/>
      <c r="J792" s="106"/>
      <c r="K792" s="106"/>
      <c r="L792" s="106"/>
      <c r="M792" s="106"/>
      <c r="N792" s="106"/>
      <c r="O792" s="106"/>
      <c r="P792" s="106"/>
    </row>
    <row r="793" spans="2:16">
      <c r="B793" s="106"/>
      <c r="C793" s="106"/>
      <c r="D793" s="106"/>
      <c r="E793" s="106"/>
      <c r="F793" s="106"/>
      <c r="G793" s="106"/>
      <c r="H793" s="106"/>
      <c r="I793" s="106"/>
      <c r="J793" s="106"/>
      <c r="K793" s="106"/>
      <c r="L793" s="106"/>
      <c r="M793" s="106"/>
      <c r="N793" s="106"/>
      <c r="O793" s="106"/>
      <c r="P793" s="106"/>
    </row>
    <row r="794" spans="2:16">
      <c r="B794" s="106"/>
      <c r="C794" s="106"/>
      <c r="D794" s="106"/>
      <c r="E794" s="106"/>
      <c r="F794" s="106"/>
      <c r="G794" s="106"/>
      <c r="H794" s="106"/>
      <c r="I794" s="106"/>
      <c r="J794" s="106"/>
      <c r="K794" s="106"/>
      <c r="L794" s="106"/>
      <c r="M794" s="106"/>
      <c r="N794" s="106"/>
      <c r="O794" s="106"/>
      <c r="P794" s="106"/>
    </row>
    <row r="795" spans="2:16">
      <c r="B795" s="106"/>
      <c r="C795" s="106"/>
      <c r="D795" s="106"/>
      <c r="E795" s="106"/>
      <c r="F795" s="106"/>
      <c r="G795" s="106"/>
      <c r="H795" s="106"/>
      <c r="I795" s="106"/>
      <c r="J795" s="106"/>
      <c r="K795" s="106"/>
      <c r="L795" s="106"/>
      <c r="M795" s="106"/>
      <c r="N795" s="106"/>
      <c r="O795" s="106"/>
      <c r="P795" s="106"/>
    </row>
    <row r="796" spans="2:16">
      <c r="B796" s="106"/>
      <c r="C796" s="106"/>
      <c r="D796" s="106"/>
      <c r="E796" s="106"/>
      <c r="F796" s="106"/>
      <c r="G796" s="106"/>
      <c r="H796" s="106"/>
      <c r="I796" s="106"/>
      <c r="J796" s="106"/>
      <c r="K796" s="106"/>
      <c r="L796" s="106"/>
      <c r="M796" s="106"/>
      <c r="N796" s="106"/>
      <c r="O796" s="106"/>
      <c r="P796" s="106"/>
    </row>
    <row r="797" spans="2:16">
      <c r="B797" s="106"/>
      <c r="C797" s="106"/>
      <c r="D797" s="106"/>
      <c r="E797" s="106"/>
      <c r="F797" s="106"/>
      <c r="G797" s="106"/>
      <c r="H797" s="106"/>
      <c r="I797" s="106"/>
      <c r="J797" s="106"/>
      <c r="K797" s="106"/>
      <c r="L797" s="106"/>
      <c r="M797" s="106"/>
      <c r="N797" s="106"/>
      <c r="O797" s="106"/>
      <c r="P797" s="106"/>
    </row>
    <row r="798" spans="2:16">
      <c r="B798" s="106"/>
      <c r="C798" s="106"/>
      <c r="D798" s="106"/>
      <c r="E798" s="106"/>
      <c r="F798" s="106"/>
      <c r="G798" s="106"/>
      <c r="H798" s="106"/>
      <c r="I798" s="106"/>
      <c r="J798" s="106"/>
      <c r="K798" s="106"/>
      <c r="L798" s="106"/>
      <c r="M798" s="106"/>
      <c r="N798" s="106"/>
      <c r="O798" s="106"/>
      <c r="P798" s="106"/>
    </row>
    <row r="799" spans="2:16">
      <c r="B799" s="106"/>
      <c r="C799" s="106"/>
      <c r="D799" s="106"/>
      <c r="E799" s="106"/>
      <c r="F799" s="106"/>
      <c r="G799" s="106"/>
      <c r="H799" s="106"/>
      <c r="I799" s="106"/>
      <c r="J799" s="106"/>
      <c r="K799" s="106"/>
      <c r="L799" s="106"/>
      <c r="M799" s="106"/>
      <c r="N799" s="106"/>
      <c r="O799" s="106"/>
      <c r="P799" s="106"/>
    </row>
  </sheetData>
  <phoneticPr fontId="33" type="noConversion"/>
  <pageMargins left="0.5" right="0.25" top="0.5" bottom="0.5" header="0.5" footer="0.25"/>
  <pageSetup scale="67" fitToHeight="0" orientation="landscape" r:id="rId1"/>
  <headerFooter alignWithMargins="0">
    <oddFooter>&amp;L&amp;"Times New Roman,Regular"HHSC System Forecasting&amp;C&amp;"Times New Roman,Regular"&amp;A in &amp;F&amp;R&amp;"Times New Roman,Regular"&amp;D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9CDD5-837A-4151-A5BC-C00F05C33525}">
  <dimension ref="A1:M67"/>
  <sheetViews>
    <sheetView workbookViewId="0">
      <pane xSplit="1" ySplit="5" topLeftCell="B6" activePane="bottomRight" state="frozen"/>
      <selection pane="bottomRight" activeCell="AO1" sqref="AO1:AO1048576"/>
      <selection pane="bottomLeft" activeCell="AO1" sqref="AO1:AO1048576"/>
      <selection pane="topRight" activeCell="AO1" sqref="AO1:AO1048576"/>
    </sheetView>
  </sheetViews>
  <sheetFormatPr defaultColWidth="13.140625" defaultRowHeight="12.6"/>
  <cols>
    <col min="1" max="1" width="22.42578125" style="123" customWidth="1"/>
    <col min="2" max="2" width="20.42578125" style="124" bestFit="1" customWidth="1"/>
    <col min="3" max="6" width="15.42578125" style="124" bestFit="1" customWidth="1"/>
    <col min="7" max="7" width="16.7109375" style="124" customWidth="1"/>
    <col min="8" max="9" width="12.5703125" style="124" bestFit="1" customWidth="1"/>
    <col min="10" max="10" width="14" style="124" bestFit="1" customWidth="1"/>
    <col min="11" max="11" width="12.5703125" style="124" bestFit="1" customWidth="1"/>
    <col min="12" max="12" width="14.42578125" style="123" bestFit="1" customWidth="1"/>
    <col min="13" max="16384" width="13.140625" style="124"/>
  </cols>
  <sheetData>
    <row r="1" spans="1:12">
      <c r="L1" s="124"/>
    </row>
    <row r="2" spans="1:12" ht="13.15">
      <c r="A2" s="96" t="s">
        <v>913</v>
      </c>
      <c r="F2" s="124" t="s">
        <v>914</v>
      </c>
      <c r="L2" s="124"/>
    </row>
    <row r="3" spans="1:12">
      <c r="E3" s="125"/>
      <c r="L3" s="124"/>
    </row>
    <row r="4" spans="1:12" ht="14.45">
      <c r="B4" s="483" t="s">
        <v>915</v>
      </c>
      <c r="C4" s="484"/>
      <c r="D4" s="484"/>
      <c r="E4" s="485" t="s">
        <v>475</v>
      </c>
      <c r="F4" s="486"/>
      <c r="G4" s="486"/>
      <c r="H4" s="486"/>
      <c r="I4" s="486"/>
      <c r="J4" s="486"/>
      <c r="K4" s="486"/>
      <c r="L4" s="487"/>
    </row>
    <row r="5" spans="1:12" ht="27.6">
      <c r="A5" s="126"/>
      <c r="B5" s="127" t="s">
        <v>635</v>
      </c>
      <c r="C5" s="128" t="s">
        <v>916</v>
      </c>
      <c r="D5" s="128" t="s">
        <v>877</v>
      </c>
      <c r="E5" s="127" t="s">
        <v>548</v>
      </c>
      <c r="F5" s="128" t="s">
        <v>472</v>
      </c>
      <c r="G5" s="128" t="s">
        <v>879</v>
      </c>
      <c r="H5" s="128" t="s">
        <v>917</v>
      </c>
      <c r="I5" s="128" t="s">
        <v>574</v>
      </c>
      <c r="J5" s="128" t="s">
        <v>552</v>
      </c>
      <c r="K5" s="128" t="s">
        <v>470</v>
      </c>
      <c r="L5" s="129" t="s">
        <v>918</v>
      </c>
    </row>
    <row r="6" spans="1:12">
      <c r="A6" s="123" t="s">
        <v>919</v>
      </c>
    </row>
    <row r="7" spans="1:12">
      <c r="A7" s="124" t="s">
        <v>920</v>
      </c>
      <c r="B7" s="130">
        <v>1.1104287401107884</v>
      </c>
      <c r="C7" s="130">
        <v>1.0493904660445093</v>
      </c>
      <c r="D7" s="130">
        <v>0.96787130272631894</v>
      </c>
      <c r="E7" s="130">
        <v>1.0714488972181329</v>
      </c>
      <c r="F7" s="130">
        <v>1.1089923396812307</v>
      </c>
      <c r="G7" s="130">
        <v>2.8599989915259494</v>
      </c>
      <c r="H7" s="130">
        <v>1.216775289510531</v>
      </c>
      <c r="I7" s="130">
        <v>1.2356464139234571</v>
      </c>
      <c r="J7" s="130">
        <v>1.4180793450756366</v>
      </c>
      <c r="K7" s="130">
        <v>1.4422156481250017</v>
      </c>
      <c r="L7" s="131">
        <v>1.1983304901661866</v>
      </c>
    </row>
    <row r="8" spans="1:12">
      <c r="A8" s="123" t="s">
        <v>921</v>
      </c>
      <c r="B8" s="130">
        <v>1.1071258068387972</v>
      </c>
      <c r="C8" s="130">
        <v>1.043927126914588</v>
      </c>
      <c r="D8" s="130">
        <v>1.0995127564453275</v>
      </c>
      <c r="E8" s="130">
        <v>1.2825330350536688</v>
      </c>
      <c r="F8" s="130">
        <v>0.98166898924378476</v>
      </c>
      <c r="G8" s="130">
        <v>2.9717451998992326</v>
      </c>
      <c r="H8" s="130">
        <v>1.3147482099709011</v>
      </c>
      <c r="I8" s="130">
        <v>1.0558157356084883</v>
      </c>
      <c r="J8" s="130">
        <v>1.2075522991262337</v>
      </c>
      <c r="K8" s="130">
        <v>1.3331245956337501</v>
      </c>
      <c r="L8" s="131">
        <v>1.2078046313223485</v>
      </c>
    </row>
    <row r="9" spans="1:12">
      <c r="A9" s="123" t="s">
        <v>922</v>
      </c>
      <c r="B9" s="130">
        <v>1.0302390091852189</v>
      </c>
      <c r="C9" s="130">
        <v>1.0569891819593396</v>
      </c>
      <c r="D9" s="130">
        <v>0.83347594873485564</v>
      </c>
      <c r="E9" s="130">
        <v>1.2449211590176887</v>
      </c>
      <c r="F9" s="130">
        <v>1.1360373347631001</v>
      </c>
      <c r="G9" s="130">
        <v>0.95405886504781956</v>
      </c>
      <c r="H9" s="130">
        <v>0.90064903218848347</v>
      </c>
      <c r="I9" s="130">
        <v>1.1089545515942416</v>
      </c>
      <c r="J9" s="130">
        <v>1.0357757709453295</v>
      </c>
      <c r="K9" s="130">
        <v>1.2445561343941656</v>
      </c>
      <c r="L9" s="131">
        <v>1.1638899505177258</v>
      </c>
    </row>
    <row r="10" spans="1:12">
      <c r="A10" s="123" t="s">
        <v>923</v>
      </c>
      <c r="B10" s="130">
        <v>1.1147718992908109</v>
      </c>
      <c r="C10" s="130">
        <v>1.1563086826780298</v>
      </c>
      <c r="D10" s="130">
        <v>1.18251112593285</v>
      </c>
      <c r="E10" s="130">
        <v>1.0020225806268945</v>
      </c>
      <c r="F10" s="130">
        <v>0.97247633658845756</v>
      </c>
      <c r="G10" s="130">
        <v>1.0019119651813246</v>
      </c>
      <c r="H10" s="130">
        <v>0.72043983904369002</v>
      </c>
      <c r="I10" s="130">
        <v>1.0330934736024258</v>
      </c>
      <c r="J10" s="130">
        <v>1.0093060409003203</v>
      </c>
      <c r="K10" s="130">
        <v>1.1304688832612702</v>
      </c>
      <c r="L10" s="131">
        <v>1.016770640699949</v>
      </c>
    </row>
    <row r="11" spans="1:12">
      <c r="A11" s="123" t="s">
        <v>924</v>
      </c>
      <c r="B11" s="130">
        <v>0.95436144932054212</v>
      </c>
      <c r="C11" s="130">
        <v>0.94002982059067308</v>
      </c>
      <c r="D11" s="130">
        <v>1.0507909723189728</v>
      </c>
      <c r="E11" s="130">
        <v>1.0784146257905944</v>
      </c>
      <c r="F11" s="130">
        <v>0.98183334846210446</v>
      </c>
      <c r="G11" s="130">
        <v>1.0177978208871705</v>
      </c>
      <c r="H11" s="130">
        <v>0.78382924506007823</v>
      </c>
      <c r="I11" s="130">
        <v>0.95011511606514443</v>
      </c>
      <c r="J11" s="130">
        <v>0.98716135529132243</v>
      </c>
      <c r="K11" s="130">
        <v>1.0761007916240917</v>
      </c>
      <c r="L11" s="131">
        <v>1.030916076094732</v>
      </c>
    </row>
    <row r="12" spans="1:12">
      <c r="A12" s="123" t="s">
        <v>925</v>
      </c>
      <c r="B12" s="130">
        <v>1.1353921960484921</v>
      </c>
      <c r="C12" s="130">
        <v>1.0030371103700082</v>
      </c>
      <c r="D12" s="130">
        <v>0.89858423320858094</v>
      </c>
      <c r="E12" s="130">
        <v>0.91035891866664254</v>
      </c>
      <c r="F12" s="130">
        <v>0.73469820750195181</v>
      </c>
      <c r="G12" s="130">
        <v>0.81750567884846725</v>
      </c>
      <c r="H12" s="130">
        <v>0.49266689112800316</v>
      </c>
      <c r="I12" s="130">
        <v>0.67667510225026528</v>
      </c>
      <c r="J12" s="130">
        <v>0.84747108018234352</v>
      </c>
      <c r="K12" s="130">
        <v>0.78181021268237005</v>
      </c>
      <c r="L12" s="131">
        <v>0.83507826408316843</v>
      </c>
    </row>
    <row r="13" spans="1:12">
      <c r="A13" s="123" t="s">
        <v>926</v>
      </c>
      <c r="B13" s="130">
        <v>1.0966458661241578</v>
      </c>
      <c r="C13" s="130">
        <v>1.1562711519277169</v>
      </c>
      <c r="D13" s="130">
        <v>1.132485933298538</v>
      </c>
      <c r="E13" s="130">
        <v>0.97531457720584458</v>
      </c>
      <c r="F13" s="130">
        <v>1.2524637556299745</v>
      </c>
      <c r="G13" s="130">
        <v>1.358691292152413</v>
      </c>
      <c r="H13" s="130">
        <v>1.2501147458518336</v>
      </c>
      <c r="I13" s="130">
        <v>1.0347078555381803</v>
      </c>
      <c r="J13" s="130">
        <v>1.0422755103442303</v>
      </c>
      <c r="K13" s="130">
        <v>1.0023828545938163</v>
      </c>
      <c r="L13" s="131">
        <v>1.0101459191168849</v>
      </c>
    </row>
    <row r="14" spans="1:12">
      <c r="A14" s="123" t="s">
        <v>927</v>
      </c>
      <c r="B14" s="130">
        <v>1.0796280306296555</v>
      </c>
      <c r="C14" s="130">
        <v>1.0670957357728614</v>
      </c>
      <c r="D14" s="130">
        <v>1.0723189556591821</v>
      </c>
      <c r="E14" s="130">
        <v>1.0603055100605423</v>
      </c>
      <c r="F14" s="130">
        <v>1.0973051975634125</v>
      </c>
      <c r="G14" s="130">
        <v>1.0899342179756337</v>
      </c>
      <c r="H14" s="130">
        <v>1.0948170032766</v>
      </c>
      <c r="I14" s="130">
        <v>1.094502333600039</v>
      </c>
      <c r="J14" s="130">
        <v>1.0945207965617625</v>
      </c>
      <c r="K14" s="130">
        <v>1.0954579295097677</v>
      </c>
      <c r="L14" s="131">
        <v>1.0770535233356036</v>
      </c>
    </row>
    <row r="15" spans="1:12">
      <c r="A15" s="124" t="s">
        <v>928</v>
      </c>
      <c r="B15" s="130">
        <v>1.0743622499039858</v>
      </c>
      <c r="C15" s="130">
        <v>1.0551510833405189</v>
      </c>
      <c r="D15" s="130">
        <v>1.0566464119410865</v>
      </c>
      <c r="E15" s="130">
        <v>1.0525000000000002</v>
      </c>
      <c r="F15" s="130">
        <v>1.0746132715080368</v>
      </c>
      <c r="G15" s="130">
        <v>1.0899342179756342</v>
      </c>
      <c r="H15" s="130">
        <v>1.074766772323946</v>
      </c>
      <c r="I15" s="130">
        <v>1.0747448872411904</v>
      </c>
      <c r="J15" s="130">
        <v>1.0747045398196169</v>
      </c>
      <c r="K15" s="130">
        <v>1.0746260801054561</v>
      </c>
      <c r="L15" s="131">
        <v>1.0634579656271645</v>
      </c>
    </row>
    <row r="16" spans="1:12">
      <c r="A16" s="123" t="s">
        <v>929</v>
      </c>
      <c r="B16" s="130">
        <v>1.0718514827168184</v>
      </c>
      <c r="C16" s="130">
        <v>1.0485085078976495</v>
      </c>
      <c r="D16" s="130">
        <v>1.0536648251426022</v>
      </c>
      <c r="E16" s="130">
        <v>1.0525000000000002</v>
      </c>
      <c r="F16" s="130">
        <v>1.0664313419559581</v>
      </c>
      <c r="G16" s="130">
        <v>1.0899342179756342</v>
      </c>
      <c r="H16" s="130">
        <v>1.0664904398631385</v>
      </c>
      <c r="I16" s="130">
        <v>1.0664797060908333</v>
      </c>
      <c r="J16" s="130">
        <v>1.066436037698175</v>
      </c>
      <c r="K16" s="130">
        <v>1.0663897823253692</v>
      </c>
      <c r="L16" s="131">
        <v>1.0595032275958822</v>
      </c>
    </row>
    <row r="17" spans="1:12">
      <c r="B17" s="130"/>
      <c r="C17" s="130"/>
      <c r="D17" s="130"/>
      <c r="E17" s="130"/>
      <c r="F17" s="130"/>
      <c r="G17" s="130"/>
      <c r="H17" s="130"/>
      <c r="I17" s="130"/>
      <c r="J17" s="130"/>
      <c r="K17" s="130"/>
      <c r="L17" s="131"/>
    </row>
    <row r="18" spans="1:12" ht="25.15">
      <c r="C18" s="381" t="s">
        <v>863</v>
      </c>
      <c r="D18" s="381" t="s">
        <v>864</v>
      </c>
      <c r="E18" s="381" t="s">
        <v>865</v>
      </c>
      <c r="F18" s="381" t="s">
        <v>866</v>
      </c>
      <c r="G18" s="381" t="s">
        <v>867</v>
      </c>
      <c r="H18" s="130"/>
      <c r="I18" s="130"/>
      <c r="J18" s="130"/>
      <c r="K18" s="130"/>
      <c r="L18" s="131"/>
    </row>
    <row r="19" spans="1:12">
      <c r="A19" s="123" t="s">
        <v>876</v>
      </c>
      <c r="B19" s="130" t="s">
        <v>635</v>
      </c>
      <c r="C19" s="130">
        <v>1.1353921960484921</v>
      </c>
      <c r="D19" s="130">
        <v>1.2451231582262081</v>
      </c>
      <c r="E19" s="130">
        <v>1.3442698632071379</v>
      </c>
      <c r="F19" s="130">
        <v>1.444232794713344</v>
      </c>
      <c r="G19" s="130">
        <v>1.5480030624017522</v>
      </c>
      <c r="H19" s="130"/>
      <c r="I19" s="130"/>
      <c r="J19" s="130"/>
      <c r="K19" s="130"/>
      <c r="L19" s="131"/>
    </row>
    <row r="20" spans="1:12">
      <c r="A20" s="123" t="s">
        <v>876</v>
      </c>
      <c r="B20" s="130" t="s">
        <v>605</v>
      </c>
      <c r="C20" s="130">
        <v>1.0030371103700082</v>
      </c>
      <c r="D20" s="130">
        <v>1.159782875033778</v>
      </c>
      <c r="E20" s="130">
        <v>1.2375993603709339</v>
      </c>
      <c r="F20" s="130">
        <v>1.3058543058369241</v>
      </c>
      <c r="G20" s="130">
        <v>1.3691993497447941</v>
      </c>
      <c r="H20" s="130"/>
      <c r="I20" s="130"/>
      <c r="J20" s="130"/>
      <c r="K20" s="130"/>
      <c r="L20" s="131"/>
    </row>
    <row r="21" spans="1:12">
      <c r="A21" s="123" t="s">
        <v>876</v>
      </c>
      <c r="B21" s="130" t="s">
        <v>877</v>
      </c>
      <c r="C21" s="130">
        <v>0.89858423320858094</v>
      </c>
      <c r="D21" s="130">
        <v>1.0176340039925709</v>
      </c>
      <c r="E21" s="130">
        <v>1.0912282324045857</v>
      </c>
      <c r="F21" s="130">
        <v>1.1530423963791196</v>
      </c>
      <c r="G21" s="130">
        <v>1.214920214962812</v>
      </c>
      <c r="H21" s="130"/>
      <c r="I21" s="130"/>
      <c r="J21" s="130"/>
      <c r="K21" s="130"/>
      <c r="L21" s="131"/>
    </row>
    <row r="22" spans="1:12">
      <c r="A22" s="123" t="s">
        <v>878</v>
      </c>
      <c r="B22" s="130" t="s">
        <v>548</v>
      </c>
      <c r="C22" s="130">
        <v>0.91035891866664254</v>
      </c>
      <c r="D22" s="130">
        <v>0.88788632386492627</v>
      </c>
      <c r="E22" s="130">
        <v>0.9414307615013805</v>
      </c>
      <c r="F22" s="130">
        <v>0.99085587648020312</v>
      </c>
      <c r="G22" s="130">
        <v>1.0428758099954141</v>
      </c>
      <c r="H22" s="130"/>
      <c r="I22" s="130"/>
      <c r="J22" s="130"/>
      <c r="K22" s="130"/>
      <c r="L22" s="131"/>
    </row>
    <row r="23" spans="1:12">
      <c r="A23" s="123" t="s">
        <v>878</v>
      </c>
      <c r="B23" s="130" t="s">
        <v>472</v>
      </c>
      <c r="C23" s="130">
        <v>0.73469820750195181</v>
      </c>
      <c r="D23" s="130">
        <v>0.92018287622250483</v>
      </c>
      <c r="E23" s="130">
        <v>1.0097214527878049</v>
      </c>
      <c r="F23" s="130">
        <v>1.0850600736921507</v>
      </c>
      <c r="G23" s="130">
        <v>1.1571420704903512</v>
      </c>
      <c r="H23" s="130"/>
      <c r="I23" s="130"/>
      <c r="J23" s="130"/>
      <c r="K23" s="130"/>
      <c r="L23" s="131"/>
    </row>
    <row r="24" spans="1:12">
      <c r="A24" s="123" t="s">
        <v>878</v>
      </c>
      <c r="B24" s="130" t="s">
        <v>879</v>
      </c>
      <c r="C24" s="130">
        <v>0.81750567884846725</v>
      </c>
      <c r="D24" s="130">
        <v>1.1107378471365597</v>
      </c>
      <c r="E24" s="130">
        <v>1.210631186794725</v>
      </c>
      <c r="F24" s="130">
        <v>1.3195083558360226</v>
      </c>
      <c r="G24" s="130">
        <v>1.4381773079304501</v>
      </c>
      <c r="H24" s="130"/>
      <c r="I24" s="130"/>
      <c r="J24" s="130"/>
      <c r="K24" s="130"/>
      <c r="L24" s="131"/>
    </row>
    <row r="25" spans="1:12">
      <c r="A25" s="123" t="s">
        <v>878</v>
      </c>
      <c r="B25" s="130" t="s">
        <v>880</v>
      </c>
      <c r="C25" s="130">
        <v>0.49266689112800316</v>
      </c>
      <c r="D25" s="130">
        <v>0.61589014539209663</v>
      </c>
      <c r="E25" s="130">
        <v>0.67428700332576474</v>
      </c>
      <c r="F25" s="130">
        <v>0.72470126618441799</v>
      </c>
      <c r="G25" s="130">
        <v>0.77288697214239332</v>
      </c>
      <c r="H25" s="130"/>
      <c r="I25" s="130"/>
      <c r="J25" s="130"/>
      <c r="K25" s="130"/>
      <c r="L25" s="131"/>
    </row>
    <row r="26" spans="1:12">
      <c r="A26" s="123" t="s">
        <v>878</v>
      </c>
      <c r="B26" s="130" t="s">
        <v>574</v>
      </c>
      <c r="C26" s="130">
        <v>0.67667510225026528</v>
      </c>
      <c r="D26" s="130">
        <v>0.70016104394545087</v>
      </c>
      <c r="E26" s="130">
        <v>0.76632789649413546</v>
      </c>
      <c r="F26" s="130">
        <v>0.82360698870736826</v>
      </c>
      <c r="G26" s="130">
        <v>0.87836013925099032</v>
      </c>
      <c r="H26" s="130"/>
      <c r="I26" s="130"/>
      <c r="J26" s="130"/>
      <c r="K26" s="130"/>
      <c r="L26" s="131"/>
    </row>
    <row r="27" spans="1:12">
      <c r="A27" s="123" t="s">
        <v>878</v>
      </c>
      <c r="B27" s="130" t="s">
        <v>552</v>
      </c>
      <c r="C27" s="130">
        <v>0.84747108018234352</v>
      </c>
      <c r="D27" s="130">
        <v>0.88329835259902822</v>
      </c>
      <c r="E27" s="130">
        <v>0.96678841648838088</v>
      </c>
      <c r="F27" s="130">
        <v>1.0390119002450815</v>
      </c>
      <c r="G27" s="130">
        <v>1.1080397340186161</v>
      </c>
      <c r="H27" s="130"/>
      <c r="I27" s="130"/>
      <c r="J27" s="130"/>
      <c r="K27" s="130"/>
      <c r="L27" s="131"/>
    </row>
    <row r="28" spans="1:12">
      <c r="A28" s="123" t="s">
        <v>878</v>
      </c>
      <c r="B28" s="130" t="s">
        <v>470</v>
      </c>
      <c r="C28" s="130">
        <v>0.78181021268237005</v>
      </c>
      <c r="D28" s="130">
        <v>0.78367315273915272</v>
      </c>
      <c r="E28" s="130">
        <v>0.85848096931202422</v>
      </c>
      <c r="F28" s="130">
        <v>0.922546038896913</v>
      </c>
      <c r="G28" s="130">
        <v>0.98379366960441061</v>
      </c>
      <c r="H28" s="130"/>
      <c r="I28" s="130"/>
      <c r="J28" s="130"/>
      <c r="K28" s="130"/>
      <c r="L28" s="131"/>
    </row>
    <row r="29" spans="1:12">
      <c r="B29" s="130"/>
      <c r="C29" s="131">
        <v>0.83507826408316843</v>
      </c>
      <c r="D29" s="131">
        <v>0.84355090060682492</v>
      </c>
      <c r="E29" s="131">
        <v>0.90854946961150229</v>
      </c>
      <c r="F29" s="131">
        <v>0.96620417062468755</v>
      </c>
      <c r="G29" s="131">
        <v>1.0236964372934589</v>
      </c>
      <c r="H29" s="130"/>
      <c r="I29" s="130"/>
      <c r="J29" s="130"/>
      <c r="K29" s="130"/>
      <c r="L29" s="131"/>
    </row>
    <row r="30" spans="1:12" ht="13.15">
      <c r="B30" s="130"/>
      <c r="C30" s="130"/>
      <c r="D30" s="130"/>
      <c r="E30" s="130"/>
      <c r="F30" s="130"/>
      <c r="G30" s="106" t="s">
        <v>906</v>
      </c>
      <c r="H30" s="130"/>
      <c r="I30" s="130"/>
      <c r="J30" s="130"/>
      <c r="K30" s="130"/>
      <c r="L30" s="131"/>
    </row>
    <row r="31" spans="1:12" ht="13.15" thickBot="1">
      <c r="B31" s="130"/>
      <c r="C31" s="130"/>
      <c r="D31" s="130"/>
      <c r="E31" s="130"/>
      <c r="F31" s="130"/>
      <c r="G31" s="130"/>
      <c r="H31" s="130"/>
      <c r="I31" s="130"/>
      <c r="J31" s="130"/>
      <c r="K31" s="130"/>
      <c r="L31" s="131"/>
    </row>
    <row r="32" spans="1:12" ht="27.6">
      <c r="A32" s="115" t="s">
        <v>907</v>
      </c>
      <c r="B32" s="116"/>
      <c r="C32" s="116"/>
      <c r="D32" s="116"/>
      <c r="E32" s="116"/>
      <c r="F32" s="116"/>
      <c r="G32" s="116"/>
      <c r="H32" s="116"/>
      <c r="I32" s="116"/>
      <c r="J32" s="116"/>
      <c r="K32" s="116"/>
      <c r="L32" s="132"/>
    </row>
    <row r="33" spans="1:13">
      <c r="A33" s="1" t="s">
        <v>908</v>
      </c>
      <c r="B33" s="119">
        <f t="shared" ref="B33:L33" si="0">B12</f>
        <v>1.1353921960484921</v>
      </c>
      <c r="C33" s="119">
        <f t="shared" si="0"/>
        <v>1.0030371103700082</v>
      </c>
      <c r="D33" s="119">
        <f t="shared" si="0"/>
        <v>0.89858423320858094</v>
      </c>
      <c r="E33" s="119">
        <f t="shared" si="0"/>
        <v>0.91035891866664254</v>
      </c>
      <c r="F33" s="119">
        <f t="shared" si="0"/>
        <v>0.73469820750195181</v>
      </c>
      <c r="G33" s="119">
        <f t="shared" si="0"/>
        <v>0.81750567884846725</v>
      </c>
      <c r="H33" s="119">
        <f t="shared" si="0"/>
        <v>0.49266689112800316</v>
      </c>
      <c r="I33" s="119">
        <f t="shared" si="0"/>
        <v>0.67667510225026528</v>
      </c>
      <c r="J33" s="119">
        <f t="shared" si="0"/>
        <v>0.84747108018234352</v>
      </c>
      <c r="K33" s="119">
        <f t="shared" si="0"/>
        <v>0.78181021268237005</v>
      </c>
      <c r="L33" s="120">
        <f t="shared" si="0"/>
        <v>0.83507826408316843</v>
      </c>
    </row>
    <row r="34" spans="1:13">
      <c r="A34" s="1" t="s">
        <v>909</v>
      </c>
      <c r="B34" s="119">
        <f>B13*B33</f>
        <v>1.2451231582262081</v>
      </c>
      <c r="C34" s="119">
        <f t="shared" ref="B34:L37" si="1">C13*C33</f>
        <v>1.159782875033778</v>
      </c>
      <c r="D34" s="119">
        <f t="shared" si="1"/>
        <v>1.0176340039925709</v>
      </c>
      <c r="E34" s="119">
        <f t="shared" si="1"/>
        <v>0.88788632386492627</v>
      </c>
      <c r="F34" s="119">
        <f t="shared" si="1"/>
        <v>0.92018287622250483</v>
      </c>
      <c r="G34" s="119">
        <f t="shared" si="1"/>
        <v>1.1107378471365597</v>
      </c>
      <c r="H34" s="119">
        <f t="shared" si="1"/>
        <v>0.61589014539209663</v>
      </c>
      <c r="I34" s="119">
        <f t="shared" si="1"/>
        <v>0.70016104394545087</v>
      </c>
      <c r="J34" s="119">
        <f t="shared" si="1"/>
        <v>0.88329835259902822</v>
      </c>
      <c r="K34" s="119">
        <f t="shared" si="1"/>
        <v>0.78367315273915272</v>
      </c>
      <c r="L34" s="120">
        <f t="shared" si="1"/>
        <v>0.84355090060682492</v>
      </c>
    </row>
    <row r="35" spans="1:13">
      <c r="A35" s="1" t="s">
        <v>910</v>
      </c>
      <c r="B35" s="119">
        <f t="shared" si="1"/>
        <v>1.3442698632071379</v>
      </c>
      <c r="C35" s="119">
        <f t="shared" si="1"/>
        <v>1.2375993603709339</v>
      </c>
      <c r="D35" s="119">
        <f t="shared" si="1"/>
        <v>1.0912282324045857</v>
      </c>
      <c r="E35" s="119">
        <f t="shared" si="1"/>
        <v>0.9414307615013805</v>
      </c>
      <c r="F35" s="119">
        <f t="shared" si="1"/>
        <v>1.0097214527878049</v>
      </c>
      <c r="G35" s="119">
        <f t="shared" si="1"/>
        <v>1.210631186794725</v>
      </c>
      <c r="H35" s="119">
        <f t="shared" si="1"/>
        <v>0.67428700332576474</v>
      </c>
      <c r="I35" s="119">
        <f t="shared" si="1"/>
        <v>0.76632789649413546</v>
      </c>
      <c r="J35" s="119">
        <f t="shared" si="1"/>
        <v>0.96678841648838088</v>
      </c>
      <c r="K35" s="119">
        <f t="shared" si="1"/>
        <v>0.85848096931202422</v>
      </c>
      <c r="L35" s="120">
        <f t="shared" si="1"/>
        <v>0.90854946961150229</v>
      </c>
    </row>
    <row r="36" spans="1:13" ht="13.15" thickBot="1">
      <c r="A36" s="2" t="s">
        <v>911</v>
      </c>
      <c r="B36" s="121">
        <f t="shared" si="1"/>
        <v>1.444232794713344</v>
      </c>
      <c r="C36" s="121">
        <f t="shared" si="1"/>
        <v>1.3058543058369241</v>
      </c>
      <c r="D36" s="121">
        <f t="shared" si="1"/>
        <v>1.1530423963791196</v>
      </c>
      <c r="E36" s="121">
        <f t="shared" si="1"/>
        <v>0.99085587648020312</v>
      </c>
      <c r="F36" s="121">
        <f t="shared" si="1"/>
        <v>1.0850600736921507</v>
      </c>
      <c r="G36" s="121">
        <f t="shared" si="1"/>
        <v>1.3195083558360226</v>
      </c>
      <c r="H36" s="121">
        <f t="shared" si="1"/>
        <v>0.72470126618441799</v>
      </c>
      <c r="I36" s="121">
        <f t="shared" si="1"/>
        <v>0.82360698870736826</v>
      </c>
      <c r="J36" s="121">
        <f t="shared" si="1"/>
        <v>1.0390119002450815</v>
      </c>
      <c r="K36" s="121">
        <f t="shared" si="1"/>
        <v>0.922546038896913</v>
      </c>
      <c r="L36" s="122">
        <f t="shared" si="1"/>
        <v>0.96620417062468755</v>
      </c>
    </row>
    <row r="37" spans="1:13" ht="13.9" thickBot="1">
      <c r="A37" s="2" t="s">
        <v>912</v>
      </c>
      <c r="B37" s="121">
        <f t="shared" si="1"/>
        <v>1.5480030624017522</v>
      </c>
      <c r="C37" s="121">
        <f t="shared" si="1"/>
        <v>1.3691993497447941</v>
      </c>
      <c r="D37" s="121">
        <f t="shared" si="1"/>
        <v>1.214920214962812</v>
      </c>
      <c r="E37" s="121">
        <f t="shared" si="1"/>
        <v>1.0428758099954141</v>
      </c>
      <c r="F37" s="121">
        <f t="shared" si="1"/>
        <v>1.1571420704903512</v>
      </c>
      <c r="G37" s="121">
        <f t="shared" si="1"/>
        <v>1.4381773079304501</v>
      </c>
      <c r="H37" s="121">
        <f t="shared" si="1"/>
        <v>0.77288697214239332</v>
      </c>
      <c r="I37" s="121">
        <f t="shared" si="1"/>
        <v>0.87836013925099032</v>
      </c>
      <c r="J37" s="121">
        <f t="shared" si="1"/>
        <v>1.1080397340186161</v>
      </c>
      <c r="K37" s="121">
        <f t="shared" si="1"/>
        <v>0.98379366960441061</v>
      </c>
      <c r="L37" s="122">
        <f t="shared" si="1"/>
        <v>1.0236964372934589</v>
      </c>
      <c r="M37" s="106" t="s">
        <v>906</v>
      </c>
    </row>
    <row r="38" spans="1:13">
      <c r="B38" s="130"/>
      <c r="C38" s="130"/>
      <c r="D38" s="130"/>
      <c r="E38" s="130"/>
      <c r="F38" s="130"/>
      <c r="G38" s="130"/>
      <c r="H38" s="130"/>
      <c r="I38" s="130"/>
      <c r="J38" s="130"/>
      <c r="K38" s="130"/>
      <c r="L38" s="131"/>
    </row>
    <row r="39" spans="1:13">
      <c r="B39" s="130"/>
      <c r="C39" s="130"/>
      <c r="D39" s="130"/>
      <c r="E39" s="130"/>
      <c r="F39" s="130"/>
      <c r="G39" s="130"/>
      <c r="H39" s="130"/>
      <c r="I39" s="130"/>
      <c r="J39" s="130"/>
      <c r="K39" s="130"/>
      <c r="L39" s="131"/>
    </row>
    <row r="40" spans="1:13">
      <c r="A40" s="123" t="s">
        <v>442</v>
      </c>
      <c r="B40" s="130"/>
      <c r="C40" s="130"/>
      <c r="D40" s="130"/>
      <c r="E40" s="130"/>
      <c r="F40" s="130"/>
      <c r="G40" s="130"/>
      <c r="H40" s="130"/>
      <c r="I40" s="130"/>
      <c r="J40" s="130"/>
      <c r="K40" s="130"/>
      <c r="L40" s="131"/>
    </row>
    <row r="41" spans="1:13">
      <c r="A41" s="123" t="s">
        <v>930</v>
      </c>
      <c r="B41" s="130"/>
      <c r="C41" s="130"/>
      <c r="D41" s="130"/>
      <c r="E41" s="130"/>
      <c r="F41" s="130"/>
      <c r="G41" s="130"/>
      <c r="H41" s="130"/>
      <c r="I41" s="130"/>
      <c r="J41" s="130"/>
      <c r="K41" s="130"/>
      <c r="L41" s="131"/>
    </row>
    <row r="42" spans="1:13" ht="15.6">
      <c r="A42" s="62" t="s">
        <v>931</v>
      </c>
      <c r="B42"/>
      <c r="C42"/>
      <c r="D42"/>
      <c r="E42"/>
      <c r="F42"/>
      <c r="G42"/>
      <c r="H42"/>
      <c r="I42"/>
    </row>
    <row r="43" spans="1:13" ht="13.15">
      <c r="A43" s="382" t="s">
        <v>932</v>
      </c>
      <c r="B43"/>
      <c r="C43" s="383">
        <v>23</v>
      </c>
      <c r="D43" s="383">
        <v>25</v>
      </c>
      <c r="E43" s="383">
        <v>27</v>
      </c>
      <c r="F43" s="383">
        <v>29</v>
      </c>
      <c r="G43" s="383">
        <v>31</v>
      </c>
      <c r="H43"/>
      <c r="I43"/>
    </row>
    <row r="44" spans="1:13" ht="13.15">
      <c r="A44"/>
      <c r="B44"/>
      <c r="C44"/>
      <c r="D44"/>
      <c r="E44"/>
      <c r="F44"/>
      <c r="G44"/>
      <c r="H44"/>
      <c r="I44"/>
    </row>
    <row r="45" spans="1:13" ht="13.15">
      <c r="A45"/>
      <c r="B45"/>
      <c r="C45" s="384" t="s">
        <v>933</v>
      </c>
      <c r="D45" s="384" t="s">
        <v>934</v>
      </c>
      <c r="E45" s="384" t="s">
        <v>935</v>
      </c>
      <c r="F45" s="384" t="s">
        <v>936</v>
      </c>
      <c r="G45" s="384" t="s">
        <v>937</v>
      </c>
      <c r="H45"/>
      <c r="I45"/>
    </row>
    <row r="46" spans="1:13" ht="14.45" thickBot="1">
      <c r="A46" s="488" t="s">
        <v>938</v>
      </c>
      <c r="B46" s="488"/>
      <c r="C46" s="384" t="s">
        <v>939</v>
      </c>
      <c r="D46" s="384" t="s">
        <v>940</v>
      </c>
      <c r="E46" s="384" t="s">
        <v>941</v>
      </c>
      <c r="F46" s="384" t="s">
        <v>942</v>
      </c>
      <c r="G46" s="384" t="s">
        <v>943</v>
      </c>
      <c r="H46"/>
      <c r="I46"/>
    </row>
    <row r="47" spans="1:13" ht="13.9">
      <c r="A47" s="481" t="s">
        <v>442</v>
      </c>
      <c r="B47" s="482"/>
      <c r="C47" s="387"/>
      <c r="D47" s="387"/>
      <c r="E47" s="387"/>
      <c r="F47" s="390"/>
      <c r="G47" s="391"/>
      <c r="H47"/>
      <c r="I47"/>
    </row>
    <row r="48" spans="1:13" ht="13.9" thickBot="1">
      <c r="A48" s="392"/>
      <c r="B48" s="385" t="s">
        <v>944</v>
      </c>
      <c r="C48" s="389">
        <v>1.0530524908985193</v>
      </c>
      <c r="D48" s="389">
        <v>0.59504909894956648</v>
      </c>
      <c r="E48" s="386">
        <v>1.1755751078942978</v>
      </c>
      <c r="F48" s="386">
        <v>1.0704279895634019</v>
      </c>
      <c r="G48" s="393">
        <v>1.0704279895634012</v>
      </c>
      <c r="H48"/>
      <c r="I48"/>
    </row>
    <row r="49" spans="1:9" ht="13.9" thickBot="1">
      <c r="A49" s="394"/>
      <c r="B49" s="395" t="s">
        <v>945</v>
      </c>
      <c r="C49" s="389">
        <v>1.0390010603516833</v>
      </c>
      <c r="D49" s="389">
        <v>0.54842488236210729</v>
      </c>
      <c r="E49" s="396">
        <v>0.86705805619095477</v>
      </c>
      <c r="F49" s="388">
        <v>1.016413691515357</v>
      </c>
      <c r="G49" s="397">
        <v>1.0164136915153568</v>
      </c>
      <c r="H49"/>
      <c r="I49"/>
    </row>
    <row r="50" spans="1:9" ht="13.15">
      <c r="A50"/>
      <c r="B50"/>
      <c r="C50"/>
      <c r="D50"/>
      <c r="E50"/>
      <c r="F50"/>
      <c r="G50"/>
      <c r="H50"/>
      <c r="I50"/>
    </row>
    <row r="51" spans="1:9" ht="13.15">
      <c r="A51" s="22" t="s">
        <v>946</v>
      </c>
      <c r="B51" s="398">
        <v>0.59504909894956648</v>
      </c>
      <c r="C51"/>
      <c r="D51"/>
      <c r="E51"/>
      <c r="F51"/>
      <c r="G51"/>
      <c r="H51"/>
      <c r="I51"/>
    </row>
    <row r="52" spans="1:9" ht="13.15">
      <c r="A52" s="22" t="s">
        <v>947</v>
      </c>
      <c r="B52" s="398">
        <v>1.1755751078942978</v>
      </c>
      <c r="C52"/>
      <c r="F52"/>
      <c r="G52"/>
      <c r="H52" s="63"/>
      <c r="I52" s="63"/>
    </row>
    <row r="53" spans="1:9" ht="13.15">
      <c r="A53" s="22" t="s">
        <v>948</v>
      </c>
      <c r="B53" s="398">
        <v>1.016413691515357</v>
      </c>
      <c r="C53"/>
      <c r="F53"/>
      <c r="G53"/>
      <c r="H53" s="63"/>
      <c r="I53" s="63"/>
    </row>
    <row r="54" spans="1:9" ht="13.15">
      <c r="A54" s="22" t="s">
        <v>949</v>
      </c>
      <c r="B54" s="398">
        <v>1.0164136915153568</v>
      </c>
      <c r="C54"/>
      <c r="F54"/>
      <c r="G54"/>
      <c r="H54"/>
      <c r="I54"/>
    </row>
    <row r="55" spans="1:9" ht="13.15">
      <c r="A55"/>
      <c r="B55"/>
      <c r="C55"/>
      <c r="F55"/>
      <c r="G55"/>
    </row>
    <row r="56" spans="1:9" ht="13.15">
      <c r="A56" s="22" t="s">
        <v>946</v>
      </c>
      <c r="B56" s="398">
        <v>0.59504909894956648</v>
      </c>
      <c r="C56"/>
      <c r="F56"/>
      <c r="G56"/>
    </row>
    <row r="57" spans="1:9" ht="13.15">
      <c r="A57" s="22" t="s">
        <v>950</v>
      </c>
      <c r="B57" s="398">
        <f>B56*B52</f>
        <v>0.69952490870004125</v>
      </c>
      <c r="C57"/>
      <c r="F57"/>
      <c r="G57"/>
    </row>
    <row r="58" spans="1:9" ht="13.15">
      <c r="A58" s="22" t="s">
        <v>951</v>
      </c>
      <c r="B58" s="398">
        <f t="shared" ref="B58:B59" si="2">B57*B53</f>
        <v>0.711006694758752</v>
      </c>
      <c r="C58"/>
      <c r="F58"/>
      <c r="G58"/>
    </row>
    <row r="59" spans="1:9" ht="13.15">
      <c r="A59" s="22" t="s">
        <v>952</v>
      </c>
      <c r="B59" s="398">
        <f t="shared" si="2"/>
        <v>0.7226769393118756</v>
      </c>
      <c r="C59"/>
      <c r="F59"/>
      <c r="G59"/>
    </row>
    <row r="60" spans="1:9" ht="13.15">
      <c r="A60"/>
      <c r="B60"/>
      <c r="C60"/>
      <c r="F60"/>
      <c r="G60"/>
      <c r="H60"/>
      <c r="I60"/>
    </row>
    <row r="62" spans="1:9">
      <c r="A62" s="123" t="s">
        <v>953</v>
      </c>
      <c r="D62" s="124" t="s">
        <v>954</v>
      </c>
      <c r="F62" s="124" t="s">
        <v>955</v>
      </c>
    </row>
    <row r="63" spans="1:9" ht="13.15">
      <c r="A63" s="63" t="s">
        <v>862</v>
      </c>
      <c r="B63" s="63" t="s">
        <v>442</v>
      </c>
    </row>
    <row r="64" spans="1:9" ht="13.15">
      <c r="A64" s="63" t="s">
        <v>863</v>
      </c>
      <c r="B64" s="63">
        <v>0.62661999999999995</v>
      </c>
    </row>
    <row r="65" spans="1:2" ht="13.15">
      <c r="A65" s="63" t="s">
        <v>864</v>
      </c>
      <c r="B65" s="63">
        <v>0.73663999999999996</v>
      </c>
    </row>
    <row r="66" spans="1:2" ht="13.15">
      <c r="A66" s="63" t="s">
        <v>865</v>
      </c>
      <c r="B66" s="63">
        <v>0.78852</v>
      </c>
    </row>
    <row r="67" spans="1:2" ht="13.15">
      <c r="A67" s="63" t="s">
        <v>866</v>
      </c>
      <c r="B67" s="63">
        <v>0.84404999999999997</v>
      </c>
    </row>
  </sheetData>
  <mergeCells count="4">
    <mergeCell ref="A47:B47"/>
    <mergeCell ref="B4:D4"/>
    <mergeCell ref="E4:L4"/>
    <mergeCell ref="A46:B46"/>
  </mergeCells>
  <phoneticPr fontId="3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40318-34BE-4EAD-99E0-EBD2CD062795}">
  <dimension ref="B1:BD70"/>
  <sheetViews>
    <sheetView workbookViewId="0">
      <selection activeCell="AO1" sqref="AO1:AO1048576"/>
    </sheetView>
  </sheetViews>
  <sheetFormatPr defaultColWidth="9.5703125" defaultRowHeight="13.15"/>
  <cols>
    <col min="1" max="1" width="2.5703125" style="161" customWidth="1"/>
    <col min="2" max="2" width="20.5703125" style="160" bestFit="1" customWidth="1"/>
    <col min="3" max="6" width="10.42578125" style="161" customWidth="1"/>
    <col min="7" max="7" width="2.5703125" style="161" customWidth="1"/>
    <col min="8" max="11" width="10.42578125" style="161" customWidth="1"/>
    <col min="12" max="12" width="3.42578125" style="161" customWidth="1"/>
    <col min="13" max="16" width="10.42578125" style="161" customWidth="1"/>
    <col min="17" max="17" width="2.42578125" style="161" customWidth="1"/>
    <col min="18" max="21" width="11.140625" style="161" customWidth="1"/>
    <col min="22" max="22" width="2.85546875" style="161" customWidth="1"/>
    <col min="23" max="26" width="10.42578125" style="161" customWidth="1"/>
    <col min="27" max="16384" width="9.5703125" style="161"/>
  </cols>
  <sheetData>
    <row r="1" spans="2:56" ht="15.75" customHeight="1">
      <c r="C1" s="489" t="s">
        <v>956</v>
      </c>
      <c r="D1" s="489"/>
      <c r="E1" s="489"/>
      <c r="F1" s="489"/>
      <c r="G1" s="489"/>
      <c r="H1" s="489"/>
      <c r="I1" s="489"/>
      <c r="J1" s="489"/>
      <c r="K1" s="489"/>
      <c r="L1" s="489"/>
      <c r="M1" s="489"/>
      <c r="N1" s="489"/>
      <c r="O1" s="489"/>
      <c r="P1" s="489"/>
      <c r="R1" s="490" t="s">
        <v>957</v>
      </c>
      <c r="S1" s="491"/>
      <c r="T1" s="491"/>
      <c r="U1" s="491"/>
      <c r="V1" s="491"/>
      <c r="W1" s="491"/>
      <c r="X1" s="491"/>
      <c r="Y1" s="491"/>
      <c r="Z1" s="492"/>
      <c r="AA1" s="162"/>
      <c r="AB1" s="162"/>
      <c r="AC1" s="162"/>
      <c r="AD1" s="162"/>
      <c r="AE1" s="162"/>
    </row>
    <row r="2" spans="2:56" ht="15.75" customHeight="1">
      <c r="C2" s="489" t="s">
        <v>958</v>
      </c>
      <c r="D2" s="489"/>
      <c r="E2" s="489"/>
      <c r="F2" s="489"/>
      <c r="G2" s="489"/>
      <c r="H2" s="489"/>
      <c r="I2" s="489"/>
      <c r="J2" s="489"/>
      <c r="K2" s="489"/>
      <c r="L2" s="489"/>
      <c r="M2" s="489"/>
      <c r="N2" s="489"/>
      <c r="O2" s="489"/>
      <c r="P2" s="489"/>
      <c r="R2" s="493"/>
      <c r="S2" s="494"/>
      <c r="T2" s="494"/>
      <c r="U2" s="494"/>
      <c r="V2" s="494"/>
      <c r="W2" s="494"/>
      <c r="X2" s="494"/>
      <c r="Y2" s="494"/>
      <c r="Z2" s="495"/>
      <c r="AA2" s="162"/>
      <c r="AB2" s="162"/>
      <c r="AC2" s="162"/>
      <c r="AD2" s="162"/>
      <c r="AE2" s="162"/>
    </row>
    <row r="3" spans="2:56" ht="17.45">
      <c r="C3" s="496" t="s">
        <v>959</v>
      </c>
      <c r="D3" s="497"/>
      <c r="E3" s="497"/>
      <c r="F3" s="498"/>
      <c r="G3" s="163"/>
      <c r="H3" s="496" t="s">
        <v>960</v>
      </c>
      <c r="I3" s="497"/>
      <c r="J3" s="497"/>
      <c r="K3" s="498"/>
      <c r="L3" s="163"/>
      <c r="M3" s="496" t="s">
        <v>961</v>
      </c>
      <c r="N3" s="497"/>
      <c r="O3" s="497"/>
      <c r="P3" s="498"/>
      <c r="R3" s="499" t="s">
        <v>962</v>
      </c>
      <c r="S3" s="500"/>
      <c r="T3" s="500"/>
      <c r="U3" s="501"/>
      <c r="W3" s="502" t="s">
        <v>963</v>
      </c>
      <c r="X3" s="503"/>
      <c r="Y3" s="503"/>
      <c r="Z3" s="504"/>
    </row>
    <row r="4" spans="2:56" ht="18" customHeight="1">
      <c r="B4" s="164"/>
      <c r="C4" s="505" t="s">
        <v>964</v>
      </c>
      <c r="D4" s="506"/>
      <c r="E4" s="507" t="s">
        <v>965</v>
      </c>
      <c r="F4" s="508"/>
      <c r="H4" s="505" t="s">
        <v>964</v>
      </c>
      <c r="I4" s="506"/>
      <c r="J4" s="507" t="s">
        <v>965</v>
      </c>
      <c r="K4" s="508"/>
      <c r="M4" s="505" t="s">
        <v>964</v>
      </c>
      <c r="N4" s="506"/>
      <c r="O4" s="507" t="s">
        <v>965</v>
      </c>
      <c r="P4" s="508"/>
      <c r="R4" s="505" t="s">
        <v>964</v>
      </c>
      <c r="S4" s="506"/>
      <c r="T4" s="507" t="s">
        <v>965</v>
      </c>
      <c r="U4" s="508"/>
      <c r="W4" s="505" t="s">
        <v>964</v>
      </c>
      <c r="X4" s="506"/>
      <c r="Y4" s="507" t="s">
        <v>965</v>
      </c>
      <c r="Z4" s="508"/>
    </row>
    <row r="5" spans="2:56" s="170" customFormat="1" ht="27.75" customHeight="1">
      <c r="B5" s="165"/>
      <c r="C5" s="166" t="s">
        <v>966</v>
      </c>
      <c r="D5" s="167" t="s">
        <v>967</v>
      </c>
      <c r="E5" s="168" t="s">
        <v>966</v>
      </c>
      <c r="F5" s="169" t="s">
        <v>967</v>
      </c>
      <c r="H5" s="166" t="s">
        <v>966</v>
      </c>
      <c r="I5" s="167" t="s">
        <v>967</v>
      </c>
      <c r="J5" s="168" t="s">
        <v>966</v>
      </c>
      <c r="K5" s="169" t="s">
        <v>967</v>
      </c>
      <c r="M5" s="166" t="s">
        <v>966</v>
      </c>
      <c r="N5" s="167" t="s">
        <v>967</v>
      </c>
      <c r="O5" s="168" t="s">
        <v>966</v>
      </c>
      <c r="P5" s="169" t="s">
        <v>967</v>
      </c>
      <c r="R5" s="171" t="s">
        <v>968</v>
      </c>
      <c r="S5" s="172" t="s">
        <v>969</v>
      </c>
      <c r="T5" s="173" t="s">
        <v>968</v>
      </c>
      <c r="U5" s="174" t="s">
        <v>969</v>
      </c>
      <c r="W5" s="171" t="s">
        <v>970</v>
      </c>
      <c r="X5" s="172" t="s">
        <v>971</v>
      </c>
      <c r="Y5" s="173" t="s">
        <v>970</v>
      </c>
      <c r="Z5" s="174" t="s">
        <v>971</v>
      </c>
    </row>
    <row r="6" spans="2:56" s="170" customFormat="1" ht="16.5" hidden="1" customHeight="1">
      <c r="B6" s="175" t="s">
        <v>972</v>
      </c>
      <c r="C6" s="176"/>
      <c r="D6" s="177"/>
      <c r="E6" s="178"/>
      <c r="F6" s="179"/>
      <c r="H6" s="176">
        <v>0.40010000000000001</v>
      </c>
      <c r="I6" s="177">
        <v>0.28010000000000002</v>
      </c>
      <c r="J6" s="180">
        <v>0.59989999999999999</v>
      </c>
      <c r="K6" s="181">
        <v>0.71989999999999998</v>
      </c>
      <c r="M6" s="182"/>
      <c r="N6" s="183"/>
      <c r="O6" s="184"/>
      <c r="P6" s="185"/>
      <c r="R6" s="182"/>
      <c r="S6" s="183"/>
      <c r="T6" s="184"/>
      <c r="U6" s="185"/>
      <c r="W6" s="182"/>
      <c r="X6" s="183"/>
      <c r="Y6" s="184"/>
      <c r="Z6" s="185"/>
    </row>
    <row r="7" spans="2:56" s="170" customFormat="1" ht="16.5" hidden="1" customHeight="1">
      <c r="B7" s="175" t="s">
        <v>973</v>
      </c>
      <c r="C7" s="176">
        <v>0.39800000000000002</v>
      </c>
      <c r="D7" s="177">
        <v>0.27859999999999996</v>
      </c>
      <c r="E7" s="178">
        <v>0.60199999999999998</v>
      </c>
      <c r="F7" s="179">
        <v>0.72140000000000004</v>
      </c>
      <c r="H7" s="176">
        <v>0.39780000000000004</v>
      </c>
      <c r="I7" s="177">
        <v>0.27849999999999997</v>
      </c>
      <c r="J7" s="180">
        <v>0.60219999999999996</v>
      </c>
      <c r="K7" s="181">
        <v>0.72150000000000003</v>
      </c>
      <c r="M7" s="182">
        <v>0.3962</v>
      </c>
      <c r="N7" s="183">
        <v>0.27739999999999998</v>
      </c>
      <c r="O7" s="184">
        <v>0.6038</v>
      </c>
      <c r="P7" s="185">
        <v>0.72260000000000002</v>
      </c>
      <c r="R7" s="182"/>
      <c r="S7" s="183"/>
      <c r="T7" s="184"/>
      <c r="U7" s="185"/>
      <c r="W7" s="182"/>
      <c r="X7" s="183"/>
      <c r="Y7" s="184"/>
      <c r="Z7" s="185"/>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row>
    <row r="8" spans="2:56" s="170" customFormat="1" ht="16.5" hidden="1" customHeight="1">
      <c r="B8" s="175" t="s">
        <v>974</v>
      </c>
      <c r="C8" s="176">
        <v>0.39180000000000004</v>
      </c>
      <c r="D8" s="177">
        <v>0.27429999999999999</v>
      </c>
      <c r="E8" s="178">
        <v>0.60819999999999996</v>
      </c>
      <c r="F8" s="179">
        <v>0.72570000000000001</v>
      </c>
      <c r="H8" s="176">
        <v>0.39129999999999998</v>
      </c>
      <c r="I8" s="177">
        <v>0.27390000000000003</v>
      </c>
      <c r="J8" s="180">
        <v>0.60870000000000002</v>
      </c>
      <c r="K8" s="181">
        <v>0.72609999999999997</v>
      </c>
      <c r="M8" s="182">
        <v>0.39179999999999998</v>
      </c>
      <c r="N8" s="183">
        <v>0.27429999999999999</v>
      </c>
      <c r="O8" s="184">
        <v>0.60820000000000007</v>
      </c>
      <c r="P8" s="185">
        <v>0.72570000000000001</v>
      </c>
      <c r="R8" s="182"/>
      <c r="S8" s="183"/>
      <c r="T8" s="184"/>
      <c r="U8" s="185"/>
      <c r="W8" s="182"/>
      <c r="X8" s="183"/>
      <c r="Y8" s="184"/>
      <c r="Z8" s="185"/>
      <c r="AB8" s="186"/>
      <c r="AC8" s="186"/>
      <c r="AD8" s="186"/>
      <c r="AE8" s="186"/>
      <c r="AF8" s="186"/>
      <c r="AG8" s="186"/>
      <c r="AH8" s="186"/>
      <c r="AI8" s="186"/>
      <c r="AJ8" s="186"/>
      <c r="AK8" s="186"/>
      <c r="AL8" s="186"/>
      <c r="AM8" s="186"/>
      <c r="AN8" s="186"/>
      <c r="AO8" s="186"/>
      <c r="AP8" s="186"/>
      <c r="AQ8" s="186"/>
      <c r="AR8" s="186"/>
      <c r="AS8" s="186"/>
      <c r="AT8" s="186"/>
      <c r="AU8" s="186"/>
      <c r="AV8" s="186"/>
      <c r="AW8" s="186"/>
      <c r="AX8" s="186"/>
      <c r="AY8" s="186"/>
      <c r="AZ8" s="186"/>
      <c r="BA8" s="186"/>
      <c r="BB8" s="186"/>
      <c r="BC8" s="186"/>
      <c r="BD8" s="186"/>
    </row>
    <row r="9" spans="2:56" s="170" customFormat="1" ht="16.5" hidden="1" customHeight="1">
      <c r="B9" s="175" t="s">
        <v>975</v>
      </c>
      <c r="C9" s="176">
        <v>0.39319999999999999</v>
      </c>
      <c r="D9" s="177">
        <v>0.27529999999999999</v>
      </c>
      <c r="E9" s="178">
        <v>0.60680000000000001</v>
      </c>
      <c r="F9" s="179">
        <v>0.72470000000000001</v>
      </c>
      <c r="H9" s="176">
        <v>0.39339999999999997</v>
      </c>
      <c r="I9" s="177">
        <v>0.27539999999999998</v>
      </c>
      <c r="J9" s="180">
        <v>0.60660000000000003</v>
      </c>
      <c r="K9" s="181">
        <v>0.72460000000000002</v>
      </c>
      <c r="M9" s="182">
        <v>0.3931</v>
      </c>
      <c r="N9" s="183">
        <v>0.2752</v>
      </c>
      <c r="O9" s="184">
        <v>0.6069</v>
      </c>
      <c r="P9" s="185">
        <v>0.7248</v>
      </c>
      <c r="R9" s="182"/>
      <c r="S9" s="183"/>
      <c r="T9" s="184"/>
      <c r="U9" s="185"/>
      <c r="W9" s="182"/>
      <c r="X9" s="183"/>
      <c r="Y9" s="184"/>
      <c r="Z9" s="185"/>
      <c r="AB9" s="186"/>
      <c r="AC9" s="186"/>
      <c r="AD9" s="186"/>
      <c r="AE9" s="186"/>
      <c r="AF9" s="186"/>
      <c r="AG9" s="186"/>
      <c r="AH9" s="186"/>
      <c r="AI9" s="186"/>
      <c r="AJ9" s="186"/>
      <c r="AK9" s="186"/>
      <c r="AL9" s="186"/>
      <c r="AM9" s="186"/>
      <c r="AN9" s="186"/>
      <c r="AO9" s="186"/>
      <c r="AP9" s="186"/>
      <c r="AQ9" s="186"/>
      <c r="AR9" s="186"/>
      <c r="AS9" s="186"/>
      <c r="AT9" s="186"/>
      <c r="AU9" s="186"/>
      <c r="AV9" s="186"/>
      <c r="AW9" s="186"/>
      <c r="AX9" s="186"/>
      <c r="AY9" s="186"/>
      <c r="AZ9" s="186"/>
      <c r="BA9" s="186"/>
      <c r="BB9" s="186"/>
      <c r="BC9" s="186"/>
      <c r="BD9" s="186"/>
    </row>
    <row r="10" spans="2:56" s="170" customFormat="1" ht="16.5" hidden="1" customHeight="1">
      <c r="B10" s="175" t="s">
        <v>976</v>
      </c>
      <c r="C10" s="176">
        <v>0.39229999999999998</v>
      </c>
      <c r="D10" s="177">
        <v>0.27459999999999996</v>
      </c>
      <c r="E10" s="178">
        <v>0.60770000000000002</v>
      </c>
      <c r="F10" s="179">
        <v>0.72540000000000004</v>
      </c>
      <c r="H10" s="176">
        <v>0.39219999999999999</v>
      </c>
      <c r="I10" s="177">
        <v>0.27449999999999997</v>
      </c>
      <c r="J10" s="180">
        <v>0.60780000000000001</v>
      </c>
      <c r="K10" s="181">
        <v>0.72550000000000003</v>
      </c>
      <c r="M10" s="182">
        <v>0.39279999999999998</v>
      </c>
      <c r="N10" s="183">
        <v>0.27489999999999998</v>
      </c>
      <c r="O10" s="184">
        <v>0.60719999999999996</v>
      </c>
      <c r="P10" s="185">
        <v>0.72510000000000008</v>
      </c>
      <c r="R10" s="182"/>
      <c r="S10" s="183"/>
      <c r="T10" s="184"/>
      <c r="U10" s="185"/>
      <c r="W10" s="182"/>
      <c r="X10" s="183"/>
      <c r="Y10" s="184"/>
      <c r="Z10" s="185"/>
      <c r="AB10" s="186"/>
      <c r="AC10" s="186"/>
      <c r="AD10" s="186"/>
      <c r="AE10" s="186"/>
      <c r="AF10" s="186"/>
      <c r="AG10" s="186"/>
      <c r="AH10" s="186"/>
      <c r="AI10" s="186"/>
      <c r="AJ10" s="186"/>
      <c r="AK10" s="186"/>
      <c r="AL10" s="186"/>
      <c r="AM10" s="186"/>
      <c r="AN10" s="186"/>
      <c r="AO10" s="186"/>
      <c r="AP10" s="186"/>
      <c r="AQ10" s="186"/>
      <c r="AR10" s="186"/>
      <c r="AS10" s="186"/>
      <c r="AT10" s="186"/>
      <c r="AU10" s="186"/>
      <c r="AV10" s="186"/>
      <c r="AW10" s="186"/>
      <c r="AX10" s="186"/>
      <c r="AY10" s="186"/>
      <c r="AZ10" s="186"/>
      <c r="BA10" s="186"/>
      <c r="BB10" s="186"/>
      <c r="BC10" s="186"/>
      <c r="BD10" s="186"/>
    </row>
    <row r="11" spans="2:56" s="170" customFormat="1" ht="16.5" hidden="1" customHeight="1">
      <c r="B11" s="175" t="s">
        <v>977</v>
      </c>
      <c r="C11" s="176">
        <v>0.39419999999999999</v>
      </c>
      <c r="D11" s="177">
        <v>0.27600000000000002</v>
      </c>
      <c r="E11" s="178">
        <v>0.60580000000000001</v>
      </c>
      <c r="F11" s="179">
        <v>0.72399999999999998</v>
      </c>
      <c r="H11" s="176">
        <v>0.39439999999999997</v>
      </c>
      <c r="I11" s="177">
        <v>0.27610000000000001</v>
      </c>
      <c r="J11" s="180">
        <v>0.60560000000000003</v>
      </c>
      <c r="K11" s="181">
        <v>0.72389999999999999</v>
      </c>
      <c r="M11" s="187">
        <v>0.3972</v>
      </c>
      <c r="N11" s="183">
        <v>0.27810000000000001</v>
      </c>
      <c r="O11" s="188">
        <v>0.6028</v>
      </c>
      <c r="P11" s="185">
        <v>0.72189999999999999</v>
      </c>
      <c r="R11" s="182"/>
      <c r="S11" s="183"/>
      <c r="T11" s="184"/>
      <c r="U11" s="185"/>
      <c r="W11" s="189"/>
      <c r="X11" s="190"/>
      <c r="Y11" s="180"/>
      <c r="Z11" s="181"/>
      <c r="AB11" s="186"/>
      <c r="AC11" s="186"/>
      <c r="AD11" s="186"/>
      <c r="AE11" s="186"/>
      <c r="AF11" s="186"/>
      <c r="AG11" s="186"/>
      <c r="AH11" s="186"/>
      <c r="AI11" s="186"/>
      <c r="AJ11" s="186"/>
      <c r="AK11" s="186"/>
      <c r="AL11" s="186"/>
      <c r="AM11" s="186"/>
      <c r="AN11" s="186"/>
      <c r="AO11" s="186"/>
      <c r="AP11" s="186"/>
      <c r="AQ11" s="186"/>
      <c r="AR11" s="186"/>
      <c r="AS11" s="186"/>
      <c r="AT11" s="186"/>
      <c r="AU11" s="186"/>
      <c r="AV11" s="186"/>
      <c r="AW11" s="186"/>
      <c r="AX11" s="186"/>
      <c r="AY11" s="186"/>
      <c r="AZ11" s="186"/>
      <c r="BA11" s="186"/>
      <c r="BB11" s="186"/>
      <c r="BC11" s="186"/>
      <c r="BD11" s="186"/>
    </row>
    <row r="12" spans="2:56" s="170" customFormat="1" ht="16.5" hidden="1" customHeight="1">
      <c r="B12" s="175" t="s">
        <v>978</v>
      </c>
      <c r="C12" s="191">
        <v>0.40469999999999995</v>
      </c>
      <c r="D12" s="177">
        <v>0.28320000000000001</v>
      </c>
      <c r="E12" s="192">
        <v>0.59530000000000005</v>
      </c>
      <c r="F12" s="179">
        <v>0.71679999999999999</v>
      </c>
      <c r="H12" s="191">
        <v>0.40559999999999996</v>
      </c>
      <c r="I12" s="177">
        <v>0.28390000000000004</v>
      </c>
      <c r="J12" s="193">
        <v>0.59440000000000004</v>
      </c>
      <c r="K12" s="181">
        <v>0.71609999999999996</v>
      </c>
      <c r="M12" s="194">
        <v>0.40739999999999998</v>
      </c>
      <c r="N12" s="183">
        <v>0.28520000000000001</v>
      </c>
      <c r="O12" s="193">
        <v>0.59260000000000002</v>
      </c>
      <c r="P12" s="185">
        <v>0.71479999999999999</v>
      </c>
      <c r="R12" s="194">
        <v>0.31741666666666679</v>
      </c>
      <c r="S12" s="195">
        <v>0.30967500000000003</v>
      </c>
      <c r="T12" s="193">
        <v>0.68258333333333321</v>
      </c>
      <c r="U12" s="196">
        <v>0.69032499999999997</v>
      </c>
      <c r="W12" s="189"/>
      <c r="X12" s="190"/>
      <c r="Y12" s="180"/>
      <c r="Z12" s="181"/>
      <c r="AB12" s="186"/>
      <c r="AC12" s="186"/>
      <c r="AD12" s="186"/>
      <c r="AE12" s="186"/>
      <c r="AF12" s="186"/>
      <c r="AG12" s="186"/>
      <c r="AH12" s="186"/>
      <c r="AI12" s="186"/>
      <c r="AJ12" s="186"/>
      <c r="AK12" s="186"/>
      <c r="AL12" s="186"/>
      <c r="AM12" s="186"/>
      <c r="AN12" s="186"/>
      <c r="AO12" s="186"/>
      <c r="AP12" s="186"/>
      <c r="AQ12" s="186"/>
      <c r="AR12" s="186"/>
      <c r="AS12" s="186"/>
      <c r="AT12" s="186"/>
      <c r="AU12" s="186"/>
      <c r="AV12" s="186"/>
      <c r="AW12" s="186"/>
      <c r="AX12" s="186"/>
      <c r="AY12" s="186"/>
      <c r="AZ12" s="186"/>
      <c r="BA12" s="186"/>
      <c r="BB12" s="186"/>
      <c r="BC12" s="186"/>
      <c r="BD12" s="186"/>
    </row>
    <row r="13" spans="2:56" ht="16.5" hidden="1" customHeight="1">
      <c r="B13" s="175" t="s">
        <v>979</v>
      </c>
      <c r="C13" s="191">
        <v>0.41210000000000002</v>
      </c>
      <c r="D13" s="177">
        <v>0.28849999999999998</v>
      </c>
      <c r="E13" s="192">
        <v>0.58789999999999998</v>
      </c>
      <c r="F13" s="179">
        <v>0.71150000000000002</v>
      </c>
      <c r="G13" s="3"/>
      <c r="H13" s="191">
        <v>0.41270000000000007</v>
      </c>
      <c r="I13" s="177">
        <v>0.28889999999999993</v>
      </c>
      <c r="J13" s="193">
        <v>0.58729999999999993</v>
      </c>
      <c r="K13" s="185">
        <v>0.71110000000000007</v>
      </c>
      <c r="L13" s="4"/>
      <c r="M13" s="194">
        <v>0.40810000000000002</v>
      </c>
      <c r="N13" s="183">
        <v>0.28570000000000001</v>
      </c>
      <c r="O13" s="193">
        <v>0.59189999999999998</v>
      </c>
      <c r="P13" s="185">
        <v>0.71429999999999993</v>
      </c>
      <c r="R13" s="194">
        <v>0.29150833333333337</v>
      </c>
      <c r="S13" s="195">
        <v>0.29059999999999997</v>
      </c>
      <c r="T13" s="193">
        <v>0.70849166666666663</v>
      </c>
      <c r="U13" s="196">
        <v>0.70940000000000003</v>
      </c>
      <c r="W13" s="189"/>
      <c r="X13" s="190"/>
      <c r="Y13" s="180"/>
      <c r="Z13" s="181"/>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6"/>
      <c r="AX13" s="186"/>
      <c r="AY13" s="186"/>
      <c r="AZ13" s="186"/>
      <c r="BA13" s="186"/>
      <c r="BB13" s="186"/>
      <c r="BC13" s="186"/>
      <c r="BD13" s="186"/>
    </row>
    <row r="14" spans="2:56" ht="16.5" hidden="1" customHeight="1">
      <c r="B14" s="175" t="s">
        <v>980</v>
      </c>
      <c r="C14" s="191">
        <v>0.39590000000000003</v>
      </c>
      <c r="D14" s="177">
        <v>0.2772</v>
      </c>
      <c r="E14" s="192">
        <v>0.60409999999999997</v>
      </c>
      <c r="F14" s="179">
        <v>0.7228</v>
      </c>
      <c r="G14" s="3"/>
      <c r="H14" s="191">
        <v>0.39439999999999997</v>
      </c>
      <c r="I14" s="177">
        <v>0.27610000000000001</v>
      </c>
      <c r="J14" s="193">
        <v>0.60560000000000003</v>
      </c>
      <c r="K14" s="185">
        <v>0.72389999999999999</v>
      </c>
      <c r="L14" s="4"/>
      <c r="M14" s="187">
        <v>0.40029999999999999</v>
      </c>
      <c r="N14" s="183">
        <v>0.2802</v>
      </c>
      <c r="O14" s="188">
        <v>0.59970000000000001</v>
      </c>
      <c r="P14" s="185">
        <v>0.7198</v>
      </c>
      <c r="R14" s="194">
        <v>0.32674999999999998</v>
      </c>
      <c r="S14" s="195">
        <v>0.33539999999999992</v>
      </c>
      <c r="T14" s="193">
        <v>0.67325000000000002</v>
      </c>
      <c r="U14" s="196">
        <v>0.66460000000000008</v>
      </c>
      <c r="W14" s="189"/>
      <c r="X14" s="190"/>
      <c r="Y14" s="180"/>
      <c r="Z14" s="181"/>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c r="AY14" s="186"/>
      <c r="AZ14" s="186"/>
      <c r="BA14" s="186"/>
      <c r="BB14" s="186"/>
      <c r="BC14" s="186"/>
      <c r="BD14" s="186"/>
    </row>
    <row r="15" spans="2:56" ht="16.5" hidden="1" customHeight="1">
      <c r="B15" s="175" t="s">
        <v>981</v>
      </c>
      <c r="C15" s="176">
        <v>0.41579999999999995</v>
      </c>
      <c r="D15" s="177">
        <v>0.29110000000000003</v>
      </c>
      <c r="E15" s="178">
        <v>0.58420000000000005</v>
      </c>
      <c r="F15" s="179">
        <v>0.70889999999999997</v>
      </c>
      <c r="G15" s="5"/>
      <c r="H15" s="176">
        <v>0.41779999999999995</v>
      </c>
      <c r="I15" s="177">
        <v>0.29249999999999998</v>
      </c>
      <c r="J15" s="184">
        <v>0.58220000000000005</v>
      </c>
      <c r="K15" s="185">
        <v>0.70750000000000002</v>
      </c>
      <c r="L15" s="4"/>
      <c r="M15" s="182">
        <v>0.41510000000000002</v>
      </c>
      <c r="N15" s="183">
        <v>0.29060000000000002</v>
      </c>
      <c r="O15" s="184">
        <v>0.58489999999999998</v>
      </c>
      <c r="P15" s="185">
        <v>0.70940000000000003</v>
      </c>
      <c r="R15" s="182"/>
      <c r="S15" s="183"/>
      <c r="T15" s="184"/>
      <c r="U15" s="185"/>
      <c r="V15" s="197"/>
      <c r="W15" s="189"/>
      <c r="X15" s="190"/>
      <c r="Y15" s="180"/>
      <c r="Z15" s="181"/>
      <c r="AB15" s="186"/>
      <c r="AC15" s="186"/>
      <c r="AD15" s="186"/>
      <c r="AE15" s="186"/>
      <c r="AF15" s="186"/>
      <c r="AG15" s="186"/>
      <c r="AH15" s="186"/>
      <c r="AI15" s="186"/>
      <c r="AJ15" s="186"/>
      <c r="AK15" s="186"/>
      <c r="AL15" s="186"/>
      <c r="AM15" s="186"/>
      <c r="AN15" s="186"/>
      <c r="AO15" s="186"/>
      <c r="AP15" s="186"/>
      <c r="AQ15" s="186"/>
      <c r="AR15" s="186"/>
      <c r="AS15" s="186"/>
      <c r="AT15" s="186"/>
      <c r="AU15" s="186"/>
      <c r="AV15" s="186"/>
      <c r="AW15" s="186"/>
      <c r="AX15" s="186"/>
      <c r="AY15" s="186"/>
      <c r="AZ15" s="186"/>
      <c r="BA15" s="186"/>
      <c r="BB15" s="186"/>
      <c r="BC15" s="186"/>
      <c r="BD15" s="186"/>
    </row>
    <row r="16" spans="2:56" ht="16.5" hidden="1" customHeight="1">
      <c r="B16" s="175" t="s">
        <v>982</v>
      </c>
      <c r="C16" s="176">
        <v>0.40790000000000004</v>
      </c>
      <c r="D16" s="177">
        <v>0.28549999999999998</v>
      </c>
      <c r="E16" s="178">
        <v>0.59209999999999996</v>
      </c>
      <c r="F16" s="179">
        <v>0.71450000000000002</v>
      </c>
      <c r="G16" s="5"/>
      <c r="H16" s="176">
        <v>0.40700000000000003</v>
      </c>
      <c r="I16" s="177">
        <v>0.28489999999999993</v>
      </c>
      <c r="J16" s="184">
        <v>0.59299999999999997</v>
      </c>
      <c r="K16" s="185">
        <v>0.71510000000000007</v>
      </c>
      <c r="L16" s="4"/>
      <c r="M16" s="182">
        <v>0.40849999999999997</v>
      </c>
      <c r="N16" s="183">
        <v>0.28599999999999998</v>
      </c>
      <c r="O16" s="184">
        <v>0.59150000000000003</v>
      </c>
      <c r="P16" s="185">
        <v>0.71399999999999997</v>
      </c>
      <c r="R16" s="182"/>
      <c r="S16" s="183"/>
      <c r="T16" s="184"/>
      <c r="U16" s="185"/>
      <c r="V16" s="198"/>
      <c r="W16" s="182"/>
      <c r="X16" s="183"/>
      <c r="Y16" s="184"/>
      <c r="Z16" s="185"/>
      <c r="AB16" s="186"/>
      <c r="AC16" s="186"/>
      <c r="AD16" s="186"/>
      <c r="AE16" s="186"/>
      <c r="AF16" s="186"/>
      <c r="AG16" s="186"/>
      <c r="AH16" s="186"/>
      <c r="AI16" s="186"/>
      <c r="AJ16" s="186"/>
      <c r="AK16" s="186"/>
      <c r="AL16" s="186"/>
      <c r="AM16" s="186"/>
      <c r="AN16" s="186"/>
      <c r="AO16" s="186"/>
      <c r="AP16" s="186"/>
      <c r="AQ16" s="186"/>
      <c r="AR16" s="186"/>
      <c r="AS16" s="186"/>
      <c r="AT16" s="186"/>
      <c r="AU16" s="186"/>
      <c r="AV16" s="186"/>
      <c r="AW16" s="186"/>
      <c r="AX16" s="186"/>
      <c r="AY16" s="186"/>
      <c r="AZ16" s="186"/>
      <c r="BA16" s="186"/>
      <c r="BB16" s="186"/>
      <c r="BC16" s="186"/>
      <c r="BD16" s="186"/>
    </row>
    <row r="17" spans="2:56" ht="16.5" hidden="1" customHeight="1">
      <c r="B17" s="175" t="s">
        <v>983</v>
      </c>
      <c r="C17" s="176">
        <v>0.41259999999999997</v>
      </c>
      <c r="D17" s="177">
        <v>0.28879999999999995</v>
      </c>
      <c r="E17" s="178">
        <v>0.58740000000000003</v>
      </c>
      <c r="F17" s="179">
        <v>0.71120000000000005</v>
      </c>
      <c r="G17" s="5"/>
      <c r="H17" s="176">
        <v>0.41310000000000002</v>
      </c>
      <c r="I17" s="177">
        <v>0.28920000000000001</v>
      </c>
      <c r="J17" s="184">
        <v>0.58689999999999998</v>
      </c>
      <c r="K17" s="185">
        <v>0.71079999999999999</v>
      </c>
      <c r="L17" s="4"/>
      <c r="M17" s="182">
        <v>0.41470000000000001</v>
      </c>
      <c r="N17" s="183">
        <v>0.2903</v>
      </c>
      <c r="O17" s="184">
        <v>0.58529999999999993</v>
      </c>
      <c r="P17" s="185">
        <v>0.7097</v>
      </c>
      <c r="R17" s="182"/>
      <c r="S17" s="183"/>
      <c r="T17" s="184"/>
      <c r="U17" s="185"/>
      <c r="V17" s="197"/>
      <c r="W17" s="182"/>
      <c r="X17" s="183"/>
      <c r="Y17" s="184"/>
      <c r="Z17" s="185"/>
      <c r="AB17" s="186"/>
      <c r="AC17" s="186"/>
      <c r="AD17" s="186"/>
      <c r="AE17" s="186"/>
      <c r="AF17" s="186"/>
      <c r="AG17" s="186"/>
      <c r="AH17" s="186"/>
      <c r="AI17" s="186"/>
      <c r="AJ17" s="186"/>
      <c r="AK17" s="186"/>
      <c r="AL17" s="186"/>
      <c r="AM17" s="186"/>
      <c r="AN17" s="186"/>
      <c r="AO17" s="186"/>
      <c r="AP17" s="186"/>
      <c r="AQ17" s="186"/>
      <c r="AR17" s="186"/>
      <c r="AS17" s="186"/>
      <c r="AT17" s="186"/>
      <c r="AU17" s="186"/>
      <c r="AV17" s="186"/>
      <c r="AW17" s="186"/>
      <c r="AX17" s="186"/>
      <c r="AY17" s="186"/>
      <c r="AZ17" s="186"/>
      <c r="BA17" s="186"/>
      <c r="BB17" s="186"/>
      <c r="BC17" s="186"/>
      <c r="BD17" s="186"/>
    </row>
    <row r="18" spans="2:56" ht="16.5" hidden="1" customHeight="1">
      <c r="B18" s="175" t="s">
        <v>984</v>
      </c>
      <c r="C18" s="176">
        <v>0.41900000000000004</v>
      </c>
      <c r="D18" s="177">
        <v>0.29320000000000002</v>
      </c>
      <c r="E18" s="178">
        <v>0.58099999999999996</v>
      </c>
      <c r="F18" s="179">
        <v>0.70679999999999998</v>
      </c>
      <c r="G18" s="5"/>
      <c r="H18" s="176">
        <v>0.41949999999999998</v>
      </c>
      <c r="I18" s="177">
        <v>0.29359999999999997</v>
      </c>
      <c r="J18" s="184">
        <v>0.58050000000000002</v>
      </c>
      <c r="K18" s="185">
        <v>0.70640000000000003</v>
      </c>
      <c r="L18" s="4"/>
      <c r="M18" s="182">
        <v>0.42180000000000001</v>
      </c>
      <c r="N18" s="183">
        <v>0.29520000000000002</v>
      </c>
      <c r="O18" s="184">
        <v>0.57820000000000005</v>
      </c>
      <c r="P18" s="185">
        <v>0.70479999999999998</v>
      </c>
      <c r="R18" s="182"/>
      <c r="S18" s="183"/>
      <c r="T18" s="184"/>
      <c r="U18" s="185"/>
      <c r="V18" s="197"/>
      <c r="W18" s="182"/>
      <c r="X18" s="183"/>
      <c r="Y18" s="184"/>
      <c r="Z18" s="199">
        <v>0.70640000000000003</v>
      </c>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row>
    <row r="19" spans="2:56" ht="16.5" hidden="1" customHeight="1">
      <c r="B19" s="175" t="s">
        <v>985</v>
      </c>
      <c r="C19" s="176">
        <v>0.42789999999999995</v>
      </c>
      <c r="D19" s="200">
        <v>0.29959999999999998</v>
      </c>
      <c r="E19" s="178">
        <v>0.57210000000000005</v>
      </c>
      <c r="F19" s="201">
        <v>0.70040000000000002</v>
      </c>
      <c r="G19" s="5"/>
      <c r="H19" s="176">
        <v>0.42869999999999997</v>
      </c>
      <c r="I19" s="200">
        <v>0.30010000000000003</v>
      </c>
      <c r="J19" s="184">
        <v>0.57130000000000003</v>
      </c>
      <c r="K19" s="202">
        <v>0.69989999999999997</v>
      </c>
      <c r="L19" s="4"/>
      <c r="M19" s="182">
        <v>0.43109999999999998</v>
      </c>
      <c r="N19" s="203">
        <v>0.30180000000000001</v>
      </c>
      <c r="O19" s="184">
        <v>0.56889999999999996</v>
      </c>
      <c r="P19" s="202">
        <v>0.69819999999999993</v>
      </c>
      <c r="R19" s="182"/>
      <c r="S19" s="183"/>
      <c r="T19" s="184"/>
      <c r="U19" s="185"/>
      <c r="V19" s="197"/>
      <c r="W19" s="204">
        <v>8.8700000000000001E-2</v>
      </c>
      <c r="X19" s="203">
        <v>7.0100000000000051E-2</v>
      </c>
      <c r="Y19" s="205">
        <v>0.9113</v>
      </c>
      <c r="Z19" s="202">
        <v>0.92989999999999995</v>
      </c>
      <c r="AB19" s="186"/>
      <c r="AC19" s="186"/>
      <c r="AD19" s="186"/>
      <c r="AE19" s="186"/>
      <c r="AF19" s="186"/>
      <c r="AG19" s="186"/>
      <c r="AH19" s="186"/>
      <c r="AI19" s="186"/>
      <c r="AJ19" s="186"/>
      <c r="AK19" s="186"/>
      <c r="AL19" s="186"/>
      <c r="AM19" s="186"/>
      <c r="AN19" s="186"/>
      <c r="AO19" s="186"/>
      <c r="AP19" s="186"/>
      <c r="AQ19" s="186"/>
      <c r="AR19" s="186"/>
      <c r="AS19" s="186"/>
      <c r="AT19" s="186"/>
      <c r="AU19" s="186"/>
      <c r="AV19" s="186"/>
      <c r="AW19" s="186"/>
      <c r="AX19" s="186"/>
      <c r="AY19" s="186"/>
      <c r="AZ19" s="186"/>
      <c r="BA19" s="186"/>
      <c r="BB19" s="186"/>
      <c r="BC19" s="186"/>
      <c r="BD19" s="186"/>
    </row>
    <row r="20" spans="2:56" ht="16.5" hidden="1" customHeight="1">
      <c r="B20" s="175" t="s">
        <v>986</v>
      </c>
      <c r="C20" s="176">
        <v>0.43740000000000001</v>
      </c>
      <c r="D20" s="200">
        <v>0.30610000000000004</v>
      </c>
      <c r="E20" s="178">
        <v>0.56259999999999999</v>
      </c>
      <c r="F20" s="201">
        <v>0.69389999999999996</v>
      </c>
      <c r="G20" s="5"/>
      <c r="H20" s="176">
        <v>0.43820000000000003</v>
      </c>
      <c r="I20" s="200">
        <v>0.30669999999999997</v>
      </c>
      <c r="J20" s="206">
        <v>0.56179999999999997</v>
      </c>
      <c r="K20" s="207">
        <v>0.69330000000000003</v>
      </c>
      <c r="L20" s="4"/>
      <c r="M20" s="182">
        <v>0.4365</v>
      </c>
      <c r="N20" s="203">
        <v>0.30549999999999999</v>
      </c>
      <c r="O20" s="184">
        <v>0.5635</v>
      </c>
      <c r="P20" s="202">
        <v>0.69450000000000001</v>
      </c>
      <c r="R20" s="182"/>
      <c r="S20" s="183"/>
      <c r="T20" s="184"/>
      <c r="U20" s="185"/>
      <c r="V20" s="197"/>
      <c r="W20" s="204">
        <v>7.6099999999999945E-2</v>
      </c>
      <c r="X20" s="203">
        <v>7.669999999999999E-2</v>
      </c>
      <c r="Y20" s="205">
        <v>0.92390000000000005</v>
      </c>
      <c r="Z20" s="202">
        <v>0.92330000000000001</v>
      </c>
      <c r="AB20" s="186"/>
      <c r="AC20" s="186"/>
      <c r="AD20" s="186"/>
      <c r="AE20" s="186"/>
      <c r="AF20" s="186"/>
      <c r="AG20" s="186"/>
      <c r="AH20" s="186"/>
      <c r="AI20" s="186"/>
      <c r="AJ20" s="186"/>
      <c r="AK20" s="186"/>
      <c r="AL20" s="186"/>
      <c r="AM20" s="186"/>
      <c r="AN20" s="186"/>
      <c r="AO20" s="186"/>
      <c r="AP20" s="186"/>
      <c r="AQ20" s="186"/>
      <c r="AR20" s="186"/>
      <c r="AS20" s="186"/>
      <c r="AT20" s="186"/>
      <c r="AU20" s="186"/>
      <c r="AV20" s="186"/>
      <c r="AW20" s="186"/>
      <c r="AX20" s="186"/>
      <c r="AY20" s="186"/>
      <c r="AZ20" s="186"/>
      <c r="BA20" s="186"/>
      <c r="BB20" s="186"/>
      <c r="BC20" s="186"/>
      <c r="BD20" s="186"/>
    </row>
    <row r="21" spans="2:56" ht="16.5" hidden="1" customHeight="1">
      <c r="B21" s="175" t="s">
        <v>987</v>
      </c>
      <c r="C21" s="176">
        <v>0.43179999999999996</v>
      </c>
      <c r="D21" s="200">
        <v>0.30220000000000002</v>
      </c>
      <c r="E21" s="178">
        <v>0.56820000000000004</v>
      </c>
      <c r="F21" s="201">
        <v>0.69779999999999998</v>
      </c>
      <c r="G21" s="5"/>
      <c r="H21" s="176">
        <v>0.43120000000000003</v>
      </c>
      <c r="I21" s="200">
        <v>0.30179999999999996</v>
      </c>
      <c r="J21" s="184">
        <v>0.56879999999999997</v>
      </c>
      <c r="K21" s="202">
        <v>0.69820000000000004</v>
      </c>
      <c r="L21" s="4"/>
      <c r="M21" s="182">
        <v>0.4279</v>
      </c>
      <c r="N21" s="203">
        <v>0.29949999999999999</v>
      </c>
      <c r="O21" s="184">
        <v>0.57210000000000005</v>
      </c>
      <c r="P21" s="202">
        <v>0.70050000000000001</v>
      </c>
      <c r="R21" s="182"/>
      <c r="S21" s="183"/>
      <c r="T21" s="184"/>
      <c r="U21" s="185"/>
      <c r="V21" s="198"/>
      <c r="W21" s="204">
        <v>7.2200000000000042E-2</v>
      </c>
      <c r="X21" s="203">
        <v>7.1799999999999975E-2</v>
      </c>
      <c r="Y21" s="205">
        <v>0.92779999999999996</v>
      </c>
      <c r="Z21" s="202">
        <v>0.92820000000000003</v>
      </c>
      <c r="AB21" s="186"/>
      <c r="AC21" s="186"/>
      <c r="AD21" s="186"/>
      <c r="AE21" s="186"/>
      <c r="AF21" s="186"/>
      <c r="AG21" s="186"/>
      <c r="AH21" s="186"/>
      <c r="AI21" s="186"/>
      <c r="AJ21" s="186"/>
      <c r="AK21" s="186"/>
      <c r="AL21" s="186"/>
      <c r="AM21" s="186"/>
      <c r="AN21" s="186"/>
      <c r="AO21" s="186"/>
      <c r="AP21" s="186"/>
      <c r="AQ21" s="186"/>
      <c r="AR21" s="186"/>
      <c r="AS21" s="186"/>
      <c r="AT21" s="186"/>
      <c r="AU21" s="186"/>
      <c r="AV21" s="186"/>
      <c r="AW21" s="186"/>
      <c r="AX21" s="186"/>
      <c r="AY21" s="186"/>
      <c r="AZ21" s="186"/>
      <c r="BA21" s="186"/>
      <c r="BB21" s="186"/>
      <c r="BC21" s="186"/>
      <c r="BD21" s="186"/>
    </row>
    <row r="22" spans="2:56" ht="16.5" hidden="1" customHeight="1">
      <c r="B22" s="175" t="s">
        <v>988</v>
      </c>
      <c r="C22" s="176">
        <v>0.41920000000000002</v>
      </c>
      <c r="D22" s="200">
        <v>0.29349999999999998</v>
      </c>
      <c r="E22" s="178">
        <v>0.58079999999999998</v>
      </c>
      <c r="F22" s="201">
        <v>0.70650000000000002</v>
      </c>
      <c r="G22" s="5"/>
      <c r="H22" s="176">
        <v>0.41810000000000003</v>
      </c>
      <c r="I22" s="200">
        <v>0.29269999999999996</v>
      </c>
      <c r="J22" s="184">
        <v>0.58189999999999997</v>
      </c>
      <c r="K22" s="202">
        <v>0.70730000000000004</v>
      </c>
      <c r="L22" s="4"/>
      <c r="M22" s="182">
        <v>0.41139999999999999</v>
      </c>
      <c r="N22" s="203">
        <v>0.28799999999999998</v>
      </c>
      <c r="O22" s="184">
        <v>0.58860000000000001</v>
      </c>
      <c r="P22" s="202">
        <v>0.71199999999999997</v>
      </c>
      <c r="R22" s="182"/>
      <c r="S22" s="183"/>
      <c r="T22" s="184"/>
      <c r="U22" s="185"/>
      <c r="V22" s="198"/>
      <c r="W22" s="204">
        <v>6.3500000000000001E-2</v>
      </c>
      <c r="X22" s="203">
        <v>6.2699999999999978E-2</v>
      </c>
      <c r="Y22" s="208">
        <v>0.9365</v>
      </c>
      <c r="Z22" s="209">
        <v>0.93730000000000002</v>
      </c>
      <c r="AB22" s="186"/>
      <c r="AC22" s="186"/>
      <c r="AD22" s="186"/>
      <c r="AE22" s="186"/>
      <c r="AF22" s="186"/>
      <c r="AG22" s="186"/>
      <c r="AH22" s="186"/>
      <c r="AI22" s="186"/>
      <c r="AJ22" s="186"/>
      <c r="AK22" s="186"/>
      <c r="AL22" s="186"/>
      <c r="AM22" s="186"/>
      <c r="AN22" s="186"/>
      <c r="AO22" s="186"/>
      <c r="AP22" s="186"/>
      <c r="AQ22" s="186"/>
      <c r="AR22" s="186"/>
      <c r="AS22" s="186"/>
      <c r="AT22" s="186"/>
      <c r="AU22" s="186"/>
      <c r="AV22" s="186"/>
      <c r="AW22" s="186"/>
      <c r="AX22" s="186"/>
      <c r="AY22" s="186"/>
      <c r="AZ22" s="186"/>
      <c r="BA22" s="186"/>
      <c r="BB22" s="186"/>
      <c r="BC22" s="186"/>
      <c r="BD22" s="186"/>
    </row>
    <row r="23" spans="2:56" ht="16.5" hidden="1" customHeight="1">
      <c r="B23" s="210" t="s">
        <v>989</v>
      </c>
      <c r="C23" s="211">
        <v>0.39329999999999998</v>
      </c>
      <c r="D23" s="212">
        <v>0.27539999999999998</v>
      </c>
      <c r="E23" s="213">
        <v>0.60670000000000002</v>
      </c>
      <c r="F23" s="214">
        <v>0.72460000000000002</v>
      </c>
      <c r="G23" s="6"/>
      <c r="H23" s="211">
        <v>0.3911</v>
      </c>
      <c r="I23" s="212">
        <v>0.27380000000000004</v>
      </c>
      <c r="J23" s="215">
        <v>0.6089</v>
      </c>
      <c r="K23" s="216">
        <v>0.72619999999999996</v>
      </c>
      <c r="L23" s="7"/>
      <c r="M23" s="217">
        <v>0.38879999999999998</v>
      </c>
      <c r="N23" s="212">
        <v>0.2722</v>
      </c>
      <c r="O23" s="218">
        <v>0.61119999999999997</v>
      </c>
      <c r="P23" s="219">
        <v>0.7278</v>
      </c>
      <c r="Q23" s="220"/>
      <c r="R23" s="221"/>
      <c r="S23" s="222"/>
      <c r="T23" s="223"/>
      <c r="U23" s="224"/>
      <c r="V23" s="225"/>
      <c r="W23" s="226">
        <v>0.15080000000000005</v>
      </c>
      <c r="X23" s="227">
        <v>0.15880000000000005</v>
      </c>
      <c r="Y23" s="228">
        <v>0.84919999999999995</v>
      </c>
      <c r="Z23" s="229">
        <v>0.84119999999999995</v>
      </c>
      <c r="AB23" s="186"/>
      <c r="AC23" s="186"/>
      <c r="AD23" s="186"/>
      <c r="AE23" s="186"/>
      <c r="AF23" s="186"/>
      <c r="AG23" s="186"/>
      <c r="AH23" s="186"/>
      <c r="AI23" s="186"/>
      <c r="AJ23" s="186"/>
      <c r="AK23" s="186"/>
      <c r="AL23" s="186"/>
      <c r="AM23" s="186"/>
      <c r="AN23" s="186"/>
      <c r="AO23" s="186"/>
      <c r="AP23" s="186"/>
      <c r="AQ23" s="186"/>
      <c r="AR23" s="186"/>
      <c r="AS23" s="186"/>
      <c r="AT23" s="186"/>
      <c r="AU23" s="186"/>
      <c r="AV23" s="186"/>
      <c r="AW23" s="186"/>
      <c r="AX23" s="186"/>
      <c r="AY23" s="186"/>
      <c r="AZ23" s="186"/>
      <c r="BA23" s="186"/>
      <c r="BB23" s="186"/>
      <c r="BC23" s="186"/>
      <c r="BD23" s="186"/>
    </row>
    <row r="24" spans="2:56" ht="16.5" hidden="1" customHeight="1">
      <c r="B24" s="230" t="s">
        <v>990</v>
      </c>
      <c r="C24" s="231">
        <v>0.32909999999999995</v>
      </c>
      <c r="D24" s="232">
        <v>0.23036999999999996</v>
      </c>
      <c r="E24" s="233">
        <v>0.67090000000000005</v>
      </c>
      <c r="F24" s="234">
        <v>0.76963000000000004</v>
      </c>
      <c r="G24" s="8"/>
      <c r="H24" s="231">
        <v>0.32909999999999995</v>
      </c>
      <c r="I24" s="232">
        <v>0.23036999999999996</v>
      </c>
      <c r="J24" s="235">
        <v>0.67090000000000005</v>
      </c>
      <c r="K24" s="236">
        <v>0.76963000000000004</v>
      </c>
      <c r="L24" s="9"/>
      <c r="M24" s="237">
        <v>0.32679999999999998</v>
      </c>
      <c r="N24" s="232">
        <v>0.2288</v>
      </c>
      <c r="O24" s="238">
        <v>0.67320000000000002</v>
      </c>
      <c r="P24" s="239">
        <v>0.7712</v>
      </c>
      <c r="R24" s="182"/>
      <c r="S24" s="183"/>
      <c r="T24" s="184"/>
      <c r="U24" s="185"/>
      <c r="V24" s="197"/>
      <c r="W24" s="240">
        <v>0.11536999999999997</v>
      </c>
      <c r="X24" s="241">
        <v>0.11536999999999997</v>
      </c>
      <c r="Y24" s="242">
        <v>0.88463000000000003</v>
      </c>
      <c r="Z24" s="243">
        <v>0.88463000000000003</v>
      </c>
      <c r="AB24" s="186"/>
      <c r="AC24" s="186"/>
      <c r="AD24" s="186"/>
      <c r="AE24" s="186"/>
      <c r="AF24" s="186"/>
      <c r="AG24" s="186"/>
      <c r="AH24" s="186"/>
      <c r="AI24" s="186"/>
      <c r="AJ24" s="186"/>
      <c r="AK24" s="186"/>
      <c r="AL24" s="186"/>
      <c r="AM24" s="186"/>
      <c r="AN24" s="186"/>
      <c r="AO24" s="186"/>
      <c r="AP24" s="186"/>
      <c r="AQ24" s="186"/>
      <c r="AR24" s="186"/>
      <c r="AS24" s="186"/>
      <c r="AT24" s="186"/>
      <c r="AU24" s="186"/>
      <c r="AV24" s="186"/>
      <c r="AW24" s="186"/>
      <c r="AX24" s="186"/>
      <c r="AY24" s="186"/>
      <c r="AZ24" s="186"/>
      <c r="BA24" s="186"/>
      <c r="BB24" s="186"/>
      <c r="BC24" s="186"/>
      <c r="BD24" s="186"/>
    </row>
    <row r="25" spans="2:56" ht="16.5" hidden="1" customHeight="1">
      <c r="B25" s="244" t="s">
        <v>991</v>
      </c>
      <c r="C25" s="245">
        <v>0.35199999999999998</v>
      </c>
      <c r="D25" s="246">
        <v>0.24639999999999995</v>
      </c>
      <c r="E25" s="247">
        <v>0.64800000000000002</v>
      </c>
      <c r="F25" s="248">
        <v>0.75360000000000005</v>
      </c>
      <c r="G25" s="18"/>
      <c r="H25" s="245">
        <v>0.34460000000000002</v>
      </c>
      <c r="I25" s="246">
        <v>0.24119999999999997</v>
      </c>
      <c r="J25" s="249">
        <v>0.65539999999999998</v>
      </c>
      <c r="K25" s="250">
        <v>0.75880000000000003</v>
      </c>
      <c r="L25" s="19"/>
      <c r="M25" s="251">
        <v>0.32679999999999998</v>
      </c>
      <c r="N25" s="251">
        <v>0.2288</v>
      </c>
      <c r="O25" s="252">
        <v>0.67320000000000002</v>
      </c>
      <c r="P25" s="253">
        <v>0.7712</v>
      </c>
      <c r="Q25" s="254"/>
      <c r="R25" s="255"/>
      <c r="S25" s="256"/>
      <c r="T25" s="257"/>
      <c r="U25" s="258"/>
      <c r="V25" s="259"/>
      <c r="W25" s="260">
        <v>0.12180000000000002</v>
      </c>
      <c r="X25" s="261">
        <v>0.12619999999999998</v>
      </c>
      <c r="Y25" s="262">
        <v>0.87819999999999998</v>
      </c>
      <c r="Z25" s="263">
        <v>0.87380000000000002</v>
      </c>
      <c r="AA25" s="264"/>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6"/>
      <c r="AX25" s="186"/>
      <c r="AY25" s="186"/>
      <c r="AZ25" s="186"/>
      <c r="BA25" s="186"/>
      <c r="BB25" s="186"/>
      <c r="BC25" s="186"/>
      <c r="BD25" s="186"/>
    </row>
    <row r="26" spans="2:56" ht="16.5" hidden="1" customHeight="1">
      <c r="B26" s="210" t="s">
        <v>992</v>
      </c>
      <c r="C26" s="265">
        <v>0.38270000000000004</v>
      </c>
      <c r="D26" s="266">
        <v>0.26780000000000004</v>
      </c>
      <c r="E26" s="267">
        <v>0.61729999999999996</v>
      </c>
      <c r="F26" s="268">
        <v>0.73219999999999996</v>
      </c>
      <c r="G26" s="10"/>
      <c r="H26" s="265">
        <v>0.38190000000000002</v>
      </c>
      <c r="I26" s="269">
        <v>0.26729999999999998</v>
      </c>
      <c r="J26" s="270">
        <v>0.61809999999999998</v>
      </c>
      <c r="K26" s="271">
        <v>0.73270000000000002</v>
      </c>
      <c r="L26" s="11"/>
      <c r="M26" s="221">
        <v>0.38440000000000002</v>
      </c>
      <c r="N26" s="222">
        <v>0.26910000000000001</v>
      </c>
      <c r="O26" s="272">
        <v>0.61559999999999993</v>
      </c>
      <c r="P26" s="224">
        <v>0.73089999999999999</v>
      </c>
      <c r="Q26" s="220"/>
      <c r="R26" s="221"/>
      <c r="S26" s="222"/>
      <c r="T26" s="223"/>
      <c r="U26" s="224"/>
      <c r="V26" s="273"/>
      <c r="W26" s="274">
        <v>0.25829999999999997</v>
      </c>
      <c r="X26" s="275">
        <v>0.26729999999999998</v>
      </c>
      <c r="Y26" s="276">
        <v>0.74170000000000003</v>
      </c>
      <c r="Z26" s="277">
        <v>0.73270000000000002</v>
      </c>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row>
    <row r="27" spans="2:56" ht="16.5" hidden="1" customHeight="1">
      <c r="B27" s="230" t="s">
        <v>993</v>
      </c>
      <c r="C27" s="278">
        <v>0.32069999999999999</v>
      </c>
      <c r="D27" s="232">
        <v>0.22450000000000003</v>
      </c>
      <c r="E27" s="279">
        <v>0.67930000000000001</v>
      </c>
      <c r="F27" s="239">
        <v>0.77549999999999997</v>
      </c>
      <c r="G27" s="12"/>
      <c r="H27" s="278">
        <v>0.31990000000000007</v>
      </c>
      <c r="I27" s="232">
        <v>0.22393000000000007</v>
      </c>
      <c r="J27" s="235">
        <v>0.68009999999999993</v>
      </c>
      <c r="K27" s="236">
        <v>0.77606999999999993</v>
      </c>
      <c r="L27" s="13"/>
      <c r="M27" s="237">
        <v>0.32240000000000002</v>
      </c>
      <c r="N27" s="232">
        <v>0.22570000000000001</v>
      </c>
      <c r="O27" s="280">
        <v>0.67759999999999998</v>
      </c>
      <c r="P27" s="281">
        <v>0.77429999999999999</v>
      </c>
      <c r="R27" s="182"/>
      <c r="S27" s="183"/>
      <c r="T27" s="184"/>
      <c r="U27" s="185"/>
      <c r="V27" s="198"/>
      <c r="W27" s="282">
        <v>0.21489999999999998</v>
      </c>
      <c r="X27" s="283">
        <v>0.22393000000000007</v>
      </c>
      <c r="Y27" s="284">
        <v>0.78510000000000002</v>
      </c>
      <c r="Z27" s="285">
        <v>0.77606999999999993</v>
      </c>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row>
    <row r="28" spans="2:56" ht="16.5" hidden="1" customHeight="1">
      <c r="B28" s="244" t="s">
        <v>994</v>
      </c>
      <c r="C28" s="286">
        <v>0.32069999999999999</v>
      </c>
      <c r="D28" s="246">
        <v>0.22450000000000003</v>
      </c>
      <c r="E28" s="287">
        <v>0.67930000000000001</v>
      </c>
      <c r="F28" s="253">
        <v>0.77549999999999997</v>
      </c>
      <c r="G28" s="20"/>
      <c r="H28" s="286">
        <v>0.31990000000000007</v>
      </c>
      <c r="I28" s="246">
        <v>0.22393000000000007</v>
      </c>
      <c r="J28" s="249">
        <v>0.68009999999999993</v>
      </c>
      <c r="K28" s="250">
        <v>0.77606999999999993</v>
      </c>
      <c r="L28" s="21"/>
      <c r="M28" s="251">
        <v>0.32240000000000002</v>
      </c>
      <c r="N28" s="251">
        <v>0.22570000000000001</v>
      </c>
      <c r="O28" s="288">
        <v>0.67759999999999998</v>
      </c>
      <c r="P28" s="289">
        <v>0.77429999999999999</v>
      </c>
      <c r="Q28" s="254"/>
      <c r="R28" s="255"/>
      <c r="S28" s="256"/>
      <c r="T28" s="257"/>
      <c r="U28" s="258"/>
      <c r="V28" s="290"/>
      <c r="W28" s="291">
        <v>0.21489999999999998</v>
      </c>
      <c r="X28" s="292">
        <v>0.22393000000000007</v>
      </c>
      <c r="Y28" s="293">
        <v>0.78510000000000002</v>
      </c>
      <c r="Z28" s="294">
        <v>0.77606999999999993</v>
      </c>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row>
    <row r="29" spans="2:56" ht="16.5" hidden="1" customHeight="1">
      <c r="B29" s="210" t="s">
        <v>995</v>
      </c>
      <c r="C29" s="265">
        <v>0.39119999999999999</v>
      </c>
      <c r="D29" s="266">
        <v>0.27380000000000004</v>
      </c>
      <c r="E29" s="267">
        <v>0.60880000000000001</v>
      </c>
      <c r="F29" s="268">
        <v>0.72619999999999996</v>
      </c>
      <c r="G29" s="10"/>
      <c r="H29" s="265">
        <v>0.39200000000000002</v>
      </c>
      <c r="I29" s="269">
        <v>0.27439999999999998</v>
      </c>
      <c r="J29" s="270">
        <v>0.60799999999999998</v>
      </c>
      <c r="K29" s="271">
        <v>0.72560000000000002</v>
      </c>
      <c r="L29" s="11"/>
      <c r="M29" s="221">
        <v>0.39429999999999998</v>
      </c>
      <c r="N29" s="222">
        <v>0.27600000000000002</v>
      </c>
      <c r="O29" s="272">
        <v>0.60570000000000002</v>
      </c>
      <c r="P29" s="224">
        <v>0.72399999999999998</v>
      </c>
      <c r="R29" s="295"/>
      <c r="S29" s="183"/>
      <c r="T29" s="296"/>
      <c r="U29" s="185"/>
      <c r="W29" s="297"/>
      <c r="X29" s="190"/>
      <c r="Y29" s="180"/>
      <c r="Z29" s="298"/>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row>
    <row r="30" spans="2:56" ht="16.5" hidden="1" customHeight="1">
      <c r="B30" s="230" t="s">
        <v>996</v>
      </c>
      <c r="C30" s="278">
        <v>0.32920000000000005</v>
      </c>
      <c r="D30" s="232">
        <v>0.23040000000000005</v>
      </c>
      <c r="E30" s="279">
        <v>0.67079999999999995</v>
      </c>
      <c r="F30" s="299">
        <v>0.76959999999999995</v>
      </c>
      <c r="G30" s="12"/>
      <c r="H30" s="278">
        <v>0.33000000000000007</v>
      </c>
      <c r="I30" s="232">
        <v>0.23100000000000009</v>
      </c>
      <c r="J30" s="235">
        <v>0.66999999999999993</v>
      </c>
      <c r="K30" s="236">
        <v>0.76899999999999991</v>
      </c>
      <c r="L30" s="13"/>
      <c r="M30" s="237">
        <v>0.33229999999999998</v>
      </c>
      <c r="N30" s="232">
        <v>0.2326</v>
      </c>
      <c r="O30" s="280">
        <v>0.66769999999999996</v>
      </c>
      <c r="P30" s="281">
        <v>0.76739999999999997</v>
      </c>
      <c r="R30" s="295"/>
      <c r="S30" s="183"/>
      <c r="T30" s="296"/>
      <c r="U30" s="185"/>
      <c r="W30" s="297"/>
      <c r="X30" s="190"/>
      <c r="Y30" s="180"/>
      <c r="Z30" s="298"/>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row>
    <row r="31" spans="2:56" ht="16.5" hidden="1" customHeight="1">
      <c r="B31" s="244" t="s">
        <v>997</v>
      </c>
      <c r="C31" s="286">
        <v>0.32920000000000005</v>
      </c>
      <c r="D31" s="246">
        <v>0.23040000000000005</v>
      </c>
      <c r="E31" s="300">
        <v>0.67079999999999995</v>
      </c>
      <c r="F31" s="301">
        <v>0.76959999999999995</v>
      </c>
      <c r="G31" s="20"/>
      <c r="H31" s="286">
        <v>0.33000000000000007</v>
      </c>
      <c r="I31" s="246">
        <v>0.23100000000000009</v>
      </c>
      <c r="J31" s="249">
        <v>0.66999999999999993</v>
      </c>
      <c r="K31" s="250">
        <v>0.76899999999999991</v>
      </c>
      <c r="L31" s="21"/>
      <c r="M31" s="251">
        <v>0.33229999999999998</v>
      </c>
      <c r="N31" s="246">
        <v>0.2326</v>
      </c>
      <c r="O31" s="288">
        <v>0.66769999999999996</v>
      </c>
      <c r="P31" s="289">
        <v>0.76739999999999997</v>
      </c>
      <c r="R31" s="295"/>
      <c r="S31" s="183"/>
      <c r="T31" s="296"/>
      <c r="U31" s="185"/>
      <c r="W31" s="297"/>
      <c r="X31" s="190"/>
      <c r="Y31" s="180"/>
      <c r="Z31" s="298"/>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row>
    <row r="32" spans="2:56" ht="16.5" hidden="1" customHeight="1">
      <c r="B32" s="210" t="s">
        <v>998</v>
      </c>
      <c r="C32" s="302">
        <v>0.40049999999999997</v>
      </c>
      <c r="D32" s="303">
        <v>0.28039999999999998</v>
      </c>
      <c r="E32" s="304">
        <v>0.59950000000000003</v>
      </c>
      <c r="F32" s="305">
        <v>0.71960000000000002</v>
      </c>
      <c r="H32" s="302">
        <v>0.40129999999999999</v>
      </c>
      <c r="I32" s="303">
        <v>0.28090000000000004</v>
      </c>
      <c r="J32" s="306">
        <v>0.59870000000000001</v>
      </c>
      <c r="K32" s="307">
        <v>0.71909999999999996</v>
      </c>
      <c r="M32" s="308">
        <v>0.40060000000000001</v>
      </c>
      <c r="N32" s="309">
        <v>0.28039999999999998</v>
      </c>
      <c r="O32" s="306">
        <v>0.59939999999999993</v>
      </c>
      <c r="P32" s="307">
        <v>0.71960000000000002</v>
      </c>
      <c r="R32" s="295"/>
      <c r="S32" s="183"/>
      <c r="T32" s="296"/>
      <c r="U32" s="185"/>
      <c r="W32" s="297"/>
      <c r="X32" s="190"/>
      <c r="Y32" s="310"/>
      <c r="Z32" s="298"/>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row>
    <row r="33" spans="2:56" ht="16.5" hidden="1" customHeight="1">
      <c r="B33" s="230" t="s">
        <v>999</v>
      </c>
      <c r="C33" s="278">
        <v>0.33850000000000002</v>
      </c>
      <c r="D33" s="232">
        <v>0.23699999999999999</v>
      </c>
      <c r="E33" s="279">
        <v>0.66149999999999998</v>
      </c>
      <c r="F33" s="299">
        <v>0.76300000000000001</v>
      </c>
      <c r="G33" s="12"/>
      <c r="H33" s="278">
        <v>0.33929999999999993</v>
      </c>
      <c r="I33" s="232">
        <v>0.23751</v>
      </c>
      <c r="J33" s="235">
        <v>0.66070000000000007</v>
      </c>
      <c r="K33" s="236">
        <v>0.76249</v>
      </c>
      <c r="L33" s="13"/>
      <c r="M33" s="237">
        <v>0.35039999999999999</v>
      </c>
      <c r="N33" s="232">
        <v>0.2452</v>
      </c>
      <c r="O33" s="280">
        <v>0.64959999999999996</v>
      </c>
      <c r="P33" s="281">
        <v>0.75480000000000003</v>
      </c>
      <c r="R33" s="295"/>
      <c r="S33" s="183"/>
      <c r="T33" s="296"/>
      <c r="U33" s="185"/>
      <c r="W33" s="297"/>
      <c r="X33" s="190"/>
      <c r="Y33" s="310"/>
      <c r="Z33" s="298"/>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row>
    <row r="34" spans="2:56" ht="16.5" hidden="1" customHeight="1">
      <c r="B34" s="230" t="s">
        <v>1000</v>
      </c>
      <c r="C34" s="278">
        <v>0.34950000000000003</v>
      </c>
      <c r="D34" s="232">
        <v>0.24470000000000003</v>
      </c>
      <c r="E34" s="279">
        <v>0.65049999999999997</v>
      </c>
      <c r="F34" s="299">
        <v>0.75529999999999997</v>
      </c>
      <c r="G34" s="12"/>
      <c r="H34" s="278">
        <v>0.35129999999999995</v>
      </c>
      <c r="I34" s="232">
        <v>0.24591000000000007</v>
      </c>
      <c r="J34" s="235">
        <v>0.64870000000000005</v>
      </c>
      <c r="K34" s="236">
        <v>0.75408999999999993</v>
      </c>
      <c r="L34" s="13"/>
      <c r="M34" s="237">
        <v>0.3594</v>
      </c>
      <c r="N34" s="232">
        <v>0.2515</v>
      </c>
      <c r="O34" s="280">
        <v>0.64060000000000006</v>
      </c>
      <c r="P34" s="281">
        <v>0.74849999999999994</v>
      </c>
      <c r="R34" s="295"/>
      <c r="S34" s="183"/>
      <c r="T34" s="296"/>
      <c r="U34" s="185"/>
      <c r="W34" s="297"/>
      <c r="X34" s="190"/>
      <c r="Y34" s="310"/>
      <c r="Z34" s="298"/>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row>
    <row r="35" spans="2:56" ht="16.5" hidden="1" customHeight="1">
      <c r="B35" s="230" t="s">
        <v>1001</v>
      </c>
      <c r="C35" s="278">
        <v>0.37239999999999995</v>
      </c>
      <c r="D35" s="232">
        <v>0.26070000000000004</v>
      </c>
      <c r="E35" s="279">
        <v>0.62760000000000005</v>
      </c>
      <c r="F35" s="299">
        <v>0.73929999999999996</v>
      </c>
      <c r="G35" s="12"/>
      <c r="H35" s="278">
        <v>0.37629999999999997</v>
      </c>
      <c r="I35" s="232">
        <v>0.26341000000000003</v>
      </c>
      <c r="J35" s="235">
        <v>0.62370000000000003</v>
      </c>
      <c r="K35" s="236">
        <v>0.73658999999999997</v>
      </c>
      <c r="L35" s="13"/>
      <c r="M35" s="237">
        <v>0.37809999999999999</v>
      </c>
      <c r="N35" s="232">
        <v>0.26469999999999999</v>
      </c>
      <c r="O35" s="280">
        <v>0.62190000000000001</v>
      </c>
      <c r="P35" s="281">
        <v>0.73530000000000006</v>
      </c>
      <c r="R35" s="295"/>
      <c r="S35" s="183"/>
      <c r="T35" s="296"/>
      <c r="U35" s="185"/>
      <c r="W35" s="297"/>
      <c r="X35" s="190"/>
      <c r="Y35" s="310"/>
      <c r="Z35" s="298"/>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6"/>
      <c r="AX35" s="186"/>
      <c r="AY35" s="186"/>
      <c r="AZ35" s="186"/>
      <c r="BA35" s="186"/>
      <c r="BB35" s="186"/>
      <c r="BC35" s="186"/>
      <c r="BD35" s="186"/>
    </row>
    <row r="36" spans="2:56" ht="16.5" hidden="1" customHeight="1">
      <c r="B36" s="244" t="s">
        <v>1002</v>
      </c>
      <c r="C36" s="286">
        <v>0.34770000000000001</v>
      </c>
      <c r="D36" s="246">
        <v>0.24339999999999995</v>
      </c>
      <c r="E36" s="300">
        <v>0.65229999999999999</v>
      </c>
      <c r="F36" s="301">
        <v>0.75660000000000005</v>
      </c>
      <c r="G36" s="20"/>
      <c r="H36" s="286">
        <v>0.35150000000000003</v>
      </c>
      <c r="I36" s="246">
        <v>0.24609999999999999</v>
      </c>
      <c r="J36" s="249">
        <v>0.64849999999999997</v>
      </c>
      <c r="K36" s="250">
        <v>0.75390000000000001</v>
      </c>
      <c r="L36" s="21"/>
      <c r="M36" s="251">
        <v>0.36259999999999998</v>
      </c>
      <c r="N36" s="246">
        <v>0.25380000000000003</v>
      </c>
      <c r="O36" s="288">
        <v>0.63739999999999997</v>
      </c>
      <c r="P36" s="289">
        <v>0.74619999999999997</v>
      </c>
      <c r="R36" s="295"/>
      <c r="S36" s="183"/>
      <c r="T36" s="296"/>
      <c r="U36" s="185"/>
      <c r="W36" s="297"/>
      <c r="X36" s="190"/>
      <c r="Y36" s="310"/>
      <c r="Z36" s="298"/>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row>
    <row r="37" spans="2:56" ht="16.5" customHeight="1">
      <c r="B37" s="210" t="s">
        <v>1003</v>
      </c>
      <c r="C37" s="302">
        <v>0.39870000000000005</v>
      </c>
      <c r="D37" s="303">
        <v>0.27910000000000001</v>
      </c>
      <c r="E37" s="304">
        <v>0.60129999999999995</v>
      </c>
      <c r="F37" s="305">
        <v>0.72089999999999999</v>
      </c>
      <c r="H37" s="302">
        <v>0.39849999999999997</v>
      </c>
      <c r="I37" s="303">
        <v>0.27890000000000004</v>
      </c>
      <c r="J37" s="306">
        <v>0.60150000000000003</v>
      </c>
      <c r="K37" s="307">
        <v>0.72109999999999996</v>
      </c>
      <c r="M37" s="308">
        <v>0.39889999999999998</v>
      </c>
      <c r="N37" s="309">
        <v>0.2792</v>
      </c>
      <c r="O37" s="306">
        <v>0.60109999999999997</v>
      </c>
      <c r="P37" s="307">
        <v>0.7208</v>
      </c>
      <c r="R37" s="295"/>
      <c r="S37" s="183"/>
      <c r="T37" s="296"/>
      <c r="U37" s="185"/>
      <c r="W37" s="297"/>
      <c r="X37" s="190"/>
      <c r="Y37" s="310"/>
      <c r="Z37" s="298"/>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row>
    <row r="38" spans="2:56" ht="16.5" customHeight="1">
      <c r="B38" s="230" t="s">
        <v>1004</v>
      </c>
      <c r="C38" s="278">
        <v>0.38290000000000002</v>
      </c>
      <c r="D38" s="232">
        <v>0.26800000000000002</v>
      </c>
      <c r="E38" s="279">
        <v>0.61709999999999998</v>
      </c>
      <c r="F38" s="299">
        <v>0.73199999999999998</v>
      </c>
      <c r="G38" s="12"/>
      <c r="H38" s="278">
        <v>0.38349999999999995</v>
      </c>
      <c r="I38" s="232">
        <v>0.26839999999999997</v>
      </c>
      <c r="J38" s="235">
        <v>0.61650000000000005</v>
      </c>
      <c r="K38" s="236">
        <v>0.73160000000000003</v>
      </c>
      <c r="L38" s="13"/>
      <c r="M38" s="237">
        <v>0.3876</v>
      </c>
      <c r="N38" s="232">
        <v>0.27129999999999999</v>
      </c>
      <c r="O38" s="280">
        <v>0.61240000000000006</v>
      </c>
      <c r="P38" s="281">
        <v>0.72870000000000001</v>
      </c>
      <c r="R38" s="295"/>
      <c r="S38" s="183"/>
      <c r="T38" s="296"/>
      <c r="U38" s="185"/>
      <c r="W38" s="297"/>
      <c r="X38" s="190"/>
      <c r="Y38" s="310"/>
      <c r="Z38" s="298"/>
      <c r="AB38" s="186"/>
      <c r="AC38" s="186"/>
      <c r="AD38" s="186"/>
      <c r="AE38" s="186"/>
      <c r="AF38" s="186"/>
      <c r="AG38" s="186"/>
      <c r="AH38" s="186"/>
      <c r="AI38" s="186"/>
      <c r="AJ38" s="186"/>
      <c r="AK38" s="186"/>
      <c r="AL38" s="186"/>
      <c r="AM38" s="186"/>
      <c r="AN38" s="186"/>
      <c r="AO38" s="186"/>
      <c r="AP38" s="186"/>
      <c r="AQ38" s="186"/>
      <c r="AR38" s="186"/>
      <c r="AS38" s="186"/>
      <c r="AT38" s="186"/>
      <c r="AU38" s="186"/>
      <c r="AV38" s="186"/>
      <c r="AW38" s="186"/>
      <c r="AX38" s="186"/>
      <c r="AY38" s="186"/>
      <c r="AZ38" s="186"/>
      <c r="BA38" s="186"/>
      <c r="BB38" s="186"/>
      <c r="BC38" s="186"/>
      <c r="BD38" s="186"/>
    </row>
    <row r="39" spans="2:56" ht="16.5" customHeight="1">
      <c r="B39" s="244" t="s">
        <v>1005</v>
      </c>
      <c r="C39" s="286">
        <v>0.39290000000000003</v>
      </c>
      <c r="D39" s="246">
        <v>0.27500000000000002</v>
      </c>
      <c r="E39" s="300">
        <v>0.60709999999999997</v>
      </c>
      <c r="F39" s="301">
        <v>0.72499999999999998</v>
      </c>
      <c r="G39" s="20"/>
      <c r="H39" s="286">
        <v>0.39470000000000005</v>
      </c>
      <c r="I39" s="246">
        <v>0.27629999999999999</v>
      </c>
      <c r="J39" s="249">
        <v>0.60529999999999995</v>
      </c>
      <c r="K39" s="250">
        <v>0.72370000000000001</v>
      </c>
      <c r="L39" s="21"/>
      <c r="M39" s="251">
        <v>0.39510000000000001</v>
      </c>
      <c r="N39" s="246">
        <v>0.27660000000000001</v>
      </c>
      <c r="O39" s="288">
        <v>0.60489999999999999</v>
      </c>
      <c r="P39" s="289">
        <v>0.72340000000000004</v>
      </c>
      <c r="R39" s="295"/>
      <c r="S39" s="183"/>
      <c r="T39" s="296"/>
      <c r="U39" s="185"/>
      <c r="W39" s="297"/>
      <c r="X39" s="190"/>
      <c r="Y39" s="310"/>
      <c r="Z39" s="298"/>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6"/>
      <c r="AX39" s="186"/>
      <c r="AY39" s="186"/>
      <c r="AZ39" s="186"/>
      <c r="BA39" s="186"/>
      <c r="BB39" s="186"/>
      <c r="BC39" s="186"/>
      <c r="BD39" s="186"/>
    </row>
    <row r="40" spans="2:56" ht="16.5" customHeight="1">
      <c r="B40" s="175" t="s">
        <v>1006</v>
      </c>
      <c r="C40" s="311">
        <v>0.39990000000000003</v>
      </c>
      <c r="D40" s="312">
        <v>0.27990000000000004</v>
      </c>
      <c r="E40" s="313">
        <v>0.60009999999999997</v>
      </c>
      <c r="F40" s="314">
        <v>0.72009999999999996</v>
      </c>
      <c r="H40" s="311">
        <v>0.4</v>
      </c>
      <c r="I40" s="177">
        <v>0.28000000000000003</v>
      </c>
      <c r="J40" s="296">
        <v>0.6</v>
      </c>
      <c r="K40" s="185">
        <v>0.72</v>
      </c>
      <c r="M40" s="182">
        <v>0.40160000000000001</v>
      </c>
      <c r="N40" s="182">
        <v>0.28110000000000002</v>
      </c>
      <c r="O40" s="296">
        <v>0.59840000000000004</v>
      </c>
      <c r="P40" s="185">
        <v>0.71889999999999998</v>
      </c>
      <c r="R40" s="295"/>
      <c r="S40" s="183"/>
      <c r="T40" s="296"/>
      <c r="U40" s="185"/>
      <c r="W40" s="297"/>
      <c r="X40" s="190"/>
      <c r="Y40" s="310"/>
      <c r="Z40" s="298"/>
      <c r="AB40" s="186"/>
      <c r="AC40" s="186"/>
      <c r="AD40" s="186"/>
      <c r="AE40" s="186"/>
      <c r="AF40" s="186"/>
      <c r="AG40" s="186"/>
      <c r="AH40" s="186"/>
      <c r="AI40" s="186"/>
      <c r="AJ40" s="186"/>
      <c r="AK40" s="186"/>
      <c r="AL40" s="186"/>
      <c r="AM40" s="186"/>
      <c r="AN40" s="186"/>
      <c r="AO40" s="186"/>
      <c r="AP40" s="186"/>
      <c r="AQ40" s="186"/>
      <c r="AR40" s="186"/>
      <c r="AS40" s="186"/>
      <c r="AT40" s="186"/>
      <c r="AU40" s="186"/>
      <c r="AV40" s="186"/>
      <c r="AW40" s="186"/>
      <c r="AX40" s="186"/>
      <c r="AY40" s="186"/>
      <c r="AZ40" s="186"/>
      <c r="BA40" s="186"/>
      <c r="BB40" s="186"/>
      <c r="BC40" s="186"/>
      <c r="BD40" s="186"/>
    </row>
    <row r="41" spans="2:56" ht="16.5" customHeight="1">
      <c r="B41" s="175" t="s">
        <v>1007</v>
      </c>
      <c r="C41" s="340">
        <v>0.40580000000000005</v>
      </c>
      <c r="D41" s="312">
        <v>0.28400000000000003</v>
      </c>
      <c r="E41" s="341">
        <v>0.59419999999999995</v>
      </c>
      <c r="F41" s="314">
        <v>0.71599999999999997</v>
      </c>
      <c r="H41" s="311">
        <v>0.40629999999999999</v>
      </c>
      <c r="I41" s="177">
        <v>0.28439999999999999</v>
      </c>
      <c r="J41" s="296">
        <v>0.59370000000000001</v>
      </c>
      <c r="K41" s="185">
        <v>0.71560000000000001</v>
      </c>
      <c r="M41" s="182">
        <v>0.40629999999999999</v>
      </c>
      <c r="N41" s="183">
        <v>0.28439999999999999</v>
      </c>
      <c r="O41" s="296">
        <v>0.59370000000000001</v>
      </c>
      <c r="P41" s="185">
        <v>0.71560000000000001</v>
      </c>
      <c r="R41" s="295"/>
      <c r="S41" s="183"/>
      <c r="T41" s="296"/>
      <c r="U41" s="185"/>
      <c r="W41" s="297"/>
      <c r="X41" s="190"/>
      <c r="Y41" s="310"/>
      <c r="Z41" s="298"/>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row>
    <row r="42" spans="2:56" ht="16.5" customHeight="1">
      <c r="B42" s="315" t="s">
        <v>1008</v>
      </c>
      <c r="C42" s="340">
        <v>0.40629999999999999</v>
      </c>
      <c r="D42" s="312">
        <v>0.28439999999999999</v>
      </c>
      <c r="E42" s="341">
        <v>0.59370000000000001</v>
      </c>
      <c r="F42" s="314">
        <v>0.71560000000000001</v>
      </c>
      <c r="H42" s="311">
        <v>0.40629999999999999</v>
      </c>
      <c r="I42" s="177">
        <v>0.28439999999999999</v>
      </c>
      <c r="J42" s="296">
        <v>0.59370000000000001</v>
      </c>
      <c r="K42" s="185">
        <v>0.71560000000000001</v>
      </c>
      <c r="M42" s="182">
        <v>0.40629999999999999</v>
      </c>
      <c r="N42" s="183">
        <v>0.28439999999999999</v>
      </c>
      <c r="O42" s="296">
        <v>0.59370000000000001</v>
      </c>
      <c r="P42" s="185">
        <v>0.71560000000000001</v>
      </c>
      <c r="R42" s="316"/>
      <c r="S42" s="256"/>
      <c r="T42" s="317"/>
      <c r="U42" s="258"/>
      <c r="W42" s="318"/>
      <c r="X42" s="319"/>
      <c r="Y42" s="320"/>
      <c r="Z42" s="321"/>
      <c r="AB42" s="186"/>
      <c r="AC42" s="186"/>
      <c r="AD42" s="186"/>
      <c r="AE42" s="186"/>
      <c r="AF42" s="186"/>
      <c r="AG42" s="186"/>
      <c r="AH42" s="186"/>
      <c r="AI42" s="186"/>
      <c r="AJ42" s="186"/>
      <c r="AK42" s="186"/>
      <c r="AL42" s="186"/>
      <c r="AM42" s="186"/>
      <c r="AN42" s="186"/>
      <c r="AO42" s="186"/>
      <c r="AP42" s="186"/>
      <c r="AQ42" s="186"/>
      <c r="AR42" s="186"/>
      <c r="AS42" s="186"/>
      <c r="AT42" s="186"/>
      <c r="AU42" s="186"/>
      <c r="AV42" s="186"/>
      <c r="AW42" s="186"/>
      <c r="AX42" s="186"/>
      <c r="AY42" s="186"/>
      <c r="AZ42" s="186"/>
      <c r="BA42" s="186"/>
      <c r="BB42" s="186"/>
      <c r="BC42" s="186"/>
      <c r="BD42" s="186"/>
    </row>
    <row r="43" spans="2:56" ht="16.5" customHeight="1">
      <c r="B43" s="315" t="s">
        <v>1009</v>
      </c>
      <c r="C43" s="322">
        <v>0.40629999999999999</v>
      </c>
      <c r="D43" s="323">
        <v>0.28439999999999999</v>
      </c>
      <c r="E43" s="324">
        <v>0.59370000000000001</v>
      </c>
      <c r="F43" s="325">
        <v>0.71560000000000001</v>
      </c>
      <c r="G43" s="254"/>
      <c r="H43" s="322">
        <v>0.40629999999999999</v>
      </c>
      <c r="I43" s="326">
        <v>0.28439999999999999</v>
      </c>
      <c r="J43" s="317">
        <v>0.59370000000000001</v>
      </c>
      <c r="K43" s="258">
        <v>0.71560000000000001</v>
      </c>
      <c r="L43" s="254"/>
      <c r="M43" s="255">
        <v>0.40629999999999999</v>
      </c>
      <c r="N43" s="256">
        <v>0.28439999999999999</v>
      </c>
      <c r="O43" s="317">
        <v>0.59370000000000001</v>
      </c>
      <c r="P43" s="258">
        <v>0.71560000000000001</v>
      </c>
      <c r="R43" s="316"/>
      <c r="S43" s="256"/>
      <c r="T43" s="317"/>
      <c r="U43" s="258"/>
      <c r="W43" s="318"/>
      <c r="X43" s="319"/>
      <c r="Y43" s="320"/>
      <c r="Z43" s="321"/>
      <c r="AD43" s="14"/>
      <c r="AE43" s="15"/>
    </row>
    <row r="44" spans="2:56" ht="15">
      <c r="C44" s="4"/>
      <c r="D44" s="4"/>
      <c r="E44" s="4"/>
      <c r="F44" s="4"/>
      <c r="G44" s="4"/>
      <c r="H44" s="4"/>
      <c r="I44" s="4"/>
      <c r="J44" s="4"/>
      <c r="K44" s="4"/>
      <c r="L44" s="4"/>
      <c r="M44" s="4"/>
      <c r="N44" s="4"/>
      <c r="O44" s="4"/>
      <c r="P44" s="4"/>
      <c r="T44" s="198"/>
      <c r="V44" s="197"/>
      <c r="AD44" s="14"/>
      <c r="AE44" s="15"/>
    </row>
    <row r="45" spans="2:56" ht="24" customHeight="1">
      <c r="B45" s="327"/>
      <c r="C45" s="509" t="s">
        <v>1010</v>
      </c>
      <c r="D45" s="509"/>
      <c r="E45" s="509"/>
      <c r="F45" s="509"/>
      <c r="G45" s="509"/>
      <c r="H45" s="509"/>
      <c r="I45" s="509"/>
      <c r="J45" s="509"/>
      <c r="K45" s="509"/>
      <c r="L45" s="509"/>
      <c r="M45" s="509"/>
      <c r="N45" s="509"/>
      <c r="O45" s="509"/>
      <c r="P45" s="509"/>
      <c r="R45" s="510" t="s">
        <v>1011</v>
      </c>
      <c r="S45" s="510"/>
      <c r="T45" s="510"/>
      <c r="U45" s="510"/>
      <c r="W45" s="510" t="s">
        <v>1012</v>
      </c>
      <c r="X45" s="510"/>
      <c r="Y45" s="510"/>
      <c r="Z45" s="510"/>
      <c r="AD45" s="14"/>
      <c r="AE45" s="15"/>
    </row>
    <row r="46" spans="2:56" ht="35.25" customHeight="1">
      <c r="B46" s="328"/>
      <c r="C46" s="511" t="s">
        <v>1013</v>
      </c>
      <c r="D46" s="511"/>
      <c r="E46" s="511"/>
      <c r="F46" s="511"/>
      <c r="G46" s="511"/>
      <c r="H46" s="511"/>
      <c r="I46" s="511"/>
      <c r="J46" s="511"/>
      <c r="K46" s="511"/>
      <c r="L46" s="511"/>
      <c r="M46" s="511"/>
      <c r="N46" s="511"/>
      <c r="O46" s="511"/>
      <c r="P46" s="511"/>
      <c r="R46" s="510"/>
      <c r="S46" s="510"/>
      <c r="T46" s="510"/>
      <c r="U46" s="510"/>
      <c r="V46" s="329"/>
      <c r="W46" s="510"/>
      <c r="X46" s="510"/>
      <c r="Y46" s="510"/>
      <c r="Z46" s="510"/>
      <c r="AA46" s="329"/>
      <c r="AB46" s="329"/>
      <c r="AC46" s="329"/>
      <c r="AD46" s="329"/>
      <c r="AE46" s="329"/>
      <c r="AF46" s="329"/>
      <c r="AG46" s="329"/>
    </row>
    <row r="47" spans="2:56" ht="48" customHeight="1">
      <c r="B47" s="328"/>
      <c r="C47" s="512" t="s">
        <v>1014</v>
      </c>
      <c r="D47" s="512"/>
      <c r="E47" s="512"/>
      <c r="F47" s="512"/>
      <c r="G47" s="512"/>
      <c r="H47" s="512"/>
      <c r="I47" s="512"/>
      <c r="J47" s="512"/>
      <c r="K47" s="512"/>
      <c r="L47" s="512"/>
      <c r="M47" s="512"/>
      <c r="N47" s="512"/>
      <c r="O47" s="512"/>
      <c r="P47" s="512"/>
      <c r="R47" s="510"/>
      <c r="S47" s="510"/>
      <c r="T47" s="510"/>
      <c r="U47" s="510"/>
      <c r="V47" s="329"/>
      <c r="W47" s="328"/>
      <c r="X47" s="328"/>
      <c r="Y47" s="328"/>
      <c r="Z47" s="328"/>
      <c r="AA47" s="329"/>
      <c r="AB47" s="329"/>
      <c r="AC47" s="329"/>
      <c r="AD47" s="329"/>
      <c r="AE47" s="329"/>
      <c r="AF47" s="329"/>
      <c r="AG47" s="329"/>
    </row>
    <row r="48" spans="2:56">
      <c r="B48" s="330"/>
      <c r="C48" s="331" t="s">
        <v>1015</v>
      </c>
      <c r="D48" s="331"/>
      <c r="E48" s="331"/>
      <c r="F48" s="331"/>
      <c r="G48" s="331"/>
      <c r="H48" s="331"/>
      <c r="I48" s="331"/>
      <c r="J48" s="331"/>
      <c r="K48" s="331"/>
      <c r="L48" s="331"/>
      <c r="M48" s="331"/>
      <c r="N48" s="331"/>
      <c r="O48" s="331"/>
      <c r="P48" s="331"/>
      <c r="R48" s="510"/>
      <c r="S48" s="510"/>
      <c r="T48" s="510"/>
      <c r="U48" s="510"/>
      <c r="AD48" s="14"/>
      <c r="AE48" s="15"/>
    </row>
    <row r="49" spans="2:33">
      <c r="B49" s="330"/>
      <c r="C49" s="332" t="s">
        <v>1016</v>
      </c>
      <c r="D49" s="331"/>
      <c r="E49" s="16"/>
      <c r="F49" s="17"/>
      <c r="G49" s="333"/>
      <c r="H49" s="333"/>
      <c r="I49" s="333"/>
      <c r="J49" s="333"/>
      <c r="K49" s="334"/>
      <c r="L49" s="333"/>
      <c r="M49" s="333"/>
      <c r="N49" s="333"/>
      <c r="O49" s="333"/>
      <c r="P49" s="333"/>
      <c r="R49" s="510"/>
      <c r="S49" s="510"/>
      <c r="T49" s="510"/>
      <c r="U49" s="510"/>
      <c r="AD49" s="14"/>
      <c r="AE49" s="15"/>
    </row>
    <row r="50" spans="2:33">
      <c r="B50" s="330"/>
      <c r="C50" s="332" t="s">
        <v>1017</v>
      </c>
      <c r="D50" s="331"/>
      <c r="E50" s="16"/>
      <c r="F50" s="17"/>
      <c r="G50" s="333"/>
      <c r="H50" s="333"/>
      <c r="I50" s="333"/>
      <c r="J50" s="333"/>
      <c r="K50" s="333"/>
      <c r="L50" s="333"/>
      <c r="M50" s="333"/>
      <c r="N50" s="333"/>
      <c r="O50" s="333"/>
      <c r="P50" s="333"/>
      <c r="R50" s="510"/>
      <c r="S50" s="510"/>
      <c r="T50" s="510"/>
      <c r="U50" s="510"/>
      <c r="AD50" s="14"/>
      <c r="AE50" s="15"/>
    </row>
    <row r="51" spans="2:33">
      <c r="B51" s="330"/>
      <c r="C51" s="332" t="s">
        <v>1018</v>
      </c>
      <c r="D51" s="331"/>
      <c r="E51" s="17"/>
      <c r="F51" s="17"/>
      <c r="G51" s="333"/>
      <c r="H51" s="333"/>
      <c r="I51" s="333"/>
      <c r="J51" s="333"/>
      <c r="K51" s="333"/>
      <c r="L51" s="333"/>
      <c r="M51" s="333"/>
      <c r="N51" s="333"/>
      <c r="O51" s="333"/>
      <c r="P51" s="333"/>
      <c r="R51" s="510"/>
      <c r="S51" s="510"/>
      <c r="T51" s="510"/>
      <c r="U51" s="510"/>
      <c r="AD51" s="14"/>
      <c r="AE51" s="15"/>
    </row>
    <row r="52" spans="2:33" ht="12.75" customHeight="1">
      <c r="B52" s="330"/>
      <c r="C52" s="332" t="s">
        <v>1019</v>
      </c>
      <c r="D52" s="332"/>
      <c r="E52" s="332"/>
      <c r="F52" s="332"/>
      <c r="G52" s="332"/>
      <c r="H52" s="332"/>
      <c r="I52" s="332"/>
      <c r="J52" s="332"/>
      <c r="K52" s="332"/>
      <c r="L52" s="332"/>
      <c r="M52" s="332"/>
      <c r="N52" s="332"/>
      <c r="O52" s="332"/>
      <c r="P52" s="332"/>
      <c r="R52" s="329"/>
      <c r="S52" s="329"/>
      <c r="T52" s="329"/>
      <c r="U52" s="329"/>
      <c r="V52" s="329"/>
      <c r="W52" s="329"/>
      <c r="X52" s="329"/>
      <c r="Y52" s="329"/>
      <c r="Z52" s="329"/>
      <c r="AA52" s="329"/>
      <c r="AB52" s="329"/>
      <c r="AC52" s="329"/>
      <c r="AD52" s="329"/>
      <c r="AE52" s="329"/>
      <c r="AF52" s="329"/>
      <c r="AG52" s="329"/>
    </row>
    <row r="53" spans="2:33" ht="12.75" customHeight="1">
      <c r="B53" s="327"/>
      <c r="C53" s="332" t="s">
        <v>1020</v>
      </c>
      <c r="D53" s="335"/>
      <c r="E53" s="335"/>
      <c r="F53" s="335"/>
      <c r="G53" s="335"/>
      <c r="H53" s="335"/>
      <c r="I53" s="335"/>
      <c r="J53" s="335"/>
      <c r="K53" s="335"/>
      <c r="L53" s="335"/>
      <c r="M53" s="335"/>
      <c r="N53" s="335"/>
      <c r="O53" s="335"/>
      <c r="P53" s="335"/>
      <c r="AD53" s="14"/>
      <c r="AE53" s="15"/>
    </row>
    <row r="54" spans="2:33" ht="12.75" customHeight="1">
      <c r="B54" s="327"/>
      <c r="C54" s="332" t="s">
        <v>1021</v>
      </c>
      <c r="D54" s="335"/>
      <c r="E54" s="335"/>
      <c r="F54" s="335"/>
      <c r="G54" s="335"/>
      <c r="H54" s="335"/>
      <c r="I54" s="335"/>
      <c r="J54" s="335"/>
      <c r="K54" s="335"/>
      <c r="L54" s="335"/>
      <c r="M54" s="335"/>
      <c r="N54" s="335"/>
      <c r="O54" s="335"/>
      <c r="P54" s="335"/>
      <c r="AD54" s="14"/>
      <c r="AE54" s="15"/>
    </row>
    <row r="55" spans="2:33">
      <c r="C55" s="332" t="s">
        <v>1022</v>
      </c>
      <c r="AD55" s="14"/>
      <c r="AE55" s="15"/>
    </row>
    <row r="56" spans="2:33">
      <c r="C56" s="332" t="s">
        <v>1023</v>
      </c>
      <c r="AD56" s="14"/>
      <c r="AE56" s="15"/>
    </row>
    <row r="57" spans="2:33">
      <c r="C57" s="332" t="s">
        <v>1024</v>
      </c>
      <c r="AD57" s="14"/>
      <c r="AE57" s="15"/>
    </row>
    <row r="58" spans="2:33">
      <c r="C58" s="332" t="s">
        <v>1025</v>
      </c>
      <c r="AD58" s="14"/>
      <c r="AE58" s="15"/>
    </row>
    <row r="59" spans="2:33">
      <c r="C59" s="332" t="s">
        <v>1026</v>
      </c>
      <c r="AD59" s="14"/>
      <c r="AE59" s="15"/>
    </row>
    <row r="60" spans="2:33">
      <c r="C60" s="336" t="s">
        <v>1027</v>
      </c>
      <c r="AD60" s="14"/>
      <c r="AE60" s="15"/>
    </row>
    <row r="61" spans="2:33">
      <c r="C61" s="336" t="s">
        <v>1028</v>
      </c>
      <c r="AD61" s="14"/>
      <c r="AE61" s="15"/>
    </row>
    <row r="62" spans="2:33">
      <c r="C62" s="336" t="s">
        <v>1029</v>
      </c>
      <c r="AD62" s="14"/>
      <c r="AE62" s="15"/>
    </row>
    <row r="63" spans="2:33">
      <c r="C63" s="336" t="s">
        <v>1030</v>
      </c>
      <c r="AD63" s="14"/>
      <c r="AE63" s="15"/>
    </row>
    <row r="64" spans="2:33">
      <c r="AD64" s="14"/>
      <c r="AE64" s="15"/>
    </row>
    <row r="65" spans="30:31">
      <c r="AD65" s="14"/>
      <c r="AE65" s="15"/>
    </row>
    <row r="66" spans="30:31">
      <c r="AD66" s="14"/>
      <c r="AE66" s="15"/>
    </row>
    <row r="67" spans="30:31">
      <c r="AD67" s="14"/>
      <c r="AE67" s="15"/>
    </row>
    <row r="68" spans="30:31">
      <c r="AD68" s="14"/>
      <c r="AE68" s="15"/>
    </row>
    <row r="69" spans="30:31">
      <c r="AD69" s="14"/>
      <c r="AE69" s="15"/>
    </row>
    <row r="70" spans="30:31">
      <c r="AD70" s="14"/>
      <c r="AE70" s="15"/>
    </row>
  </sheetData>
  <mergeCells count="23">
    <mergeCell ref="R4:S4"/>
    <mergeCell ref="T4:U4"/>
    <mergeCell ref="W4:X4"/>
    <mergeCell ref="Y4:Z4"/>
    <mergeCell ref="C45:P45"/>
    <mergeCell ref="R45:U51"/>
    <mergeCell ref="W45:Z46"/>
    <mergeCell ref="C46:P46"/>
    <mergeCell ref="C47:P47"/>
    <mergeCell ref="C4:D4"/>
    <mergeCell ref="E4:F4"/>
    <mergeCell ref="H4:I4"/>
    <mergeCell ref="J4:K4"/>
    <mergeCell ref="M4:N4"/>
    <mergeCell ref="O4:P4"/>
    <mergeCell ref="C1:P1"/>
    <mergeCell ref="R1:Z2"/>
    <mergeCell ref="C2:P2"/>
    <mergeCell ref="C3:F3"/>
    <mergeCell ref="H3:K3"/>
    <mergeCell ref="M3:P3"/>
    <mergeCell ref="R3:U3"/>
    <mergeCell ref="W3:Z3"/>
  </mergeCells>
  <pageMargins left="0.25" right="0.25" top="0.75" bottom="0.75" header="0.3" footer="0.3"/>
  <pageSetup scale="90" orientation="landscape" r:id="rId1"/>
  <colBreaks count="1" manualBreakCount="1">
    <brk id="17" max="33"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92d3b7a5-8da5-4615-950f-0681d7046a28">Y2PHC7Y2YW5Y-283086470-549</_dlc_DocId>
    <_dlc_DocIdUrl xmlns="92d3b7a5-8da5-4615-950f-0681d7046a28">
      <Url>https://txhhs.sharepoint.com/sites/pf/_layouts/15/DocIdRedir.aspx?ID=Y2PHC7Y2YW5Y-283086470-549</Url>
      <Description>Y2PHC7Y2YW5Y-283086470-549</Description>
    </_dlc_DocIdUrl>
    <_dlc_DocIdPersistId xmlns="92d3b7a5-8da5-4615-950f-0681d7046a28" xsi:nil="true"/>
    <Comments xmlns="b395ff09-01e4-41bc-a7b5-92aeb25fe78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27E713C3CDD3E438D729B7772FF2972" ma:contentTypeVersion="21" ma:contentTypeDescription="Create a new document." ma:contentTypeScope="" ma:versionID="1c1716573459c50b7bc8f85f5ffbe505">
  <xsd:schema xmlns:xsd="http://www.w3.org/2001/XMLSchema" xmlns:xs="http://www.w3.org/2001/XMLSchema" xmlns:p="http://schemas.microsoft.com/office/2006/metadata/properties" xmlns:ns2="92d3b7a5-8da5-4615-950f-0681d7046a28" xmlns:ns3="b395ff09-01e4-41bc-a7b5-92aeb25fe78b" targetNamespace="http://schemas.microsoft.com/office/2006/metadata/properties" ma:root="true" ma:fieldsID="db0a3d1a5d5c6d9bb91a24e3c4a44290" ns2:_="" ns3:_="">
    <xsd:import namespace="92d3b7a5-8da5-4615-950f-0681d7046a28"/>
    <xsd:import namespace="b395ff09-01e4-41bc-a7b5-92aeb25fe78b"/>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d3b7a5-8da5-4615-950f-0681d7046a28"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395ff09-01e4-41bc-a7b5-92aeb25fe78b"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Comments" ma:index="17" nillable="true" ma:displayName="Comments" ma:format="Dropdown" ma:internalName="Comment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54428F8E-2C9A-44D4-B959-98AE7078BE23}"/>
</file>

<file path=customXml/itemProps2.xml><?xml version="1.0" encoding="utf-8"?>
<ds:datastoreItem xmlns:ds="http://schemas.openxmlformats.org/officeDocument/2006/customXml" ds:itemID="{F67457BC-B62B-43D2-A8A7-502CED716967}"/>
</file>

<file path=customXml/itemProps3.xml><?xml version="1.0" encoding="utf-8"?>
<ds:datastoreItem xmlns:ds="http://schemas.openxmlformats.org/officeDocument/2006/customXml" ds:itemID="{375352A0-AFD1-4B04-8C83-190B1746C08A}"/>
</file>

<file path=customXml/itemProps4.xml><?xml version="1.0" encoding="utf-8"?>
<ds:datastoreItem xmlns:ds="http://schemas.openxmlformats.org/officeDocument/2006/customXml" ds:itemID="{AA42A227-A9CE-4EC5-82D9-462D1C42C9C9}"/>
</file>

<file path=docProps/app.xml><?xml version="1.0" encoding="utf-8"?>
<Properties xmlns="http://schemas.openxmlformats.org/officeDocument/2006/extended-properties" xmlns:vt="http://schemas.openxmlformats.org/officeDocument/2006/docPropsVTypes">
  <Application>Microsoft Excel Online</Application>
  <Manager/>
  <Company>HHSC State of Texas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PageTitle</dc:title>
  <dc:subject/>
  <dc:creator>pmcdonald</dc:creator>
  <cp:keywords>Keywords</cp:keywords>
  <dc:description/>
  <cp:lastModifiedBy/>
  <cp:revision/>
  <dcterms:created xsi:type="dcterms:W3CDTF">2010-01-25T18:21:20Z</dcterms:created>
  <dcterms:modified xsi:type="dcterms:W3CDTF">2025-02-07T19:13:22Z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0x010100427E713C3CDD3E438D729B7772FF2972</vt:lpwstr>
  </property>
  <property fmtid="{D5CDD505-2E9C-101B-9397-08002B2CF9AE}" pid="3" name="_dlc_DocIdItemGuid">
    <vt:lpwstr>ad6d6d47-59b6-46b4-9d72-b7c5e01dd491</vt:lpwstr>
  </property>
  <property fmtid="{D5CDD505-2E9C-101B-9397-08002B2CF9AE}" pid="4" name="AuthorIds_UIVersion_1024">
    <vt:lpwstr>719</vt:lpwstr>
  </property>
  <property fmtid="{D5CDD505-2E9C-101B-9397-08002B2CF9AE}" pid="5" name="AuthorIds_UIVersion_2048">
    <vt:lpwstr>719</vt:lpwstr>
  </property>
  <property fmtid="{D5CDD505-2E9C-101B-9397-08002B2CF9AE}" pid="6" name="Order">
    <vt:r8>137200</vt:r8>
  </property>
  <property fmtid="{D5CDD505-2E9C-101B-9397-08002B2CF9AE}" pid="7" name="xd_ProgID">
    <vt:lpwstr/>
  </property>
  <property fmtid="{D5CDD505-2E9C-101B-9397-08002B2CF9AE}" pid="8" name="TemplateUrl">
    <vt:lpwstr/>
  </property>
  <property fmtid="{D5CDD505-2E9C-101B-9397-08002B2CF9AE}" pid="9" name="_CopySource">
    <vt:lpwstr>https://txhhs.sharepoint.com/sites/hhsc/fs/ra/ltss/Special Projects/DATA files from G drive/Attendant Wage Calculator Update/Flat Wage Calculator.xlsx</vt:lpwstr>
  </property>
  <property fmtid="{D5CDD505-2E9C-101B-9397-08002B2CF9AE}" pid="10" name="_ExtendedDescription">
    <vt:lpwstr/>
  </property>
  <property fmtid="{D5CDD505-2E9C-101B-9397-08002B2CF9AE}" pid="11" name="ContentType">
    <vt:lpwstr>Document</vt:lpwstr>
  </property>
  <property fmtid="{D5CDD505-2E9C-101B-9397-08002B2CF9AE}" pid="12" name="Status">
    <vt:lpwstr/>
  </property>
  <property fmtid="{D5CDD505-2E9C-101B-9397-08002B2CF9AE}" pid="13" name="Data Classification">
    <vt:lpwstr/>
  </property>
  <property fmtid="{D5CDD505-2E9C-101B-9397-08002B2CF9AE}" pid="14" name="DocumentStatus">
    <vt:lpwstr>Draft</vt:lpwstr>
  </property>
  <property fmtid="{D5CDD505-2E9C-101B-9397-08002B2CF9AE}" pid="15" name="l520ad180bbc49228d0bbbf22cc9ae04">
    <vt:lpwstr/>
  </property>
</Properties>
</file>