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334E45D1-CACA-415B-9475-54FD0CE82A5C}" xr6:coauthVersionLast="47" xr6:coauthVersionMax="47" xr10:uidLastSave="{00000000-0000-0000-0000-000000000000}"/>
  <bookViews>
    <workbookView xWindow="-28920" yWindow="-1575" windowWidth="29040" windowHeight="15720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3" l="1"/>
  <c r="T19" i="3"/>
  <c r="T21" i="3"/>
  <c r="T23" i="3"/>
  <c r="T15" i="3"/>
</calcChain>
</file>

<file path=xl/sharedStrings.xml><?xml version="1.0" encoding="utf-8"?>
<sst xmlns="http://schemas.openxmlformats.org/spreadsheetml/2006/main" count="340" uniqueCount="166">
  <si>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</si>
  <si>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</si>
  <si>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February 28,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</si>
  <si>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</si>
  <si>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</si>
  <si>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</si>
  <si>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</si>
  <si>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</si>
  <si>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</si>
  <si>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</si>
  <si>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</si>
  <si>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</si>
  <si>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</si>
  <si>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</si>
  <si>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</si>
  <si>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</si>
  <si>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</si>
  <si>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</si>
  <si>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</si>
  <si>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</si>
  <si>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</si>
  <si>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</si>
  <si>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</si>
  <si>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</si>
  <si>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3/5/25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</si>
  <si>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</si>
  <si>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</si>
  <si>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</si>
  <si>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</si>
  <si>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</si>
  <si>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</si>
  <si>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</si>
  <si>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</si>
  <si>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</si>
  <si>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</si>
  <si>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</si>
  <si>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</si>
  <si>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</si>
  <si>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</si>
  <si>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</si>
  <si>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</si>
  <si>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</si>
  <si>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February 28,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</si>
  <si>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</si>
  <si>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</si>
  <si>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</si>
  <si>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176,076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</si>
  <si>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</si>
  <si>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</si>
  <si>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</si>
  <si>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</si>
  <si>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</si>
  <si>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</si>
  <si>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</si>
  <si>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</si>
  <si>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</si>
  <si>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</si>
  <si>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</si>
  <si>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</si>
  <si>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</si>
  <si>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</si>
  <si>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</si>
  <si>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</si>
  <si>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</si>
  <si>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</si>
  <si>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</si>
  <si>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</si>
  <si>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</si>
  <si>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</si>
  <si>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</si>
  <si>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</si>
  <si>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</si>
  <si>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</si>
  <si>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</si>
  <si>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</si>
  <si>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</si>
  <si>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</si>
  <si>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</si>
  <si>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</si>
  <si>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</si>
  <si>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</si>
  <si>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</si>
  <si>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</si>
  <si>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</si>
  <si>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</si>
  <si>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</si>
  <si>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</si>
  <si>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</si>
  <si>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</si>
  <si>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</si>
  <si>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</si>
  <si>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</si>
  <si>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</si>
  <si>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</si>
  <si>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</si>
  <si>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</si>
  <si>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</si>
  <si>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</si>
  <si>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</si>
  <si>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</si>
  <si>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</si>
  <si>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</si>
  <si>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</si>
  <si>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</si>
  <si>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</si>
  <si>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</si>
  <si>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</si>
  <si>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</si>
  <si>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</si>
  <si>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</si>
  <si>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</si>
  <si>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</si>
  <si>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</si>
  <si>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</si>
  <si>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</si>
  <si>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</si>
  <si>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</si>
  <si>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</si>
  <si>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</si>
  <si>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</si>
  <si>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</si>
  <si>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</si>
  <si>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</si>
  <si>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</si>
  <si>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</si>
  <si>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</si>
  <si>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</si>
  <si>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</si>
  <si>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</si>
  <si>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</si>
  <si>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</si>
  <si>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</si>
  <si>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</si>
  <si>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</si>
  <si>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</si>
  <si>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</si>
  <si>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</si>
  <si>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</si>
  <si>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</si>
  <si>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</si>
  <si>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</si>
  <si>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</si>
  <si>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</si>
  <si>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</si>
  <si>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</si>
  <si>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</si>
  <si>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</si>
  <si>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</si>
  <si>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</si>
  <si>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</si>
  <si>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</si>
  <si>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</si>
  <si>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</si>
  <si>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</si>
  <si>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</si>
  <si>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</si>
  <si>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</si>
  <si>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</si>
  <si>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</si>
  <si>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</si>
  <si>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</si>
  <si>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</si>
  <si>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</si>
  <si>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</t>
    </r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</si>
  <si>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</t>
    </r>
  </si>
  <si>
    <t>1. HCS and TxHmL counts for Released/Removed and Total Releases are derived from CSIL data (effective May 2022) and provided by Local Authority staff; previous source for data was 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</si>
</sst>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,##0.0%"/>
    <numFmt numFmtId="166" formatCode="#,##0%"/>
    <numFmt numFmtId="167" formatCode="0.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0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3" xfId="0" applyFont="1" applyFill="1" applyBorder="1" applyAlignment="1">
      <alignment horizontal="left" vertical="top"/>
    </xf>
    <xf numFmtId="0" fontId="19" fillId="3" borderId="23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4" xfId="0" applyBorder="1"/>
    <xf numFmtId="3" fontId="12" fillId="0" borderId="24" xfId="0" applyNumberFormat="1" applyFont="1" applyBorder="1" applyAlignment="1">
      <alignment horizontal="right" vertical="top"/>
    </xf>
    <xf numFmtId="165" fontId="20" fillId="0" borderId="24" xfId="0" applyNumberFormat="1" applyFont="1" applyBorder="1" applyAlignment="1">
      <alignment horizontal="right" vertical="top"/>
    </xf>
    <xf numFmtId="0" fontId="10" fillId="4" borderId="25" xfId="0" applyFont="1" applyFill="1" applyBorder="1" applyAlignment="1">
      <alignment horizontal="left" vertical="top"/>
    </xf>
    <xf numFmtId="3" fontId="21" fillId="5" borderId="22" xfId="0" applyNumberFormat="1" applyFont="1" applyFill="1" applyBorder="1" applyAlignment="1">
      <alignment horizontal="right" vertical="top"/>
    </xf>
    <xf numFmtId="166" fontId="13" fillId="5" borderId="22" xfId="0" applyNumberFormat="1" applyFont="1" applyFill="1" applyBorder="1" applyAlignment="1">
      <alignment horizontal="right" vertical="top"/>
    </xf>
    <xf numFmtId="0" fontId="12" fillId="0" borderId="24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4" xfId="0" applyNumberFormat="1" applyFont="1" applyBorder="1" applyAlignment="1">
      <alignment horizontal="right" vertical="top"/>
    </xf>
    <xf numFmtId="165" fontId="27" fillId="0" borderId="24" xfId="0" applyNumberFormat="1" applyFont="1" applyBorder="1" applyAlignment="1">
      <alignment horizontal="right" vertical="top"/>
    </xf>
    <xf numFmtId="0" fontId="23" fillId="3" borderId="23" xfId="0" applyFont="1" applyFill="1" applyBorder="1" applyAlignment="1">
      <alignment horizontal="left" vertical="top"/>
    </xf>
    <xf numFmtId="0" fontId="24" fillId="3" borderId="23" xfId="0" applyFont="1" applyFill="1" applyBorder="1" applyAlignment="1">
      <alignment horizontal="left" vertical="top"/>
    </xf>
    <xf numFmtId="0" fontId="26" fillId="0" borderId="24" xfId="0" applyFont="1" applyBorder="1" applyAlignment="1">
      <alignment horizontal="right" vertical="top"/>
    </xf>
    <xf numFmtId="165" fontId="27" fillId="0" borderId="27" xfId="0" applyNumberFormat="1" applyFont="1" applyBorder="1" applyAlignment="1">
      <alignment horizontal="right" vertical="top"/>
    </xf>
    <xf numFmtId="0" fontId="0" fillId="0" borderId="27" xfId="0" applyBorder="1"/>
    <xf numFmtId="0" fontId="6" fillId="0" borderId="24" xfId="0" applyFont="1" applyBorder="1"/>
    <xf numFmtId="167" fontId="17" fillId="0" borderId="24" xfId="0" applyNumberFormat="1" applyFont="1" applyBorder="1"/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8" xfId="0" applyNumberFormat="1" applyFont="1" applyFill="1" applyBorder="1" applyAlignment="1">
      <alignment horizontal="right"/>
    </xf>
    <xf numFmtId="164" fontId="13" fillId="5" borderId="29" xfId="0" applyNumberFormat="1" applyFont="1" applyFill="1" applyBorder="1" applyAlignment="1">
      <alignment horizontal="right"/>
    </xf>
    <xf numFmtId="164" fontId="13" fillId="5" borderId="20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3" xfId="0" applyNumberFormat="1" applyFont="1" applyFill="1" applyBorder="1"/>
    <xf numFmtId="0" fontId="8" fillId="3" borderId="23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3" xfId="0" applyFont="1" applyFill="1" applyBorder="1" applyAlignment="1">
      <alignment horizontal="left" vertical="top"/>
    </xf>
    <xf numFmtId="0" fontId="23" fillId="3" borderId="23" xfId="0" applyFont="1" applyFill="1" applyBorder="1" applyAlignment="1">
      <alignment horizontal="left" vertical="top"/>
    </xf>
    <xf numFmtId="0" fontId="0" fillId="3" borderId="26" xfId="0" applyFill="1" applyBorder="1"/>
    <xf numFmtId="0" fontId="0" fillId="3" borderId="23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80" zoomScaleNormal="80" workbookViewId="0">
      <selection activeCell="A14" sqref="A14"/>
    </sheetView>
  </sheetViews>
  <sheetFormatPr defaultRowHeight="12.75" customHeight="1"/>
  <cols>
    <col min="1" max="1" width="118.81640625" bestFit="1" customWidth="1"/>
  </cols>
  <sheetData>
    <row r="2" spans="1:1" ht="12.75" customHeight="1">
      <c r="A2" s="32"/>
    </row>
    <row r="3" spans="1:1" ht="12.75" customHeight="1">
      <c r="A3" s="32"/>
    </row>
    <row r="4" spans="1:1" ht="12.75" customHeight="1">
      <c r="A4" s="32"/>
    </row>
    <row r="5" spans="1:1" ht="12.75" customHeight="1">
      <c r="A5" s="32"/>
    </row>
    <row r="6" spans="1:1" ht="12.75" customHeight="1">
      <c r="A6" s="32"/>
    </row>
    <row r="7" spans="1:1" ht="12.75" customHeight="1">
      <c r="A7" s="32"/>
    </row>
    <row r="8" spans="1:1" ht="12.75" customHeight="1">
      <c r="A8" s="32"/>
    </row>
    <row r="9" spans="1:1" ht="12.75" customHeight="1">
      <c r="A9" s="32"/>
    </row>
    <row r="10" spans="1:1" ht="12.75" customHeight="1">
      <c r="A10" s="32"/>
    </row>
    <row r="11" spans="1:1" ht="12.75" customHeight="1">
      <c r="A11" s="32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2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sqref="A1:B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33"/>
      <c r="B1" s="33"/>
      <c r="C1" s="9" t="s">
        <v>3</v>
      </c>
    </row>
    <row r="2" spans="1:3" ht="12.5">
      <c r="A2" s="34"/>
      <c r="B2" s="34"/>
      <c r="C2" s="8"/>
    </row>
    <row r="3" spans="1:3" ht="12.5">
      <c r="A3" s="34"/>
      <c r="B3" s="34"/>
      <c r="C3" s="8"/>
    </row>
    <row r="4" spans="1:3" ht="12.5">
      <c r="A4" s="34"/>
      <c r="B4" s="34"/>
      <c r="C4" s="8"/>
    </row>
    <row r="5" spans="1:3" ht="12.5">
      <c r="A5" s="34"/>
      <c r="B5" s="34"/>
      <c r="C5" s="8"/>
    </row>
    <row r="6" spans="1:3" ht="12.5">
      <c r="A6" s="34"/>
      <c r="B6" s="34"/>
      <c r="C6" s="8"/>
    </row>
    <row r="7" spans="1:3" ht="12.5">
      <c r="A7" s="34"/>
      <c r="B7" s="34"/>
      <c r="C7" s="8"/>
    </row>
    <row r="8" spans="1:3" ht="12.5">
      <c r="A8" s="34"/>
      <c r="B8" s="34"/>
      <c r="C8" s="8"/>
    </row>
    <row r="9" spans="1:3" ht="12.5">
      <c r="A9" s="34"/>
      <c r="B9" s="34"/>
      <c r="C9" s="8"/>
    </row>
    <row r="10" spans="1:3" ht="12.5">
      <c r="A10" s="34"/>
      <c r="B10" s="34"/>
      <c r="C10" s="8"/>
    </row>
    <row r="11" spans="1:3" ht="23.25" customHeight="1">
      <c r="A11" s="35" t="s">
        <v>4</v>
      </c>
      <c r="B11" s="34"/>
      <c r="C11" s="34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topLeftCell="A9" zoomScaleNormal="100" workbookViewId="0">
      <selection activeCell="T15" sqref="T15:U16"/>
    </sheetView>
  </sheetViews>
  <sheetFormatPr defaultRowHeight="12.75" customHeight="1"/>
  <cols>
    <col min="1" max="4" width="12.453125" bestFit="1" customWidth="1"/>
    <col min="5" max="7" width="10.1796875" bestFit="1" customWidth="1"/>
    <col min="8" max="8" width="6.54296875" customWidth="1"/>
    <col min="10" max="21" width="5.7265625" bestFit="1" customWidth="1"/>
  </cols>
  <sheetData>
    <row r="1" spans="1:21" ht="23.25" customHeight="1">
      <c r="A1" s="32"/>
      <c r="B1" s="32"/>
      <c r="C1" s="32"/>
      <c r="D1" s="32"/>
      <c r="E1" s="32"/>
      <c r="F1" s="32"/>
      <c r="G1" s="32"/>
      <c r="H1" s="6" t="s">
        <v>5</v>
      </c>
    </row>
    <row r="2" spans="1:21" ht="12.75" customHeight="1">
      <c r="A2" s="32"/>
      <c r="B2" s="32"/>
      <c r="C2" s="32"/>
      <c r="D2" s="32"/>
      <c r="E2" s="32"/>
      <c r="F2" s="32"/>
      <c r="G2" s="32"/>
    </row>
    <row r="3" spans="1:21" ht="12.75" customHeight="1">
      <c r="A3" s="32"/>
      <c r="B3" s="32"/>
      <c r="C3" s="32"/>
      <c r="D3" s="32"/>
      <c r="E3" s="32"/>
      <c r="F3" s="32"/>
      <c r="G3" s="32"/>
    </row>
    <row r="4" spans="1:21" ht="12.75" customHeight="1">
      <c r="A4" s="32"/>
      <c r="B4" s="32"/>
      <c r="C4" s="32"/>
      <c r="D4" s="32"/>
      <c r="E4" s="32"/>
      <c r="F4" s="32"/>
      <c r="G4" s="32"/>
    </row>
    <row r="5" spans="1:21" ht="12.75" customHeight="1">
      <c r="A5" s="32"/>
      <c r="B5" s="32"/>
      <c r="C5" s="32"/>
      <c r="D5" s="32"/>
      <c r="E5" s="32"/>
      <c r="F5" s="32"/>
      <c r="G5" s="32"/>
    </row>
    <row r="6" spans="1:21" ht="12.75" customHeight="1">
      <c r="A6" s="32"/>
      <c r="B6" s="32"/>
      <c r="C6" s="32"/>
      <c r="D6" s="32"/>
      <c r="E6" s="32"/>
      <c r="F6" s="32"/>
      <c r="G6" s="32"/>
    </row>
    <row r="7" spans="1:21" ht="12.75" customHeight="1">
      <c r="A7" s="32"/>
      <c r="B7" s="32"/>
      <c r="C7" s="32"/>
      <c r="D7" s="32"/>
      <c r="E7" s="32"/>
      <c r="F7" s="32"/>
      <c r="G7" s="32"/>
    </row>
    <row r="8" spans="1:21" ht="12.75" customHeight="1">
      <c r="A8" s="32"/>
      <c r="B8" s="32"/>
      <c r="C8" s="32"/>
      <c r="D8" s="32"/>
      <c r="E8" s="32"/>
      <c r="F8" s="32"/>
      <c r="G8" s="32"/>
    </row>
    <row r="9" spans="1:21" ht="12.75" customHeight="1">
      <c r="A9" s="32"/>
      <c r="B9" s="32"/>
      <c r="C9" s="32"/>
      <c r="D9" s="32"/>
      <c r="E9" s="32"/>
      <c r="F9" s="32"/>
      <c r="G9" s="32"/>
    </row>
    <row r="10" spans="1:21" ht="12.75" customHeight="1">
      <c r="A10" s="32"/>
      <c r="B10" s="32"/>
      <c r="C10" s="32"/>
      <c r="D10" s="32"/>
      <c r="E10" s="32"/>
      <c r="F10" s="32"/>
      <c r="G10" s="32"/>
    </row>
    <row r="11" spans="1:21" ht="12.5">
      <c r="A11" s="40" t="s">
        <v>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spans="1:21" ht="13.5" thickBot="1">
      <c r="H12" s="41" t="s">
        <v>26</v>
      </c>
      <c r="I12" s="42"/>
      <c r="J12" s="41" t="s">
        <v>27</v>
      </c>
      <c r="K12" s="42"/>
      <c r="L12" s="43" t="s">
        <v>28</v>
      </c>
      <c r="M12" s="42"/>
      <c r="N12" s="41" t="s">
        <v>29</v>
      </c>
      <c r="O12" s="42"/>
      <c r="P12" s="41" t="s">
        <v>30</v>
      </c>
      <c r="Q12" s="42"/>
      <c r="R12" s="43" t="s">
        <v>31</v>
      </c>
      <c r="S12" s="42"/>
      <c r="T12" s="44" t="s">
        <v>32</v>
      </c>
      <c r="U12" s="45"/>
    </row>
    <row r="13" spans="1:21" ht="13" thickBot="1">
      <c r="A13" s="46" t="s">
        <v>7</v>
      </c>
      <c r="B13" s="47"/>
      <c r="C13" s="47"/>
      <c r="D13" s="48"/>
      <c r="E13" s="52" t="s">
        <v>33</v>
      </c>
      <c r="F13" s="47"/>
      <c r="G13" s="48"/>
      <c r="H13" s="53">
        <v>82640</v>
      </c>
      <c r="I13" s="54"/>
      <c r="J13" s="53">
        <v>1714</v>
      </c>
      <c r="K13" s="54"/>
      <c r="L13" s="53">
        <v>117206</v>
      </c>
      <c r="M13" s="54"/>
      <c r="N13" s="53">
        <v>6901</v>
      </c>
      <c r="O13" s="54"/>
      <c r="P13" s="53">
        <v>6339</v>
      </c>
      <c r="Q13" s="54"/>
      <c r="R13" s="53">
        <v>106134</v>
      </c>
      <c r="S13" s="54"/>
      <c r="T13" s="36">
        <v>320934</v>
      </c>
      <c r="U13" s="37"/>
    </row>
    <row r="14" spans="1:21" ht="13" thickBot="1">
      <c r="A14" s="49"/>
      <c r="B14" s="50"/>
      <c r="C14" s="50"/>
      <c r="D14" s="51"/>
      <c r="E14" s="49"/>
      <c r="F14" s="50"/>
      <c r="G14" s="51"/>
      <c r="H14" s="55"/>
      <c r="I14" s="56"/>
      <c r="J14" s="55"/>
      <c r="K14" s="56"/>
      <c r="L14" s="55"/>
      <c r="M14" s="56"/>
      <c r="N14" s="55"/>
      <c r="O14" s="56"/>
      <c r="P14" s="55"/>
      <c r="Q14" s="56"/>
      <c r="R14" s="55"/>
      <c r="S14" s="56"/>
      <c r="T14" s="38"/>
      <c r="U14" s="39"/>
    </row>
    <row r="15" spans="1:21" ht="13" thickBot="1">
      <c r="A15" s="57" t="s">
        <v>34</v>
      </c>
      <c r="B15" s="58"/>
      <c r="C15" s="58"/>
      <c r="D15" s="59"/>
      <c r="E15" s="61" t="s">
        <v>35</v>
      </c>
      <c r="F15" s="58"/>
      <c r="G15" s="59"/>
      <c r="H15" s="53">
        <v>268</v>
      </c>
      <c r="I15" s="54"/>
      <c r="J15" s="53">
        <v>14</v>
      </c>
      <c r="K15" s="54"/>
      <c r="L15" s="53">
        <v>972</v>
      </c>
      <c r="M15" s="54"/>
      <c r="N15" s="53">
        <v>834</v>
      </c>
      <c r="O15" s="54"/>
      <c r="P15" s="53">
        <v>4476</v>
      </c>
      <c r="Q15" s="54"/>
      <c r="R15" s="53">
        <v>581</v>
      </c>
      <c r="S15" s="54"/>
      <c r="T15" s="36">
        <f>SUM(H15:S16)</f>
        <v>7145</v>
      </c>
      <c r="U15" s="37"/>
    </row>
    <row r="16" spans="1:21" ht="13" thickBot="1">
      <c r="A16" s="60"/>
      <c r="B16" s="58"/>
      <c r="C16" s="58"/>
      <c r="D16" s="59"/>
      <c r="E16" s="49"/>
      <c r="F16" s="50"/>
      <c r="G16" s="51"/>
      <c r="H16" s="55"/>
      <c r="I16" s="56"/>
      <c r="J16" s="55"/>
      <c r="K16" s="56"/>
      <c r="L16" s="55"/>
      <c r="M16" s="56"/>
      <c r="N16" s="55"/>
      <c r="O16" s="56"/>
      <c r="P16" s="55"/>
      <c r="Q16" s="56"/>
      <c r="R16" s="55"/>
      <c r="S16" s="56"/>
      <c r="T16" s="38"/>
      <c r="U16" s="39"/>
    </row>
    <row r="17" spans="1:21" ht="13" thickBot="1">
      <c r="A17" s="60"/>
      <c r="B17" s="58"/>
      <c r="C17" s="58"/>
      <c r="D17" s="59"/>
      <c r="E17" s="61" t="s">
        <v>36</v>
      </c>
      <c r="F17" s="58"/>
      <c r="G17" s="59"/>
      <c r="H17" s="53">
        <v>642</v>
      </c>
      <c r="I17" s="54"/>
      <c r="J17" s="53">
        <v>149</v>
      </c>
      <c r="K17" s="54"/>
      <c r="L17" s="53">
        <v>1784</v>
      </c>
      <c r="M17" s="54"/>
      <c r="N17" s="53">
        <v>4591</v>
      </c>
      <c r="O17" s="54"/>
      <c r="P17" s="53">
        <v>24789</v>
      </c>
      <c r="Q17" s="54"/>
      <c r="R17" s="53">
        <v>3414</v>
      </c>
      <c r="S17" s="54"/>
      <c r="T17" s="36">
        <f t="shared" ref="T17" si="0">SUM(H17:S18)</f>
        <v>35369</v>
      </c>
      <c r="U17" s="37"/>
    </row>
    <row r="18" spans="1:21" ht="13" thickBot="1">
      <c r="A18" s="60"/>
      <c r="B18" s="58"/>
      <c r="C18" s="58"/>
      <c r="D18" s="59"/>
      <c r="E18" s="49"/>
      <c r="F18" s="50"/>
      <c r="G18" s="51"/>
      <c r="H18" s="55"/>
      <c r="I18" s="56"/>
      <c r="J18" s="55"/>
      <c r="K18" s="56"/>
      <c r="L18" s="55"/>
      <c r="M18" s="56"/>
      <c r="N18" s="55"/>
      <c r="O18" s="56"/>
      <c r="P18" s="55"/>
      <c r="Q18" s="56"/>
      <c r="R18" s="55"/>
      <c r="S18" s="56"/>
      <c r="T18" s="38"/>
      <c r="U18" s="39"/>
    </row>
    <row r="19" spans="1:21" ht="13" thickBot="1">
      <c r="A19" s="60"/>
      <c r="B19" s="58"/>
      <c r="C19" s="58"/>
      <c r="D19" s="59"/>
      <c r="E19" s="62" t="s">
        <v>37</v>
      </c>
      <c r="F19" s="58"/>
      <c r="G19" s="59"/>
      <c r="H19" s="53">
        <v>1809</v>
      </c>
      <c r="I19" s="54"/>
      <c r="J19" s="53">
        <v>561</v>
      </c>
      <c r="K19" s="54"/>
      <c r="L19" s="53">
        <v>2335</v>
      </c>
      <c r="M19" s="54"/>
      <c r="N19" s="53">
        <v>664</v>
      </c>
      <c r="O19" s="54"/>
      <c r="P19" s="53">
        <v>19283</v>
      </c>
      <c r="Q19" s="54"/>
      <c r="R19" s="53">
        <v>1989</v>
      </c>
      <c r="S19" s="54"/>
      <c r="T19" s="36">
        <f t="shared" ref="T19" si="1">SUM(H19:S20)</f>
        <v>26641</v>
      </c>
      <c r="U19" s="37"/>
    </row>
    <row r="20" spans="1:21" ht="13" thickBot="1">
      <c r="A20" s="60"/>
      <c r="B20" s="58"/>
      <c r="C20" s="58"/>
      <c r="D20" s="59"/>
      <c r="E20" s="49"/>
      <c r="F20" s="50"/>
      <c r="G20" s="51"/>
      <c r="H20" s="55"/>
      <c r="I20" s="56"/>
      <c r="J20" s="55"/>
      <c r="K20" s="56"/>
      <c r="L20" s="55"/>
      <c r="M20" s="56"/>
      <c r="N20" s="55"/>
      <c r="O20" s="56"/>
      <c r="P20" s="55"/>
      <c r="Q20" s="56"/>
      <c r="R20" s="55"/>
      <c r="S20" s="56"/>
      <c r="T20" s="38"/>
      <c r="U20" s="39"/>
    </row>
    <row r="21" spans="1:21" ht="13" thickBot="1">
      <c r="A21" s="60"/>
      <c r="B21" s="58"/>
      <c r="C21" s="58"/>
      <c r="D21" s="59"/>
      <c r="E21" s="62" t="s">
        <v>23</v>
      </c>
      <c r="F21" s="58"/>
      <c r="G21" s="59"/>
      <c r="H21" s="53">
        <v>1</v>
      </c>
      <c r="I21" s="54"/>
      <c r="J21" s="63" t="s">
        <v>38</v>
      </c>
      <c r="K21" s="54"/>
      <c r="L21" s="63">
        <v>135</v>
      </c>
      <c r="M21" s="54"/>
      <c r="N21" s="53">
        <v>11</v>
      </c>
      <c r="O21" s="54"/>
      <c r="P21" s="53">
        <v>11</v>
      </c>
      <c r="Q21" s="54"/>
      <c r="R21" s="63">
        <v>188</v>
      </c>
      <c r="S21" s="54"/>
      <c r="T21" s="36">
        <f t="shared" ref="T21" si="2">SUM(H21:S22)</f>
        <v>346</v>
      </c>
      <c r="U21" s="37"/>
    </row>
    <row r="22" spans="1:21" ht="13" thickBot="1">
      <c r="A22" s="49"/>
      <c r="B22" s="50"/>
      <c r="C22" s="50"/>
      <c r="D22" s="51"/>
      <c r="E22" s="49"/>
      <c r="F22" s="50"/>
      <c r="G22" s="51"/>
      <c r="H22" s="55"/>
      <c r="I22" s="56"/>
      <c r="J22" s="55"/>
      <c r="K22" s="56"/>
      <c r="L22" s="55"/>
      <c r="M22" s="56"/>
      <c r="N22" s="55"/>
      <c r="O22" s="56"/>
      <c r="P22" s="55"/>
      <c r="Q22" s="56"/>
      <c r="R22" s="55"/>
      <c r="S22" s="56"/>
      <c r="T22" s="38"/>
      <c r="U22" s="39"/>
    </row>
    <row r="23" spans="1:21" ht="13" thickBot="1">
      <c r="A23" s="66" t="s">
        <v>39</v>
      </c>
      <c r="B23" s="58"/>
      <c r="C23" s="58"/>
      <c r="D23" s="59"/>
      <c r="E23" s="66" t="s">
        <v>40</v>
      </c>
      <c r="F23" s="58"/>
      <c r="G23" s="59"/>
      <c r="H23" s="64">
        <v>2739</v>
      </c>
      <c r="I23" s="59"/>
      <c r="J23" s="64">
        <v>724</v>
      </c>
      <c r="K23" s="59"/>
      <c r="L23" s="64">
        <v>5013</v>
      </c>
      <c r="M23" s="59"/>
      <c r="N23" s="64">
        <v>6167</v>
      </c>
      <c r="O23" s="59"/>
      <c r="P23" s="64">
        <v>46848</v>
      </c>
      <c r="Q23" s="59"/>
      <c r="R23" s="64">
        <v>6045</v>
      </c>
      <c r="S23" s="59"/>
      <c r="T23" s="36">
        <f t="shared" ref="T23" si="3">SUM(H23:S24)</f>
        <v>67536</v>
      </c>
      <c r="U23" s="37"/>
    </row>
    <row r="24" spans="1:21" ht="13" thickBot="1">
      <c r="A24" s="49"/>
      <c r="B24" s="50"/>
      <c r="C24" s="50"/>
      <c r="D24" s="51"/>
      <c r="E24" s="49"/>
      <c r="F24" s="50"/>
      <c r="G24" s="51"/>
      <c r="H24" s="49"/>
      <c r="I24" s="51"/>
      <c r="J24" s="49"/>
      <c r="K24" s="51"/>
      <c r="L24" s="49"/>
      <c r="M24" s="51"/>
      <c r="N24" s="49"/>
      <c r="O24" s="51"/>
      <c r="P24" s="49"/>
      <c r="Q24" s="51"/>
      <c r="R24" s="49"/>
      <c r="S24" s="51"/>
      <c r="T24" s="38"/>
      <c r="U24" s="39"/>
    </row>
    <row r="25" spans="1:21" ht="13" thickBot="1">
      <c r="A25" s="65" t="s">
        <v>10</v>
      </c>
      <c r="B25" s="58"/>
      <c r="C25" s="58"/>
      <c r="D25" s="59"/>
      <c r="E25" s="62" t="s">
        <v>41</v>
      </c>
      <c r="F25" s="58"/>
      <c r="G25" s="59"/>
      <c r="H25" s="53">
        <v>10160</v>
      </c>
      <c r="I25" s="54"/>
      <c r="J25" s="53">
        <v>972</v>
      </c>
      <c r="K25" s="54"/>
      <c r="L25" s="53">
        <v>13092</v>
      </c>
      <c r="M25" s="54"/>
      <c r="N25" s="53">
        <v>5425</v>
      </c>
      <c r="O25" s="54"/>
      <c r="P25" s="53">
        <v>38600</v>
      </c>
      <c r="Q25" s="54"/>
      <c r="R25" s="53">
        <v>12483</v>
      </c>
      <c r="S25" s="54"/>
      <c r="T25" s="36">
        <v>80732</v>
      </c>
      <c r="U25" s="37"/>
    </row>
    <row r="26" spans="1:21" ht="13" thickBot="1">
      <c r="A26" s="49"/>
      <c r="B26" s="50"/>
      <c r="C26" s="50"/>
      <c r="D26" s="51"/>
      <c r="E26" s="49"/>
      <c r="F26" s="50"/>
      <c r="G26" s="51"/>
      <c r="H26" s="55"/>
      <c r="I26" s="56"/>
      <c r="J26" s="55"/>
      <c r="K26" s="56"/>
      <c r="L26" s="55"/>
      <c r="M26" s="56"/>
      <c r="N26" s="55"/>
      <c r="O26" s="56"/>
      <c r="P26" s="55"/>
      <c r="Q26" s="56"/>
      <c r="R26" s="55"/>
      <c r="S26" s="56"/>
      <c r="T26" s="38"/>
      <c r="U26" s="39"/>
    </row>
    <row r="27" spans="1:21" ht="13" thickBot="1">
      <c r="A27" s="65" t="s">
        <v>11</v>
      </c>
      <c r="B27" s="58"/>
      <c r="C27" s="58"/>
      <c r="D27" s="59"/>
      <c r="E27" s="61" t="s">
        <v>42</v>
      </c>
      <c r="F27" s="58"/>
      <c r="G27" s="59"/>
      <c r="H27" s="53">
        <v>92713</v>
      </c>
      <c r="I27" s="54"/>
      <c r="J27" s="53">
        <v>2019</v>
      </c>
      <c r="K27" s="54"/>
      <c r="L27" s="53">
        <v>124617</v>
      </c>
      <c r="M27" s="54"/>
      <c r="N27" s="53">
        <v>6252</v>
      </c>
      <c r="O27" s="54"/>
      <c r="P27" s="53">
        <v>2507</v>
      </c>
      <c r="Q27" s="54"/>
      <c r="R27" s="53">
        <v>112923</v>
      </c>
      <c r="S27" s="54"/>
      <c r="T27" s="36">
        <v>341031</v>
      </c>
      <c r="U27" s="37"/>
    </row>
    <row r="28" spans="1:21" ht="13" thickBot="1">
      <c r="A28" s="49"/>
      <c r="B28" s="50"/>
      <c r="C28" s="50"/>
      <c r="D28" s="51"/>
      <c r="E28" s="49"/>
      <c r="F28" s="50"/>
      <c r="G28" s="51"/>
      <c r="H28" s="55"/>
      <c r="I28" s="56"/>
      <c r="J28" s="55"/>
      <c r="K28" s="56"/>
      <c r="L28" s="55"/>
      <c r="M28" s="56"/>
      <c r="N28" s="55"/>
      <c r="O28" s="56"/>
      <c r="P28" s="55"/>
      <c r="Q28" s="56"/>
      <c r="R28" s="55"/>
      <c r="S28" s="56"/>
      <c r="T28" s="38"/>
      <c r="U28" s="39"/>
    </row>
    <row r="29" spans="1:21" ht="12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spans="1:21" ht="12.75" customHeight="1">
      <c r="A30" s="67" t="s">
        <v>165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</row>
    <row r="31" spans="1:21" ht="12.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</row>
    <row r="32" spans="1:21" ht="13">
      <c r="A32" s="68" t="s">
        <v>43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</row>
    <row r="33" spans="1:21" ht="12.75" customHeight="1">
      <c r="A33" s="69" t="s">
        <v>44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</row>
    <row r="34" spans="1:21" ht="12.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</row>
    <row r="35" spans="1:21" ht="12.75" customHeight="1">
      <c r="A35" s="69" t="s">
        <v>45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</row>
    <row r="36" spans="1:21" ht="12.5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</row>
    <row r="37" spans="1:21" ht="12.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spans="1:21" ht="12.75" customHeight="1">
      <c r="A38" s="70" t="s">
        <v>46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</row>
    <row r="39" spans="1:21" ht="12.5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</row>
  </sheetData>
  <mergeCells count="85"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A3" workbookViewId="0">
      <selection activeCell="M32" sqref="M32"/>
    </sheetView>
  </sheetViews>
  <sheetFormatPr defaultRowHeight="12.75" customHeight="1"/>
  <cols>
    <col min="1" max="1" width="18.1796875" bestFit="1" customWidth="1"/>
    <col min="2" max="2" width="8.453125" bestFit="1" customWidth="1"/>
    <col min="3" max="3" width="6.453125" bestFit="1" customWidth="1"/>
    <col min="4" max="4" width="8.453125" bestFit="1" customWidth="1"/>
    <col min="5" max="5" width="6.453125" bestFit="1" customWidth="1"/>
    <col min="6" max="6" width="8.81640625" bestFit="1" customWidth="1"/>
    <col min="7" max="7" width="6.453125" bestFit="1" customWidth="1"/>
    <col min="8" max="8" width="6.7265625" customWidth="1"/>
    <col min="9" max="9" width="7.453125" bestFit="1" customWidth="1"/>
    <col min="10" max="10" width="10" bestFit="1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32"/>
      <c r="B1" s="32"/>
      <c r="C1" s="32"/>
      <c r="D1" s="32"/>
      <c r="E1" s="32"/>
      <c r="F1" s="32"/>
      <c r="G1" s="32"/>
      <c r="H1" s="6" t="s">
        <v>47</v>
      </c>
    </row>
    <row r="2" spans="1:13" ht="12.75" customHeight="1">
      <c r="A2" s="32"/>
      <c r="B2" s="32"/>
      <c r="C2" s="32"/>
      <c r="D2" s="32"/>
      <c r="E2" s="32"/>
      <c r="F2" s="32"/>
      <c r="G2" s="32"/>
    </row>
    <row r="3" spans="1:13" ht="12.75" customHeight="1">
      <c r="A3" s="32"/>
      <c r="B3" s="32"/>
      <c r="C3" s="32"/>
      <c r="D3" s="32"/>
      <c r="E3" s="32"/>
      <c r="F3" s="32"/>
      <c r="G3" s="32"/>
    </row>
    <row r="4" spans="1:13" ht="12.75" customHeight="1">
      <c r="A4" s="32"/>
      <c r="B4" s="32"/>
      <c r="C4" s="32"/>
      <c r="D4" s="32"/>
      <c r="E4" s="32"/>
      <c r="F4" s="32"/>
      <c r="G4" s="32"/>
    </row>
    <row r="5" spans="1:13" ht="12.75" customHeight="1">
      <c r="A5" s="32"/>
      <c r="B5" s="32"/>
      <c r="C5" s="32"/>
      <c r="D5" s="32"/>
      <c r="E5" s="32"/>
      <c r="F5" s="32"/>
      <c r="G5" s="32"/>
    </row>
    <row r="6" spans="1:13" ht="12.75" customHeight="1">
      <c r="A6" s="32"/>
      <c r="B6" s="32"/>
      <c r="C6" s="32"/>
      <c r="D6" s="32"/>
      <c r="E6" s="32"/>
      <c r="F6" s="32"/>
      <c r="G6" s="32"/>
    </row>
    <row r="7" spans="1:13" ht="12.75" customHeight="1">
      <c r="A7" s="32"/>
      <c r="B7" s="32"/>
      <c r="C7" s="32"/>
      <c r="D7" s="32"/>
      <c r="E7" s="32"/>
      <c r="F7" s="32"/>
      <c r="G7" s="32"/>
    </row>
    <row r="8" spans="1:13" ht="12.75" customHeight="1">
      <c r="A8" s="32"/>
      <c r="B8" s="32"/>
      <c r="C8" s="32"/>
      <c r="D8" s="32"/>
      <c r="E8" s="32"/>
      <c r="F8" s="32"/>
      <c r="G8" s="32"/>
    </row>
    <row r="9" spans="1:13" ht="12.75" customHeight="1">
      <c r="A9" s="32"/>
      <c r="B9" s="32"/>
      <c r="C9" s="32"/>
      <c r="D9" s="32"/>
      <c r="E9" s="32"/>
      <c r="F9" s="32"/>
      <c r="G9" s="32"/>
    </row>
    <row r="10" spans="1:13" ht="12.75" customHeight="1">
      <c r="A10" s="32"/>
      <c r="B10" s="32"/>
      <c r="C10" s="32"/>
      <c r="D10" s="32"/>
      <c r="E10" s="32"/>
      <c r="F10" s="32"/>
      <c r="G10" s="32"/>
    </row>
    <row r="11" spans="1:13" ht="12.5">
      <c r="A11" s="40" t="s">
        <v>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ht="18.75" customHeight="1">
      <c r="A12" s="71" t="s">
        <v>48</v>
      </c>
      <c r="B12" s="41" t="s">
        <v>26</v>
      </c>
      <c r="C12" s="42"/>
      <c r="D12" s="41" t="s">
        <v>27</v>
      </c>
      <c r="E12" s="42"/>
      <c r="F12" s="41" t="s">
        <v>49</v>
      </c>
      <c r="G12" s="42"/>
      <c r="H12" s="41" t="s">
        <v>29</v>
      </c>
      <c r="I12" s="42"/>
      <c r="J12" s="41" t="s">
        <v>30</v>
      </c>
      <c r="K12" s="42"/>
      <c r="L12" s="41" t="s">
        <v>50</v>
      </c>
      <c r="M12" s="42"/>
    </row>
    <row r="13" spans="1:13" ht="12.5">
      <c r="A13" s="32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6861</v>
      </c>
      <c r="C14" s="17">
        <v>7.4002600000000002E-2</v>
      </c>
      <c r="D14" s="16">
        <v>692</v>
      </c>
      <c r="E14" s="17">
        <v>0.34274389999999999</v>
      </c>
      <c r="F14" s="16">
        <v>8239</v>
      </c>
      <c r="G14" s="17">
        <v>6.6114599999999996E-2</v>
      </c>
      <c r="H14" s="16">
        <v>3785</v>
      </c>
      <c r="I14" s="17">
        <v>0.60540629999999995</v>
      </c>
      <c r="J14" s="16">
        <v>2502</v>
      </c>
      <c r="K14" s="17">
        <v>0.99800560000000005</v>
      </c>
      <c r="L14" s="16">
        <v>8103</v>
      </c>
      <c r="M14" s="17">
        <v>7.1756899999999998E-2</v>
      </c>
    </row>
    <row r="15" spans="1:13" ht="13">
      <c r="A15" s="12" t="s">
        <v>54</v>
      </c>
      <c r="B15" s="16">
        <v>6149</v>
      </c>
      <c r="C15" s="17">
        <v>6.6322999999999993E-2</v>
      </c>
      <c r="D15" s="16">
        <v>499</v>
      </c>
      <c r="E15" s="17">
        <v>0.24715210000000001</v>
      </c>
      <c r="F15" s="16">
        <v>8370</v>
      </c>
      <c r="G15" s="17">
        <v>6.7165799999999998E-2</v>
      </c>
      <c r="H15" s="16">
        <v>2466</v>
      </c>
      <c r="I15" s="17">
        <v>0.3944338</v>
      </c>
      <c r="J15" s="16">
        <v>5</v>
      </c>
      <c r="K15" s="17">
        <v>1.9943999999999999E-3</v>
      </c>
      <c r="L15" s="16">
        <v>8359</v>
      </c>
      <c r="M15" s="17">
        <v>7.4023900000000004E-2</v>
      </c>
    </row>
    <row r="16" spans="1:13" ht="13">
      <c r="A16" s="12" t="s">
        <v>55</v>
      </c>
      <c r="B16" s="16">
        <v>5528</v>
      </c>
      <c r="C16" s="17">
        <v>5.9624900000000002E-2</v>
      </c>
      <c r="D16" s="16">
        <v>348</v>
      </c>
      <c r="E16" s="17">
        <v>0.1723626</v>
      </c>
      <c r="F16" s="16">
        <v>7369</v>
      </c>
      <c r="G16" s="17">
        <v>5.9133199999999997E-2</v>
      </c>
      <c r="H16" s="15"/>
      <c r="I16" s="15"/>
      <c r="J16" s="15"/>
      <c r="K16" s="15"/>
      <c r="L16" s="16">
        <v>7323</v>
      </c>
      <c r="M16" s="17">
        <v>6.4849500000000004E-2</v>
      </c>
    </row>
    <row r="17" spans="1:13" ht="13">
      <c r="A17" s="12" t="s">
        <v>56</v>
      </c>
      <c r="B17" s="16">
        <v>4921</v>
      </c>
      <c r="C17" s="17">
        <v>5.3077800000000001E-2</v>
      </c>
      <c r="D17" s="16">
        <v>245</v>
      </c>
      <c r="E17" s="17">
        <v>0.1213472</v>
      </c>
      <c r="F17" s="16">
        <v>6485</v>
      </c>
      <c r="G17" s="17">
        <v>5.20394E-2</v>
      </c>
      <c r="H17" s="15"/>
      <c r="I17" s="15"/>
      <c r="J17" s="15"/>
      <c r="K17" s="15"/>
      <c r="L17" s="16">
        <v>6490</v>
      </c>
      <c r="M17" s="17">
        <v>5.7472799999999998E-2</v>
      </c>
    </row>
    <row r="18" spans="1:13" ht="13">
      <c r="A18" s="12" t="s">
        <v>57</v>
      </c>
      <c r="B18" s="16">
        <v>3680</v>
      </c>
      <c r="C18" s="17">
        <v>3.9692400000000003E-2</v>
      </c>
      <c r="D18" s="16">
        <v>235</v>
      </c>
      <c r="E18" s="17">
        <v>0.11639430000000001</v>
      </c>
      <c r="F18" s="16">
        <v>5936</v>
      </c>
      <c r="G18" s="17">
        <v>4.7634000000000003E-2</v>
      </c>
      <c r="H18" s="15"/>
      <c r="I18" s="15"/>
      <c r="J18" s="15"/>
      <c r="K18" s="15"/>
      <c r="L18" s="16">
        <v>6002</v>
      </c>
      <c r="M18" s="17">
        <v>5.3151299999999999E-2</v>
      </c>
    </row>
    <row r="19" spans="1:13" ht="13">
      <c r="A19" s="12" t="s">
        <v>58</v>
      </c>
      <c r="B19" s="16">
        <v>6093</v>
      </c>
      <c r="C19" s="17">
        <v>6.5718899999999997E-2</v>
      </c>
      <c r="D19" s="15"/>
      <c r="E19" s="15"/>
      <c r="F19" s="16">
        <v>8283</v>
      </c>
      <c r="G19" s="17">
        <v>6.6467700000000005E-2</v>
      </c>
      <c r="H19" s="15"/>
      <c r="I19" s="15"/>
      <c r="J19" s="15"/>
      <c r="K19" s="15"/>
      <c r="L19" s="16">
        <v>8467</v>
      </c>
      <c r="M19" s="17">
        <v>7.49803E-2</v>
      </c>
    </row>
    <row r="20" spans="1:13" ht="13">
      <c r="A20" s="12" t="s">
        <v>59</v>
      </c>
      <c r="B20" s="16">
        <v>5873</v>
      </c>
      <c r="C20" s="17">
        <v>6.3346E-2</v>
      </c>
      <c r="D20" s="15"/>
      <c r="E20" s="15"/>
      <c r="F20" s="16">
        <v>8174</v>
      </c>
      <c r="G20" s="17">
        <v>6.5592999999999999E-2</v>
      </c>
      <c r="H20" s="15"/>
      <c r="I20" s="15"/>
      <c r="J20" s="15"/>
      <c r="K20" s="15"/>
      <c r="L20" s="16">
        <v>8330</v>
      </c>
      <c r="M20" s="17">
        <v>7.3767100000000002E-2</v>
      </c>
    </row>
    <row r="21" spans="1:13" ht="13">
      <c r="A21" s="12" t="s">
        <v>60</v>
      </c>
      <c r="B21" s="16">
        <v>6119</v>
      </c>
      <c r="C21" s="17">
        <v>6.59994E-2</v>
      </c>
      <c r="D21" s="15"/>
      <c r="E21" s="15"/>
      <c r="F21" s="16">
        <v>8241</v>
      </c>
      <c r="G21" s="17">
        <v>6.6130599999999998E-2</v>
      </c>
      <c r="H21" s="16">
        <v>1</v>
      </c>
      <c r="I21" s="17">
        <v>1.5990000000000001E-4</v>
      </c>
      <c r="J21" s="15"/>
      <c r="K21" s="15"/>
      <c r="L21" s="16">
        <v>8476</v>
      </c>
      <c r="M21" s="17">
        <v>7.5060000000000002E-2</v>
      </c>
    </row>
    <row r="22" spans="1:13" ht="13">
      <c r="A22" s="12" t="s">
        <v>61</v>
      </c>
      <c r="B22" s="16">
        <v>5795</v>
      </c>
      <c r="C22" s="17">
        <v>6.2504699999999996E-2</v>
      </c>
      <c r="D22" s="15"/>
      <c r="E22" s="15"/>
      <c r="F22" s="16">
        <v>8637</v>
      </c>
      <c r="G22" s="17">
        <v>6.9308400000000006E-2</v>
      </c>
      <c r="H22" s="15"/>
      <c r="I22" s="15"/>
      <c r="J22" s="15"/>
      <c r="K22" s="15"/>
      <c r="L22" s="16">
        <v>8820</v>
      </c>
      <c r="M22" s="17">
        <v>7.8106300000000004E-2</v>
      </c>
    </row>
    <row r="23" spans="1:13" ht="13">
      <c r="A23" s="12" t="s">
        <v>62</v>
      </c>
      <c r="B23" s="16">
        <v>5199</v>
      </c>
      <c r="C23" s="17">
        <v>5.6076300000000003E-2</v>
      </c>
      <c r="D23" s="15"/>
      <c r="E23" s="15"/>
      <c r="F23" s="16">
        <v>7684</v>
      </c>
      <c r="G23" s="17">
        <v>6.1660899999999998E-2</v>
      </c>
      <c r="H23" s="15"/>
      <c r="I23" s="15"/>
      <c r="J23" s="15"/>
      <c r="K23" s="15"/>
      <c r="L23" s="16">
        <v>7636</v>
      </c>
      <c r="M23" s="17">
        <v>6.7621299999999995E-2</v>
      </c>
    </row>
    <row r="24" spans="1:13" ht="13">
      <c r="A24" s="12" t="s">
        <v>63</v>
      </c>
      <c r="B24" s="16">
        <v>4550</v>
      </c>
      <c r="C24" s="17">
        <v>4.90762E-2</v>
      </c>
      <c r="D24" s="15"/>
      <c r="E24" s="15"/>
      <c r="F24" s="16">
        <v>6627</v>
      </c>
      <c r="G24" s="17">
        <v>5.3178900000000001E-2</v>
      </c>
      <c r="H24" s="15"/>
      <c r="I24" s="15"/>
      <c r="J24" s="15"/>
      <c r="K24" s="15"/>
      <c r="L24" s="16">
        <v>6555</v>
      </c>
      <c r="M24" s="17">
        <v>5.80484E-2</v>
      </c>
    </row>
    <row r="25" spans="1:13" ht="13">
      <c r="A25" s="12" t="s">
        <v>64</v>
      </c>
      <c r="B25" s="16">
        <v>4712</v>
      </c>
      <c r="C25" s="17">
        <v>5.0823500000000001E-2</v>
      </c>
      <c r="D25" s="15"/>
      <c r="E25" s="15"/>
      <c r="F25" s="16">
        <v>6597</v>
      </c>
      <c r="G25" s="17">
        <v>5.2938199999999998E-2</v>
      </c>
      <c r="H25" s="15"/>
      <c r="I25" s="15"/>
      <c r="J25" s="15"/>
      <c r="K25" s="15"/>
      <c r="L25" s="16">
        <v>6760</v>
      </c>
      <c r="M25" s="17">
        <v>5.9863800000000002E-2</v>
      </c>
    </row>
    <row r="26" spans="1:13" ht="13">
      <c r="A26" s="12" t="s">
        <v>65</v>
      </c>
      <c r="B26" s="16">
        <v>4909</v>
      </c>
      <c r="C26" s="17">
        <v>5.2948299999999997E-2</v>
      </c>
      <c r="D26" s="15"/>
      <c r="E26" s="15"/>
      <c r="F26" s="16">
        <v>7576</v>
      </c>
      <c r="G26" s="17">
        <v>6.0794300000000003E-2</v>
      </c>
      <c r="H26" s="15"/>
      <c r="I26" s="15"/>
      <c r="J26" s="15"/>
      <c r="K26" s="15"/>
      <c r="L26" s="16">
        <v>7669</v>
      </c>
      <c r="M26" s="17">
        <v>6.7913500000000002E-2</v>
      </c>
    </row>
    <row r="27" spans="1:13" ht="13">
      <c r="A27" s="12" t="s">
        <v>66</v>
      </c>
      <c r="B27" s="16">
        <v>5864</v>
      </c>
      <c r="C27" s="17">
        <v>6.3249E-2</v>
      </c>
      <c r="D27" s="15"/>
      <c r="E27" s="15"/>
      <c r="F27" s="16">
        <v>7475</v>
      </c>
      <c r="G27" s="17">
        <v>5.9983799999999997E-2</v>
      </c>
      <c r="H27" s="15"/>
      <c r="I27" s="15"/>
      <c r="J27" s="15"/>
      <c r="K27" s="15"/>
      <c r="L27" s="16">
        <v>7452</v>
      </c>
      <c r="M27" s="17">
        <v>6.5991900000000006E-2</v>
      </c>
    </row>
    <row r="28" spans="1:13" ht="13">
      <c r="A28" s="12" t="s">
        <v>67</v>
      </c>
      <c r="B28" s="16">
        <v>6733</v>
      </c>
      <c r="C28" s="17">
        <v>7.2622000000000006E-2</v>
      </c>
      <c r="D28" s="15"/>
      <c r="E28" s="15"/>
      <c r="F28" s="16">
        <v>7834</v>
      </c>
      <c r="G28" s="17">
        <v>6.2864600000000007E-2</v>
      </c>
      <c r="H28" s="15"/>
      <c r="I28" s="15"/>
      <c r="J28" s="15"/>
      <c r="K28" s="15"/>
      <c r="L28" s="16">
        <v>6481</v>
      </c>
      <c r="M28" s="17">
        <v>5.7393100000000002E-2</v>
      </c>
    </row>
    <row r="29" spans="1:13" ht="13">
      <c r="A29" s="12" t="s">
        <v>68</v>
      </c>
      <c r="B29" s="16">
        <v>5943</v>
      </c>
      <c r="C29" s="17">
        <v>6.4101000000000005E-2</v>
      </c>
      <c r="D29" s="15"/>
      <c r="E29" s="15"/>
      <c r="F29" s="16">
        <v>7116</v>
      </c>
      <c r="G29" s="17">
        <v>5.7103000000000001E-2</v>
      </c>
      <c r="H29" s="15"/>
      <c r="I29" s="15"/>
      <c r="J29" s="15"/>
      <c r="K29" s="15"/>
      <c r="L29" s="15"/>
      <c r="M29" s="15"/>
    </row>
    <row r="30" spans="1:13" ht="13">
      <c r="A30" s="12" t="s">
        <v>69</v>
      </c>
      <c r="B30" s="16">
        <v>3784</v>
      </c>
      <c r="C30" s="17">
        <v>4.0814099999999999E-2</v>
      </c>
      <c r="D30" s="15"/>
      <c r="E30" s="15"/>
      <c r="F30" s="16">
        <v>3973</v>
      </c>
      <c r="G30" s="17">
        <v>3.1881699999999999E-2</v>
      </c>
      <c r="H30" s="15"/>
      <c r="I30" s="15"/>
      <c r="J30" s="15"/>
      <c r="K30" s="15"/>
      <c r="L30" s="15"/>
      <c r="M30" s="15"/>
    </row>
    <row r="31" spans="1:13" ht="13">
      <c r="A31" s="12" t="s">
        <v>70</v>
      </c>
      <c r="B31" s="15"/>
      <c r="C31" s="15"/>
      <c r="D31" s="15"/>
      <c r="E31" s="15"/>
      <c r="F31" s="16">
        <v>1</v>
      </c>
      <c r="G31" s="17">
        <v>7.9999999999999996E-6</v>
      </c>
      <c r="H31" s="15"/>
      <c r="I31" s="15"/>
      <c r="J31" s="15"/>
      <c r="K31" s="15"/>
      <c r="L31" s="15"/>
      <c r="M31" s="15"/>
    </row>
    <row r="32" spans="1:13" ht="13">
      <c r="A32" s="18" t="s">
        <v>32</v>
      </c>
      <c r="B32" s="19">
        <v>92713</v>
      </c>
      <c r="C32" s="20">
        <v>1.0000001000000001</v>
      </c>
      <c r="D32" s="19">
        <v>2019</v>
      </c>
      <c r="E32" s="20">
        <v>1.0000001000000001</v>
      </c>
      <c r="F32" s="19">
        <v>124617</v>
      </c>
      <c r="G32" s="20">
        <v>1.0000001000000001</v>
      </c>
      <c r="H32" s="19">
        <v>6252</v>
      </c>
      <c r="I32" s="20">
        <v>1</v>
      </c>
      <c r="J32" s="19">
        <v>2507</v>
      </c>
      <c r="K32" s="20">
        <v>1</v>
      </c>
      <c r="L32" s="19">
        <v>112923</v>
      </c>
      <c r="M32" s="20">
        <v>1.0000001000000001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>
      <selection activeCell="M14" sqref="M14"/>
    </sheetView>
  </sheetViews>
  <sheetFormatPr defaultRowHeight="12.75" customHeight="1"/>
  <cols>
    <col min="1" max="1" width="19.453125" bestFit="1" customWidth="1"/>
    <col min="2" max="2" width="8.1796875" bestFit="1" customWidth="1"/>
    <col min="3" max="3" width="6.453125" bestFit="1" customWidth="1"/>
    <col min="4" max="4" width="8.1796875" bestFit="1" customWidth="1"/>
    <col min="5" max="5" width="6.453125" bestFit="1" customWidth="1"/>
    <col min="6" max="6" width="8.1796875" bestFit="1" customWidth="1"/>
    <col min="7" max="7" width="7.1796875" customWidth="1"/>
    <col min="8" max="8" width="10" bestFit="1" customWidth="1"/>
    <col min="9" max="9" width="12.453125" bestFit="1" customWidth="1"/>
    <col min="10" max="10" width="10.54296875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32"/>
      <c r="B1" s="32"/>
      <c r="C1" s="32"/>
      <c r="D1" s="32"/>
      <c r="E1" s="32"/>
      <c r="F1" s="32"/>
      <c r="G1" s="32"/>
      <c r="H1" s="6" t="s">
        <v>71</v>
      </c>
      <c r="I1" s="6" t="s">
        <v>72</v>
      </c>
      <c r="J1" s="6" t="s">
        <v>73</v>
      </c>
    </row>
    <row r="2" spans="1:13" ht="12.75" customHeight="1">
      <c r="A2" s="32"/>
      <c r="B2" s="32"/>
      <c r="C2" s="32"/>
      <c r="D2" s="32"/>
      <c r="E2" s="32"/>
      <c r="F2" s="32"/>
      <c r="G2" s="32"/>
    </row>
    <row r="3" spans="1:13" ht="12.75" customHeight="1">
      <c r="A3" s="32"/>
      <c r="B3" s="32"/>
      <c r="C3" s="32"/>
      <c r="D3" s="32"/>
      <c r="E3" s="32"/>
      <c r="F3" s="32"/>
      <c r="G3" s="32"/>
    </row>
    <row r="4" spans="1:13" ht="12.75" customHeight="1">
      <c r="A4" s="32"/>
      <c r="B4" s="32"/>
      <c r="C4" s="32"/>
      <c r="D4" s="32"/>
      <c r="E4" s="32"/>
      <c r="F4" s="32"/>
      <c r="G4" s="32"/>
    </row>
    <row r="5" spans="1:13" ht="12.75" customHeight="1">
      <c r="A5" s="32"/>
      <c r="B5" s="32"/>
      <c r="C5" s="32"/>
      <c r="D5" s="32"/>
      <c r="E5" s="32"/>
      <c r="F5" s="32"/>
      <c r="G5" s="32"/>
    </row>
    <row r="6" spans="1:13" ht="12.75" customHeight="1">
      <c r="A6" s="32"/>
      <c r="B6" s="32"/>
      <c r="C6" s="32"/>
      <c r="D6" s="32"/>
      <c r="E6" s="32"/>
      <c r="F6" s="32"/>
      <c r="G6" s="32"/>
    </row>
    <row r="7" spans="1:13" ht="12.75" customHeight="1">
      <c r="A7" s="32"/>
      <c r="B7" s="32"/>
      <c r="C7" s="32"/>
      <c r="D7" s="32"/>
      <c r="E7" s="32"/>
      <c r="F7" s="32"/>
      <c r="G7" s="32"/>
    </row>
    <row r="8" spans="1:13" ht="12.75" customHeight="1">
      <c r="A8" s="32"/>
      <c r="B8" s="32"/>
      <c r="C8" s="32"/>
      <c r="D8" s="32"/>
      <c r="E8" s="32"/>
      <c r="F8" s="32"/>
      <c r="G8" s="32"/>
    </row>
    <row r="9" spans="1:13" ht="12.75" customHeight="1">
      <c r="A9" s="32"/>
      <c r="B9" s="32"/>
      <c r="C9" s="32"/>
      <c r="D9" s="32"/>
      <c r="E9" s="32"/>
      <c r="F9" s="32"/>
      <c r="G9" s="32"/>
    </row>
    <row r="10" spans="1:13" ht="12.75" customHeight="1">
      <c r="A10" s="32"/>
      <c r="B10" s="32"/>
      <c r="C10" s="32"/>
      <c r="D10" s="32"/>
      <c r="E10" s="32"/>
      <c r="F10" s="32"/>
      <c r="G10" s="32"/>
    </row>
    <row r="11" spans="1:13" ht="12.5">
      <c r="A11" s="40" t="s">
        <v>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ht="18.75" customHeight="1">
      <c r="A12" s="71" t="s">
        <v>74</v>
      </c>
      <c r="B12" s="41" t="s">
        <v>26</v>
      </c>
      <c r="C12" s="42"/>
      <c r="D12" s="41" t="s">
        <v>27</v>
      </c>
      <c r="E12" s="42"/>
      <c r="F12" s="43" t="s">
        <v>75</v>
      </c>
      <c r="G12" s="42"/>
      <c r="H12" s="41" t="s">
        <v>29</v>
      </c>
      <c r="I12" s="42"/>
      <c r="J12" s="41" t="s">
        <v>30</v>
      </c>
      <c r="K12" s="42"/>
      <c r="L12" s="43" t="s">
        <v>76</v>
      </c>
      <c r="M12" s="42"/>
    </row>
    <row r="13" spans="1:13" ht="12.5">
      <c r="A13" s="32"/>
      <c r="B13" s="13" t="s">
        <v>77</v>
      </c>
      <c r="C13" s="13" t="s">
        <v>52</v>
      </c>
      <c r="D13" s="13" t="s">
        <v>77</v>
      </c>
      <c r="E13" s="13" t="s">
        <v>52</v>
      </c>
      <c r="F13" s="13" t="s">
        <v>77</v>
      </c>
      <c r="G13" s="13" t="s">
        <v>52</v>
      </c>
      <c r="H13" s="13" t="s">
        <v>77</v>
      </c>
      <c r="I13" s="13" t="s">
        <v>52</v>
      </c>
      <c r="J13" s="13" t="s">
        <v>77</v>
      </c>
      <c r="K13" s="13" t="s">
        <v>52</v>
      </c>
      <c r="L13" s="13" t="s">
        <v>77</v>
      </c>
      <c r="M13" s="13" t="s">
        <v>52</v>
      </c>
    </row>
    <row r="14" spans="1:13" ht="13">
      <c r="A14" s="11" t="s">
        <v>15</v>
      </c>
      <c r="B14" s="16">
        <v>271</v>
      </c>
      <c r="C14" s="17">
        <v>0.29617490000000002</v>
      </c>
      <c r="D14" s="16">
        <v>14</v>
      </c>
      <c r="E14" s="17">
        <v>8.5889599999999997E-2</v>
      </c>
      <c r="F14" s="30">
        <v>972</v>
      </c>
      <c r="G14" s="31">
        <v>0.33621584226911105</v>
      </c>
      <c r="H14" s="16">
        <v>836</v>
      </c>
      <c r="I14" s="17">
        <v>0.15353539999999999</v>
      </c>
      <c r="J14" s="16">
        <v>4552</v>
      </c>
      <c r="K14" s="17">
        <v>0.13581979999999999</v>
      </c>
      <c r="L14" s="30">
        <v>581</v>
      </c>
      <c r="M14" s="31">
        <v>0.13889552952426487</v>
      </c>
    </row>
    <row r="15" spans="1:13" ht="13">
      <c r="A15" s="12" t="s">
        <v>16</v>
      </c>
      <c r="B15" s="16">
        <v>19</v>
      </c>
      <c r="C15" s="17">
        <v>2.0764999999999999E-2</v>
      </c>
      <c r="D15" s="16">
        <v>6</v>
      </c>
      <c r="E15" s="17">
        <v>3.6809799999999997E-2</v>
      </c>
      <c r="F15" s="30">
        <v>88</v>
      </c>
      <c r="G15" s="31">
        <v>3.0439294361812523E-2</v>
      </c>
      <c r="H15" s="16">
        <v>56</v>
      </c>
      <c r="I15" s="17">
        <v>1.0284700000000001E-2</v>
      </c>
      <c r="J15" s="16">
        <v>1346</v>
      </c>
      <c r="K15" s="17">
        <v>4.0161099999999998E-2</v>
      </c>
      <c r="L15" s="30">
        <v>107</v>
      </c>
      <c r="M15" s="31">
        <v>2.5579727468324168E-2</v>
      </c>
    </row>
    <row r="16" spans="1:13" ht="13">
      <c r="A16" s="12" t="s">
        <v>17</v>
      </c>
      <c r="B16" s="16">
        <v>164</v>
      </c>
      <c r="C16" s="17">
        <v>0.17923500000000001</v>
      </c>
      <c r="D16" s="16">
        <v>41</v>
      </c>
      <c r="E16" s="17">
        <v>0.25153370000000003</v>
      </c>
      <c r="F16" s="30">
        <v>1004</v>
      </c>
      <c r="G16" s="31">
        <v>0.3472846765824974</v>
      </c>
      <c r="H16" s="16">
        <v>656</v>
      </c>
      <c r="I16" s="17">
        <v>0.1204775</v>
      </c>
      <c r="J16" s="16">
        <v>2310</v>
      </c>
      <c r="K16" s="17">
        <v>6.8924399999999997E-2</v>
      </c>
      <c r="L16" s="30">
        <v>1349</v>
      </c>
      <c r="M16" s="31">
        <v>0.32249581639971314</v>
      </c>
    </row>
    <row r="17" spans="1:13" ht="13">
      <c r="A17" s="12" t="s">
        <v>18</v>
      </c>
      <c r="B17" s="16">
        <v>58</v>
      </c>
      <c r="C17" s="17">
        <v>6.3388E-2</v>
      </c>
      <c r="D17" s="16">
        <v>4</v>
      </c>
      <c r="E17" s="17">
        <v>2.45399E-2</v>
      </c>
      <c r="F17" s="30">
        <v>144</v>
      </c>
      <c r="G17" s="31">
        <v>4.9809754410238674E-2</v>
      </c>
      <c r="H17" s="16">
        <v>1034</v>
      </c>
      <c r="I17" s="17">
        <v>0.18989900000000001</v>
      </c>
      <c r="J17" s="16">
        <v>4898</v>
      </c>
      <c r="K17" s="17">
        <v>0.14614350000000001</v>
      </c>
      <c r="L17" s="30">
        <v>256</v>
      </c>
      <c r="M17" s="31">
        <v>6.1200095625149414E-2</v>
      </c>
    </row>
    <row r="18" spans="1:13" ht="13">
      <c r="A18" s="12" t="s">
        <v>19</v>
      </c>
      <c r="B18" s="16">
        <v>288</v>
      </c>
      <c r="C18" s="17">
        <v>0.31475409999999998</v>
      </c>
      <c r="D18" s="16">
        <v>64</v>
      </c>
      <c r="E18" s="17">
        <v>0.39263799999999999</v>
      </c>
      <c r="F18" s="30">
        <v>63</v>
      </c>
      <c r="G18" s="31">
        <v>2.1791767554479417E-2</v>
      </c>
      <c r="H18" s="16">
        <v>2027</v>
      </c>
      <c r="I18" s="17">
        <v>0.37226809999999999</v>
      </c>
      <c r="J18" s="16">
        <v>13546</v>
      </c>
      <c r="K18" s="17">
        <v>0.40417720000000001</v>
      </c>
      <c r="L18" s="30">
        <v>851</v>
      </c>
      <c r="M18" s="31">
        <v>0.20344250537891465</v>
      </c>
    </row>
    <row r="19" spans="1:13" ht="13">
      <c r="A19" s="12" t="s">
        <v>20</v>
      </c>
      <c r="B19" s="21" t="s">
        <v>38</v>
      </c>
      <c r="C19" s="30"/>
      <c r="D19" s="21" t="s">
        <v>38</v>
      </c>
      <c r="E19" s="30"/>
      <c r="F19" s="30">
        <v>483</v>
      </c>
      <c r="G19" s="31">
        <v>0.16707021791767554</v>
      </c>
      <c r="H19" s="16">
        <v>32</v>
      </c>
      <c r="I19" s="17">
        <v>5.8770000000000003E-3</v>
      </c>
      <c r="J19" s="16">
        <v>239</v>
      </c>
      <c r="K19" s="17">
        <v>7.1310999999999996E-3</v>
      </c>
      <c r="L19" s="30">
        <v>851</v>
      </c>
      <c r="M19" s="31">
        <v>0.20344250537891465</v>
      </c>
    </row>
    <row r="20" spans="1:13" ht="13">
      <c r="A20" s="12" t="s">
        <v>21</v>
      </c>
      <c r="B20" s="16">
        <v>86</v>
      </c>
      <c r="C20" s="17">
        <v>9.3989100000000006E-2</v>
      </c>
      <c r="D20" s="16">
        <v>33</v>
      </c>
      <c r="E20" s="17">
        <v>0.202454</v>
      </c>
      <c r="F20" s="30">
        <v>2</v>
      </c>
      <c r="G20" s="31">
        <v>6.9180214458664825E-4</v>
      </c>
      <c r="H20" s="16">
        <v>785</v>
      </c>
      <c r="I20" s="17">
        <v>0.14416899999999999</v>
      </c>
      <c r="J20" s="16">
        <v>5941</v>
      </c>
      <c r="K20" s="17">
        <v>0.1772639</v>
      </c>
      <c r="L20" s="30">
        <v>0</v>
      </c>
      <c r="M20" s="31">
        <v>0</v>
      </c>
    </row>
    <row r="21" spans="1:13" ht="13">
      <c r="A21" s="12" t="s">
        <v>22</v>
      </c>
      <c r="B21" s="16">
        <v>28</v>
      </c>
      <c r="C21" s="17">
        <v>3.0601099999999999E-2</v>
      </c>
      <c r="D21" s="16">
        <v>1</v>
      </c>
      <c r="E21" s="17">
        <v>6.1349999999999998E-3</v>
      </c>
      <c r="F21" s="30">
        <v>0</v>
      </c>
      <c r="G21" s="31">
        <v>0</v>
      </c>
      <c r="H21" s="16">
        <v>8</v>
      </c>
      <c r="I21" s="17">
        <v>1.4691999999999999E-3</v>
      </c>
      <c r="J21" s="16">
        <v>672</v>
      </c>
      <c r="K21" s="17">
        <v>2.0050700000000001E-2</v>
      </c>
      <c r="L21" s="30">
        <v>0</v>
      </c>
      <c r="M21" s="31">
        <v>0</v>
      </c>
    </row>
    <row r="22" spans="1:13" ht="13">
      <c r="A22" s="12" t="s">
        <v>23</v>
      </c>
      <c r="B22" s="16">
        <v>1</v>
      </c>
      <c r="C22" s="17">
        <v>1.0928999999999999E-3</v>
      </c>
      <c r="D22" s="21" t="s">
        <v>38</v>
      </c>
      <c r="E22" s="30"/>
      <c r="F22" s="30">
        <v>135</v>
      </c>
      <c r="G22" s="31">
        <v>4.6696644759598754E-2</v>
      </c>
      <c r="H22" s="16">
        <v>11</v>
      </c>
      <c r="I22" s="17">
        <v>2.0202000000000002E-3</v>
      </c>
      <c r="J22" s="16">
        <v>11</v>
      </c>
      <c r="K22" s="17">
        <v>3.2820000000000001E-4</v>
      </c>
      <c r="L22" s="30">
        <v>188</v>
      </c>
      <c r="M22" s="31">
        <v>4.4943820224719093E-2</v>
      </c>
    </row>
    <row r="23" spans="1:13" ht="13">
      <c r="A23" s="18" t="s">
        <v>32</v>
      </c>
      <c r="B23" s="19">
        <v>915</v>
      </c>
      <c r="C23" s="20">
        <v>1</v>
      </c>
      <c r="D23" s="19">
        <v>163</v>
      </c>
      <c r="E23" s="20">
        <v>1</v>
      </c>
      <c r="F23" s="19">
        <v>2891</v>
      </c>
      <c r="G23" s="20">
        <v>1</v>
      </c>
      <c r="H23" s="19">
        <v>5445</v>
      </c>
      <c r="I23" s="20">
        <v>1</v>
      </c>
      <c r="J23" s="19">
        <v>33515</v>
      </c>
      <c r="K23" s="20">
        <v>1</v>
      </c>
      <c r="L23" s="19">
        <v>4183</v>
      </c>
      <c r="M23" s="20">
        <v>1</v>
      </c>
    </row>
    <row r="24" spans="1:13" ht="12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spans="1:13" ht="13">
      <c r="A25" s="72" t="s">
        <v>78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pans="1:13" ht="13">
      <c r="A26" s="73" t="s">
        <v>164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2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A26" zoomScaleNormal="100" workbookViewId="0">
      <selection activeCell="V12" sqref="V12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7" width="12.453125" bestFit="1" customWidth="1"/>
    <col min="8" max="8" width="7.453125" bestFit="1" customWidth="1"/>
    <col min="9" max="9" width="12.453125" bestFit="1" customWidth="1"/>
    <col min="10" max="10" width="9" customWidth="1"/>
    <col min="11" max="11" width="10" bestFit="1" customWidth="1"/>
    <col min="12" max="12" width="7.453125" bestFit="1" customWidth="1"/>
    <col min="13" max="13" width="10" bestFit="1" customWidth="1"/>
    <col min="14" max="14" width="7.453125" bestFit="1" customWidth="1"/>
    <col min="15" max="15" width="10" bestFit="1" customWidth="1"/>
    <col min="16" max="16" width="7.453125" bestFit="1" customWidth="1"/>
    <col min="17" max="17" width="10" bestFit="1" customWidth="1"/>
    <col min="18" max="18" width="7.453125" customWidth="1"/>
  </cols>
  <sheetData>
    <row r="1" spans="1:18" ht="23.25" customHeight="1">
      <c r="A1" s="32"/>
      <c r="B1" s="32"/>
      <c r="C1" s="32"/>
      <c r="D1" s="32"/>
      <c r="E1" s="32"/>
      <c r="F1" s="32"/>
      <c r="G1" s="32"/>
      <c r="H1" s="6" t="s">
        <v>71</v>
      </c>
      <c r="I1" s="6" t="s">
        <v>72</v>
      </c>
      <c r="J1" s="6" t="s">
        <v>79</v>
      </c>
    </row>
    <row r="2" spans="1:18" ht="12.75" customHeight="1">
      <c r="A2" s="32"/>
      <c r="B2" s="32"/>
      <c r="C2" s="32"/>
      <c r="D2" s="32"/>
      <c r="E2" s="32"/>
      <c r="F2" s="32"/>
      <c r="G2" s="32"/>
    </row>
    <row r="3" spans="1:18" ht="12.75" customHeight="1">
      <c r="A3" s="32"/>
      <c r="B3" s="32"/>
      <c r="C3" s="32"/>
      <c r="D3" s="32"/>
      <c r="E3" s="32"/>
      <c r="F3" s="32"/>
      <c r="G3" s="32"/>
    </row>
    <row r="4" spans="1:18" ht="12.75" customHeight="1">
      <c r="A4" s="32"/>
      <c r="B4" s="32"/>
      <c r="C4" s="32"/>
      <c r="D4" s="32"/>
      <c r="E4" s="32"/>
      <c r="F4" s="32"/>
      <c r="G4" s="32"/>
    </row>
    <row r="5" spans="1:18" ht="12.75" customHeight="1">
      <c r="A5" s="32"/>
      <c r="B5" s="32"/>
      <c r="C5" s="32"/>
      <c r="D5" s="32"/>
      <c r="E5" s="32"/>
      <c r="F5" s="32"/>
      <c r="G5" s="32"/>
    </row>
    <row r="6" spans="1:18" ht="12.75" customHeight="1">
      <c r="A6" s="32"/>
      <c r="B6" s="32"/>
      <c r="C6" s="32"/>
      <c r="D6" s="32"/>
      <c r="E6" s="32"/>
      <c r="F6" s="32"/>
      <c r="G6" s="32"/>
    </row>
    <row r="7" spans="1:18" ht="12.75" customHeight="1">
      <c r="A7" s="32"/>
      <c r="B7" s="32"/>
      <c r="C7" s="32"/>
      <c r="D7" s="32"/>
      <c r="E7" s="32"/>
      <c r="F7" s="32"/>
      <c r="G7" s="32"/>
    </row>
    <row r="8" spans="1:18" ht="12.75" customHeight="1">
      <c r="A8" s="32"/>
      <c r="B8" s="32"/>
      <c r="C8" s="32"/>
      <c r="D8" s="32"/>
      <c r="E8" s="32"/>
      <c r="F8" s="32"/>
      <c r="G8" s="32"/>
    </row>
    <row r="9" spans="1:18" ht="12.75" customHeight="1">
      <c r="A9" s="32"/>
      <c r="B9" s="32"/>
      <c r="C9" s="32"/>
      <c r="D9" s="32"/>
      <c r="E9" s="32"/>
      <c r="F9" s="32"/>
      <c r="G9" s="32"/>
    </row>
    <row r="10" spans="1:18" ht="12.75" customHeight="1">
      <c r="A10" s="32"/>
      <c r="B10" s="32"/>
      <c r="C10" s="32"/>
      <c r="D10" s="32"/>
      <c r="E10" s="32"/>
      <c r="F10" s="32"/>
      <c r="G10" s="32"/>
    </row>
    <row r="11" spans="1:18" ht="12.5">
      <c r="A11" s="40" t="s">
        <v>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8" ht="18.75" customHeight="1" thickBot="1">
      <c r="A12" s="71" t="s">
        <v>80</v>
      </c>
      <c r="B12" s="32"/>
      <c r="C12" s="32"/>
      <c r="D12" s="32"/>
      <c r="E12" s="32"/>
      <c r="F12" s="32"/>
      <c r="G12" s="41" t="s">
        <v>26</v>
      </c>
      <c r="H12" s="42"/>
      <c r="I12" s="41" t="s">
        <v>27</v>
      </c>
      <c r="J12" s="42"/>
      <c r="K12" s="43" t="s">
        <v>81</v>
      </c>
      <c r="L12" s="42"/>
      <c r="M12" s="41" t="s">
        <v>29</v>
      </c>
      <c r="N12" s="42"/>
      <c r="O12" s="41" t="s">
        <v>30</v>
      </c>
      <c r="P12" s="42"/>
      <c r="Q12" s="43" t="s">
        <v>82</v>
      </c>
      <c r="R12" s="42"/>
    </row>
    <row r="13" spans="1:18" ht="13" thickBot="1">
      <c r="A13" s="32"/>
      <c r="B13" s="32"/>
      <c r="C13" s="32"/>
      <c r="D13" s="32"/>
      <c r="E13" s="32"/>
      <c r="F13" s="32"/>
      <c r="G13" s="13" t="s">
        <v>77</v>
      </c>
      <c r="H13" s="13" t="s">
        <v>52</v>
      </c>
      <c r="I13" s="13" t="s">
        <v>77</v>
      </c>
      <c r="J13" s="13" t="s">
        <v>52</v>
      </c>
      <c r="K13" s="13" t="s">
        <v>77</v>
      </c>
      <c r="L13" s="13" t="s">
        <v>52</v>
      </c>
      <c r="M13" s="13" t="s">
        <v>77</v>
      </c>
      <c r="N13" s="13" t="s">
        <v>52</v>
      </c>
      <c r="O13" s="13" t="s">
        <v>77</v>
      </c>
      <c r="P13" s="13" t="s">
        <v>52</v>
      </c>
      <c r="Q13" s="13" t="s">
        <v>77</v>
      </c>
      <c r="R13" s="13" t="s">
        <v>52</v>
      </c>
    </row>
    <row r="14" spans="1:18" ht="13" thickBot="1">
      <c r="A14" s="22" t="s">
        <v>15</v>
      </c>
      <c r="B14" s="14"/>
      <c r="C14" s="74" t="s">
        <v>83</v>
      </c>
      <c r="D14" s="75"/>
      <c r="E14" s="75"/>
      <c r="F14" s="42"/>
      <c r="G14" s="23">
        <v>271</v>
      </c>
      <c r="H14" s="24">
        <v>0.29617490000000002</v>
      </c>
      <c r="I14" s="23">
        <v>14</v>
      </c>
      <c r="J14" s="24">
        <v>8.5889599999999997E-2</v>
      </c>
      <c r="K14" s="23">
        <v>972</v>
      </c>
      <c r="L14" s="24">
        <v>0.33621584226911105</v>
      </c>
      <c r="M14" s="23">
        <v>836</v>
      </c>
      <c r="N14" s="24">
        <v>0.15353539999999999</v>
      </c>
      <c r="O14" s="23">
        <v>4552</v>
      </c>
      <c r="P14" s="28">
        <v>0.13581979999999999</v>
      </c>
      <c r="Q14" s="23">
        <v>581</v>
      </c>
      <c r="R14" s="24">
        <v>0.13889552952426487</v>
      </c>
    </row>
    <row r="15" spans="1:18" ht="13" thickBot="1">
      <c r="A15" s="25" t="s">
        <v>16</v>
      </c>
      <c r="B15" s="26" t="s">
        <v>84</v>
      </c>
      <c r="C15" s="76" t="s">
        <v>85</v>
      </c>
      <c r="D15" s="50"/>
      <c r="E15" s="50"/>
      <c r="F15" s="51"/>
      <c r="G15" s="23">
        <v>19</v>
      </c>
      <c r="H15" s="24">
        <v>2.0764999999999999E-2</v>
      </c>
      <c r="I15" s="23">
        <v>6</v>
      </c>
      <c r="J15" s="24">
        <v>3.6809799999999997E-2</v>
      </c>
      <c r="K15" s="23">
        <v>88</v>
      </c>
      <c r="L15" s="24">
        <v>3.0439294361812523E-2</v>
      </c>
      <c r="M15" s="23">
        <v>56</v>
      </c>
      <c r="N15" s="24">
        <v>1.0284700000000001E-2</v>
      </c>
      <c r="O15" s="23">
        <v>1346</v>
      </c>
      <c r="P15" s="28">
        <v>4.0161099999999998E-2</v>
      </c>
      <c r="Q15" s="23">
        <v>107</v>
      </c>
      <c r="R15" s="24">
        <v>2.5579727468324168E-2</v>
      </c>
    </row>
    <row r="16" spans="1:18" ht="13" thickBot="1">
      <c r="A16" s="77" t="s">
        <v>17</v>
      </c>
      <c r="B16" s="26" t="s">
        <v>86</v>
      </c>
      <c r="C16" s="76" t="s">
        <v>87</v>
      </c>
      <c r="D16" s="50"/>
      <c r="E16" s="50"/>
      <c r="F16" s="51"/>
      <c r="G16" s="27" t="s">
        <v>38</v>
      </c>
      <c r="H16" s="15"/>
      <c r="I16" s="23">
        <v>1</v>
      </c>
      <c r="J16" s="24">
        <v>6.1349999999999998E-3</v>
      </c>
      <c r="K16" s="23">
        <v>262</v>
      </c>
      <c r="L16" s="24">
        <v>9.0626080940850923E-2</v>
      </c>
      <c r="M16" s="23">
        <v>4</v>
      </c>
      <c r="N16" s="24">
        <v>7.3459999999999997E-4</v>
      </c>
      <c r="O16" s="23">
        <v>1</v>
      </c>
      <c r="P16" s="28">
        <v>2.9799999999999999E-5</v>
      </c>
      <c r="Q16" s="23">
        <v>180</v>
      </c>
      <c r="R16" s="24">
        <v>4.3031317236433185E-2</v>
      </c>
    </row>
    <row r="17" spans="1:18" ht="13" thickBot="1">
      <c r="A17" s="78"/>
      <c r="B17" s="26" t="s">
        <v>88</v>
      </c>
      <c r="C17" s="76" t="s">
        <v>89</v>
      </c>
      <c r="D17" s="50"/>
      <c r="E17" s="50"/>
      <c r="F17" s="51"/>
      <c r="G17" s="23">
        <v>51</v>
      </c>
      <c r="H17" s="24">
        <v>5.5737700000000001E-2</v>
      </c>
      <c r="I17" s="23">
        <v>1</v>
      </c>
      <c r="J17" s="24">
        <v>6.1349999999999998E-3</v>
      </c>
      <c r="K17" s="23">
        <v>0</v>
      </c>
      <c r="L17" s="24"/>
      <c r="M17" s="23">
        <v>16</v>
      </c>
      <c r="N17" s="24">
        <v>2.9385000000000001E-3</v>
      </c>
      <c r="O17" s="23">
        <v>30</v>
      </c>
      <c r="P17" s="28">
        <v>8.9510000000000002E-4</v>
      </c>
      <c r="Q17" s="23">
        <v>104</v>
      </c>
      <c r="R17" s="24">
        <v>2.4862538847716949E-2</v>
      </c>
    </row>
    <row r="18" spans="1:18" ht="13" thickBot="1">
      <c r="A18" s="78"/>
      <c r="B18" s="26" t="s">
        <v>90</v>
      </c>
      <c r="C18" s="76" t="s">
        <v>91</v>
      </c>
      <c r="D18" s="50"/>
      <c r="E18" s="50"/>
      <c r="F18" s="51"/>
      <c r="G18" s="23">
        <v>1</v>
      </c>
      <c r="H18" s="24">
        <v>1.0928999999999999E-3</v>
      </c>
      <c r="I18" s="27" t="s">
        <v>38</v>
      </c>
      <c r="J18" s="15"/>
      <c r="K18" s="23">
        <v>29</v>
      </c>
      <c r="L18" s="24">
        <v>1.0031131096506399E-2</v>
      </c>
      <c r="M18" s="23">
        <v>2</v>
      </c>
      <c r="N18" s="24">
        <v>3.6729999999999998E-4</v>
      </c>
      <c r="O18" s="23">
        <v>986</v>
      </c>
      <c r="P18" s="28">
        <v>2.94197E-2</v>
      </c>
      <c r="Q18" s="23">
        <v>162</v>
      </c>
      <c r="R18" s="24">
        <v>3.8728185512789864E-2</v>
      </c>
    </row>
    <row r="19" spans="1:18" ht="13" thickBot="1">
      <c r="A19" s="78"/>
      <c r="B19" s="26" t="s">
        <v>92</v>
      </c>
      <c r="C19" s="76" t="s">
        <v>93</v>
      </c>
      <c r="D19" s="50"/>
      <c r="E19" s="50"/>
      <c r="F19" s="51"/>
      <c r="G19" s="23">
        <v>10</v>
      </c>
      <c r="H19" s="24">
        <v>1.0928999999999999E-2</v>
      </c>
      <c r="I19" s="23">
        <v>1</v>
      </c>
      <c r="J19" s="24">
        <v>6.1349999999999998E-3</v>
      </c>
      <c r="K19" s="23">
        <v>3</v>
      </c>
      <c r="L19" s="24">
        <v>1.0377032168799724E-3</v>
      </c>
      <c r="M19" s="27" t="s">
        <v>38</v>
      </c>
      <c r="N19" s="15"/>
      <c r="O19" s="27" t="s">
        <v>38</v>
      </c>
      <c r="P19" s="29"/>
      <c r="Q19" s="23">
        <v>36</v>
      </c>
      <c r="R19" s="24">
        <v>8.606263447286636E-3</v>
      </c>
    </row>
    <row r="20" spans="1:18" ht="13" thickBot="1">
      <c r="A20" s="78"/>
      <c r="B20" s="26" t="s">
        <v>94</v>
      </c>
      <c r="C20" s="76" t="s">
        <v>95</v>
      </c>
      <c r="D20" s="50"/>
      <c r="E20" s="50"/>
      <c r="F20" s="51"/>
      <c r="G20" s="23">
        <v>2</v>
      </c>
      <c r="H20" s="24">
        <v>2.1857999999999999E-3</v>
      </c>
      <c r="I20" s="27" t="s">
        <v>38</v>
      </c>
      <c r="J20" s="15"/>
      <c r="K20" s="23">
        <v>3</v>
      </c>
      <c r="L20" s="24">
        <v>1.0377032168799724E-3</v>
      </c>
      <c r="M20" s="23">
        <v>1</v>
      </c>
      <c r="N20" s="24">
        <v>1.8369999999999999E-4</v>
      </c>
      <c r="O20" s="27" t="s">
        <v>38</v>
      </c>
      <c r="P20" s="29"/>
      <c r="Q20" s="23">
        <v>11</v>
      </c>
      <c r="R20" s="24">
        <v>2.629691608893139E-3</v>
      </c>
    </row>
    <row r="21" spans="1:18" ht="13" thickBot="1">
      <c r="A21" s="78"/>
      <c r="B21" s="26" t="s">
        <v>96</v>
      </c>
      <c r="C21" s="76" t="s">
        <v>97</v>
      </c>
      <c r="D21" s="50"/>
      <c r="E21" s="50"/>
      <c r="F21" s="51"/>
      <c r="G21" s="23">
        <v>21</v>
      </c>
      <c r="H21" s="24">
        <v>2.29508E-2</v>
      </c>
      <c r="I21" s="23">
        <v>2</v>
      </c>
      <c r="J21" s="24">
        <v>1.22699E-2</v>
      </c>
      <c r="K21" s="23">
        <v>85</v>
      </c>
      <c r="L21" s="24">
        <v>2.940159114493255E-2</v>
      </c>
      <c r="M21" s="27" t="s">
        <v>38</v>
      </c>
      <c r="N21" s="15"/>
      <c r="O21" s="27" t="s">
        <v>38</v>
      </c>
      <c r="P21" s="29"/>
      <c r="Q21" s="23">
        <v>178</v>
      </c>
      <c r="R21" s="24">
        <v>4.2553191489361701E-2</v>
      </c>
    </row>
    <row r="22" spans="1:18" ht="13" thickBot="1">
      <c r="A22" s="78"/>
      <c r="B22" s="26" t="s">
        <v>98</v>
      </c>
      <c r="C22" s="76" t="s">
        <v>99</v>
      </c>
      <c r="D22" s="50"/>
      <c r="E22" s="50"/>
      <c r="F22" s="51"/>
      <c r="G22" s="23">
        <v>1</v>
      </c>
      <c r="H22" s="24">
        <v>1.0928999999999999E-3</v>
      </c>
      <c r="I22" s="27" t="s">
        <v>38</v>
      </c>
      <c r="J22" s="15"/>
      <c r="K22" s="23">
        <v>0</v>
      </c>
      <c r="L22" s="24"/>
      <c r="M22" s="23">
        <v>16</v>
      </c>
      <c r="N22" s="24">
        <v>2.9385000000000001E-3</v>
      </c>
      <c r="O22" s="23">
        <v>42</v>
      </c>
      <c r="P22" s="28">
        <v>1.2532000000000001E-3</v>
      </c>
      <c r="Q22" s="23">
        <v>0</v>
      </c>
      <c r="R22" s="24"/>
    </row>
    <row r="23" spans="1:18" ht="13" thickBot="1">
      <c r="A23" s="78"/>
      <c r="B23" s="26" t="s">
        <v>100</v>
      </c>
      <c r="C23" s="76" t="s">
        <v>101</v>
      </c>
      <c r="D23" s="50"/>
      <c r="E23" s="50"/>
      <c r="F23" s="51"/>
      <c r="G23" s="23">
        <v>66</v>
      </c>
      <c r="H23" s="24">
        <v>7.2131100000000004E-2</v>
      </c>
      <c r="I23" s="23">
        <v>36</v>
      </c>
      <c r="J23" s="24">
        <v>0.2208589</v>
      </c>
      <c r="K23" s="23">
        <v>593</v>
      </c>
      <c r="L23" s="24">
        <v>0.20511933586994119</v>
      </c>
      <c r="M23" s="23">
        <v>616</v>
      </c>
      <c r="N23" s="24">
        <v>0.1131313</v>
      </c>
      <c r="O23" s="23">
        <v>1247</v>
      </c>
      <c r="P23" s="28">
        <v>3.7207200000000003E-2</v>
      </c>
      <c r="Q23" s="23">
        <v>678</v>
      </c>
      <c r="R23" s="24">
        <v>0.16208462825723166</v>
      </c>
    </row>
    <row r="24" spans="1:18" ht="13" thickBot="1">
      <c r="A24" s="79"/>
      <c r="B24" s="26" t="s">
        <v>102</v>
      </c>
      <c r="C24" s="76" t="s">
        <v>103</v>
      </c>
      <c r="D24" s="50"/>
      <c r="E24" s="50"/>
      <c r="F24" s="51"/>
      <c r="G24" s="23">
        <v>12</v>
      </c>
      <c r="H24" s="24">
        <v>1.3114799999999999E-2</v>
      </c>
      <c r="I24" s="27" t="s">
        <v>38</v>
      </c>
      <c r="J24" s="15"/>
      <c r="K24" s="23">
        <v>29</v>
      </c>
      <c r="L24" s="24">
        <v>1.0031131096506399E-2</v>
      </c>
      <c r="M24" s="23">
        <v>1</v>
      </c>
      <c r="N24" s="24">
        <v>1.8369999999999999E-4</v>
      </c>
      <c r="O24" s="23">
        <v>4</v>
      </c>
      <c r="P24" s="28">
        <v>1.193E-4</v>
      </c>
      <c r="Q24" s="23">
        <v>0</v>
      </c>
      <c r="R24" s="24"/>
    </row>
    <row r="25" spans="1:18" ht="13" thickBot="1">
      <c r="A25" s="77" t="s">
        <v>18</v>
      </c>
      <c r="B25" s="26" t="s">
        <v>104</v>
      </c>
      <c r="C25" s="76" t="s">
        <v>105</v>
      </c>
      <c r="D25" s="50"/>
      <c r="E25" s="50"/>
      <c r="F25" s="51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19</v>
      </c>
      <c r="P25" s="28">
        <v>5.6689999999999996E-4</v>
      </c>
      <c r="Q25" s="23">
        <v>0</v>
      </c>
      <c r="R25" s="24"/>
    </row>
    <row r="26" spans="1:18" ht="13" thickBot="1">
      <c r="A26" s="78"/>
      <c r="B26" s="26" t="s">
        <v>106</v>
      </c>
      <c r="C26" s="76" t="s">
        <v>107</v>
      </c>
      <c r="D26" s="50"/>
      <c r="E26" s="50"/>
      <c r="F26" s="51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569</v>
      </c>
      <c r="N26" s="24">
        <v>0.1044995</v>
      </c>
      <c r="O26" s="23">
        <v>1075</v>
      </c>
      <c r="P26" s="28">
        <v>3.2075199999999998E-2</v>
      </c>
      <c r="Q26" s="23">
        <v>0</v>
      </c>
      <c r="R26" s="24"/>
    </row>
    <row r="27" spans="1:18" ht="13" thickBot="1">
      <c r="A27" s="78"/>
      <c r="B27" s="26" t="s">
        <v>108</v>
      </c>
      <c r="C27" s="76" t="s">
        <v>109</v>
      </c>
      <c r="D27" s="50"/>
      <c r="E27" s="50"/>
      <c r="F27" s="51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28</v>
      </c>
      <c r="N27" s="24">
        <v>5.1422999999999998E-3</v>
      </c>
      <c r="O27" s="23">
        <v>577</v>
      </c>
      <c r="P27" s="28">
        <v>1.7216200000000001E-2</v>
      </c>
      <c r="Q27" s="23">
        <v>0</v>
      </c>
      <c r="R27" s="24"/>
    </row>
    <row r="28" spans="1:18" ht="13" thickBot="1">
      <c r="A28" s="78"/>
      <c r="B28" s="26" t="s">
        <v>110</v>
      </c>
      <c r="C28" s="76" t="s">
        <v>111</v>
      </c>
      <c r="D28" s="50"/>
      <c r="E28" s="50"/>
      <c r="F28" s="51"/>
      <c r="G28" s="23">
        <v>1</v>
      </c>
      <c r="H28" s="24">
        <v>1.0928999999999999E-3</v>
      </c>
      <c r="I28" s="27" t="s">
        <v>38</v>
      </c>
      <c r="J28" s="15"/>
      <c r="K28" s="23">
        <v>12</v>
      </c>
      <c r="L28" s="24">
        <v>4.1508128675198895E-3</v>
      </c>
      <c r="M28" s="23">
        <v>16</v>
      </c>
      <c r="N28" s="24">
        <v>2.9385000000000001E-3</v>
      </c>
      <c r="O28" s="23">
        <v>2684</v>
      </c>
      <c r="P28" s="28">
        <v>8.0083500000000002E-2</v>
      </c>
      <c r="Q28" s="23">
        <v>52</v>
      </c>
      <c r="R28" s="24">
        <v>1.2431269423858474E-2</v>
      </c>
    </row>
    <row r="29" spans="1:18" ht="13" thickBot="1">
      <c r="A29" s="78"/>
      <c r="B29" s="26" t="s">
        <v>112</v>
      </c>
      <c r="C29" s="76" t="s">
        <v>113</v>
      </c>
      <c r="D29" s="50"/>
      <c r="E29" s="50"/>
      <c r="F29" s="51"/>
      <c r="G29" s="23">
        <v>4</v>
      </c>
      <c r="H29" s="24">
        <v>4.3715999999999998E-3</v>
      </c>
      <c r="I29" s="27" t="s">
        <v>38</v>
      </c>
      <c r="J29" s="15"/>
      <c r="K29" s="23">
        <v>66</v>
      </c>
      <c r="L29" s="24">
        <v>2.2829470771359391E-2</v>
      </c>
      <c r="M29" s="27" t="s">
        <v>38</v>
      </c>
      <c r="N29" s="15"/>
      <c r="O29" s="27" t="s">
        <v>38</v>
      </c>
      <c r="P29" s="29"/>
      <c r="Q29" s="23">
        <v>96</v>
      </c>
      <c r="R29" s="24">
        <v>2.295003585943103E-2</v>
      </c>
    </row>
    <row r="30" spans="1:18" ht="13" thickBot="1">
      <c r="A30" s="78"/>
      <c r="B30" s="26" t="s">
        <v>114</v>
      </c>
      <c r="C30" s="76" t="s">
        <v>115</v>
      </c>
      <c r="D30" s="50"/>
      <c r="E30" s="50"/>
      <c r="F30" s="51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3.6729999999999998E-4</v>
      </c>
      <c r="O30" s="23">
        <v>92</v>
      </c>
      <c r="P30" s="28">
        <v>2.745E-3</v>
      </c>
      <c r="Q30" s="23">
        <v>0</v>
      </c>
      <c r="R30" s="24"/>
    </row>
    <row r="31" spans="1:18" ht="13" thickBot="1">
      <c r="A31" s="78"/>
      <c r="B31" s="26" t="s">
        <v>116</v>
      </c>
      <c r="C31" s="76" t="s">
        <v>117</v>
      </c>
      <c r="D31" s="50"/>
      <c r="E31" s="50"/>
      <c r="F31" s="51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1.4691999999999999E-3</v>
      </c>
      <c r="O31" s="27" t="s">
        <v>38</v>
      </c>
      <c r="P31" s="29"/>
      <c r="Q31" s="23">
        <v>0</v>
      </c>
      <c r="R31" s="24"/>
    </row>
    <row r="32" spans="1:18" ht="13" thickBot="1">
      <c r="A32" s="78"/>
      <c r="B32" s="26" t="s">
        <v>118</v>
      </c>
      <c r="C32" s="76" t="s">
        <v>119</v>
      </c>
      <c r="D32" s="50"/>
      <c r="E32" s="50"/>
      <c r="F32" s="51"/>
      <c r="G32" s="23">
        <v>16</v>
      </c>
      <c r="H32" s="24">
        <v>1.74863E-2</v>
      </c>
      <c r="I32" s="23">
        <v>4</v>
      </c>
      <c r="J32" s="24">
        <v>2.45399E-2</v>
      </c>
      <c r="K32" s="23">
        <v>66</v>
      </c>
      <c r="L32" s="24">
        <v>2.2829470771359391E-2</v>
      </c>
      <c r="M32" s="23">
        <v>53</v>
      </c>
      <c r="N32" s="24">
        <v>9.7336999999999996E-3</v>
      </c>
      <c r="O32" s="23">
        <v>60</v>
      </c>
      <c r="P32" s="28">
        <v>1.7902E-3</v>
      </c>
      <c r="Q32" s="23">
        <v>108</v>
      </c>
      <c r="R32" s="24">
        <v>2.581879034185991E-2</v>
      </c>
    </row>
    <row r="33" spans="1:18" ht="13" thickBot="1">
      <c r="A33" s="78"/>
      <c r="B33" s="26" t="s">
        <v>120</v>
      </c>
      <c r="C33" s="76" t="s">
        <v>121</v>
      </c>
      <c r="D33" s="50"/>
      <c r="E33" s="50"/>
      <c r="F33" s="51"/>
      <c r="G33" s="23">
        <v>2</v>
      </c>
      <c r="H33" s="24">
        <v>2.1857999999999999E-3</v>
      </c>
      <c r="I33" s="27" t="s">
        <v>38</v>
      </c>
      <c r="J33" s="15"/>
      <c r="K33" s="23">
        <v>0</v>
      </c>
      <c r="L33" s="24"/>
      <c r="M33" s="23">
        <v>3</v>
      </c>
      <c r="N33" s="24">
        <v>5.5099999999999995E-4</v>
      </c>
      <c r="O33" s="23">
        <v>127</v>
      </c>
      <c r="P33" s="28">
        <v>3.7892999999999998E-3</v>
      </c>
      <c r="Q33" s="23">
        <v>0</v>
      </c>
      <c r="R33" s="24"/>
    </row>
    <row r="34" spans="1:18" ht="13" thickBot="1">
      <c r="A34" s="78"/>
      <c r="B34" s="26" t="s">
        <v>122</v>
      </c>
      <c r="C34" s="76" t="s">
        <v>123</v>
      </c>
      <c r="D34" s="50"/>
      <c r="E34" s="50"/>
      <c r="F34" s="51"/>
      <c r="G34" s="23">
        <v>1</v>
      </c>
      <c r="H34" s="24">
        <v>1.0928999999999999E-3</v>
      </c>
      <c r="I34" s="27" t="s">
        <v>38</v>
      </c>
      <c r="J34" s="15"/>
      <c r="K34" s="23">
        <v>0</v>
      </c>
      <c r="L34" s="24"/>
      <c r="M34" s="27" t="s">
        <v>38</v>
      </c>
      <c r="N34" s="15"/>
      <c r="O34" s="27" t="s">
        <v>38</v>
      </c>
      <c r="P34" s="29"/>
      <c r="Q34" s="23">
        <v>0</v>
      </c>
      <c r="R34" s="24"/>
    </row>
    <row r="35" spans="1:18" ht="13" thickBot="1">
      <c r="A35" s="78"/>
      <c r="B35" s="26" t="s">
        <v>124</v>
      </c>
      <c r="C35" s="76" t="s">
        <v>125</v>
      </c>
      <c r="D35" s="50"/>
      <c r="E35" s="50"/>
      <c r="F35" s="51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11</v>
      </c>
      <c r="P35" s="28">
        <v>3.2820000000000001E-4</v>
      </c>
      <c r="Q35" s="23">
        <v>0</v>
      </c>
      <c r="R35" s="24"/>
    </row>
    <row r="36" spans="1:18" ht="13" thickBot="1">
      <c r="A36" s="79"/>
      <c r="B36" s="26" t="s">
        <v>126</v>
      </c>
      <c r="C36" s="76" t="s">
        <v>127</v>
      </c>
      <c r="D36" s="50"/>
      <c r="E36" s="50"/>
      <c r="F36" s="51"/>
      <c r="G36" s="23">
        <v>34</v>
      </c>
      <c r="H36" s="24">
        <v>3.7158499999999997E-2</v>
      </c>
      <c r="I36" s="27" t="s">
        <v>38</v>
      </c>
      <c r="J36" s="15"/>
      <c r="K36" s="23">
        <v>0</v>
      </c>
      <c r="L36" s="24"/>
      <c r="M36" s="23">
        <v>355</v>
      </c>
      <c r="N36" s="24">
        <v>6.5197400000000003E-2</v>
      </c>
      <c r="O36" s="23">
        <v>253</v>
      </c>
      <c r="P36" s="28">
        <v>7.5488999999999999E-3</v>
      </c>
      <c r="Q36" s="23">
        <v>0</v>
      </c>
      <c r="R36" s="24"/>
    </row>
    <row r="37" spans="1:18" ht="13" thickBot="1">
      <c r="A37" s="25" t="s">
        <v>19</v>
      </c>
      <c r="B37" s="26" t="s">
        <v>128</v>
      </c>
      <c r="C37" s="76" t="s">
        <v>129</v>
      </c>
      <c r="D37" s="50"/>
      <c r="E37" s="50"/>
      <c r="F37" s="51"/>
      <c r="G37" s="23">
        <v>288</v>
      </c>
      <c r="H37" s="24">
        <v>0.31475409999999998</v>
      </c>
      <c r="I37" s="23">
        <v>64</v>
      </c>
      <c r="J37" s="24">
        <v>0.39263799999999999</v>
      </c>
      <c r="K37" s="23">
        <v>63</v>
      </c>
      <c r="L37" s="24">
        <v>2.1791767554479417E-2</v>
      </c>
      <c r="M37" s="23">
        <v>2027</v>
      </c>
      <c r="N37" s="24">
        <v>0.37226809999999999</v>
      </c>
      <c r="O37" s="23">
        <v>13546</v>
      </c>
      <c r="P37" s="28">
        <v>0.40417720000000001</v>
      </c>
      <c r="Q37" s="23">
        <v>851</v>
      </c>
      <c r="R37" s="24">
        <v>0.20344250537891465</v>
      </c>
    </row>
    <row r="38" spans="1:18" ht="13" thickBot="1">
      <c r="A38" s="77" t="s">
        <v>20</v>
      </c>
      <c r="B38" s="26" t="s">
        <v>130</v>
      </c>
      <c r="C38" s="76" t="s">
        <v>131</v>
      </c>
      <c r="D38" s="50"/>
      <c r="E38" s="50"/>
      <c r="F38" s="51"/>
      <c r="G38" s="27" t="s">
        <v>38</v>
      </c>
      <c r="H38" s="15"/>
      <c r="I38" s="27" t="s">
        <v>38</v>
      </c>
      <c r="J38" s="15"/>
      <c r="K38" s="23">
        <v>483</v>
      </c>
      <c r="L38" s="24">
        <v>0.16707021791767554</v>
      </c>
      <c r="M38" s="27" t="s">
        <v>38</v>
      </c>
      <c r="N38" s="15"/>
      <c r="O38" s="27" t="s">
        <v>38</v>
      </c>
      <c r="P38" s="29"/>
      <c r="Q38" s="23">
        <v>851</v>
      </c>
      <c r="R38" s="24">
        <v>0.20344250537891465</v>
      </c>
    </row>
    <row r="39" spans="1:18" ht="13" thickBot="1">
      <c r="A39" s="78"/>
      <c r="B39" s="26" t="s">
        <v>132</v>
      </c>
      <c r="C39" s="76" t="s">
        <v>133</v>
      </c>
      <c r="D39" s="50"/>
      <c r="E39" s="50"/>
      <c r="F39" s="51"/>
      <c r="G39" s="27" t="s">
        <v>38</v>
      </c>
      <c r="H39" s="15"/>
      <c r="I39" s="27" t="s">
        <v>38</v>
      </c>
      <c r="J39" s="15"/>
      <c r="K39" s="23">
        <v>0</v>
      </c>
      <c r="L39" s="24"/>
      <c r="M39" s="23">
        <v>32</v>
      </c>
      <c r="N39" s="24">
        <v>5.8770000000000003E-3</v>
      </c>
      <c r="O39" s="23">
        <v>27</v>
      </c>
      <c r="P39" s="28">
        <v>8.0559999999999996E-4</v>
      </c>
      <c r="Q39" s="23">
        <v>0</v>
      </c>
      <c r="R39" s="24"/>
    </row>
    <row r="40" spans="1:18" ht="13" thickBot="1">
      <c r="A40" s="79"/>
      <c r="B40" s="26" t="s">
        <v>134</v>
      </c>
      <c r="C40" s="76" t="s">
        <v>135</v>
      </c>
      <c r="D40" s="50"/>
      <c r="E40" s="50"/>
      <c r="F40" s="51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212</v>
      </c>
      <c r="P40" s="28">
        <v>6.3255000000000004E-3</v>
      </c>
      <c r="Q40" s="23">
        <v>0</v>
      </c>
      <c r="R40" s="24"/>
    </row>
    <row r="41" spans="1:18" ht="13" thickBot="1">
      <c r="A41" s="77" t="s">
        <v>21</v>
      </c>
      <c r="B41" s="26" t="s">
        <v>136</v>
      </c>
      <c r="C41" s="76" t="s">
        <v>137</v>
      </c>
      <c r="D41" s="50"/>
      <c r="E41" s="50"/>
      <c r="F41" s="51"/>
      <c r="G41" s="23">
        <v>85</v>
      </c>
      <c r="H41" s="24">
        <v>9.2896199999999998E-2</v>
      </c>
      <c r="I41" s="23">
        <v>31</v>
      </c>
      <c r="J41" s="24">
        <v>0.19018399999999999</v>
      </c>
      <c r="K41" s="23">
        <v>0</v>
      </c>
      <c r="L41" s="24"/>
      <c r="M41" s="23">
        <v>785</v>
      </c>
      <c r="N41" s="24">
        <v>0.14416899999999999</v>
      </c>
      <c r="O41" s="23">
        <v>5429</v>
      </c>
      <c r="P41" s="28">
        <v>0.1619872</v>
      </c>
      <c r="Q41" s="23">
        <v>0</v>
      </c>
      <c r="R41" s="24"/>
    </row>
    <row r="42" spans="1:18" ht="13" thickBot="1">
      <c r="A42" s="78"/>
      <c r="B42" s="26" t="s">
        <v>138</v>
      </c>
      <c r="C42" s="76" t="s">
        <v>139</v>
      </c>
      <c r="D42" s="50"/>
      <c r="E42" s="50"/>
      <c r="F42" s="51"/>
      <c r="G42" s="27" t="s">
        <v>38</v>
      </c>
      <c r="H42" s="15"/>
      <c r="I42" s="27" t="s">
        <v>38</v>
      </c>
      <c r="J42" s="15"/>
      <c r="K42" s="23">
        <v>2</v>
      </c>
      <c r="L42" s="24">
        <v>6.9180214458664825E-4</v>
      </c>
      <c r="M42" s="27" t="s">
        <v>38</v>
      </c>
      <c r="N42" s="15"/>
      <c r="O42" s="23">
        <v>256</v>
      </c>
      <c r="P42" s="28">
        <v>7.6384000000000001E-3</v>
      </c>
      <c r="Q42" s="23">
        <v>0</v>
      </c>
      <c r="R42" s="24"/>
    </row>
    <row r="43" spans="1:18" ht="13" thickBot="1">
      <c r="A43" s="78"/>
      <c r="B43" s="26" t="s">
        <v>140</v>
      </c>
      <c r="C43" s="76" t="s">
        <v>141</v>
      </c>
      <c r="D43" s="50"/>
      <c r="E43" s="50"/>
      <c r="F43" s="51"/>
      <c r="G43" s="23">
        <v>1</v>
      </c>
      <c r="H43" s="24">
        <v>1.0928999999999999E-3</v>
      </c>
      <c r="I43" s="23">
        <v>2</v>
      </c>
      <c r="J43" s="24">
        <v>1.22699E-2</v>
      </c>
      <c r="K43" s="23">
        <v>0</v>
      </c>
      <c r="L43" s="24"/>
      <c r="M43" s="27" t="s">
        <v>38</v>
      </c>
      <c r="N43" s="15"/>
      <c r="O43" s="27" t="s">
        <v>38</v>
      </c>
      <c r="P43" s="29"/>
      <c r="Q43" s="23">
        <v>0</v>
      </c>
      <c r="R43" s="24"/>
    </row>
    <row r="44" spans="1:18" ht="13" thickBot="1">
      <c r="A44" s="79"/>
      <c r="B44" s="26" t="s">
        <v>142</v>
      </c>
      <c r="C44" s="76" t="s">
        <v>143</v>
      </c>
      <c r="D44" s="50"/>
      <c r="E44" s="50"/>
      <c r="F44" s="51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256</v>
      </c>
      <c r="P44" s="28">
        <v>7.6384000000000001E-3</v>
      </c>
      <c r="Q44" s="23">
        <v>0</v>
      </c>
      <c r="R44" s="24"/>
    </row>
    <row r="45" spans="1:18" ht="13" thickBot="1">
      <c r="A45" s="77" t="s">
        <v>22</v>
      </c>
      <c r="B45" s="26" t="s">
        <v>144</v>
      </c>
      <c r="C45" s="76" t="s">
        <v>145</v>
      </c>
      <c r="D45" s="50"/>
      <c r="E45" s="50"/>
      <c r="F45" s="51"/>
      <c r="G45" s="27" t="s">
        <v>38</v>
      </c>
      <c r="H45" s="15"/>
      <c r="I45" s="23">
        <v>1</v>
      </c>
      <c r="J45" s="24">
        <v>6.1349999999999998E-3</v>
      </c>
      <c r="K45" s="23">
        <v>0</v>
      </c>
      <c r="L45" s="24"/>
      <c r="M45" s="27" t="s">
        <v>38</v>
      </c>
      <c r="N45" s="15"/>
      <c r="O45" s="23">
        <v>16</v>
      </c>
      <c r="P45" s="28">
        <v>4.774E-4</v>
      </c>
      <c r="Q45" s="23">
        <v>0</v>
      </c>
      <c r="R45" s="24"/>
    </row>
    <row r="46" spans="1:18" ht="13" thickBot="1">
      <c r="A46" s="78"/>
      <c r="B46" s="26" t="s">
        <v>146</v>
      </c>
      <c r="C46" s="76" t="s">
        <v>22</v>
      </c>
      <c r="D46" s="50"/>
      <c r="E46" s="50"/>
      <c r="F46" s="51"/>
      <c r="G46" s="23">
        <v>28</v>
      </c>
      <c r="H46" s="24">
        <v>3.0601099999999999E-2</v>
      </c>
      <c r="I46" s="27" t="s">
        <v>38</v>
      </c>
      <c r="J46" s="15"/>
      <c r="K46" s="23">
        <v>0</v>
      </c>
      <c r="L46" s="24"/>
      <c r="M46" s="23">
        <v>8</v>
      </c>
      <c r="N46" s="24">
        <v>1.4691999999999999E-3</v>
      </c>
      <c r="O46" s="23">
        <v>181</v>
      </c>
      <c r="P46" s="28">
        <v>5.4006000000000002E-3</v>
      </c>
      <c r="Q46" s="23">
        <v>0</v>
      </c>
      <c r="R46" s="24"/>
    </row>
    <row r="47" spans="1:18" ht="13" thickBot="1">
      <c r="A47" s="79"/>
      <c r="B47" s="26" t="s">
        <v>147</v>
      </c>
      <c r="C47" s="76" t="s">
        <v>148</v>
      </c>
      <c r="D47" s="50"/>
      <c r="E47" s="50"/>
      <c r="F47" s="51"/>
      <c r="G47" s="27" t="s">
        <v>38</v>
      </c>
      <c r="H47" s="15"/>
      <c r="I47" s="27" t="s">
        <v>38</v>
      </c>
      <c r="J47" s="15"/>
      <c r="K47" s="23">
        <v>0</v>
      </c>
      <c r="L47" s="24"/>
      <c r="M47" s="27" t="s">
        <v>38</v>
      </c>
      <c r="N47" s="15"/>
      <c r="O47" s="23">
        <v>475</v>
      </c>
      <c r="P47" s="28">
        <v>1.4172799999999999E-2</v>
      </c>
      <c r="Q47" s="23">
        <v>0</v>
      </c>
      <c r="R47" s="24"/>
    </row>
    <row r="48" spans="1:18" ht="13" thickBot="1">
      <c r="A48" s="77" t="s">
        <v>23</v>
      </c>
      <c r="B48" s="26" t="s">
        <v>149</v>
      </c>
      <c r="C48" s="76" t="s">
        <v>150</v>
      </c>
      <c r="D48" s="50"/>
      <c r="E48" s="50"/>
      <c r="F48" s="51"/>
      <c r="G48" s="27" t="s">
        <v>38</v>
      </c>
      <c r="H48" s="15"/>
      <c r="I48" s="27" t="s">
        <v>38</v>
      </c>
      <c r="J48" s="15"/>
      <c r="K48" s="23">
        <v>17</v>
      </c>
      <c r="L48" s="24">
        <v>5.8803182289865101E-3</v>
      </c>
      <c r="M48" s="27" t="s">
        <v>38</v>
      </c>
      <c r="N48" s="15"/>
      <c r="O48" s="27" t="s">
        <v>38</v>
      </c>
      <c r="P48" s="29"/>
      <c r="Q48" s="23">
        <v>21</v>
      </c>
      <c r="R48" s="24">
        <v>5.0203203442505378E-3</v>
      </c>
    </row>
    <row r="49" spans="1:18" ht="13" thickBot="1">
      <c r="A49" s="78"/>
      <c r="B49" s="26" t="s">
        <v>151</v>
      </c>
      <c r="C49" s="76" t="s">
        <v>152</v>
      </c>
      <c r="D49" s="50"/>
      <c r="E49" s="50"/>
      <c r="F49" s="51"/>
      <c r="G49" s="27" t="s">
        <v>38</v>
      </c>
      <c r="H49" s="15"/>
      <c r="I49" s="27" t="s">
        <v>38</v>
      </c>
      <c r="J49" s="15"/>
      <c r="K49" s="23">
        <v>66</v>
      </c>
      <c r="L49" s="24">
        <v>2.2829470771359391E-2</v>
      </c>
      <c r="M49" s="27" t="s">
        <v>38</v>
      </c>
      <c r="N49" s="15"/>
      <c r="O49" s="27" t="s">
        <v>38</v>
      </c>
      <c r="P49" s="29"/>
      <c r="Q49" s="23">
        <v>129</v>
      </c>
      <c r="R49" s="24">
        <v>3.0839110686110446E-2</v>
      </c>
    </row>
    <row r="50" spans="1:18" ht="13" thickBot="1">
      <c r="A50" s="78"/>
      <c r="B50" s="26" t="s">
        <v>153</v>
      </c>
      <c r="C50" s="76" t="s">
        <v>154</v>
      </c>
      <c r="D50" s="50"/>
      <c r="E50" s="50"/>
      <c r="F50" s="51"/>
      <c r="G50" s="27" t="s">
        <v>38</v>
      </c>
      <c r="H50" s="15"/>
      <c r="I50" s="27" t="s">
        <v>38</v>
      </c>
      <c r="J50" s="15"/>
      <c r="K50" s="23">
        <v>39</v>
      </c>
      <c r="L50" s="24">
        <v>1.349014181943964E-2</v>
      </c>
      <c r="M50" s="27" t="s">
        <v>38</v>
      </c>
      <c r="N50" s="15"/>
      <c r="O50" s="27" t="s">
        <v>38</v>
      </c>
      <c r="P50" s="29"/>
      <c r="Q50" s="23">
        <v>36</v>
      </c>
      <c r="R50" s="24">
        <v>8.606263447286636E-3</v>
      </c>
    </row>
    <row r="51" spans="1:18" ht="13" thickBot="1">
      <c r="A51" s="78"/>
      <c r="B51" s="26" t="s">
        <v>155</v>
      </c>
      <c r="C51" s="76" t="s">
        <v>156</v>
      </c>
      <c r="D51" s="50"/>
      <c r="E51" s="50"/>
      <c r="F51" s="51"/>
      <c r="G51" s="27" t="s">
        <v>38</v>
      </c>
      <c r="H51" s="15"/>
      <c r="I51" s="27" t="s">
        <v>38</v>
      </c>
      <c r="J51" s="15"/>
      <c r="K51" s="23">
        <v>13</v>
      </c>
      <c r="L51" s="24">
        <v>4.4967139398132136E-3</v>
      </c>
      <c r="M51" s="27" t="s">
        <v>38</v>
      </c>
      <c r="N51" s="15"/>
      <c r="O51" s="27" t="s">
        <v>38</v>
      </c>
      <c r="P51" s="29"/>
      <c r="Q51" s="23">
        <v>2</v>
      </c>
      <c r="R51" s="24">
        <v>1E-3</v>
      </c>
    </row>
    <row r="52" spans="1:18" ht="13" thickBot="1">
      <c r="A52" s="78"/>
      <c r="B52" s="26" t="s">
        <v>157</v>
      </c>
      <c r="C52" s="76" t="s">
        <v>158</v>
      </c>
      <c r="D52" s="50"/>
      <c r="E52" s="50"/>
      <c r="F52" s="51"/>
      <c r="G52" s="23">
        <v>1</v>
      </c>
      <c r="H52" s="24">
        <v>1.0928999999999999E-3</v>
      </c>
      <c r="I52" s="27" t="s">
        <v>38</v>
      </c>
      <c r="J52" s="15"/>
      <c r="K52" s="23">
        <v>0</v>
      </c>
      <c r="L52" s="24"/>
      <c r="M52" s="27" t="s">
        <v>38</v>
      </c>
      <c r="N52" s="15"/>
      <c r="O52" s="23">
        <v>2</v>
      </c>
      <c r="P52" s="28">
        <v>5.9700000000000001E-5</v>
      </c>
      <c r="Q52" s="23">
        <v>0</v>
      </c>
      <c r="R52" s="24"/>
    </row>
    <row r="53" spans="1:18" ht="13" thickBot="1">
      <c r="A53" s="79"/>
      <c r="B53" s="26" t="s">
        <v>159</v>
      </c>
      <c r="C53" s="76" t="s">
        <v>160</v>
      </c>
      <c r="D53" s="50"/>
      <c r="E53" s="50"/>
      <c r="F53" s="51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11</v>
      </c>
      <c r="N53" s="24">
        <v>2.0202000000000002E-3</v>
      </c>
      <c r="O53" s="23">
        <v>9</v>
      </c>
      <c r="P53" s="28">
        <v>2.6850000000000002E-4</v>
      </c>
      <c r="Q53" s="23">
        <v>0</v>
      </c>
      <c r="R53" s="24"/>
    </row>
    <row r="54" spans="1:18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</row>
    <row r="55" spans="1:18" ht="13">
      <c r="A55" s="80" t="s">
        <v>161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  <row r="56" spans="1:18" ht="12.5">
      <c r="A56" s="81" t="s">
        <v>162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</row>
    <row r="57" spans="1:18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</row>
    <row r="58" spans="1:18" ht="13">
      <c r="A58" s="73" t="s">
        <v>163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</row>
  </sheetData>
  <mergeCells count="59"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1:A44"/>
    <mergeCell ref="C41:F41"/>
    <mergeCell ref="C42:F42"/>
    <mergeCell ref="C43:F43"/>
    <mergeCell ref="C44:F44"/>
    <mergeCell ref="C37:F37"/>
    <mergeCell ref="A38:A40"/>
    <mergeCell ref="C38:F38"/>
    <mergeCell ref="C39:F39"/>
    <mergeCell ref="C40:F40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pageSetup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2025-03-07T15:12:49Z</dcterms:created>
  <dcterms:modified xsi:type="dcterms:W3CDTF">2025-03-21T19:25:39Z</dcterms:modified>
</cp:coreProperties>
</file>