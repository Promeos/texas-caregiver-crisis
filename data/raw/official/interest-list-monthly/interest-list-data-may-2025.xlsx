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E6A40F77-6212-4D5C-ADEA-FECE31A94179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Cover Page" sheetId="1" r:id="rId1"/>
    <sheet name="Table of Contents Page" sheetId="2" r:id="rId2"/>
    <sheet name="IL Releases Summary" sheetId="3" r:id="rId3"/>
    <sheet name="Time on Interest List" sheetId="4" r:id="rId4"/>
    <sheet name="Closure Overview" sheetId="5" r:id="rId5"/>
    <sheet name="Closure Details" sheetId="6" r:id="rId6"/>
  </sheets>
  <definedNames>
    <definedName name="Return_to_TOC">'Table of Contents Page'!$A$12</definedName>
    <definedName name="TOC_1">'IL Releases Summary'!$A$1</definedName>
    <definedName name="TOC_10">'Closure Details'!$A$14</definedName>
    <definedName name="TOC_11">'Closure Details'!$A$15</definedName>
    <definedName name="TOC_12">'Closure Details'!$A$16</definedName>
    <definedName name="TOC_13">'Closure Details'!$A$25</definedName>
    <definedName name="TOC_14">'Closure Details'!$A$37</definedName>
    <definedName name="TOC_15">'Closure Details'!$A$38</definedName>
    <definedName name="TOC_16">'Closure Details'!$A$41</definedName>
    <definedName name="TOC_17">'Closure Details'!$A$45</definedName>
    <definedName name="TOC_18">'Closure Details'!$A$48</definedName>
    <definedName name="TOC_2">'IL Releases Summary'!$A$13</definedName>
    <definedName name="TOC_3">'IL Releases Summary'!$A$15</definedName>
    <definedName name="TOC_4">'IL Releases Summary'!$A$23</definedName>
    <definedName name="TOC_5">'IL Releases Summary'!$A$25</definedName>
    <definedName name="TOC_6">'IL Releases Summary'!$A$27</definedName>
    <definedName name="TOC_7">'Time on Interest List'!$A$1</definedName>
    <definedName name="TOC_8">'Closure Overview'!$A$1</definedName>
    <definedName name="TOC_9">'Closure Details'!$A$1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3" l="1"/>
  <c r="T19" i="3"/>
  <c r="T21" i="3"/>
  <c r="T23" i="3"/>
  <c r="T15" i="3"/>
</calcChain>
</file>

<file path=xl/sharedStrings.xml><?xml version="1.0" encoding="utf-8"?>
<sst xmlns="http://schemas.openxmlformats.org/spreadsheetml/2006/main" count="326" uniqueCount="163">
  <si>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</si>
  <si>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</si>
  <si>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May 31,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</si>
  <si>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</si>
  <si>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</si>
  <si>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</si>
  <si>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</si>
  <si>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</si>
  <si>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</si>
  <si>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</si>
  <si>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</si>
  <si>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</si>
  <si>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</si>
  <si>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</si>
  <si>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</si>
  <si>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</si>
  <si>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</si>
  <si>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</si>
  <si>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</si>
  <si>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</si>
  <si>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</si>
  <si>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</si>
  <si>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</si>
  <si>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</si>
  <si>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6/5/25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</si>
  <si>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</si>
  <si>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</si>
  <si>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</si>
  <si>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</si>
  <si>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</si>
  <si>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</si>
  <si>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</si>
  <si>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</si>
  <si>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</si>
  <si>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</si>
  <si>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</si>
  <si>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</si>
  <si>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</si>
  <si>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</si>
  <si>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</si>
  <si>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</si>
  <si>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</si>
  <si>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May 31, 2025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</si>
  <si>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</si>
  <si>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</si>
  <si>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</si>
  <si>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184,676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</si>
  <si>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</si>
  <si>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</si>
  <si>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</si>
  <si>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</si>
  <si>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</si>
  <si>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</si>
  <si>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</si>
  <si>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</si>
  <si>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</si>
  <si>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</si>
  <si>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</si>
  <si>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</si>
  <si>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</si>
  <si>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</si>
  <si>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</si>
  <si>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</si>
  <si>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</si>
  <si>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</si>
  <si>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</si>
  <si>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</si>
  <si>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</si>
  <si>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</si>
  <si>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</si>
  <si>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</si>
  <si>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</si>
  <si>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</si>
  <si>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</si>
  <si>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</si>
  <si>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</si>
  <si>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</si>
  <si>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</si>
  <si>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</si>
  <si>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</si>
  <si>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</si>
  <si>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</si>
  <si>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</si>
  <si>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</si>
  <si>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</si>
  <si>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</si>
  <si>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</si>
  <si>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</si>
  <si>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</si>
  <si>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</si>
  <si>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</si>
  <si>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</si>
  <si>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</si>
  <si>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</si>
  <si>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</si>
  <si>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</si>
  <si>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</si>
  <si>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</si>
  <si>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</si>
  <si>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</si>
  <si>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</si>
  <si>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</si>
  <si>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</si>
  <si>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</si>
  <si>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</si>
  <si>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</si>
  <si>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</si>
  <si>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</si>
  <si>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</si>
  <si>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</si>
  <si>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</si>
  <si>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</si>
  <si>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</si>
  <si>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</si>
  <si>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</si>
  <si>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</si>
  <si>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</si>
  <si>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</si>
  <si>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</si>
  <si>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</si>
  <si>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</si>
  <si>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</si>
  <si>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</si>
  <si>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</si>
  <si>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</si>
  <si>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</si>
  <si>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</si>
  <si>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</si>
  <si>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</si>
  <si>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</si>
  <si>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</si>
  <si>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</si>
  <si>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</si>
  <si>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</si>
  <si>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</si>
  <si>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</si>
  <si>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</si>
  <si>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</si>
  <si>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</si>
  <si>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</si>
  <si>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</si>
  <si>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</si>
  <si>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</si>
  <si>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</si>
  <si>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</si>
  <si>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</si>
  <si>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</si>
  <si>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</si>
  <si>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</si>
  <si>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</si>
  <si>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</si>
  <si>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</si>
  <si>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</si>
  <si>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</si>
  <si>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</si>
  <si>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</si>
  <si>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</si>
  <si>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</si>
  <si>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</si>
  <si>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</si>
  <si>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24–25 Interest List Closures</t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</si>
  <si>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</si>
  <si>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24–25 Interest List Closure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</si>
</sst>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28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5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6" fontId="13" fillId="5" borderId="23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5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26" fillId="0" borderId="25" xfId="0" applyFont="1" applyBorder="1" applyAlignment="1">
      <alignment horizontal="righ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 applyAlignment="1">
      <alignment horizontal="lef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13" fillId="5" borderId="23" xfId="0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8" fillId="3" borderId="13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1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2" fillId="0" borderId="19" xfId="0" applyFont="1" applyBorder="1" applyAlignment="1">
      <alignment horizontal="right"/>
    </xf>
    <xf numFmtId="3" fontId="15" fillId="3" borderId="24" xfId="0" applyNumberFormat="1" applyFont="1" applyFill="1" applyBorder="1"/>
    <xf numFmtId="0" fontId="8" fillId="3" borderId="24" xfId="0" applyFont="1" applyFill="1" applyBorder="1" applyAlignment="1">
      <alignment horizontal="left" vertical="top"/>
    </xf>
    <xf numFmtId="0" fontId="15" fillId="3" borderId="13" xfId="0" applyFont="1" applyFill="1" applyBorder="1"/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4" fillId="3" borderId="24" xfId="0" applyFont="1" applyFill="1" applyBorder="1" applyAlignment="1">
      <alignment horizontal="left" vertical="top"/>
    </xf>
    <xf numFmtId="0" fontId="23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0" fillId="3" borderId="24" xfId="0" applyFill="1" applyBorder="1"/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70" zoomScaleNormal="70" workbookViewId="0">
      <selection activeCell="F26" sqref="F26"/>
    </sheetView>
  </sheetViews>
  <sheetFormatPr defaultRowHeight="12.75" customHeight="1"/>
  <cols>
    <col min="1" max="1" width="117.54296875" bestFit="1" customWidth="1"/>
  </cols>
  <sheetData>
    <row r="2" spans="1:1" ht="12.75" customHeight="1">
      <c r="A2" s="28"/>
    </row>
    <row r="3" spans="1:1" ht="12.75" customHeight="1">
      <c r="A3" s="28"/>
    </row>
    <row r="4" spans="1:1" ht="12.75" customHeight="1">
      <c r="A4" s="28"/>
    </row>
    <row r="5" spans="1:1" ht="12.75" customHeight="1">
      <c r="A5" s="28"/>
    </row>
    <row r="6" spans="1:1" ht="12.75" customHeight="1">
      <c r="A6" s="28"/>
    </row>
    <row r="7" spans="1:1" ht="12.75" customHeight="1">
      <c r="A7" s="28"/>
    </row>
    <row r="8" spans="1:1" ht="12.75" customHeight="1">
      <c r="A8" s="28"/>
    </row>
    <row r="9" spans="1:1" ht="12.75" customHeight="1">
      <c r="A9" s="28"/>
    </row>
    <row r="10" spans="1:1" ht="12.75" customHeight="1">
      <c r="A10" s="28"/>
    </row>
    <row r="11" spans="1:1" ht="12.75" customHeight="1">
      <c r="A11" s="28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78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opLeftCell="A14" workbookViewId="0">
      <selection sqref="A1:B10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84.54296875" bestFit="1" customWidth="1"/>
  </cols>
  <sheetData>
    <row r="1" spans="1:3" ht="23.25" customHeight="1">
      <c r="A1" s="29"/>
      <c r="B1" s="29"/>
      <c r="C1" s="9" t="s">
        <v>3</v>
      </c>
    </row>
    <row r="2" spans="1:3" ht="12.5">
      <c r="A2" s="30"/>
      <c r="B2" s="30"/>
      <c r="C2" s="8"/>
    </row>
    <row r="3" spans="1:3" ht="12.5">
      <c r="A3" s="30"/>
      <c r="B3" s="30"/>
      <c r="C3" s="8"/>
    </row>
    <row r="4" spans="1:3" ht="12.5">
      <c r="A4" s="30"/>
      <c r="B4" s="30"/>
      <c r="C4" s="8"/>
    </row>
    <row r="5" spans="1:3" ht="12.5">
      <c r="A5" s="30"/>
      <c r="B5" s="30"/>
      <c r="C5" s="8"/>
    </row>
    <row r="6" spans="1:3" ht="12.5">
      <c r="A6" s="30"/>
      <c r="B6" s="30"/>
      <c r="C6" s="8"/>
    </row>
    <row r="7" spans="1:3" ht="12.5">
      <c r="A7" s="30"/>
      <c r="B7" s="30"/>
      <c r="C7" s="8"/>
    </row>
    <row r="8" spans="1:3" ht="12.5">
      <c r="A8" s="30"/>
      <c r="B8" s="30"/>
      <c r="C8" s="8"/>
    </row>
    <row r="9" spans="1:3" ht="12.5">
      <c r="A9" s="30"/>
      <c r="B9" s="30"/>
      <c r="C9" s="8"/>
    </row>
    <row r="10" spans="1:3" ht="12.5">
      <c r="A10" s="30"/>
      <c r="B10" s="30"/>
      <c r="C10" s="8"/>
    </row>
    <row r="11" spans="1:3" ht="23.25" customHeight="1">
      <c r="A11" s="31" t="s">
        <v>4</v>
      </c>
      <c r="B11" s="30"/>
      <c r="C11" s="30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topLeftCell="A9" zoomScaleNormal="100" workbookViewId="0">
      <selection activeCell="X12" sqref="X12"/>
    </sheetView>
  </sheetViews>
  <sheetFormatPr defaultRowHeight="12.75" customHeight="1"/>
  <cols>
    <col min="1" max="4" width="12.453125" bestFit="1" customWidth="1"/>
    <col min="5" max="7" width="10.1796875" bestFit="1" customWidth="1"/>
    <col min="8" max="21" width="5.7265625" customWidth="1"/>
  </cols>
  <sheetData>
    <row r="1" spans="1:21" ht="23.25" customHeight="1">
      <c r="A1" s="28"/>
      <c r="B1" s="28"/>
      <c r="C1" s="28"/>
      <c r="D1" s="28"/>
      <c r="E1" s="28"/>
      <c r="F1" s="28"/>
      <c r="G1" s="28"/>
      <c r="H1" s="6" t="s">
        <v>5</v>
      </c>
    </row>
    <row r="2" spans="1:21" ht="12.75" customHeight="1">
      <c r="A2" s="28"/>
      <c r="B2" s="28"/>
      <c r="C2" s="28"/>
      <c r="D2" s="28"/>
      <c r="E2" s="28"/>
      <c r="F2" s="28"/>
      <c r="G2" s="28"/>
    </row>
    <row r="3" spans="1:21" ht="12.75" customHeight="1">
      <c r="A3" s="28"/>
      <c r="B3" s="28"/>
      <c r="C3" s="28"/>
      <c r="D3" s="28"/>
      <c r="E3" s="28"/>
      <c r="F3" s="28"/>
      <c r="G3" s="28"/>
    </row>
    <row r="4" spans="1:21" ht="12.75" customHeight="1">
      <c r="A4" s="28"/>
      <c r="B4" s="28"/>
      <c r="C4" s="28"/>
      <c r="D4" s="28"/>
      <c r="E4" s="28"/>
      <c r="F4" s="28"/>
      <c r="G4" s="28"/>
    </row>
    <row r="5" spans="1:21" ht="12.75" customHeight="1">
      <c r="A5" s="28"/>
      <c r="B5" s="28"/>
      <c r="C5" s="28"/>
      <c r="D5" s="28"/>
      <c r="E5" s="28"/>
      <c r="F5" s="28"/>
      <c r="G5" s="28"/>
    </row>
    <row r="6" spans="1:21" ht="12.75" customHeight="1">
      <c r="A6" s="28"/>
      <c r="B6" s="28"/>
      <c r="C6" s="28"/>
      <c r="D6" s="28"/>
      <c r="E6" s="28"/>
      <c r="F6" s="28"/>
      <c r="G6" s="28"/>
    </row>
    <row r="7" spans="1:21" ht="12.75" customHeight="1">
      <c r="A7" s="28"/>
      <c r="B7" s="28"/>
      <c r="C7" s="28"/>
      <c r="D7" s="28"/>
      <c r="E7" s="28"/>
      <c r="F7" s="28"/>
      <c r="G7" s="28"/>
    </row>
    <row r="8" spans="1:21" ht="12.75" customHeight="1">
      <c r="A8" s="28"/>
      <c r="B8" s="28"/>
      <c r="C8" s="28"/>
      <c r="D8" s="28"/>
      <c r="E8" s="28"/>
      <c r="F8" s="28"/>
      <c r="G8" s="28"/>
    </row>
    <row r="9" spans="1:21" ht="12.75" customHeight="1">
      <c r="A9" s="28"/>
      <c r="B9" s="28"/>
      <c r="C9" s="28"/>
      <c r="D9" s="28"/>
      <c r="E9" s="28"/>
      <c r="F9" s="28"/>
      <c r="G9" s="28"/>
    </row>
    <row r="10" spans="1:21" ht="12.75" customHeight="1">
      <c r="A10" s="28"/>
      <c r="B10" s="28"/>
      <c r="C10" s="28"/>
      <c r="D10" s="28"/>
      <c r="E10" s="28"/>
      <c r="F10" s="28"/>
      <c r="G10" s="28"/>
    </row>
    <row r="11" spans="1:21" ht="12.5">
      <c r="A11" s="32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3">
      <c r="H12" s="33" t="s">
        <v>26</v>
      </c>
      <c r="I12" s="34"/>
      <c r="J12" s="33" t="s">
        <v>27</v>
      </c>
      <c r="K12" s="34"/>
      <c r="L12" s="35" t="s">
        <v>28</v>
      </c>
      <c r="M12" s="34"/>
      <c r="N12" s="33" t="s">
        <v>29</v>
      </c>
      <c r="O12" s="34"/>
      <c r="P12" s="33" t="s">
        <v>30</v>
      </c>
      <c r="Q12" s="34"/>
      <c r="R12" s="35" t="s">
        <v>31</v>
      </c>
      <c r="S12" s="34"/>
      <c r="T12" s="36" t="s">
        <v>32</v>
      </c>
      <c r="U12" s="37"/>
    </row>
    <row r="13" spans="1:21" ht="12.5">
      <c r="A13" s="38" t="s">
        <v>7</v>
      </c>
      <c r="B13" s="39"/>
      <c r="C13" s="39"/>
      <c r="D13" s="40"/>
      <c r="E13" s="44" t="s">
        <v>33</v>
      </c>
      <c r="F13" s="39"/>
      <c r="G13" s="40"/>
      <c r="H13" s="45">
        <v>82640</v>
      </c>
      <c r="I13" s="46"/>
      <c r="J13" s="45">
        <v>1714</v>
      </c>
      <c r="K13" s="46"/>
      <c r="L13" s="45">
        <v>117205</v>
      </c>
      <c r="M13" s="46"/>
      <c r="N13" s="45">
        <v>6901</v>
      </c>
      <c r="O13" s="46"/>
      <c r="P13" s="45">
        <v>6339</v>
      </c>
      <c r="Q13" s="46"/>
      <c r="R13" s="45">
        <v>106134</v>
      </c>
      <c r="S13" s="46"/>
      <c r="T13" s="49">
        <v>320933</v>
      </c>
      <c r="U13" s="50"/>
    </row>
    <row r="14" spans="1:21" ht="13" thickBot="1">
      <c r="A14" s="41"/>
      <c r="B14" s="42"/>
      <c r="C14" s="42"/>
      <c r="D14" s="43"/>
      <c r="E14" s="41"/>
      <c r="F14" s="42"/>
      <c r="G14" s="43"/>
      <c r="H14" s="47"/>
      <c r="I14" s="48"/>
      <c r="J14" s="47"/>
      <c r="K14" s="48"/>
      <c r="L14" s="47"/>
      <c r="M14" s="48"/>
      <c r="N14" s="47"/>
      <c r="O14" s="48"/>
      <c r="P14" s="47"/>
      <c r="Q14" s="48"/>
      <c r="R14" s="47"/>
      <c r="S14" s="48"/>
      <c r="T14" s="51"/>
      <c r="U14" s="52"/>
    </row>
    <row r="15" spans="1:21" ht="13" thickBot="1">
      <c r="A15" s="53" t="s">
        <v>34</v>
      </c>
      <c r="B15" s="54"/>
      <c r="C15" s="54"/>
      <c r="D15" s="55"/>
      <c r="E15" s="57" t="s">
        <v>35</v>
      </c>
      <c r="F15" s="54"/>
      <c r="G15" s="55"/>
      <c r="H15" s="45">
        <v>329</v>
      </c>
      <c r="I15" s="46"/>
      <c r="J15" s="45">
        <v>41</v>
      </c>
      <c r="K15" s="46"/>
      <c r="L15" s="45">
        <v>1540</v>
      </c>
      <c r="M15" s="46"/>
      <c r="N15" s="45">
        <v>1001</v>
      </c>
      <c r="O15" s="46"/>
      <c r="P15" s="45">
        <v>5835</v>
      </c>
      <c r="Q15" s="46"/>
      <c r="R15" s="45">
        <v>762</v>
      </c>
      <c r="S15" s="46"/>
      <c r="T15" s="49">
        <f>SUM(H15:S16)</f>
        <v>9508</v>
      </c>
      <c r="U15" s="50"/>
    </row>
    <row r="16" spans="1:21" ht="13" thickBot="1">
      <c r="A16" s="56"/>
      <c r="B16" s="54"/>
      <c r="C16" s="54"/>
      <c r="D16" s="55"/>
      <c r="E16" s="41"/>
      <c r="F16" s="42"/>
      <c r="G16" s="43"/>
      <c r="H16" s="47"/>
      <c r="I16" s="48"/>
      <c r="J16" s="47"/>
      <c r="K16" s="48"/>
      <c r="L16" s="47"/>
      <c r="M16" s="48"/>
      <c r="N16" s="47"/>
      <c r="O16" s="48"/>
      <c r="P16" s="47"/>
      <c r="Q16" s="48"/>
      <c r="R16" s="47"/>
      <c r="S16" s="48"/>
      <c r="T16" s="51"/>
      <c r="U16" s="52"/>
    </row>
    <row r="17" spans="1:21" ht="13" thickBot="1">
      <c r="A17" s="56"/>
      <c r="B17" s="54"/>
      <c r="C17" s="54"/>
      <c r="D17" s="55"/>
      <c r="E17" s="57" t="s">
        <v>36</v>
      </c>
      <c r="F17" s="54"/>
      <c r="G17" s="55"/>
      <c r="H17" s="45">
        <v>983</v>
      </c>
      <c r="I17" s="46"/>
      <c r="J17" s="45">
        <v>297</v>
      </c>
      <c r="K17" s="46"/>
      <c r="L17" s="45">
        <v>2471</v>
      </c>
      <c r="M17" s="46"/>
      <c r="N17" s="45">
        <v>4911</v>
      </c>
      <c r="O17" s="46"/>
      <c r="P17" s="45">
        <v>35115</v>
      </c>
      <c r="Q17" s="46"/>
      <c r="R17" s="45">
        <v>4235</v>
      </c>
      <c r="S17" s="46"/>
      <c r="T17" s="49">
        <f t="shared" ref="T17" si="0">SUM(H17:S18)</f>
        <v>48012</v>
      </c>
      <c r="U17" s="50"/>
    </row>
    <row r="18" spans="1:21" ht="13" thickBot="1">
      <c r="A18" s="56"/>
      <c r="B18" s="54"/>
      <c r="C18" s="54"/>
      <c r="D18" s="55"/>
      <c r="E18" s="41"/>
      <c r="F18" s="42"/>
      <c r="G18" s="43"/>
      <c r="H18" s="47"/>
      <c r="I18" s="48"/>
      <c r="J18" s="47"/>
      <c r="K18" s="48"/>
      <c r="L18" s="47"/>
      <c r="M18" s="48"/>
      <c r="N18" s="47"/>
      <c r="O18" s="48"/>
      <c r="P18" s="47"/>
      <c r="Q18" s="48"/>
      <c r="R18" s="47"/>
      <c r="S18" s="48"/>
      <c r="T18" s="51"/>
      <c r="U18" s="52"/>
    </row>
    <row r="19" spans="1:21" ht="13" thickBot="1">
      <c r="A19" s="56"/>
      <c r="B19" s="54"/>
      <c r="C19" s="54"/>
      <c r="D19" s="55"/>
      <c r="E19" s="58" t="s">
        <v>37</v>
      </c>
      <c r="F19" s="54"/>
      <c r="G19" s="55"/>
      <c r="H19" s="45">
        <v>1609</v>
      </c>
      <c r="I19" s="46"/>
      <c r="J19" s="45">
        <v>426</v>
      </c>
      <c r="K19" s="46"/>
      <c r="L19" s="45">
        <v>1264</v>
      </c>
      <c r="M19" s="46"/>
      <c r="N19" s="45">
        <v>238</v>
      </c>
      <c r="O19" s="46"/>
      <c r="P19" s="45">
        <v>8058</v>
      </c>
      <c r="Q19" s="46"/>
      <c r="R19" s="45">
        <v>1212</v>
      </c>
      <c r="S19" s="46"/>
      <c r="T19" s="49">
        <f t="shared" ref="T19" si="1">SUM(H19:S20)</f>
        <v>12807</v>
      </c>
      <c r="U19" s="50"/>
    </row>
    <row r="20" spans="1:21" ht="13" thickBot="1">
      <c r="A20" s="56"/>
      <c r="B20" s="54"/>
      <c r="C20" s="54"/>
      <c r="D20" s="55"/>
      <c r="E20" s="41"/>
      <c r="F20" s="42"/>
      <c r="G20" s="43"/>
      <c r="H20" s="47"/>
      <c r="I20" s="48"/>
      <c r="J20" s="47"/>
      <c r="K20" s="48"/>
      <c r="L20" s="47"/>
      <c r="M20" s="48"/>
      <c r="N20" s="47"/>
      <c r="O20" s="48"/>
      <c r="P20" s="47"/>
      <c r="Q20" s="48"/>
      <c r="R20" s="47"/>
      <c r="S20" s="48"/>
      <c r="T20" s="51"/>
      <c r="U20" s="52"/>
    </row>
    <row r="21" spans="1:21" ht="13" thickBot="1">
      <c r="A21" s="56"/>
      <c r="B21" s="54"/>
      <c r="C21" s="54"/>
      <c r="D21" s="55"/>
      <c r="E21" s="58" t="s">
        <v>23</v>
      </c>
      <c r="F21" s="54"/>
      <c r="G21" s="55"/>
      <c r="H21" s="45">
        <v>1</v>
      </c>
      <c r="I21" s="46"/>
      <c r="J21" s="59" t="s">
        <v>38</v>
      </c>
      <c r="K21" s="46"/>
      <c r="L21" s="59">
        <v>162</v>
      </c>
      <c r="M21" s="46"/>
      <c r="N21" s="45">
        <v>12</v>
      </c>
      <c r="O21" s="46"/>
      <c r="P21" s="45">
        <v>15</v>
      </c>
      <c r="Q21" s="46"/>
      <c r="R21" s="59">
        <v>264</v>
      </c>
      <c r="S21" s="46"/>
      <c r="T21" s="49">
        <f t="shared" ref="T21" si="2">SUM(H21:S22)</f>
        <v>454</v>
      </c>
      <c r="U21" s="50"/>
    </row>
    <row r="22" spans="1:21" ht="13" thickBot="1">
      <c r="A22" s="41"/>
      <c r="B22" s="42"/>
      <c r="C22" s="42"/>
      <c r="D22" s="43"/>
      <c r="E22" s="41"/>
      <c r="F22" s="42"/>
      <c r="G22" s="43"/>
      <c r="H22" s="47"/>
      <c r="I22" s="48"/>
      <c r="J22" s="47"/>
      <c r="K22" s="48"/>
      <c r="L22" s="47"/>
      <c r="M22" s="48"/>
      <c r="N22" s="47"/>
      <c r="O22" s="48"/>
      <c r="P22" s="47"/>
      <c r="Q22" s="48"/>
      <c r="R22" s="47"/>
      <c r="S22" s="48"/>
      <c r="T22" s="51"/>
      <c r="U22" s="52"/>
    </row>
    <row r="23" spans="1:21" ht="13" thickBot="1">
      <c r="A23" s="62" t="s">
        <v>39</v>
      </c>
      <c r="B23" s="54"/>
      <c r="C23" s="54"/>
      <c r="D23" s="55"/>
      <c r="E23" s="62" t="s">
        <v>40</v>
      </c>
      <c r="F23" s="54"/>
      <c r="G23" s="55"/>
      <c r="H23" s="60">
        <v>2943</v>
      </c>
      <c r="I23" s="55"/>
      <c r="J23" s="60">
        <v>771</v>
      </c>
      <c r="K23" s="55"/>
      <c r="L23" s="60">
        <v>5255</v>
      </c>
      <c r="M23" s="55"/>
      <c r="N23" s="60">
        <v>6228</v>
      </c>
      <c r="O23" s="55"/>
      <c r="P23" s="60">
        <v>48784</v>
      </c>
      <c r="Q23" s="55"/>
      <c r="R23" s="60">
        <v>6297</v>
      </c>
      <c r="S23" s="55"/>
      <c r="T23" s="49">
        <f t="shared" ref="T23" si="3">SUM(H23:S24)</f>
        <v>70278</v>
      </c>
      <c r="U23" s="50"/>
    </row>
    <row r="24" spans="1:21" ht="13" thickBot="1">
      <c r="A24" s="41"/>
      <c r="B24" s="42"/>
      <c r="C24" s="42"/>
      <c r="D24" s="43"/>
      <c r="E24" s="41"/>
      <c r="F24" s="42"/>
      <c r="G24" s="43"/>
      <c r="H24" s="41"/>
      <c r="I24" s="43"/>
      <c r="J24" s="41"/>
      <c r="K24" s="43"/>
      <c r="L24" s="41"/>
      <c r="M24" s="43"/>
      <c r="N24" s="41"/>
      <c r="O24" s="43"/>
      <c r="P24" s="41"/>
      <c r="Q24" s="43"/>
      <c r="R24" s="41"/>
      <c r="S24" s="43"/>
      <c r="T24" s="51"/>
      <c r="U24" s="52"/>
    </row>
    <row r="25" spans="1:21" ht="13" thickBot="1">
      <c r="A25" s="61" t="s">
        <v>10</v>
      </c>
      <c r="B25" s="54"/>
      <c r="C25" s="54"/>
      <c r="D25" s="55"/>
      <c r="E25" s="58" t="s">
        <v>41</v>
      </c>
      <c r="F25" s="54"/>
      <c r="G25" s="55"/>
      <c r="H25" s="45">
        <v>12053</v>
      </c>
      <c r="I25" s="46"/>
      <c r="J25" s="45">
        <v>1166</v>
      </c>
      <c r="K25" s="46"/>
      <c r="L25" s="45">
        <v>15365</v>
      </c>
      <c r="M25" s="46"/>
      <c r="N25" s="45">
        <v>6277</v>
      </c>
      <c r="O25" s="46"/>
      <c r="P25" s="45">
        <v>45136</v>
      </c>
      <c r="Q25" s="46"/>
      <c r="R25" s="45">
        <v>14607</v>
      </c>
      <c r="S25" s="46"/>
      <c r="T25" s="49">
        <v>94604</v>
      </c>
      <c r="U25" s="50"/>
    </row>
    <row r="26" spans="1:21" ht="12.5">
      <c r="A26" s="41"/>
      <c r="B26" s="42"/>
      <c r="C26" s="42"/>
      <c r="D26" s="43"/>
      <c r="E26" s="41"/>
      <c r="F26" s="42"/>
      <c r="G26" s="43"/>
      <c r="H26" s="47"/>
      <c r="I26" s="48"/>
      <c r="J26" s="47"/>
      <c r="K26" s="48"/>
      <c r="L26" s="47"/>
      <c r="M26" s="48"/>
      <c r="N26" s="47"/>
      <c r="O26" s="48"/>
      <c r="P26" s="47"/>
      <c r="Q26" s="48"/>
      <c r="R26" s="47"/>
      <c r="S26" s="48"/>
      <c r="T26" s="51"/>
      <c r="U26" s="52"/>
    </row>
    <row r="27" spans="1:21" ht="12.5">
      <c r="A27" s="61" t="s">
        <v>11</v>
      </c>
      <c r="B27" s="54"/>
      <c r="C27" s="54"/>
      <c r="D27" s="55"/>
      <c r="E27" s="57" t="s">
        <v>42</v>
      </c>
      <c r="F27" s="54"/>
      <c r="G27" s="55"/>
      <c r="H27" s="45">
        <v>94322</v>
      </c>
      <c r="I27" s="46"/>
      <c r="J27" s="45">
        <v>2162</v>
      </c>
      <c r="K27" s="46"/>
      <c r="L27" s="45">
        <v>126167</v>
      </c>
      <c r="M27" s="46"/>
      <c r="N27" s="45">
        <v>6993</v>
      </c>
      <c r="O27" s="46"/>
      <c r="P27" s="45">
        <v>8813</v>
      </c>
      <c r="Q27" s="46"/>
      <c r="R27" s="45">
        <v>114553</v>
      </c>
      <c r="S27" s="46"/>
      <c r="T27" s="49">
        <v>353010</v>
      </c>
      <c r="U27" s="50"/>
    </row>
    <row r="28" spans="1:21" ht="12.5">
      <c r="A28" s="41"/>
      <c r="B28" s="42"/>
      <c r="C28" s="42"/>
      <c r="D28" s="43"/>
      <c r="E28" s="41"/>
      <c r="F28" s="42"/>
      <c r="G28" s="43"/>
      <c r="H28" s="47"/>
      <c r="I28" s="48"/>
      <c r="J28" s="47"/>
      <c r="K28" s="48"/>
      <c r="L28" s="47"/>
      <c r="M28" s="48"/>
      <c r="N28" s="47"/>
      <c r="O28" s="48"/>
      <c r="P28" s="47"/>
      <c r="Q28" s="48"/>
      <c r="R28" s="47"/>
      <c r="S28" s="48"/>
      <c r="T28" s="51"/>
      <c r="U28" s="52"/>
    </row>
    <row r="29" spans="1:21" ht="12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spans="1:21" ht="12.75" customHeight="1">
      <c r="A30" s="63" t="s">
        <v>158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</row>
    <row r="31" spans="1:2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</row>
    <row r="32" spans="1:21" ht="13">
      <c r="A32" s="64" t="s">
        <v>43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</row>
    <row r="33" spans="1:21" ht="12.75" customHeight="1">
      <c r="A33" s="65" t="s">
        <v>44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</row>
    <row r="34" spans="1:21" ht="12.7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</row>
    <row r="35" spans="1:21" ht="12.75" customHeight="1">
      <c r="A35" s="65" t="s">
        <v>45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</row>
    <row r="36" spans="1:21" ht="12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</row>
    <row r="37" spans="1:21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ht="12.5">
      <c r="A38" s="66" t="s">
        <v>46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 spans="1:21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</sheetData>
  <mergeCells count="85">
    <mergeCell ref="T23:U24"/>
    <mergeCell ref="A37:U37"/>
    <mergeCell ref="A38:U39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T15:U16"/>
    <mergeCell ref="T17:U18"/>
    <mergeCell ref="T19:U20"/>
    <mergeCell ref="T21:U22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opLeftCell="A12" workbookViewId="0">
      <selection activeCell="O18" sqref="O18"/>
    </sheetView>
  </sheetViews>
  <sheetFormatPr defaultRowHeight="12.75" customHeight="1"/>
  <cols>
    <col min="1" max="1" width="18.1796875" bestFit="1" customWidth="1"/>
    <col min="2" max="13" width="8.1796875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47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32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7" t="s">
        <v>48</v>
      </c>
      <c r="B12" s="33" t="s">
        <v>26</v>
      </c>
      <c r="C12" s="34"/>
      <c r="D12" s="33" t="s">
        <v>27</v>
      </c>
      <c r="E12" s="34"/>
      <c r="F12" s="33" t="s">
        <v>49</v>
      </c>
      <c r="G12" s="34"/>
      <c r="H12" s="33" t="s">
        <v>29</v>
      </c>
      <c r="I12" s="34"/>
      <c r="J12" s="33" t="s">
        <v>30</v>
      </c>
      <c r="K12" s="34"/>
      <c r="L12" s="33" t="s">
        <v>50</v>
      </c>
      <c r="M12" s="34"/>
    </row>
    <row r="13" spans="1:13" ht="12.5">
      <c r="A13" s="28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7036</v>
      </c>
      <c r="C14" s="17">
        <v>7.45947E-2</v>
      </c>
      <c r="D14" s="16">
        <v>717</v>
      </c>
      <c r="E14" s="17">
        <v>0.33163740000000003</v>
      </c>
      <c r="F14" s="16">
        <v>8005</v>
      </c>
      <c r="G14" s="17">
        <v>6.3447699999999996E-2</v>
      </c>
      <c r="H14" s="16">
        <v>3826</v>
      </c>
      <c r="I14" s="17">
        <v>0.54711849999999995</v>
      </c>
      <c r="J14" s="16">
        <v>8733</v>
      </c>
      <c r="K14" s="17">
        <v>0.99092250000000004</v>
      </c>
      <c r="L14" s="16">
        <v>7827</v>
      </c>
      <c r="M14" s="17">
        <v>6.8326499999999998E-2</v>
      </c>
    </row>
    <row r="15" spans="1:13" ht="13">
      <c r="A15" s="12" t="s">
        <v>54</v>
      </c>
      <c r="B15" s="16">
        <v>6241</v>
      </c>
      <c r="C15" s="17">
        <v>6.6166299999999997E-2</v>
      </c>
      <c r="D15" s="16">
        <v>565</v>
      </c>
      <c r="E15" s="17">
        <v>0.26133210000000001</v>
      </c>
      <c r="F15" s="16">
        <v>8540</v>
      </c>
      <c r="G15" s="17">
        <v>6.7688100000000001E-2</v>
      </c>
      <c r="H15" s="16">
        <v>2770</v>
      </c>
      <c r="I15" s="17">
        <v>0.39611039999999997</v>
      </c>
      <c r="J15" s="16">
        <v>34</v>
      </c>
      <c r="K15" s="17">
        <v>3.8579E-3</v>
      </c>
      <c r="L15" s="16">
        <v>8530</v>
      </c>
      <c r="M15" s="17">
        <v>7.4463299999999996E-2</v>
      </c>
    </row>
    <row r="16" spans="1:13" ht="13">
      <c r="A16" s="12" t="s">
        <v>55</v>
      </c>
      <c r="B16" s="16">
        <v>5678</v>
      </c>
      <c r="C16" s="17">
        <v>6.0197399999999998E-2</v>
      </c>
      <c r="D16" s="16">
        <v>359</v>
      </c>
      <c r="E16" s="17">
        <v>0.16605</v>
      </c>
      <c r="F16" s="16">
        <v>7649</v>
      </c>
      <c r="G16" s="17">
        <v>6.0625999999999999E-2</v>
      </c>
      <c r="H16" s="16">
        <v>396</v>
      </c>
      <c r="I16" s="17">
        <v>5.6628100000000001E-2</v>
      </c>
      <c r="J16" s="16">
        <v>46</v>
      </c>
      <c r="K16" s="17">
        <v>5.2195999999999996E-3</v>
      </c>
      <c r="L16" s="16">
        <v>7623</v>
      </c>
      <c r="M16" s="17">
        <v>6.6545599999999996E-2</v>
      </c>
    </row>
    <row r="17" spans="1:13" ht="13">
      <c r="A17" s="12" t="s">
        <v>56</v>
      </c>
      <c r="B17" s="16">
        <v>5041</v>
      </c>
      <c r="C17" s="17">
        <v>5.3443999999999998E-2</v>
      </c>
      <c r="D17" s="16">
        <v>268</v>
      </c>
      <c r="E17" s="17">
        <v>0.12395929999999999</v>
      </c>
      <c r="F17" s="16">
        <v>6551</v>
      </c>
      <c r="G17" s="17">
        <v>5.1923200000000003E-2</v>
      </c>
      <c r="H17" s="15"/>
      <c r="I17" s="15"/>
      <c r="J17" s="15"/>
      <c r="K17" s="15"/>
      <c r="L17" s="16">
        <v>6569</v>
      </c>
      <c r="M17" s="17">
        <v>5.7344600000000003E-2</v>
      </c>
    </row>
    <row r="18" spans="1:13" ht="13">
      <c r="A18" s="12" t="s">
        <v>57</v>
      </c>
      <c r="B18" s="16">
        <v>4141</v>
      </c>
      <c r="C18" s="17">
        <v>4.3902299999999998E-2</v>
      </c>
      <c r="D18" s="16">
        <v>239</v>
      </c>
      <c r="E18" s="17">
        <v>0.1105458</v>
      </c>
      <c r="F18" s="16">
        <v>6207</v>
      </c>
      <c r="G18" s="17">
        <v>4.9196700000000003E-2</v>
      </c>
      <c r="H18" s="15"/>
      <c r="I18" s="15"/>
      <c r="J18" s="15"/>
      <c r="K18" s="15"/>
      <c r="L18" s="16">
        <v>6256</v>
      </c>
      <c r="M18" s="17">
        <v>5.4612300000000003E-2</v>
      </c>
    </row>
    <row r="19" spans="1:13" ht="13">
      <c r="A19" s="12" t="s">
        <v>58</v>
      </c>
      <c r="B19" s="16">
        <v>5335</v>
      </c>
      <c r="C19" s="17">
        <v>5.6561E-2</v>
      </c>
      <c r="D19" s="16">
        <v>14</v>
      </c>
      <c r="E19" s="17">
        <v>6.4755000000000004E-3</v>
      </c>
      <c r="F19" s="16">
        <v>7450</v>
      </c>
      <c r="G19" s="17">
        <v>5.9048700000000003E-2</v>
      </c>
      <c r="H19" s="15"/>
      <c r="I19" s="15"/>
      <c r="J19" s="15"/>
      <c r="K19" s="15"/>
      <c r="L19" s="16">
        <v>7594</v>
      </c>
      <c r="M19" s="17">
        <v>6.6292500000000004E-2</v>
      </c>
    </row>
    <row r="20" spans="1:13" ht="13">
      <c r="A20" s="12" t="s">
        <v>59</v>
      </c>
      <c r="B20" s="16">
        <v>5768</v>
      </c>
      <c r="C20" s="17">
        <v>6.11516E-2</v>
      </c>
      <c r="D20" s="15"/>
      <c r="E20" s="15"/>
      <c r="F20" s="16">
        <v>8223</v>
      </c>
      <c r="G20" s="17">
        <v>6.5175499999999997E-2</v>
      </c>
      <c r="H20" s="15"/>
      <c r="I20" s="15"/>
      <c r="J20" s="15"/>
      <c r="K20" s="15"/>
      <c r="L20" s="16">
        <v>8409</v>
      </c>
      <c r="M20" s="17">
        <v>7.3407100000000003E-2</v>
      </c>
    </row>
    <row r="21" spans="1:13" ht="13">
      <c r="A21" s="12" t="s">
        <v>60</v>
      </c>
      <c r="B21" s="16">
        <v>6229</v>
      </c>
      <c r="C21" s="17">
        <v>6.6039E-2</v>
      </c>
      <c r="D21" s="15"/>
      <c r="E21" s="15"/>
      <c r="F21" s="16">
        <v>8238</v>
      </c>
      <c r="G21" s="17">
        <v>6.5294400000000002E-2</v>
      </c>
      <c r="H21" s="16">
        <v>1</v>
      </c>
      <c r="I21" s="17">
        <v>1.4300000000000001E-4</v>
      </c>
      <c r="J21" s="15"/>
      <c r="K21" s="15"/>
      <c r="L21" s="16">
        <v>8452</v>
      </c>
      <c r="M21" s="17">
        <v>7.3782399999999998E-2</v>
      </c>
    </row>
    <row r="22" spans="1:13" ht="13">
      <c r="A22" s="12" t="s">
        <v>61</v>
      </c>
      <c r="B22" s="16">
        <v>5857</v>
      </c>
      <c r="C22" s="17">
        <v>6.20951E-2</v>
      </c>
      <c r="D22" s="15"/>
      <c r="E22" s="15"/>
      <c r="F22" s="16">
        <v>8354</v>
      </c>
      <c r="G22" s="17">
        <v>6.6213800000000003E-2</v>
      </c>
      <c r="H22" s="15"/>
      <c r="I22" s="15"/>
      <c r="J22" s="15"/>
      <c r="K22" s="15"/>
      <c r="L22" s="16">
        <v>8571</v>
      </c>
      <c r="M22" s="17">
        <v>7.4821299999999993E-2</v>
      </c>
    </row>
    <row r="23" spans="1:13" ht="13">
      <c r="A23" s="12" t="s">
        <v>62</v>
      </c>
      <c r="B23" s="16">
        <v>5391</v>
      </c>
      <c r="C23" s="17">
        <v>5.7154700000000003E-2</v>
      </c>
      <c r="D23" s="15"/>
      <c r="E23" s="15"/>
      <c r="F23" s="16">
        <v>8105</v>
      </c>
      <c r="G23" s="17">
        <v>6.42403E-2</v>
      </c>
      <c r="H23" s="15"/>
      <c r="I23" s="15"/>
      <c r="J23" s="15"/>
      <c r="K23" s="15"/>
      <c r="L23" s="16">
        <v>8198</v>
      </c>
      <c r="M23" s="17">
        <v>7.1565100000000006E-2</v>
      </c>
    </row>
    <row r="24" spans="1:13" ht="13">
      <c r="A24" s="12" t="s">
        <v>63</v>
      </c>
      <c r="B24" s="16">
        <v>4615</v>
      </c>
      <c r="C24" s="17">
        <v>4.8927600000000002E-2</v>
      </c>
      <c r="D24" s="15"/>
      <c r="E24" s="15"/>
      <c r="F24" s="16">
        <v>6823</v>
      </c>
      <c r="G24" s="17">
        <v>5.4079099999999998E-2</v>
      </c>
      <c r="H24" s="15"/>
      <c r="I24" s="15"/>
      <c r="J24" s="15"/>
      <c r="K24" s="15"/>
      <c r="L24" s="16">
        <v>6605</v>
      </c>
      <c r="M24" s="17">
        <v>5.7658899999999999E-2</v>
      </c>
    </row>
    <row r="25" spans="1:13" ht="13">
      <c r="A25" s="12" t="s">
        <v>64</v>
      </c>
      <c r="B25" s="16">
        <v>4627</v>
      </c>
      <c r="C25" s="17">
        <v>4.9054800000000003E-2</v>
      </c>
      <c r="D25" s="15"/>
      <c r="E25" s="15"/>
      <c r="F25" s="16">
        <v>6452</v>
      </c>
      <c r="G25" s="17">
        <v>5.1138599999999999E-2</v>
      </c>
      <c r="H25" s="15"/>
      <c r="I25" s="15"/>
      <c r="J25" s="15"/>
      <c r="K25" s="15"/>
      <c r="L25" s="16">
        <v>6636</v>
      </c>
      <c r="M25" s="17">
        <v>5.7929500000000002E-2</v>
      </c>
    </row>
    <row r="26" spans="1:13" ht="13">
      <c r="A26" s="12" t="s">
        <v>65</v>
      </c>
      <c r="B26" s="16">
        <v>4885</v>
      </c>
      <c r="C26" s="17">
        <v>5.1790099999999999E-2</v>
      </c>
      <c r="D26" s="15"/>
      <c r="E26" s="15"/>
      <c r="F26" s="16">
        <v>7413</v>
      </c>
      <c r="G26" s="17">
        <v>5.8755500000000002E-2</v>
      </c>
      <c r="H26" s="15"/>
      <c r="I26" s="15"/>
      <c r="J26" s="15"/>
      <c r="K26" s="15"/>
      <c r="L26" s="16">
        <v>7536</v>
      </c>
      <c r="M26" s="17">
        <v>6.57861E-2</v>
      </c>
    </row>
    <row r="27" spans="1:13" ht="13">
      <c r="A27" s="12" t="s">
        <v>66</v>
      </c>
      <c r="B27" s="16">
        <v>5508</v>
      </c>
      <c r="C27" s="17">
        <v>5.8395099999999998E-2</v>
      </c>
      <c r="D27" s="15"/>
      <c r="E27" s="15"/>
      <c r="F27" s="16">
        <v>7459</v>
      </c>
      <c r="G27" s="17">
        <v>5.9120100000000002E-2</v>
      </c>
      <c r="H27" s="15"/>
      <c r="I27" s="15"/>
      <c r="J27" s="15"/>
      <c r="K27" s="15"/>
      <c r="L27" s="16">
        <v>7467</v>
      </c>
      <c r="M27" s="17">
        <v>6.51838E-2</v>
      </c>
    </row>
    <row r="28" spans="1:13" ht="13">
      <c r="A28" s="12" t="s">
        <v>67</v>
      </c>
      <c r="B28" s="16">
        <v>6671</v>
      </c>
      <c r="C28" s="17">
        <v>7.0725099999999999E-2</v>
      </c>
      <c r="D28" s="15"/>
      <c r="E28" s="15"/>
      <c r="F28" s="16">
        <v>7743</v>
      </c>
      <c r="G28" s="17">
        <v>6.1371000000000002E-2</v>
      </c>
      <c r="H28" s="15"/>
      <c r="I28" s="15"/>
      <c r="J28" s="15"/>
      <c r="K28" s="15"/>
      <c r="L28" s="16">
        <v>7624</v>
      </c>
      <c r="M28" s="17">
        <v>6.6554299999999997E-2</v>
      </c>
    </row>
    <row r="29" spans="1:13" ht="13">
      <c r="A29" s="12" t="s">
        <v>68</v>
      </c>
      <c r="B29" s="16">
        <v>6123</v>
      </c>
      <c r="C29" s="17">
        <v>6.4915200000000006E-2</v>
      </c>
      <c r="D29" s="15"/>
      <c r="E29" s="15"/>
      <c r="F29" s="16">
        <v>7448</v>
      </c>
      <c r="G29" s="17">
        <v>5.9032899999999999E-2</v>
      </c>
      <c r="H29" s="15"/>
      <c r="I29" s="15"/>
      <c r="J29" s="15"/>
      <c r="K29" s="15"/>
      <c r="L29" s="16">
        <v>656</v>
      </c>
      <c r="M29" s="17">
        <v>5.7266000000000001E-3</v>
      </c>
    </row>
    <row r="30" spans="1:13" ht="13">
      <c r="A30" s="12" t="s">
        <v>69</v>
      </c>
      <c r="B30" s="16">
        <v>5177</v>
      </c>
      <c r="C30" s="17">
        <v>5.4885900000000001E-2</v>
      </c>
      <c r="D30" s="15"/>
      <c r="E30" s="15"/>
      <c r="F30" s="16">
        <v>5507</v>
      </c>
      <c r="G30" s="17">
        <v>4.36485E-2</v>
      </c>
      <c r="H30" s="15"/>
      <c r="I30" s="15"/>
      <c r="J30" s="15"/>
      <c r="K30" s="15"/>
      <c r="L30" s="15"/>
      <c r="M30" s="15"/>
    </row>
    <row r="31" spans="1:13" ht="13">
      <c r="A31" s="18" t="s">
        <v>32</v>
      </c>
      <c r="B31" s="19">
        <v>94323</v>
      </c>
      <c r="C31" s="20">
        <v>0.99999990000000005</v>
      </c>
      <c r="D31" s="19">
        <v>2162</v>
      </c>
      <c r="E31" s="20">
        <v>1.0000001000000001</v>
      </c>
      <c r="F31" s="19">
        <v>126167</v>
      </c>
      <c r="G31" s="20">
        <v>1.0000001000000001</v>
      </c>
      <c r="H31" s="19">
        <v>6993</v>
      </c>
      <c r="I31" s="20">
        <v>1</v>
      </c>
      <c r="J31" s="19">
        <v>8813</v>
      </c>
      <c r="K31" s="20">
        <v>1</v>
      </c>
      <c r="L31" s="19">
        <v>114553</v>
      </c>
      <c r="M31" s="20">
        <v>0.99999990000000005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topLeftCell="A12" workbookViewId="0">
      <selection activeCell="Q30" sqref="Q30"/>
    </sheetView>
  </sheetViews>
  <sheetFormatPr defaultRowHeight="12.75" customHeight="1"/>
  <cols>
    <col min="1" max="1" width="19.453125" bestFit="1" customWidth="1"/>
    <col min="2" max="13" width="8.1796875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160</v>
      </c>
      <c r="I1" s="6"/>
      <c r="J1" s="6"/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32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7" t="s">
        <v>70</v>
      </c>
      <c r="B12" s="33" t="s">
        <v>26</v>
      </c>
      <c r="C12" s="34"/>
      <c r="D12" s="33" t="s">
        <v>27</v>
      </c>
      <c r="E12" s="34"/>
      <c r="F12" s="35" t="s">
        <v>71</v>
      </c>
      <c r="G12" s="34"/>
      <c r="H12" s="33" t="s">
        <v>29</v>
      </c>
      <c r="I12" s="34"/>
      <c r="J12" s="33" t="s">
        <v>30</v>
      </c>
      <c r="K12" s="34"/>
      <c r="L12" s="35" t="s">
        <v>72</v>
      </c>
      <c r="M12" s="34"/>
    </row>
    <row r="13" spans="1:13" ht="12.5">
      <c r="A13" s="28"/>
      <c r="B13" s="13" t="s">
        <v>73</v>
      </c>
      <c r="C13" s="13" t="s">
        <v>52</v>
      </c>
      <c r="D13" s="13" t="s">
        <v>73</v>
      </c>
      <c r="E13" s="13" t="s">
        <v>52</v>
      </c>
      <c r="F13" s="13" t="s">
        <v>73</v>
      </c>
      <c r="G13" s="13" t="s">
        <v>52</v>
      </c>
      <c r="H13" s="13" t="s">
        <v>73</v>
      </c>
      <c r="I13" s="13" t="s">
        <v>52</v>
      </c>
      <c r="J13" s="13" t="s">
        <v>73</v>
      </c>
      <c r="K13" s="13" t="s">
        <v>52</v>
      </c>
      <c r="L13" s="13" t="s">
        <v>73</v>
      </c>
      <c r="M13" s="13" t="s">
        <v>52</v>
      </c>
    </row>
    <row r="14" spans="1:13" ht="13">
      <c r="A14" s="11" t="s">
        <v>15</v>
      </c>
      <c r="B14" s="16">
        <v>332</v>
      </c>
      <c r="C14" s="17">
        <v>0.25151519999999999</v>
      </c>
      <c r="D14" s="16">
        <v>41</v>
      </c>
      <c r="E14" s="17">
        <v>0.1213018</v>
      </c>
      <c r="F14" s="16">
        <v>1540</v>
      </c>
      <c r="G14" s="17">
        <v>0.36903906062784569</v>
      </c>
      <c r="H14" s="16">
        <v>1004</v>
      </c>
      <c r="I14" s="17">
        <v>0.16916600000000001</v>
      </c>
      <c r="J14" s="16">
        <v>5914</v>
      </c>
      <c r="K14" s="17">
        <v>0.1252356</v>
      </c>
      <c r="L14" s="16">
        <v>762</v>
      </c>
      <c r="M14" s="17">
        <v>0.14483938414750047</v>
      </c>
    </row>
    <row r="15" spans="1:13" ht="13">
      <c r="A15" s="12" t="s">
        <v>16</v>
      </c>
      <c r="B15" s="16">
        <v>30</v>
      </c>
      <c r="C15" s="17">
        <v>2.2727299999999999E-2</v>
      </c>
      <c r="D15" s="16">
        <v>11</v>
      </c>
      <c r="E15" s="17">
        <v>3.2544400000000001E-2</v>
      </c>
      <c r="F15" s="16">
        <v>106</v>
      </c>
      <c r="G15" s="17">
        <v>2.5401389887371197E-2</v>
      </c>
      <c r="H15" s="16">
        <v>59</v>
      </c>
      <c r="I15" s="17">
        <v>9.9410000000000002E-3</v>
      </c>
      <c r="J15" s="16">
        <v>1781</v>
      </c>
      <c r="K15" s="17">
        <v>3.7714699999999997E-2</v>
      </c>
      <c r="L15" s="16">
        <v>122</v>
      </c>
      <c r="M15" s="17">
        <v>2.3189507698156243E-2</v>
      </c>
    </row>
    <row r="16" spans="1:13" ht="13">
      <c r="A16" s="12" t="s">
        <v>17</v>
      </c>
      <c r="B16" s="16">
        <v>253</v>
      </c>
      <c r="C16" s="17">
        <v>0.1916667</v>
      </c>
      <c r="D16" s="16">
        <v>67</v>
      </c>
      <c r="E16" s="17">
        <v>0.19822490000000001</v>
      </c>
      <c r="F16" s="16">
        <v>1237</v>
      </c>
      <c r="G16" s="17">
        <v>0.29642942727054877</v>
      </c>
      <c r="H16" s="16">
        <v>712</v>
      </c>
      <c r="I16" s="17">
        <v>0.1199663</v>
      </c>
      <c r="J16" s="16">
        <v>3185</v>
      </c>
      <c r="K16" s="17">
        <v>6.7445900000000003E-2</v>
      </c>
      <c r="L16" s="16">
        <v>1548</v>
      </c>
      <c r="M16" s="17">
        <v>0.29424063866185135</v>
      </c>
    </row>
    <row r="17" spans="1:13" ht="13">
      <c r="A17" s="12" t="s">
        <v>18</v>
      </c>
      <c r="B17" s="16">
        <v>64</v>
      </c>
      <c r="C17" s="17">
        <v>4.8484800000000002E-2</v>
      </c>
      <c r="D17" s="16">
        <v>42</v>
      </c>
      <c r="E17" s="17">
        <v>0.12426039999999999</v>
      </c>
      <c r="F17" s="16">
        <v>215</v>
      </c>
      <c r="G17" s="17">
        <v>5.1521687035705727E-2</v>
      </c>
      <c r="H17" s="16">
        <v>1187</v>
      </c>
      <c r="I17" s="17">
        <v>0.2</v>
      </c>
      <c r="J17" s="16">
        <v>6748</v>
      </c>
      <c r="K17" s="17">
        <v>0.14289650000000001</v>
      </c>
      <c r="L17" s="16">
        <v>340</v>
      </c>
      <c r="M17" s="17">
        <v>6.462649686371412E-2</v>
      </c>
    </row>
    <row r="18" spans="1:13" ht="13">
      <c r="A18" s="12" t="s">
        <v>19</v>
      </c>
      <c r="B18" s="16">
        <v>500</v>
      </c>
      <c r="C18" s="17">
        <v>0.37878790000000001</v>
      </c>
      <c r="D18" s="16">
        <v>117</v>
      </c>
      <c r="E18" s="17">
        <v>0.34615380000000001</v>
      </c>
      <c r="F18" s="16">
        <v>210</v>
      </c>
      <c r="G18" s="17">
        <v>5.0323508267433502E-2</v>
      </c>
      <c r="H18" s="16">
        <v>2112</v>
      </c>
      <c r="I18" s="17">
        <v>0.35585509999999998</v>
      </c>
      <c r="J18" s="16">
        <v>20627</v>
      </c>
      <c r="K18" s="17">
        <v>0.43679990000000002</v>
      </c>
      <c r="L18" s="16">
        <v>1105</v>
      </c>
      <c r="M18" s="17">
        <v>0.21003611480707091</v>
      </c>
    </row>
    <row r="19" spans="1:13" ht="13">
      <c r="A19" s="12" t="s">
        <v>20</v>
      </c>
      <c r="B19" s="21" t="s">
        <v>38</v>
      </c>
      <c r="C19" s="15"/>
      <c r="D19" s="21" t="s">
        <v>38</v>
      </c>
      <c r="E19" s="15"/>
      <c r="F19" s="16">
        <v>700</v>
      </c>
      <c r="G19" s="17">
        <v>0.16774502755811166</v>
      </c>
      <c r="H19" s="16">
        <v>34</v>
      </c>
      <c r="I19" s="17">
        <v>5.7286999999999998E-3</v>
      </c>
      <c r="J19" s="16">
        <v>390</v>
      </c>
      <c r="K19" s="17">
        <v>8.2587000000000008E-3</v>
      </c>
      <c r="L19" s="16">
        <v>1120</v>
      </c>
      <c r="M19" s="17">
        <v>0.21288728378635241</v>
      </c>
    </row>
    <row r="20" spans="1:13" ht="13">
      <c r="A20" s="12" t="s">
        <v>21</v>
      </c>
      <c r="B20" s="16">
        <v>112</v>
      </c>
      <c r="C20" s="17">
        <v>8.4848499999999993E-2</v>
      </c>
      <c r="D20" s="16">
        <v>57</v>
      </c>
      <c r="E20" s="17">
        <v>0.16863909999999999</v>
      </c>
      <c r="F20" s="16">
        <v>2</v>
      </c>
      <c r="G20" s="17">
        <v>4.7927150730889051E-4</v>
      </c>
      <c r="H20" s="16">
        <v>806</v>
      </c>
      <c r="I20" s="17">
        <v>0.13580449999999999</v>
      </c>
      <c r="J20" s="16">
        <v>7812</v>
      </c>
      <c r="K20" s="17">
        <v>0.16542789999999999</v>
      </c>
      <c r="L20" s="16">
        <v>0</v>
      </c>
      <c r="M20" s="17"/>
    </row>
    <row r="21" spans="1:13" ht="13">
      <c r="A21" s="12" t="s">
        <v>22</v>
      </c>
      <c r="B21" s="16">
        <v>28</v>
      </c>
      <c r="C21" s="17">
        <v>2.1212100000000001E-2</v>
      </c>
      <c r="D21" s="16">
        <v>3</v>
      </c>
      <c r="E21" s="17">
        <v>8.8757000000000003E-3</v>
      </c>
      <c r="F21" s="16">
        <v>1</v>
      </c>
      <c r="G21" s="17">
        <v>2.3963575365444525E-4</v>
      </c>
      <c r="H21" s="16">
        <v>9</v>
      </c>
      <c r="I21" s="17">
        <v>1.5164E-3</v>
      </c>
      <c r="J21" s="16">
        <v>751</v>
      </c>
      <c r="K21" s="17">
        <v>1.5903299999999999E-2</v>
      </c>
      <c r="L21" s="16">
        <v>0</v>
      </c>
      <c r="M21" s="17"/>
    </row>
    <row r="22" spans="1:13" ht="13">
      <c r="A22" s="12" t="s">
        <v>23</v>
      </c>
      <c r="B22" s="16">
        <v>1</v>
      </c>
      <c r="C22" s="17">
        <v>7.5759999999999998E-4</v>
      </c>
      <c r="D22" s="21" t="s">
        <v>38</v>
      </c>
      <c r="E22" s="15"/>
      <c r="F22" s="16">
        <v>162</v>
      </c>
      <c r="G22" s="17">
        <v>3.8820992092020126E-2</v>
      </c>
      <c r="H22" s="16">
        <v>12</v>
      </c>
      <c r="I22" s="17">
        <v>2.0219000000000001E-3</v>
      </c>
      <c r="J22" s="16">
        <v>15</v>
      </c>
      <c r="K22" s="17">
        <v>3.1760000000000002E-4</v>
      </c>
      <c r="L22" s="16">
        <v>264</v>
      </c>
      <c r="M22" s="17">
        <v>5.0180574035354489E-2</v>
      </c>
    </row>
    <row r="23" spans="1:13" ht="13">
      <c r="A23" s="18" t="s">
        <v>32</v>
      </c>
      <c r="B23" s="19">
        <v>1320</v>
      </c>
      <c r="C23" s="20">
        <v>1</v>
      </c>
      <c r="D23" s="19">
        <v>338</v>
      </c>
      <c r="E23" s="20">
        <v>1</v>
      </c>
      <c r="F23" s="19">
        <v>4173</v>
      </c>
      <c r="G23" s="20">
        <v>1</v>
      </c>
      <c r="H23" s="19">
        <v>5935</v>
      </c>
      <c r="I23" s="20">
        <v>1</v>
      </c>
      <c r="J23" s="19">
        <v>47223</v>
      </c>
      <c r="K23" s="20">
        <v>1</v>
      </c>
      <c r="L23" s="19">
        <v>5261</v>
      </c>
      <c r="M23" s="20">
        <v>1</v>
      </c>
    </row>
    <row r="24" spans="1:13" ht="12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ht="13">
      <c r="A25" s="68" t="s">
        <v>74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ht="13">
      <c r="A26" s="69" t="s">
        <v>159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 ht="12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topLeftCell="A12" workbookViewId="0">
      <selection activeCell="T33" sqref="T33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18" width="8.1796875" customWidth="1"/>
  </cols>
  <sheetData>
    <row r="1" spans="1:18" ht="23.25" customHeight="1">
      <c r="A1" s="28"/>
      <c r="B1" s="28"/>
      <c r="C1" s="28"/>
      <c r="D1" s="28"/>
      <c r="E1" s="28"/>
      <c r="F1" s="28"/>
      <c r="G1" s="28"/>
      <c r="H1" s="6" t="s">
        <v>162</v>
      </c>
      <c r="I1" s="6"/>
      <c r="J1" s="6"/>
    </row>
    <row r="2" spans="1:18" ht="12.75" customHeight="1">
      <c r="A2" s="28"/>
      <c r="B2" s="28"/>
      <c r="C2" s="28"/>
      <c r="D2" s="28"/>
      <c r="E2" s="28"/>
      <c r="F2" s="28"/>
      <c r="G2" s="28"/>
    </row>
    <row r="3" spans="1:18" ht="12.75" customHeight="1">
      <c r="A3" s="28"/>
      <c r="B3" s="28"/>
      <c r="C3" s="28"/>
      <c r="D3" s="28"/>
      <c r="E3" s="28"/>
      <c r="F3" s="28"/>
      <c r="G3" s="28"/>
    </row>
    <row r="4" spans="1:18" ht="12.75" customHeight="1">
      <c r="A4" s="28"/>
      <c r="B4" s="28"/>
      <c r="C4" s="28"/>
      <c r="D4" s="28"/>
      <c r="E4" s="28"/>
      <c r="F4" s="28"/>
      <c r="G4" s="28"/>
    </row>
    <row r="5" spans="1:18" ht="12.75" customHeight="1">
      <c r="A5" s="28"/>
      <c r="B5" s="28"/>
      <c r="C5" s="28"/>
      <c r="D5" s="28"/>
      <c r="E5" s="28"/>
      <c r="F5" s="28"/>
      <c r="G5" s="28"/>
    </row>
    <row r="6" spans="1:18" ht="12.75" customHeight="1">
      <c r="A6" s="28"/>
      <c r="B6" s="28"/>
      <c r="C6" s="28"/>
      <c r="D6" s="28"/>
      <c r="E6" s="28"/>
      <c r="F6" s="28"/>
      <c r="G6" s="28"/>
    </row>
    <row r="7" spans="1:18" ht="12.75" customHeight="1">
      <c r="A7" s="28"/>
      <c r="B7" s="28"/>
      <c r="C7" s="28"/>
      <c r="D7" s="28"/>
      <c r="E7" s="28"/>
      <c r="F7" s="28"/>
      <c r="G7" s="28"/>
    </row>
    <row r="8" spans="1:18" ht="12.75" customHeight="1">
      <c r="A8" s="28"/>
      <c r="B8" s="28"/>
      <c r="C8" s="28"/>
      <c r="D8" s="28"/>
      <c r="E8" s="28"/>
      <c r="F8" s="28"/>
      <c r="G8" s="28"/>
    </row>
    <row r="9" spans="1:18" ht="12.75" customHeight="1">
      <c r="A9" s="28"/>
      <c r="B9" s="28"/>
      <c r="C9" s="28"/>
      <c r="D9" s="28"/>
      <c r="E9" s="28"/>
      <c r="F9" s="28"/>
      <c r="G9" s="28"/>
    </row>
    <row r="10" spans="1:18" ht="12.75" customHeight="1">
      <c r="A10" s="28"/>
      <c r="B10" s="28"/>
      <c r="C10" s="28"/>
      <c r="D10" s="28"/>
      <c r="E10" s="28"/>
      <c r="F10" s="28"/>
      <c r="G10" s="28"/>
    </row>
    <row r="11" spans="1:18" ht="12.5">
      <c r="A11" s="32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18.75" customHeight="1">
      <c r="A12" s="67" t="s">
        <v>75</v>
      </c>
      <c r="B12" s="28"/>
      <c r="C12" s="28"/>
      <c r="D12" s="28"/>
      <c r="E12" s="28"/>
      <c r="F12" s="28"/>
      <c r="G12" s="33" t="s">
        <v>26</v>
      </c>
      <c r="H12" s="34"/>
      <c r="I12" s="33" t="s">
        <v>27</v>
      </c>
      <c r="J12" s="34"/>
      <c r="K12" s="35" t="s">
        <v>76</v>
      </c>
      <c r="L12" s="34"/>
      <c r="M12" s="33" t="s">
        <v>29</v>
      </c>
      <c r="N12" s="34"/>
      <c r="O12" s="33" t="s">
        <v>30</v>
      </c>
      <c r="P12" s="34"/>
      <c r="Q12" s="35" t="s">
        <v>77</v>
      </c>
      <c r="R12" s="34"/>
    </row>
    <row r="13" spans="1:18" ht="12.5">
      <c r="A13" s="28"/>
      <c r="B13" s="28"/>
      <c r="C13" s="28"/>
      <c r="D13" s="28"/>
      <c r="E13" s="28"/>
      <c r="F13" s="28"/>
      <c r="G13" s="13" t="s">
        <v>73</v>
      </c>
      <c r="H13" s="13" t="s">
        <v>52</v>
      </c>
      <c r="I13" s="13" t="s">
        <v>73</v>
      </c>
      <c r="J13" s="13" t="s">
        <v>52</v>
      </c>
      <c r="K13" s="13" t="s">
        <v>73</v>
      </c>
      <c r="L13" s="13" t="s">
        <v>52</v>
      </c>
      <c r="M13" s="13" t="s">
        <v>73</v>
      </c>
      <c r="N13" s="13" t="s">
        <v>52</v>
      </c>
      <c r="O13" s="13" t="s">
        <v>73</v>
      </c>
      <c r="P13" s="13" t="s">
        <v>52</v>
      </c>
      <c r="Q13" s="13" t="s">
        <v>73</v>
      </c>
      <c r="R13" s="13" t="s">
        <v>52</v>
      </c>
    </row>
    <row r="14" spans="1:18" ht="12.5">
      <c r="A14" s="22" t="s">
        <v>15</v>
      </c>
      <c r="B14" s="14"/>
      <c r="C14" s="70" t="s">
        <v>78</v>
      </c>
      <c r="D14" s="71"/>
      <c r="E14" s="71"/>
      <c r="F14" s="34"/>
      <c r="G14" s="23">
        <v>332</v>
      </c>
      <c r="H14" s="24">
        <v>0.25151519999999999</v>
      </c>
      <c r="I14" s="23">
        <v>41</v>
      </c>
      <c r="J14" s="24">
        <v>0.1213018</v>
      </c>
      <c r="K14" s="23">
        <v>1540</v>
      </c>
      <c r="L14" s="24">
        <v>0.36903906062784569</v>
      </c>
      <c r="M14" s="23">
        <v>1004</v>
      </c>
      <c r="N14" s="24">
        <v>0.16916600000000001</v>
      </c>
      <c r="O14" s="23">
        <v>5914</v>
      </c>
      <c r="P14" s="24">
        <v>0.1252356</v>
      </c>
      <c r="Q14" s="23">
        <v>762</v>
      </c>
      <c r="R14" s="24">
        <v>0.14483938414750047</v>
      </c>
    </row>
    <row r="15" spans="1:18" ht="12.5">
      <c r="A15" s="25" t="s">
        <v>16</v>
      </c>
      <c r="B15" s="26" t="s">
        <v>79</v>
      </c>
      <c r="C15" s="72" t="s">
        <v>80</v>
      </c>
      <c r="D15" s="42"/>
      <c r="E15" s="42"/>
      <c r="F15" s="43"/>
      <c r="G15" s="23">
        <v>30</v>
      </c>
      <c r="H15" s="24">
        <v>2.2727299999999999E-2</v>
      </c>
      <c r="I15" s="23">
        <v>11</v>
      </c>
      <c r="J15" s="24">
        <v>3.2544400000000001E-2</v>
      </c>
      <c r="K15" s="23">
        <v>106</v>
      </c>
      <c r="L15" s="24">
        <v>2.5401389887371197E-2</v>
      </c>
      <c r="M15" s="23">
        <v>59</v>
      </c>
      <c r="N15" s="24">
        <v>9.9410000000000002E-3</v>
      </c>
      <c r="O15" s="23">
        <v>1781</v>
      </c>
      <c r="P15" s="24">
        <v>3.7714699999999997E-2</v>
      </c>
      <c r="Q15" s="23">
        <v>122</v>
      </c>
      <c r="R15" s="24">
        <v>2.3189507698156243E-2</v>
      </c>
    </row>
    <row r="16" spans="1:18" ht="12.5">
      <c r="A16" s="73" t="s">
        <v>17</v>
      </c>
      <c r="B16" s="26" t="s">
        <v>81</v>
      </c>
      <c r="C16" s="72" t="s">
        <v>82</v>
      </c>
      <c r="D16" s="42"/>
      <c r="E16" s="42"/>
      <c r="F16" s="43"/>
      <c r="G16" s="27" t="s">
        <v>38</v>
      </c>
      <c r="H16" s="15"/>
      <c r="I16" s="23">
        <v>2</v>
      </c>
      <c r="J16" s="24">
        <v>5.9172000000000001E-3</v>
      </c>
      <c r="K16" s="23">
        <v>297</v>
      </c>
      <c r="L16" s="24">
        <v>7.1171818835370243E-2</v>
      </c>
      <c r="M16" s="23">
        <v>4</v>
      </c>
      <c r="N16" s="24">
        <v>6.7400000000000001E-4</v>
      </c>
      <c r="O16" s="23">
        <v>2</v>
      </c>
      <c r="P16" s="24">
        <v>4.2400000000000001E-5</v>
      </c>
      <c r="Q16" s="23">
        <v>196</v>
      </c>
      <c r="R16" s="24">
        <v>3.7255274662611672E-2</v>
      </c>
    </row>
    <row r="17" spans="1:18" ht="12.5">
      <c r="A17" s="74"/>
      <c r="B17" s="26" t="s">
        <v>83</v>
      </c>
      <c r="C17" s="72" t="s">
        <v>84</v>
      </c>
      <c r="D17" s="42"/>
      <c r="E17" s="42"/>
      <c r="F17" s="43"/>
      <c r="G17" s="23">
        <v>75</v>
      </c>
      <c r="H17" s="24">
        <v>5.6818199999999999E-2</v>
      </c>
      <c r="I17" s="23">
        <v>5</v>
      </c>
      <c r="J17" s="24">
        <v>1.4792899999999999E-2</v>
      </c>
      <c r="K17" s="23">
        <v>0</v>
      </c>
      <c r="L17" s="24"/>
      <c r="M17" s="23">
        <v>16</v>
      </c>
      <c r="N17" s="24">
        <v>2.6959000000000002E-3</v>
      </c>
      <c r="O17" s="23">
        <v>33</v>
      </c>
      <c r="P17" s="24">
        <v>6.9879999999999996E-4</v>
      </c>
      <c r="Q17" s="23">
        <v>116</v>
      </c>
      <c r="R17" s="24">
        <v>2.2049040106443641E-2</v>
      </c>
    </row>
    <row r="18" spans="1:18" ht="12.5">
      <c r="A18" s="74"/>
      <c r="B18" s="26" t="s">
        <v>85</v>
      </c>
      <c r="C18" s="72" t="s">
        <v>86</v>
      </c>
      <c r="D18" s="42"/>
      <c r="E18" s="42"/>
      <c r="F18" s="43"/>
      <c r="G18" s="23">
        <v>1</v>
      </c>
      <c r="H18" s="24">
        <v>7.5759999999999998E-4</v>
      </c>
      <c r="I18" s="23">
        <v>2</v>
      </c>
      <c r="J18" s="24">
        <v>5.9172000000000001E-3</v>
      </c>
      <c r="K18" s="23">
        <v>34</v>
      </c>
      <c r="L18" s="24">
        <v>8.147615624251139E-3</v>
      </c>
      <c r="M18" s="23">
        <v>3</v>
      </c>
      <c r="N18" s="24">
        <v>5.0549999999999998E-4</v>
      </c>
      <c r="O18" s="23">
        <v>1180</v>
      </c>
      <c r="P18" s="24">
        <v>2.4987800000000001E-2</v>
      </c>
      <c r="Q18" s="23">
        <v>176</v>
      </c>
      <c r="R18" s="24">
        <v>3.3453716023569662E-2</v>
      </c>
    </row>
    <row r="19" spans="1:18" ht="12.5">
      <c r="A19" s="74"/>
      <c r="B19" s="26" t="s">
        <v>87</v>
      </c>
      <c r="C19" s="72" t="s">
        <v>88</v>
      </c>
      <c r="D19" s="42"/>
      <c r="E19" s="42"/>
      <c r="F19" s="43"/>
      <c r="G19" s="23">
        <v>12</v>
      </c>
      <c r="H19" s="24">
        <v>9.0909000000000007E-3</v>
      </c>
      <c r="I19" s="23">
        <v>6</v>
      </c>
      <c r="J19" s="24">
        <v>1.77515E-2</v>
      </c>
      <c r="K19" s="23">
        <v>4</v>
      </c>
      <c r="L19" s="24">
        <v>9.5854301461778101E-4</v>
      </c>
      <c r="M19" s="27" t="s">
        <v>38</v>
      </c>
      <c r="N19" s="15"/>
      <c r="O19" s="27" t="s">
        <v>38</v>
      </c>
      <c r="P19" s="15"/>
      <c r="Q19" s="23">
        <v>39</v>
      </c>
      <c r="R19" s="24">
        <v>7.4130393461319137E-3</v>
      </c>
    </row>
    <row r="20" spans="1:18" ht="12.5">
      <c r="A20" s="74"/>
      <c r="B20" s="26" t="s">
        <v>89</v>
      </c>
      <c r="C20" s="72" t="s">
        <v>90</v>
      </c>
      <c r="D20" s="42"/>
      <c r="E20" s="42"/>
      <c r="F20" s="43"/>
      <c r="G20" s="23">
        <v>3</v>
      </c>
      <c r="H20" s="24">
        <v>2.2726999999999999E-3</v>
      </c>
      <c r="I20" s="27" t="s">
        <v>38</v>
      </c>
      <c r="J20" s="15"/>
      <c r="K20" s="23">
        <v>4</v>
      </c>
      <c r="L20" s="24">
        <v>9.5854301461778101E-4</v>
      </c>
      <c r="M20" s="23">
        <v>1</v>
      </c>
      <c r="N20" s="24">
        <v>1.685E-4</v>
      </c>
      <c r="O20" s="27" t="s">
        <v>38</v>
      </c>
      <c r="P20" s="15"/>
      <c r="Q20" s="23">
        <v>11</v>
      </c>
      <c r="R20" s="24">
        <v>2.0908572514731038E-3</v>
      </c>
    </row>
    <row r="21" spans="1:18" ht="12.5">
      <c r="A21" s="74"/>
      <c r="B21" s="26" t="s">
        <v>91</v>
      </c>
      <c r="C21" s="72" t="s">
        <v>92</v>
      </c>
      <c r="D21" s="42"/>
      <c r="E21" s="42"/>
      <c r="F21" s="43"/>
      <c r="G21" s="23">
        <v>25</v>
      </c>
      <c r="H21" s="24">
        <v>1.8939399999999999E-2</v>
      </c>
      <c r="I21" s="23">
        <v>4</v>
      </c>
      <c r="J21" s="24">
        <v>1.1834300000000001E-2</v>
      </c>
      <c r="K21" s="23">
        <v>109</v>
      </c>
      <c r="L21" s="24">
        <v>2.6120297148334533E-2</v>
      </c>
      <c r="M21" s="27" t="s">
        <v>38</v>
      </c>
      <c r="N21" s="15"/>
      <c r="O21" s="27" t="s">
        <v>38</v>
      </c>
      <c r="P21" s="15"/>
      <c r="Q21" s="23">
        <v>198</v>
      </c>
      <c r="R21" s="24">
        <v>3.763543052651587E-2</v>
      </c>
    </row>
    <row r="22" spans="1:18" ht="12.5">
      <c r="A22" s="74"/>
      <c r="B22" s="26" t="s">
        <v>93</v>
      </c>
      <c r="C22" s="72" t="s">
        <v>94</v>
      </c>
      <c r="D22" s="42"/>
      <c r="E22" s="42"/>
      <c r="F22" s="43"/>
      <c r="G22" s="23">
        <v>1</v>
      </c>
      <c r="H22" s="24">
        <v>7.5759999999999998E-4</v>
      </c>
      <c r="I22" s="27" t="s">
        <v>38</v>
      </c>
      <c r="J22" s="15"/>
      <c r="K22" s="23">
        <v>0</v>
      </c>
      <c r="L22" s="24"/>
      <c r="M22" s="23">
        <v>17</v>
      </c>
      <c r="N22" s="24">
        <v>2.8644E-3</v>
      </c>
      <c r="O22" s="23">
        <v>57</v>
      </c>
      <c r="P22" s="24">
        <v>1.207E-3</v>
      </c>
      <c r="Q22" s="23">
        <v>812</v>
      </c>
      <c r="R22" s="24">
        <v>0.1543432807451055</v>
      </c>
    </row>
    <row r="23" spans="1:18" ht="12.5">
      <c r="A23" s="74"/>
      <c r="B23" s="26" t="s">
        <v>95</v>
      </c>
      <c r="C23" s="72" t="s">
        <v>96</v>
      </c>
      <c r="D23" s="42"/>
      <c r="E23" s="42"/>
      <c r="F23" s="43"/>
      <c r="G23" s="23">
        <v>122</v>
      </c>
      <c r="H23" s="24">
        <v>9.2424199999999998E-2</v>
      </c>
      <c r="I23" s="23">
        <v>48</v>
      </c>
      <c r="J23" s="24">
        <v>0.14201179999999999</v>
      </c>
      <c r="K23" s="23">
        <v>754</v>
      </c>
      <c r="L23" s="24">
        <v>0.18068535825545171</v>
      </c>
      <c r="M23" s="23">
        <v>670</v>
      </c>
      <c r="N23" s="24">
        <v>0.11288960000000001</v>
      </c>
      <c r="O23" s="23">
        <v>1909</v>
      </c>
      <c r="P23" s="24">
        <v>4.0425200000000001E-2</v>
      </c>
      <c r="Q23" s="23">
        <v>0</v>
      </c>
      <c r="R23" s="24"/>
    </row>
    <row r="24" spans="1:18" ht="12.5">
      <c r="A24" s="75"/>
      <c r="B24" s="26" t="s">
        <v>97</v>
      </c>
      <c r="C24" s="72" t="s">
        <v>98</v>
      </c>
      <c r="D24" s="42"/>
      <c r="E24" s="42"/>
      <c r="F24" s="43"/>
      <c r="G24" s="23">
        <v>14</v>
      </c>
      <c r="H24" s="24">
        <v>1.06061E-2</v>
      </c>
      <c r="I24" s="27" t="s">
        <v>38</v>
      </c>
      <c r="J24" s="15"/>
      <c r="K24" s="23">
        <v>35</v>
      </c>
      <c r="L24" s="24">
        <v>8.3872513779055836E-3</v>
      </c>
      <c r="M24" s="23">
        <v>1</v>
      </c>
      <c r="N24" s="24">
        <v>1.685E-4</v>
      </c>
      <c r="O24" s="23">
        <v>4</v>
      </c>
      <c r="P24" s="24">
        <v>8.4699999999999999E-5</v>
      </c>
      <c r="Q24" s="23">
        <v>0</v>
      </c>
      <c r="R24" s="24"/>
    </row>
    <row r="25" spans="1:18" ht="12.5">
      <c r="A25" s="73" t="s">
        <v>18</v>
      </c>
      <c r="B25" s="26" t="s">
        <v>99</v>
      </c>
      <c r="C25" s="72" t="s">
        <v>100</v>
      </c>
      <c r="D25" s="42"/>
      <c r="E25" s="42"/>
      <c r="F25" s="43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19</v>
      </c>
      <c r="P25" s="24">
        <v>4.0230000000000002E-4</v>
      </c>
      <c r="Q25" s="23">
        <v>0</v>
      </c>
      <c r="R25" s="24"/>
    </row>
    <row r="26" spans="1:18" ht="12.5">
      <c r="A26" s="74"/>
      <c r="B26" s="26" t="s">
        <v>101</v>
      </c>
      <c r="C26" s="72" t="s">
        <v>102</v>
      </c>
      <c r="D26" s="42"/>
      <c r="E26" s="42"/>
      <c r="F26" s="43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687</v>
      </c>
      <c r="N26" s="24">
        <v>0.115754</v>
      </c>
      <c r="O26" s="23">
        <v>1669</v>
      </c>
      <c r="P26" s="24">
        <v>3.5342899999999997E-2</v>
      </c>
      <c r="Q26" s="23">
        <v>0</v>
      </c>
      <c r="R26" s="24"/>
    </row>
    <row r="27" spans="1:18" ht="12.5">
      <c r="A27" s="74"/>
      <c r="B27" s="26" t="s">
        <v>103</v>
      </c>
      <c r="C27" s="72" t="s">
        <v>104</v>
      </c>
      <c r="D27" s="42"/>
      <c r="E27" s="42"/>
      <c r="F27" s="43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31</v>
      </c>
      <c r="N27" s="24">
        <v>5.2233000000000002E-3</v>
      </c>
      <c r="O27" s="23">
        <v>781</v>
      </c>
      <c r="P27" s="24">
        <v>1.6538600000000001E-2</v>
      </c>
      <c r="Q27" s="23">
        <v>0</v>
      </c>
      <c r="R27" s="24"/>
    </row>
    <row r="28" spans="1:18" ht="12.5">
      <c r="A28" s="74"/>
      <c r="B28" s="26" t="s">
        <v>105</v>
      </c>
      <c r="C28" s="72" t="s">
        <v>106</v>
      </c>
      <c r="D28" s="42"/>
      <c r="E28" s="42"/>
      <c r="F28" s="43"/>
      <c r="G28" s="23">
        <v>1</v>
      </c>
      <c r="H28" s="24">
        <v>7.5759999999999998E-4</v>
      </c>
      <c r="I28" s="27" t="s">
        <v>38</v>
      </c>
      <c r="J28" s="15"/>
      <c r="K28" s="23">
        <v>17</v>
      </c>
      <c r="L28" s="24">
        <v>4.0738078121255695E-3</v>
      </c>
      <c r="M28" s="23">
        <v>17</v>
      </c>
      <c r="N28" s="24">
        <v>2.8644E-3</v>
      </c>
      <c r="O28" s="23">
        <v>3609</v>
      </c>
      <c r="P28" s="24">
        <v>7.6424599999999995E-2</v>
      </c>
      <c r="Q28" s="23">
        <v>75</v>
      </c>
      <c r="R28" s="24">
        <v>1.4255844896407526E-2</v>
      </c>
    </row>
    <row r="29" spans="1:18" ht="12.5">
      <c r="A29" s="74"/>
      <c r="B29" s="26" t="s">
        <v>107</v>
      </c>
      <c r="C29" s="72" t="s">
        <v>108</v>
      </c>
      <c r="D29" s="42"/>
      <c r="E29" s="42"/>
      <c r="F29" s="43"/>
      <c r="G29" s="23">
        <v>4</v>
      </c>
      <c r="H29" s="24">
        <v>3.0303000000000001E-3</v>
      </c>
      <c r="I29" s="23">
        <v>1</v>
      </c>
      <c r="J29" s="24">
        <v>2.9586E-3</v>
      </c>
      <c r="K29" s="23">
        <v>115</v>
      </c>
      <c r="L29" s="24">
        <v>2.7558111670261204E-2</v>
      </c>
      <c r="M29" s="27" t="s">
        <v>38</v>
      </c>
      <c r="N29" s="15"/>
      <c r="O29" s="27" t="s">
        <v>38</v>
      </c>
      <c r="P29" s="15"/>
      <c r="Q29" s="23">
        <v>144</v>
      </c>
      <c r="R29" s="24">
        <v>2.7371222201102451E-2</v>
      </c>
    </row>
    <row r="30" spans="1:18" ht="12.5">
      <c r="A30" s="74"/>
      <c r="B30" s="26" t="s">
        <v>109</v>
      </c>
      <c r="C30" s="72" t="s">
        <v>110</v>
      </c>
      <c r="D30" s="42"/>
      <c r="E30" s="42"/>
      <c r="F30" s="43"/>
      <c r="G30" s="27" t="s">
        <v>38</v>
      </c>
      <c r="H30" s="15"/>
      <c r="I30" s="27" t="s">
        <v>38</v>
      </c>
      <c r="J30" s="15"/>
      <c r="K30" s="23">
        <v>0</v>
      </c>
      <c r="L30" s="24"/>
      <c r="M30" s="23">
        <v>2</v>
      </c>
      <c r="N30" s="24">
        <v>3.3700000000000001E-4</v>
      </c>
      <c r="O30" s="23">
        <v>95</v>
      </c>
      <c r="P30" s="24">
        <v>2.0116999999999999E-3</v>
      </c>
      <c r="Q30" s="23">
        <v>0</v>
      </c>
      <c r="R30" s="24"/>
    </row>
    <row r="31" spans="1:18" ht="12.5">
      <c r="A31" s="74"/>
      <c r="B31" s="26" t="s">
        <v>111</v>
      </c>
      <c r="C31" s="72" t="s">
        <v>112</v>
      </c>
      <c r="D31" s="42"/>
      <c r="E31" s="42"/>
      <c r="F31" s="43"/>
      <c r="G31" s="27" t="s">
        <v>38</v>
      </c>
      <c r="H31" s="15"/>
      <c r="I31" s="27" t="s">
        <v>38</v>
      </c>
      <c r="J31" s="15"/>
      <c r="K31" s="23">
        <v>0</v>
      </c>
      <c r="L31" s="24"/>
      <c r="M31" s="23">
        <v>8</v>
      </c>
      <c r="N31" s="24">
        <v>1.3479E-3</v>
      </c>
      <c r="O31" s="27" t="s">
        <v>38</v>
      </c>
      <c r="P31" s="15"/>
      <c r="Q31" s="23">
        <v>0</v>
      </c>
      <c r="R31" s="24"/>
    </row>
    <row r="32" spans="1:18" ht="12.5">
      <c r="A32" s="74"/>
      <c r="B32" s="26" t="s">
        <v>113</v>
      </c>
      <c r="C32" s="72" t="s">
        <v>114</v>
      </c>
      <c r="D32" s="42"/>
      <c r="E32" s="42"/>
      <c r="F32" s="43"/>
      <c r="G32" s="23">
        <v>19</v>
      </c>
      <c r="H32" s="24">
        <v>1.4393899999999999E-2</v>
      </c>
      <c r="I32" s="23">
        <v>10</v>
      </c>
      <c r="J32" s="24">
        <v>2.9585799999999999E-2</v>
      </c>
      <c r="K32" s="23">
        <v>83</v>
      </c>
      <c r="L32" s="24">
        <v>1.9889767553318956E-2</v>
      </c>
      <c r="M32" s="23">
        <v>53</v>
      </c>
      <c r="N32" s="24">
        <v>8.9300999999999998E-3</v>
      </c>
      <c r="O32" s="23">
        <v>73</v>
      </c>
      <c r="P32" s="24">
        <v>1.5459E-3</v>
      </c>
      <c r="Q32" s="23">
        <v>121</v>
      </c>
      <c r="R32" s="24">
        <v>2.2999429766204144E-2</v>
      </c>
    </row>
    <row r="33" spans="1:18" ht="12.5">
      <c r="A33" s="74"/>
      <c r="B33" s="26" t="s">
        <v>115</v>
      </c>
      <c r="C33" s="72" t="s">
        <v>116</v>
      </c>
      <c r="D33" s="42"/>
      <c r="E33" s="42"/>
      <c r="F33" s="43"/>
      <c r="G33" s="23">
        <v>4</v>
      </c>
      <c r="H33" s="24">
        <v>3.0303000000000001E-3</v>
      </c>
      <c r="I33" s="23">
        <v>1</v>
      </c>
      <c r="J33" s="24">
        <v>2.9586E-3</v>
      </c>
      <c r="K33" s="23">
        <v>0</v>
      </c>
      <c r="L33" s="24"/>
      <c r="M33" s="23">
        <v>4</v>
      </c>
      <c r="N33" s="24">
        <v>6.7400000000000001E-4</v>
      </c>
      <c r="O33" s="23">
        <v>151</v>
      </c>
      <c r="P33" s="24">
        <v>3.1976000000000001E-3</v>
      </c>
      <c r="Q33" s="23">
        <v>0</v>
      </c>
      <c r="R33" s="24"/>
    </row>
    <row r="34" spans="1:18" ht="12.5">
      <c r="A34" s="74"/>
      <c r="B34" s="26" t="s">
        <v>117</v>
      </c>
      <c r="C34" s="72" t="s">
        <v>118</v>
      </c>
      <c r="D34" s="42"/>
      <c r="E34" s="42"/>
      <c r="F34" s="43"/>
      <c r="G34" s="23">
        <v>1</v>
      </c>
      <c r="H34" s="24">
        <v>7.5759999999999998E-4</v>
      </c>
      <c r="I34" s="23">
        <v>5</v>
      </c>
      <c r="J34" s="24">
        <v>1.4792899999999999E-2</v>
      </c>
      <c r="K34" s="23">
        <v>0</v>
      </c>
      <c r="L34" s="24"/>
      <c r="M34" s="27" t="s">
        <v>38</v>
      </c>
      <c r="N34" s="15"/>
      <c r="O34" s="27" t="s">
        <v>38</v>
      </c>
      <c r="P34" s="15"/>
      <c r="Q34" s="23">
        <v>0</v>
      </c>
      <c r="R34" s="24"/>
    </row>
    <row r="35" spans="1:18" ht="12.5">
      <c r="A35" s="74"/>
      <c r="B35" s="26" t="s">
        <v>119</v>
      </c>
      <c r="C35" s="72" t="s">
        <v>120</v>
      </c>
      <c r="D35" s="42"/>
      <c r="E35" s="42"/>
      <c r="F35" s="43"/>
      <c r="G35" s="27" t="s">
        <v>38</v>
      </c>
      <c r="H35" s="15"/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18</v>
      </c>
      <c r="P35" s="24">
        <v>3.812E-4</v>
      </c>
      <c r="Q35" s="23">
        <v>0</v>
      </c>
      <c r="R35" s="24"/>
    </row>
    <row r="36" spans="1:18" ht="12.5">
      <c r="A36" s="75"/>
      <c r="B36" s="26" t="s">
        <v>121</v>
      </c>
      <c r="C36" s="72" t="s">
        <v>122</v>
      </c>
      <c r="D36" s="42"/>
      <c r="E36" s="42"/>
      <c r="F36" s="43"/>
      <c r="G36" s="23">
        <v>35</v>
      </c>
      <c r="H36" s="24">
        <v>2.6515199999999999E-2</v>
      </c>
      <c r="I36" s="23">
        <v>25</v>
      </c>
      <c r="J36" s="24">
        <v>7.3964500000000002E-2</v>
      </c>
      <c r="K36" s="23">
        <v>0</v>
      </c>
      <c r="L36" s="24"/>
      <c r="M36" s="23">
        <v>385</v>
      </c>
      <c r="N36" s="24">
        <v>6.4869399999999994E-2</v>
      </c>
      <c r="O36" s="23">
        <v>333</v>
      </c>
      <c r="P36" s="24">
        <v>7.0515999999999999E-3</v>
      </c>
      <c r="Q36" s="23">
        <v>0</v>
      </c>
      <c r="R36" s="24"/>
    </row>
    <row r="37" spans="1:18" ht="12.5">
      <c r="A37" s="25" t="s">
        <v>19</v>
      </c>
      <c r="B37" s="26" t="s">
        <v>123</v>
      </c>
      <c r="C37" s="72" t="s">
        <v>124</v>
      </c>
      <c r="D37" s="42"/>
      <c r="E37" s="42"/>
      <c r="F37" s="43"/>
      <c r="G37" s="23">
        <v>500</v>
      </c>
      <c r="H37" s="24">
        <v>0.37878790000000001</v>
      </c>
      <c r="I37" s="23">
        <v>117</v>
      </c>
      <c r="J37" s="24">
        <v>0.34615380000000001</v>
      </c>
      <c r="K37" s="23">
        <v>210</v>
      </c>
      <c r="L37" s="24">
        <v>5.0323508267433502E-2</v>
      </c>
      <c r="M37" s="23">
        <v>2112</v>
      </c>
      <c r="N37" s="24">
        <v>0.35585509999999998</v>
      </c>
      <c r="O37" s="23">
        <v>20627</v>
      </c>
      <c r="P37" s="24">
        <v>0.43679990000000002</v>
      </c>
      <c r="Q37" s="23">
        <v>1105</v>
      </c>
      <c r="R37" s="24">
        <v>0.21003611480707091</v>
      </c>
    </row>
    <row r="38" spans="1:18" ht="12.5">
      <c r="A38" s="73" t="s">
        <v>20</v>
      </c>
      <c r="B38" s="26" t="s">
        <v>125</v>
      </c>
      <c r="C38" s="72" t="s">
        <v>126</v>
      </c>
      <c r="D38" s="42"/>
      <c r="E38" s="42"/>
      <c r="F38" s="43"/>
      <c r="G38" s="27" t="s">
        <v>38</v>
      </c>
      <c r="H38" s="15"/>
      <c r="I38" s="27" t="s">
        <v>38</v>
      </c>
      <c r="J38" s="15"/>
      <c r="K38" s="23">
        <v>700</v>
      </c>
      <c r="L38" s="24">
        <v>0.16774502755811166</v>
      </c>
      <c r="M38" s="27" t="s">
        <v>38</v>
      </c>
      <c r="N38" s="15"/>
      <c r="O38" s="27" t="s">
        <v>38</v>
      </c>
      <c r="P38" s="15"/>
      <c r="Q38" s="23">
        <v>1120</v>
      </c>
      <c r="R38" s="24">
        <v>0.21288728378635241</v>
      </c>
    </row>
    <row r="39" spans="1:18" ht="12.5">
      <c r="A39" s="74"/>
      <c r="B39" s="26" t="s">
        <v>127</v>
      </c>
      <c r="C39" s="72" t="s">
        <v>128</v>
      </c>
      <c r="D39" s="42"/>
      <c r="E39" s="42"/>
      <c r="F39" s="43"/>
      <c r="G39" s="27" t="s">
        <v>38</v>
      </c>
      <c r="H39" s="15"/>
      <c r="I39" s="27" t="s">
        <v>38</v>
      </c>
      <c r="J39" s="15"/>
      <c r="K39" s="23">
        <v>0</v>
      </c>
      <c r="L39" s="24"/>
      <c r="M39" s="23">
        <v>34</v>
      </c>
      <c r="N39" s="24">
        <v>5.7286999999999998E-3</v>
      </c>
      <c r="O39" s="23">
        <v>68</v>
      </c>
      <c r="P39" s="24">
        <v>1.4400000000000001E-3</v>
      </c>
      <c r="Q39" s="23">
        <v>0</v>
      </c>
      <c r="R39" s="24"/>
    </row>
    <row r="40" spans="1:18" ht="12.5">
      <c r="A40" s="75"/>
      <c r="B40" s="26" t="s">
        <v>129</v>
      </c>
      <c r="C40" s="72" t="s">
        <v>130</v>
      </c>
      <c r="D40" s="42"/>
      <c r="E40" s="42"/>
      <c r="F40" s="43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322</v>
      </c>
      <c r="P40" s="24">
        <v>6.8186999999999996E-3</v>
      </c>
      <c r="Q40" s="23">
        <v>0</v>
      </c>
      <c r="R40" s="24"/>
    </row>
    <row r="41" spans="1:18" ht="12.5">
      <c r="A41" s="73" t="s">
        <v>21</v>
      </c>
      <c r="B41" s="26" t="s">
        <v>131</v>
      </c>
      <c r="C41" s="72" t="s">
        <v>132</v>
      </c>
      <c r="D41" s="42"/>
      <c r="E41" s="42"/>
      <c r="F41" s="43"/>
      <c r="G41" s="23">
        <v>111</v>
      </c>
      <c r="H41" s="24">
        <v>8.4090899999999996E-2</v>
      </c>
      <c r="I41" s="23">
        <v>55</v>
      </c>
      <c r="J41" s="24">
        <v>0.1627219</v>
      </c>
      <c r="K41" s="23">
        <v>0</v>
      </c>
      <c r="L41" s="24"/>
      <c r="M41" s="23">
        <v>806</v>
      </c>
      <c r="N41" s="24">
        <v>0.13580449999999999</v>
      </c>
      <c r="O41" s="23">
        <v>7085</v>
      </c>
      <c r="P41" s="24">
        <v>0.15003279999999999</v>
      </c>
      <c r="Q41" s="23">
        <v>0</v>
      </c>
      <c r="R41" s="24"/>
    </row>
    <row r="42" spans="1:18" ht="12.5">
      <c r="A42" s="74"/>
      <c r="B42" s="26" t="s">
        <v>133</v>
      </c>
      <c r="C42" s="72" t="s">
        <v>134</v>
      </c>
      <c r="D42" s="42"/>
      <c r="E42" s="42"/>
      <c r="F42" s="43"/>
      <c r="G42" s="27" t="s">
        <v>38</v>
      </c>
      <c r="H42" s="15"/>
      <c r="I42" s="27" t="s">
        <v>38</v>
      </c>
      <c r="J42" s="15"/>
      <c r="K42" s="23">
        <v>2</v>
      </c>
      <c r="L42" s="24">
        <v>4.7927150730889051E-4</v>
      </c>
      <c r="M42" s="27" t="s">
        <v>38</v>
      </c>
      <c r="N42" s="15"/>
      <c r="O42" s="23">
        <v>325</v>
      </c>
      <c r="P42" s="24">
        <v>6.8821999999999998E-3</v>
      </c>
      <c r="Q42" s="23">
        <v>0</v>
      </c>
      <c r="R42" s="24"/>
    </row>
    <row r="43" spans="1:18" ht="12.5">
      <c r="A43" s="74"/>
      <c r="B43" s="26" t="s">
        <v>135</v>
      </c>
      <c r="C43" s="72" t="s">
        <v>136</v>
      </c>
      <c r="D43" s="42"/>
      <c r="E43" s="42"/>
      <c r="F43" s="43"/>
      <c r="G43" s="23">
        <v>1</v>
      </c>
      <c r="H43" s="24">
        <v>7.5759999999999998E-4</v>
      </c>
      <c r="I43" s="23">
        <v>2</v>
      </c>
      <c r="J43" s="24">
        <v>5.9172000000000001E-3</v>
      </c>
      <c r="K43" s="23">
        <v>0</v>
      </c>
      <c r="L43" s="24"/>
      <c r="M43" s="27" t="s">
        <v>38</v>
      </c>
      <c r="N43" s="15"/>
      <c r="O43" s="23">
        <v>2</v>
      </c>
      <c r="P43" s="24">
        <v>4.2400000000000001E-5</v>
      </c>
      <c r="Q43" s="23">
        <v>0</v>
      </c>
      <c r="R43" s="24"/>
    </row>
    <row r="44" spans="1:18" ht="12.5">
      <c r="A44" s="75"/>
      <c r="B44" s="26" t="s">
        <v>137</v>
      </c>
      <c r="C44" s="72" t="s">
        <v>138</v>
      </c>
      <c r="D44" s="42"/>
      <c r="E44" s="42"/>
      <c r="F44" s="43"/>
      <c r="G44" s="27" t="s">
        <v>38</v>
      </c>
      <c r="H44" s="15"/>
      <c r="I44" s="27" t="s">
        <v>38</v>
      </c>
      <c r="J44" s="15"/>
      <c r="K44" s="23">
        <v>0</v>
      </c>
      <c r="L44" s="24"/>
      <c r="M44" s="27" t="s">
        <v>38</v>
      </c>
      <c r="N44" s="15"/>
      <c r="O44" s="23">
        <v>400</v>
      </c>
      <c r="P44" s="24">
        <v>8.4703999999999995E-3</v>
      </c>
      <c r="Q44" s="23">
        <v>0</v>
      </c>
      <c r="R44" s="24"/>
    </row>
    <row r="45" spans="1:18" ht="12.5">
      <c r="A45" s="73" t="s">
        <v>22</v>
      </c>
      <c r="B45" s="26" t="s">
        <v>139</v>
      </c>
      <c r="C45" s="72" t="s">
        <v>140</v>
      </c>
      <c r="D45" s="42"/>
      <c r="E45" s="42"/>
      <c r="F45" s="43"/>
      <c r="G45" s="27" t="s">
        <v>38</v>
      </c>
      <c r="H45" s="15"/>
      <c r="I45" s="23">
        <v>1</v>
      </c>
      <c r="J45" s="24">
        <v>2.9586E-3</v>
      </c>
      <c r="K45" s="23">
        <v>0</v>
      </c>
      <c r="L45" s="24"/>
      <c r="M45" s="27" t="s">
        <v>38</v>
      </c>
      <c r="N45" s="15"/>
      <c r="O45" s="23">
        <v>22</v>
      </c>
      <c r="P45" s="24">
        <v>4.6589999999999999E-4</v>
      </c>
      <c r="Q45" s="23">
        <v>0</v>
      </c>
      <c r="R45" s="24"/>
    </row>
    <row r="46" spans="1:18" ht="12.5">
      <c r="A46" s="74"/>
      <c r="B46" s="26" t="s">
        <v>141</v>
      </c>
      <c r="C46" s="72" t="s">
        <v>22</v>
      </c>
      <c r="D46" s="42"/>
      <c r="E46" s="42"/>
      <c r="F46" s="43"/>
      <c r="G46" s="23">
        <v>28</v>
      </c>
      <c r="H46" s="24">
        <v>2.1212100000000001E-2</v>
      </c>
      <c r="I46" s="23">
        <v>2</v>
      </c>
      <c r="J46" s="24">
        <v>5.9172000000000001E-3</v>
      </c>
      <c r="K46" s="23">
        <v>0</v>
      </c>
      <c r="L46" s="24"/>
      <c r="M46" s="23">
        <v>9</v>
      </c>
      <c r="N46" s="24">
        <v>1.5164E-3</v>
      </c>
      <c r="O46" s="23">
        <v>209</v>
      </c>
      <c r="P46" s="24">
        <v>4.4257999999999997E-3</v>
      </c>
      <c r="Q46" s="23">
        <v>0</v>
      </c>
      <c r="R46" s="24"/>
    </row>
    <row r="47" spans="1:18" ht="12.5">
      <c r="A47" s="75"/>
      <c r="B47" s="26" t="s">
        <v>142</v>
      </c>
      <c r="C47" s="72" t="s">
        <v>143</v>
      </c>
      <c r="D47" s="42"/>
      <c r="E47" s="42"/>
      <c r="F47" s="43"/>
      <c r="G47" s="27" t="s">
        <v>38</v>
      </c>
      <c r="H47" s="15"/>
      <c r="I47" s="27" t="s">
        <v>38</v>
      </c>
      <c r="J47" s="15"/>
      <c r="K47" s="23">
        <v>1</v>
      </c>
      <c r="L47" s="24">
        <v>2.3963575365444525E-4</v>
      </c>
      <c r="M47" s="27" t="s">
        <v>38</v>
      </c>
      <c r="N47" s="15"/>
      <c r="O47" s="23">
        <v>520</v>
      </c>
      <c r="P47" s="24">
        <v>1.10116E-2</v>
      </c>
      <c r="Q47" s="23">
        <v>0</v>
      </c>
      <c r="R47" s="24"/>
    </row>
    <row r="48" spans="1:18" ht="13" thickBot="1">
      <c r="A48" s="73" t="s">
        <v>23</v>
      </c>
      <c r="B48" s="26" t="s">
        <v>144</v>
      </c>
      <c r="C48" s="72" t="s">
        <v>145</v>
      </c>
      <c r="D48" s="42"/>
      <c r="E48" s="42"/>
      <c r="F48" s="43"/>
      <c r="G48" s="27" t="s">
        <v>38</v>
      </c>
      <c r="H48" s="15"/>
      <c r="I48" s="27" t="s">
        <v>38</v>
      </c>
      <c r="J48" s="15"/>
      <c r="K48" s="23">
        <v>20</v>
      </c>
      <c r="L48" s="24">
        <v>4.7927150730889051E-3</v>
      </c>
      <c r="M48" s="27" t="s">
        <v>38</v>
      </c>
      <c r="N48" s="15"/>
      <c r="O48" s="27" t="s">
        <v>38</v>
      </c>
      <c r="P48" s="15"/>
      <c r="Q48" s="23">
        <v>22</v>
      </c>
      <c r="R48" s="24">
        <v>4.1817145029462077E-3</v>
      </c>
    </row>
    <row r="49" spans="1:18" ht="13" thickBot="1">
      <c r="A49" s="74"/>
      <c r="B49" s="26" t="s">
        <v>146</v>
      </c>
      <c r="C49" s="72" t="s">
        <v>147</v>
      </c>
      <c r="D49" s="42"/>
      <c r="E49" s="42"/>
      <c r="F49" s="43"/>
      <c r="G49" s="27" t="s">
        <v>38</v>
      </c>
      <c r="H49" s="15"/>
      <c r="I49" s="27" t="s">
        <v>38</v>
      </c>
      <c r="J49" s="15"/>
      <c r="K49" s="23">
        <v>83</v>
      </c>
      <c r="L49" s="24">
        <v>1.9889767553318956E-2</v>
      </c>
      <c r="M49" s="27" t="s">
        <v>38</v>
      </c>
      <c r="N49" s="15"/>
      <c r="O49" s="27" t="s">
        <v>38</v>
      </c>
      <c r="P49" s="15"/>
      <c r="Q49" s="23">
        <v>145</v>
      </c>
      <c r="R49" s="24">
        <v>2.7561300133054554E-2</v>
      </c>
    </row>
    <row r="50" spans="1:18" ht="13" thickBot="1">
      <c r="A50" s="74"/>
      <c r="B50" s="26" t="s">
        <v>148</v>
      </c>
      <c r="C50" s="72" t="s">
        <v>149</v>
      </c>
      <c r="D50" s="42"/>
      <c r="E50" s="42"/>
      <c r="F50" s="43"/>
      <c r="G50" s="27" t="s">
        <v>38</v>
      </c>
      <c r="H50" s="15"/>
      <c r="I50" s="27" t="s">
        <v>38</v>
      </c>
      <c r="J50" s="15"/>
      <c r="K50" s="23">
        <v>43</v>
      </c>
      <c r="L50" s="24">
        <v>1.0304337407141146E-2</v>
      </c>
      <c r="M50" s="27" t="s">
        <v>38</v>
      </c>
      <c r="N50" s="15"/>
      <c r="O50" s="27" t="s">
        <v>38</v>
      </c>
      <c r="P50" s="15"/>
      <c r="Q50" s="23">
        <v>36</v>
      </c>
      <c r="R50" s="24">
        <v>6.8428055502756128E-3</v>
      </c>
    </row>
    <row r="51" spans="1:18" ht="12.5">
      <c r="A51" s="74"/>
      <c r="B51" s="26" t="s">
        <v>150</v>
      </c>
      <c r="C51" s="72" t="s">
        <v>151</v>
      </c>
      <c r="D51" s="42"/>
      <c r="E51" s="42"/>
      <c r="F51" s="43"/>
      <c r="G51" s="27" t="s">
        <v>38</v>
      </c>
      <c r="H51" s="15"/>
      <c r="I51" s="27" t="s">
        <v>38</v>
      </c>
      <c r="J51" s="15"/>
      <c r="K51" s="23">
        <v>16</v>
      </c>
      <c r="L51" s="24">
        <v>3.8341720584711241E-3</v>
      </c>
      <c r="M51" s="27" t="s">
        <v>38</v>
      </c>
      <c r="N51" s="15"/>
      <c r="O51" s="23">
        <v>1</v>
      </c>
      <c r="P51" s="24">
        <v>2.12E-5</v>
      </c>
      <c r="Q51" s="23">
        <v>59</v>
      </c>
      <c r="R51" s="24">
        <v>1.1214597985173921E-2</v>
      </c>
    </row>
    <row r="52" spans="1:18" ht="12.5">
      <c r="A52" s="74"/>
      <c r="B52" s="26" t="s">
        <v>152</v>
      </c>
      <c r="C52" s="72" t="s">
        <v>153</v>
      </c>
      <c r="D52" s="42"/>
      <c r="E52" s="42"/>
      <c r="F52" s="43"/>
      <c r="G52" s="23">
        <v>1</v>
      </c>
      <c r="H52" s="24">
        <v>7.5759999999999998E-4</v>
      </c>
      <c r="I52" s="27" t="s">
        <v>38</v>
      </c>
      <c r="J52" s="15"/>
      <c r="K52" s="23">
        <v>0</v>
      </c>
      <c r="L52" s="24"/>
      <c r="M52" s="23">
        <v>1</v>
      </c>
      <c r="N52" s="24">
        <v>1.685E-4</v>
      </c>
      <c r="O52" s="23">
        <v>3</v>
      </c>
      <c r="P52" s="24">
        <v>6.3499999999999999E-5</v>
      </c>
      <c r="Q52" s="23">
        <v>2</v>
      </c>
      <c r="R52" s="24">
        <v>3.8015586390420075E-4</v>
      </c>
    </row>
    <row r="53" spans="1:18" ht="12.5">
      <c r="A53" s="75"/>
      <c r="B53" s="26" t="s">
        <v>154</v>
      </c>
      <c r="C53" s="72" t="s">
        <v>155</v>
      </c>
      <c r="D53" s="42"/>
      <c r="E53" s="42"/>
      <c r="F53" s="43"/>
      <c r="G53" s="27" t="s">
        <v>38</v>
      </c>
      <c r="H53" s="15"/>
      <c r="I53" s="27" t="s">
        <v>38</v>
      </c>
      <c r="J53" s="15"/>
      <c r="K53" s="23">
        <v>0</v>
      </c>
      <c r="L53" s="24"/>
      <c r="M53" s="23">
        <v>11</v>
      </c>
      <c r="N53" s="24">
        <v>1.8534000000000001E-3</v>
      </c>
      <c r="O53" s="23">
        <v>11</v>
      </c>
      <c r="P53" s="24">
        <v>2.329E-4</v>
      </c>
      <c r="Q53" s="23">
        <v>0</v>
      </c>
      <c r="R53" s="24"/>
    </row>
    <row r="54" spans="1:18" ht="12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</row>
    <row r="55" spans="1:18" ht="13">
      <c r="A55" s="76" t="s">
        <v>156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</row>
    <row r="56" spans="1:18" ht="12.75" customHeight="1">
      <c r="A56" s="77" t="s">
        <v>157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</row>
    <row r="57" spans="1:18" ht="12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 spans="1:18" ht="13">
      <c r="A58" s="69" t="s">
        <v>161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</row>
  </sheetData>
  <mergeCells count="59"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  <mergeCell ref="A41:A44"/>
    <mergeCell ref="C41:F41"/>
    <mergeCell ref="C42:F42"/>
    <mergeCell ref="C43:F43"/>
    <mergeCell ref="C44:F44"/>
    <mergeCell ref="C37:F37"/>
    <mergeCell ref="A38:A40"/>
    <mergeCell ref="C38:F38"/>
    <mergeCell ref="C39:F39"/>
    <mergeCell ref="C40:F40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</vt:lpstr>
      <vt:lpstr>Table of Contents Page</vt:lpstr>
      <vt:lpstr>IL Releases Summary</vt:lpstr>
      <vt:lpstr>Time on Interest List</vt:lpstr>
      <vt:lpstr>Closure Overview</vt:lpstr>
      <vt:lpstr>Closure Details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Warren,Nicholas (HHSC)</dc:creator>
  <cp:lastModifiedBy>Alberti,Rafael (HHSC)</cp:lastModifiedBy>
  <dcterms:created xsi:type="dcterms:W3CDTF">2025-06-16T15:28:01Z</dcterms:created>
  <dcterms:modified xsi:type="dcterms:W3CDTF">2025-06-24T18:46:21Z</dcterms:modified>
</cp:coreProperties>
</file>