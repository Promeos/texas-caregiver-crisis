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&amp;E\ADDD_Team\IL Times and Dispositions Report\"/>
    </mc:Choice>
  </mc:AlternateContent>
  <xr:revisionPtr revIDLastSave="0" documentId="13_ncr:1_{A977E4E2-EA4C-4DC4-B573-ACCEDF174A49}" xr6:coauthVersionLast="47" xr6:coauthVersionMax="47" xr10:uidLastSave="{00000000-0000-0000-0000-000000000000}"/>
  <bookViews>
    <workbookView xWindow="28680" yWindow="-120" windowWidth="29040" windowHeight="15840" tabRatio="815" xr2:uid="{F09F63AB-2082-4CC9-8B61-DDF119B5A364}"/>
  </bookViews>
  <sheets>
    <sheet name="Cover Page_1" sheetId="1" r:id="rId1"/>
    <sheet name="Table of Contents Page_2" sheetId="2" r:id="rId2"/>
    <sheet name="IL Releases Summary_3" sheetId="4" r:id="rId3"/>
    <sheet name="Time on Interest List_4" sheetId="3" r:id="rId4"/>
    <sheet name="Closure Overview_5" sheetId="5" r:id="rId5"/>
    <sheet name="Closure Details_6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4" l="1"/>
  <c r="I15" i="4"/>
  <c r="I16" i="4"/>
  <c r="I17" i="4"/>
  <c r="I18" i="4"/>
  <c r="I19" i="4"/>
  <c r="I13" i="4"/>
</calcChain>
</file>

<file path=xl/sharedStrings.xml><?xml version="1.0" encoding="utf-8"?>
<sst xmlns="http://schemas.openxmlformats.org/spreadsheetml/2006/main" count="330" uniqueCount="145">
  <si>
    <t>Interest List Data</t>
  </si>
  <si>
    <t>with Times and Dispositions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</si>
  <si>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</si>
  <si>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</si>
  <si>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</si>
  <si>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</si>
  <si>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</si>
  <si>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</si>
  <si>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</si>
  <si>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</si>
  <si>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</si>
  <si>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</si>
  <si>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</si>
  <si>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</si>
  <si>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</si>
  <si>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</si>
  <si>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</si>
  <si>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</si>
  <si>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</si>
  <si>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</si>
  <si>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Page i</t>
  </si>
  <si>
    <t>CLASS</t>
  </si>
  <si>
    <t>DBMD</t>
  </si>
  <si>
    <r>
      <t>HCS</t>
    </r>
    <r>
      <rPr>
        <vertAlign val="superscript"/>
        <sz val="10"/>
        <color theme="1"/>
        <rFont val="Arial"/>
        <family val="2"/>
      </rPr>
      <t>1</t>
    </r>
  </si>
  <si>
    <t>MDCP</t>
  </si>
  <si>
    <t>STAR+</t>
  </si>
  <si>
    <r>
      <t>TXHML</t>
    </r>
    <r>
      <rPr>
        <vertAlign val="superscript"/>
        <sz val="10"/>
        <color theme="1"/>
        <rFont val="Arial"/>
        <family val="2"/>
      </rPr>
      <t>1</t>
    </r>
  </si>
  <si>
    <t>TOTALS</t>
  </si>
  <si>
    <r>
      <t xml:space="preserve">Released/Removed from Interest List </t>
    </r>
    <r>
      <rPr>
        <b/>
        <vertAlign val="superscript"/>
        <sz val="10"/>
        <color theme="1"/>
        <rFont val="Arial"/>
        <family val="2"/>
      </rPr>
      <t>2</t>
    </r>
  </si>
  <si>
    <r>
      <t>Enrolled</t>
    </r>
    <r>
      <rPr>
        <i/>
        <vertAlign val="superscript"/>
        <sz val="10"/>
        <color theme="1"/>
        <rFont val="Arial"/>
        <family val="2"/>
      </rPr>
      <t xml:space="preserve"> 4</t>
    </r>
  </si>
  <si>
    <r>
      <t xml:space="preserve">Denied/Declined/Withdrawn </t>
    </r>
    <r>
      <rPr>
        <i/>
        <vertAlign val="superscript"/>
        <sz val="10"/>
        <color theme="1"/>
        <rFont val="Arial"/>
        <family val="2"/>
      </rPr>
      <t>4</t>
    </r>
  </si>
  <si>
    <t>Pipeline</t>
  </si>
  <si>
    <r>
      <t xml:space="preserve">Total Releases This Biennium </t>
    </r>
    <r>
      <rPr>
        <b/>
        <vertAlign val="superscript"/>
        <sz val="10"/>
        <color theme="1"/>
        <rFont val="Arial"/>
        <family val="2"/>
      </rPr>
      <t>3</t>
    </r>
  </si>
  <si>
    <t>New Requests</t>
  </si>
  <si>
    <t>2. Released/Removed counts include individuals already in the pipeline as of August 31, 2021, excluding MFP.</t>
  </si>
  <si>
    <t xml:space="preserve">3. An individual may be counted more than once in the Enrolled and Denied/Declined/Withdrawn categories, but only once in Total Releases. Therefore, </t>
  </si>
  <si>
    <t>Release/Removal counts may be higher than the total count of released individuals.</t>
  </si>
  <si>
    <t>4. These totals count unique individuals with close codes in this category, who also had a release date (except HCS and TxHmL, see note 1).</t>
  </si>
  <si>
    <t>HCS</t>
  </si>
  <si>
    <t>TXHML</t>
  </si>
  <si>
    <t>Years on List</t>
  </si>
  <si>
    <t>Individuals</t>
  </si>
  <si>
    <t>Percent</t>
  </si>
  <si>
    <t>Totals</t>
  </si>
  <si>
    <r>
      <t>HCS</t>
    </r>
    <r>
      <rPr>
        <b/>
        <vertAlign val="superscript"/>
        <sz val="10"/>
        <color theme="1"/>
        <rFont val="Arial"/>
        <family val="2"/>
      </rPr>
      <t>†</t>
    </r>
  </si>
  <si>
    <r>
      <t>TXHML</t>
    </r>
    <r>
      <rPr>
        <b/>
        <vertAlign val="superscript"/>
        <sz val="10"/>
        <color theme="1"/>
        <rFont val="Arial"/>
        <family val="2"/>
      </rPr>
      <t>†</t>
    </r>
  </si>
  <si>
    <t>Categories:</t>
  </si>
  <si>
    <t>Closures*</t>
  </si>
  <si>
    <t>0</t>
  </si>
  <si>
    <t>* An individual may have more than one closure; counts represent total closures.</t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</si>
  <si>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</si>
  <si>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</si>
  <si>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</si>
  <si>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</si>
  <si>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</si>
  <si>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</si>
  <si>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</si>
  <si>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</si>
  <si>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</si>
  <si>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</si>
  <si>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</si>
  <si>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</si>
  <si>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</si>
  <si>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</si>
  <si>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</si>
  <si>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644</t>
  </si>
  <si>
    <t>Released from List/Offer Refused</t>
  </si>
  <si>
    <t>650</t>
  </si>
  <si>
    <t>Needs Met Through TxHmL Waiver Services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</si>
  <si>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</si>
  <si>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</si>
  <si>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</si>
  <si>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</si>
  <si>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</si>
  <si>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</si>
  <si>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</si>
  <si>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</si>
  <si>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637</t>
  </si>
  <si>
    <t>Not a Texas resident</t>
  </si>
  <si>
    <t>638</t>
  </si>
  <si>
    <t>Does not reside in an Allowable Residential Setting</t>
  </si>
  <si>
    <t>648</t>
  </si>
  <si>
    <t>Cannot be Served Safely in the Community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</si>
  <si>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</si>
  <si>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</si>
  <si>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</si>
  <si>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</si>
  <si>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</si>
  <si>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</si>
  <si>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</si>
  <si>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</si>
  <si>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</si>
  <si>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</si>
  <si>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</si>
  <si>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</si>
  <si>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</si>
  <si>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</si>
  <si>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</si>
  <si>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</si>
  <si>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</si>
  <si>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</si>
  <si>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</si>
  <si>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 xml:space="preserve">† "Enrolled" counts individuals with close reason codes 419, 606 &amp; 607: Certified to Enter Program, Client Receiving the Service and Client Certified to Receive Waiver Services. 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</si>
  <si>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</si>
  <si>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</si>
  <si>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</si>
  <si>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</si>
  <si>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</si>
  <si>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</si>
  <si>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</si>
  <si>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</si>
  <si>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</si>
  <si>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</si>
  <si>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</si>
  <si>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</si>
  <si>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</si>
  <si>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</si>
  <si>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</si>
  <si>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</si>
  <si>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</si>
  <si>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Not Categorized</t>
  </si>
  <si>
    <t>646</t>
  </si>
  <si>
    <t>658</t>
  </si>
  <si>
    <t>659</t>
  </si>
  <si>
    <t>660</t>
  </si>
  <si>
    <t>Requested Removal from Interest List</t>
  </si>
  <si>
    <t>Needs met through SSLC waiver services</t>
  </si>
  <si>
    <t>Needs met through ICF/ID</t>
  </si>
  <si>
    <t>Needs met through nursing facility</t>
  </si>
  <si>
    <t>Interest List Counts by Years</t>
  </si>
  <si>
    <t xml:space="preserve">1. HCS and TxHmL counts for Released/Removed and Total Releases are derived from CSIL data (effective May 2022) and provided by Local Authority </t>
  </si>
  <si>
    <t>staff; previous source for data was CARE.</t>
  </si>
  <si>
    <t>Report Generated on:  11/5/2023</t>
  </si>
  <si>
    <t>Since September 1, 2023</t>
  </si>
  <si>
    <t>As of August 31, 2023</t>
  </si>
  <si>
    <t>As of October 31, 2023</t>
  </si>
  <si>
    <r>
      <t xml:space="preserve">The total of Current Interest List Counts in the above table is a duplicated count. The unduplicated count across all six Interest Lists is: </t>
    </r>
    <r>
      <rPr>
        <b/>
        <sz val="10"/>
        <color rgb="FFFF0000"/>
        <rFont val="Arial"/>
        <family val="2"/>
      </rPr>
      <t>165,670</t>
    </r>
  </si>
  <si>
    <t>† HCS and TxHmL closure counts provided by Local Authority staff, data source: CARE.</t>
  </si>
  <si>
    <t>‡ HCS and TxHmL closure counts provided by Local Authority staff, data source: CARE.</t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</si>
  <si>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</si>
  <si>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</si>
  <si>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</si>
  <si>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t>Closures *</t>
  </si>
  <si>
    <t>for FY 24–25 to date, through October 31, 2023</t>
  </si>
  <si>
    <t>FY 24-25 Interest List Closures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</si>
</sst>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%"/>
    <numFmt numFmtId="165" formatCode="#,##0%"/>
    <numFmt numFmtId="166" formatCode="0.0%"/>
  </numFmts>
  <fonts count="31" x14ac:knownFonts="1">
    <font>
      <sz val="12"/>
      <color theme="1"/>
      <name val="Verdana"/>
      <family val="2"/>
    </font>
    <font>
      <sz val="20"/>
      <color theme="1"/>
      <name val="Verdana"/>
      <family val="2"/>
    </font>
    <font>
      <i/>
      <sz val="16"/>
      <color theme="1"/>
      <name val="Verdan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333333"/>
      <name val="Arial"/>
      <family val="2"/>
    </font>
    <font>
      <sz val="10"/>
      <color theme="1"/>
      <name val="Verdan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sz val="10"/>
      <color rgb="FF454545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b/>
      <i/>
      <sz val="10"/>
      <color rgb="FF444444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vertAlign val="superscript"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i/>
      <sz val="10"/>
      <color theme="1"/>
      <name val="Arial"/>
      <family val="2"/>
    </font>
    <font>
      <i/>
      <vertAlign val="superscript"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2"/>
      <color theme="1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i/>
      <sz val="8"/>
      <color rgb="FF222222"/>
      <name val="Arial"/>
      <family val="2"/>
    </font>
    <font>
      <b/>
      <i/>
      <sz val="9"/>
      <color rgb="FF333333"/>
      <name val="Arial"/>
      <family val="2"/>
    </font>
    <font>
      <b/>
      <sz val="12"/>
      <color theme="1"/>
      <name val="Verdana"/>
      <family val="2"/>
    </font>
    <font>
      <b/>
      <sz val="10"/>
      <color rgb="FFFF0000"/>
      <name val="Arial"/>
      <family val="2"/>
    </font>
    <font>
      <b/>
      <i/>
      <sz val="12"/>
      <color rgb="FF444444"/>
      <name val="Arial"/>
      <family val="2"/>
    </font>
    <font>
      <b/>
      <vertAlign val="superscript"/>
      <sz val="7"/>
      <color rgb="FF333333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E7E5E5"/>
      </patternFill>
    </fill>
    <fill>
      <patternFill patternType="solid">
        <fgColor rgb="FFDEE6F2"/>
      </patternFill>
    </fill>
    <fill>
      <patternFill patternType="solid">
        <fgColor rgb="FF5F91CB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6795556505021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3743705557422"/>
      </left>
      <right/>
      <top style="medium">
        <color theme="0" tint="-0.14990691854609822"/>
      </top>
      <bottom style="medium">
        <color theme="0" tint="-0.14996795556505021"/>
      </bottom>
      <diagonal/>
    </border>
    <border>
      <left/>
      <right style="medium">
        <color theme="0" tint="-0.14990691854609822"/>
      </right>
      <top style="medium">
        <color theme="0" tint="-0.14990691854609822"/>
      </top>
      <bottom style="medium">
        <color theme="0" tint="-0.14996795556505021"/>
      </bottom>
      <diagonal/>
    </border>
    <border>
      <left style="medium">
        <color theme="0" tint="-0.14990691854609822"/>
      </left>
      <right/>
      <top style="medium">
        <color theme="0" tint="-0.1498764000366222"/>
      </top>
      <bottom style="medium">
        <color theme="0" tint="-0.14996795556505021"/>
      </bottom>
      <diagonal/>
    </border>
    <border>
      <left/>
      <right style="medium">
        <color theme="0" tint="-0.1498764000366222"/>
      </right>
      <top style="medium">
        <color theme="0" tint="-0.1498764000366222"/>
      </top>
      <bottom style="medium">
        <color theme="0" tint="-0.14996795556505021"/>
      </bottom>
      <diagonal/>
    </border>
    <border>
      <left style="medium">
        <color theme="0" tint="-0.1498764000366222"/>
      </left>
      <right/>
      <top style="medium">
        <color theme="0" tint="-0.1498458815271462"/>
      </top>
      <bottom style="medium">
        <color theme="0" tint="-0.14996795556505021"/>
      </bottom>
      <diagonal/>
    </border>
    <border>
      <left/>
      <right style="medium">
        <color theme="0" tint="-0.1498458815271462"/>
      </right>
      <top style="medium">
        <color theme="0" tint="-0.1498458815271462"/>
      </top>
      <bottom style="medium">
        <color theme="0" tint="-0.14996795556505021"/>
      </bottom>
      <diagonal/>
    </border>
    <border>
      <left style="medium">
        <color theme="0" tint="-0.1498458815271462"/>
      </left>
      <right/>
      <top style="medium">
        <color theme="0" tint="-0.14981536301767021"/>
      </top>
      <bottom style="medium">
        <color theme="0" tint="-0.14996795556505021"/>
      </bottom>
      <diagonal/>
    </border>
    <border>
      <left/>
      <right style="medium">
        <color theme="0" tint="-0.14981536301767021"/>
      </right>
      <top style="medium">
        <color theme="0" tint="-0.14981536301767021"/>
      </top>
      <bottom style="medium">
        <color theme="0" tint="-0.14996795556505021"/>
      </bottom>
      <diagonal/>
    </border>
    <border>
      <left style="medium">
        <color theme="0" tint="-0.14981536301767021"/>
      </left>
      <right/>
      <top style="medium">
        <color theme="0" tint="-0.14978484450819421"/>
      </top>
      <bottom style="medium">
        <color theme="0" tint="-0.14996795556505021"/>
      </bottom>
      <diagonal/>
    </border>
    <border>
      <left/>
      <right style="medium">
        <color theme="0" tint="-0.14978484450819421"/>
      </right>
      <top style="medium">
        <color theme="0" tint="-0.14978484450819421"/>
      </top>
      <bottom style="medium">
        <color theme="0" tint="-0.1499679555650502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right"/>
    </xf>
    <xf numFmtId="0" fontId="4" fillId="0" borderId="1" xfId="0" applyFont="1" applyBorder="1" applyAlignment="1">
      <alignment vertical="center"/>
    </xf>
    <xf numFmtId="0" fontId="4" fillId="0" borderId="0" xfId="0" applyFont="1"/>
    <xf numFmtId="0" fontId="0" fillId="2" borderId="0" xfId="0" applyFill="1"/>
    <xf numFmtId="0" fontId="5" fillId="3" borderId="2" xfId="0" applyFont="1" applyFill="1" applyBorder="1" applyAlignment="1">
      <alignment vertical="top"/>
    </xf>
    <xf numFmtId="0" fontId="6" fillId="0" borderId="0" xfId="0" applyFont="1"/>
    <xf numFmtId="0" fontId="7" fillId="0" borderId="0" xfId="0" applyFont="1"/>
    <xf numFmtId="0" fontId="8" fillId="0" borderId="0" xfId="0" applyFont="1"/>
    <xf numFmtId="3" fontId="9" fillId="0" borderId="3" xfId="0" applyNumberFormat="1" applyFont="1" applyBorder="1" applyAlignment="1">
      <alignment horizontal="right" vertical="top"/>
    </xf>
    <xf numFmtId="164" fontId="10" fillId="0" borderId="3" xfId="0" applyNumberFormat="1" applyFont="1" applyBorder="1" applyAlignment="1">
      <alignment horizontal="right" vertical="top"/>
    </xf>
    <xf numFmtId="0" fontId="5" fillId="3" borderId="2" xfId="0" applyFont="1" applyFill="1" applyBorder="1" applyAlignment="1">
      <alignment horizontal="centerContinuous" vertical="top"/>
    </xf>
    <xf numFmtId="3" fontId="11" fillId="4" borderId="4" xfId="0" applyNumberFormat="1" applyFont="1" applyFill="1" applyBorder="1" applyAlignment="1">
      <alignment horizontal="right" vertical="top"/>
    </xf>
    <xf numFmtId="165" fontId="12" fillId="4" borderId="4" xfId="0" applyNumberFormat="1" applyFont="1" applyFill="1" applyBorder="1" applyAlignment="1">
      <alignment horizontal="right" vertical="top"/>
    </xf>
    <xf numFmtId="0" fontId="13" fillId="5" borderId="5" xfId="0" applyFont="1" applyFill="1" applyBorder="1" applyAlignment="1">
      <alignment vertical="top"/>
    </xf>
    <xf numFmtId="0" fontId="14" fillId="0" borderId="0" xfId="0" applyFont="1"/>
    <xf numFmtId="0" fontId="17" fillId="0" borderId="0" xfId="0" applyFont="1"/>
    <xf numFmtId="0" fontId="17" fillId="6" borderId="6" xfId="0" applyFont="1" applyFill="1" applyBorder="1"/>
    <xf numFmtId="0" fontId="3" fillId="7" borderId="6" xfId="0" applyFont="1" applyFill="1" applyBorder="1"/>
    <xf numFmtId="0" fontId="17" fillId="7" borderId="6" xfId="0" applyFont="1" applyFill="1" applyBorder="1"/>
    <xf numFmtId="0" fontId="19" fillId="7" borderId="6" xfId="0" applyFont="1" applyFill="1" applyBorder="1"/>
    <xf numFmtId="0" fontId="4" fillId="7" borderId="6" xfId="0" applyFont="1" applyFill="1" applyBorder="1"/>
    <xf numFmtId="3" fontId="4" fillId="0" borderId="6" xfId="0" applyNumberFormat="1" applyFont="1" applyBorder="1"/>
    <xf numFmtId="3" fontId="19" fillId="7" borderId="6" xfId="0" applyNumberFormat="1" applyFont="1" applyFill="1" applyBorder="1"/>
    <xf numFmtId="0" fontId="3" fillId="7" borderId="7" xfId="0" applyFont="1" applyFill="1" applyBorder="1"/>
    <xf numFmtId="0" fontId="3" fillId="7" borderId="8" xfId="0" applyFont="1" applyFill="1" applyBorder="1"/>
    <xf numFmtId="0" fontId="3" fillId="7" borderId="9" xfId="0" applyFont="1" applyFill="1" applyBorder="1"/>
    <xf numFmtId="0" fontId="20" fillId="0" borderId="0" xfId="0" applyFont="1"/>
    <xf numFmtId="0" fontId="14" fillId="0" borderId="0" xfId="0" applyFont="1" applyAlignment="1">
      <alignment horizontal="right"/>
    </xf>
    <xf numFmtId="0" fontId="3" fillId="7" borderId="10" xfId="0" applyFont="1" applyFill="1" applyBorder="1" applyAlignment="1">
      <alignment horizontal="centerContinuous"/>
    </xf>
    <xf numFmtId="0" fontId="3" fillId="7" borderId="11" xfId="0" applyFont="1" applyFill="1" applyBorder="1" applyAlignment="1">
      <alignment horizontal="centerContinuous"/>
    </xf>
    <xf numFmtId="0" fontId="3" fillId="7" borderId="12" xfId="0" applyFont="1" applyFill="1" applyBorder="1" applyAlignment="1">
      <alignment horizontal="centerContinuous"/>
    </xf>
    <xf numFmtId="0" fontId="3" fillId="7" borderId="13" xfId="0" applyFont="1" applyFill="1" applyBorder="1" applyAlignment="1">
      <alignment horizontal="centerContinuous"/>
    </xf>
    <xf numFmtId="0" fontId="3" fillId="7" borderId="14" xfId="0" applyFont="1" applyFill="1" applyBorder="1" applyAlignment="1">
      <alignment horizontal="centerContinuous"/>
    </xf>
    <xf numFmtId="0" fontId="3" fillId="7" borderId="15" xfId="0" applyFont="1" applyFill="1" applyBorder="1" applyAlignment="1">
      <alignment horizontal="centerContinuous"/>
    </xf>
    <xf numFmtId="0" fontId="3" fillId="7" borderId="16" xfId="0" applyFont="1" applyFill="1" applyBorder="1" applyAlignment="1">
      <alignment horizontal="centerContinuous"/>
    </xf>
    <xf numFmtId="0" fontId="3" fillId="7" borderId="17" xfId="0" applyFont="1" applyFill="1" applyBorder="1" applyAlignment="1">
      <alignment horizontal="centerContinuous"/>
    </xf>
    <xf numFmtId="0" fontId="3" fillId="7" borderId="18" xfId="0" applyFont="1" applyFill="1" applyBorder="1" applyAlignment="1">
      <alignment horizontal="centerContinuous"/>
    </xf>
    <xf numFmtId="0" fontId="3" fillId="7" borderId="19" xfId="0" applyFont="1" applyFill="1" applyBorder="1" applyAlignment="1">
      <alignment horizontal="centerContinuous"/>
    </xf>
    <xf numFmtId="0" fontId="3" fillId="7" borderId="20" xfId="0" applyFont="1" applyFill="1" applyBorder="1" applyAlignment="1">
      <alignment horizontal="centerContinuous"/>
    </xf>
    <xf numFmtId="0" fontId="3" fillId="7" borderId="21" xfId="0" applyFont="1" applyFill="1" applyBorder="1" applyAlignment="1">
      <alignment horizontal="centerContinuous"/>
    </xf>
    <xf numFmtId="0" fontId="21" fillId="3" borderId="2" xfId="0" applyFont="1" applyFill="1" applyBorder="1" applyAlignment="1">
      <alignment vertical="top"/>
    </xf>
    <xf numFmtId="0" fontId="23" fillId="3" borderId="2" xfId="0" applyFont="1" applyFill="1" applyBorder="1" applyAlignment="1">
      <alignment horizontal="center" vertical="top"/>
    </xf>
    <xf numFmtId="0" fontId="0" fillId="3" borderId="2" xfId="0" applyFill="1" applyBorder="1"/>
    <xf numFmtId="0" fontId="19" fillId="5" borderId="5" xfId="0" applyFont="1" applyFill="1" applyBorder="1" applyAlignment="1">
      <alignment vertical="top"/>
    </xf>
    <xf numFmtId="0" fontId="25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4" fillId="3" borderId="2" xfId="0" applyFont="1" applyFill="1" applyBorder="1" applyAlignment="1">
      <alignment vertical="top"/>
    </xf>
    <xf numFmtId="0" fontId="4" fillId="0" borderId="3" xfId="0" applyFont="1" applyBorder="1"/>
    <xf numFmtId="0" fontId="24" fillId="3" borderId="2" xfId="0" applyFont="1" applyFill="1" applyBorder="1" applyAlignment="1">
      <alignment vertical="top"/>
    </xf>
    <xf numFmtId="0" fontId="0" fillId="3" borderId="23" xfId="0" applyFill="1" applyBorder="1"/>
    <xf numFmtId="0" fontId="0" fillId="3" borderId="24" xfId="0" applyFill="1" applyBorder="1"/>
    <xf numFmtId="0" fontId="0" fillId="0" borderId="0" xfId="0" applyFill="1"/>
    <xf numFmtId="0" fontId="2" fillId="0" borderId="0" xfId="0" applyFont="1" applyFill="1" applyAlignment="1">
      <alignment horizontal="right"/>
    </xf>
    <xf numFmtId="0" fontId="14" fillId="0" borderId="0" xfId="0" applyFont="1" applyFill="1"/>
    <xf numFmtId="0" fontId="4" fillId="0" borderId="0" xfId="0" applyFont="1" applyFill="1"/>
    <xf numFmtId="0" fontId="0" fillId="0" borderId="3" xfId="0" applyBorder="1"/>
    <xf numFmtId="0" fontId="9" fillId="0" borderId="3" xfId="0" applyFont="1" applyBorder="1" applyAlignment="1">
      <alignment horizontal="right" vertical="top"/>
    </xf>
    <xf numFmtId="0" fontId="27" fillId="0" borderId="0" xfId="0" applyFont="1" applyAlignment="1">
      <alignment horizontal="left"/>
    </xf>
    <xf numFmtId="0" fontId="0" fillId="0" borderId="0" xfId="0"/>
    <xf numFmtId="0" fontId="5" fillId="3" borderId="2" xfId="0" applyFont="1" applyFill="1" applyBorder="1" applyAlignment="1">
      <alignment horizontal="center"/>
    </xf>
    <xf numFmtId="0" fontId="0" fillId="3" borderId="25" xfId="0" applyFill="1" applyBorder="1"/>
    <xf numFmtId="0" fontId="5" fillId="3" borderId="22" xfId="0" applyFont="1" applyFill="1" applyBorder="1" applyAlignment="1">
      <alignment horizontal="center"/>
    </xf>
    <xf numFmtId="0" fontId="21" fillId="3" borderId="22" xfId="0" applyFont="1" applyFill="1" applyBorder="1" applyAlignment="1">
      <alignment vertical="top"/>
    </xf>
    <xf numFmtId="0" fontId="0" fillId="3" borderId="26" xfId="0" applyFill="1" applyBorder="1"/>
    <xf numFmtId="0" fontId="21" fillId="3" borderId="2" xfId="0" applyFont="1" applyFill="1" applyBorder="1" applyAlignment="1">
      <alignment vertical="top"/>
    </xf>
    <xf numFmtId="0" fontId="3" fillId="4" borderId="4" xfId="0" applyFont="1" applyFill="1" applyBorder="1"/>
    <xf numFmtId="164" fontId="29" fillId="0" borderId="3" xfId="0" applyNumberFormat="1" applyFont="1" applyBorder="1" applyAlignment="1">
      <alignment horizontal="right" vertical="top"/>
    </xf>
    <xf numFmtId="166" fontId="29" fillId="0" borderId="3" xfId="0" applyNumberFormat="1" applyFont="1" applyBorder="1"/>
    <xf numFmtId="165" fontId="13" fillId="4" borderId="4" xfId="0" applyNumberFormat="1" applyFont="1" applyFill="1" applyBorder="1" applyAlignment="1">
      <alignment horizontal="right" vertical="top"/>
    </xf>
    <xf numFmtId="9" fontId="13" fillId="4" borderId="4" xfId="0" applyNumberFormat="1" applyFont="1" applyFill="1" applyBorder="1"/>
    <xf numFmtId="3" fontId="30" fillId="0" borderId="3" xfId="0" applyNumberFormat="1" applyFont="1" applyBorder="1" applyAlignment="1">
      <alignment horizontal="right" vertical="top"/>
    </xf>
    <xf numFmtId="0" fontId="30" fillId="0" borderId="3" xfId="0" applyFont="1" applyBorder="1"/>
    <xf numFmtId="0" fontId="30" fillId="0" borderId="3" xfId="0" applyFont="1" applyBorder="1" applyAlignment="1">
      <alignment horizontal="right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45C1AF5-15AB-4B7B-9354-BB1D928D03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647700</xdr:colOff>
      <xdr:row>11</xdr:row>
      <xdr:rowOff>127908</xdr:rowOff>
    </xdr:to>
    <xdr:pic>
      <xdr:nvPicPr>
        <xdr:cNvPr id="2" name="Picture 1" descr="Texas HHS Logo.">
          <a:extLst>
            <a:ext uri="{FF2B5EF4-FFF2-40B4-BE49-F238E27FC236}">
              <a16:creationId xmlns:a16="http://schemas.microsoft.com/office/drawing/2014/main" id="{4D5672AE-01C6-40A3-8E35-A05CBFBA6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191500" cy="22234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eg">
          <a:extLst>
            <a:ext uri="{FF2B5EF4-FFF2-40B4-BE49-F238E27FC236}">
              <a16:creationId xmlns:a16="http://schemas.microsoft.com/office/drawing/2014/main" id="{610BC9E3-69D8-4BC2-B222-3F5420700E9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D08A4E39-F5BA-4910-877A-3A03FAC2723B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DBBED47D-1D2C-4A21-8F1C-7ADFC640776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5172B903-D7D1-44F1-8957-B4EA0B1DBF16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287D8CC3-BB24-4284-ADEE-6E65617A814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52C7-BBFD-42D9-A5A8-0A4E1F82743E}">
  <sheetPr>
    <pageSetUpPr fitToPage="1"/>
  </sheetPr>
  <dimension ref="I13:J15"/>
  <sheetViews>
    <sheetView tabSelected="1" zoomScaleNormal="100" workbookViewId="0">
      <selection activeCell="J15" sqref="J15"/>
    </sheetView>
  </sheetViews>
  <sheetFormatPr defaultRowHeight="15" x14ac:dyDescent="0.2"/>
  <sheetData>
    <row r="13" spans="9:10" ht="24.75" x14ac:dyDescent="0.3">
      <c r="J13" s="1" t="s">
        <v>0</v>
      </c>
    </row>
    <row r="14" spans="9:10" ht="24.75" x14ac:dyDescent="0.3">
      <c r="J14" s="1" t="s">
        <v>1</v>
      </c>
    </row>
    <row r="15" spans="9:10" ht="19.5" x14ac:dyDescent="0.25">
      <c r="I15" s="53"/>
      <c r="J15" s="54" t="s">
        <v>143</v>
      </c>
    </row>
  </sheetData>
  <printOptions horizontalCentered="1" verticalCentered="1"/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D13E-ABDF-4784-81A9-66E95C5C256F}">
  <dimension ref="A1:C27"/>
  <sheetViews>
    <sheetView zoomScaleNormal="100" workbookViewId="0">
      <selection activeCell="B27" sqref="B27"/>
    </sheetView>
  </sheetViews>
  <sheetFormatPr defaultRowHeight="15" x14ac:dyDescent="0.2"/>
  <cols>
    <col min="1" max="1" width="32.19921875" bestFit="1" customWidth="1"/>
    <col min="2" max="2" width="46.796875" customWidth="1"/>
    <col min="3" max="3" width="5.69921875" customWidth="1"/>
  </cols>
  <sheetData>
    <row r="1" spans="1:3" x14ac:dyDescent="0.2">
      <c r="A1" s="4"/>
      <c r="B1" s="4"/>
      <c r="C1" s="4"/>
    </row>
    <row r="2" spans="1:3" x14ac:dyDescent="0.2">
      <c r="A2" s="4"/>
      <c r="B2" s="4"/>
      <c r="C2" s="4"/>
    </row>
    <row r="3" spans="1:3" x14ac:dyDescent="0.2">
      <c r="A3" s="4"/>
      <c r="B3" s="4"/>
      <c r="C3" s="4"/>
    </row>
    <row r="4" spans="1:3" x14ac:dyDescent="0.2">
      <c r="A4" s="4"/>
      <c r="B4" s="4"/>
      <c r="C4" s="4"/>
    </row>
    <row r="5" spans="1:3" x14ac:dyDescent="0.2">
      <c r="A5" s="4"/>
      <c r="B5" s="4"/>
      <c r="C5" s="4"/>
    </row>
    <row r="6" spans="1:3" x14ac:dyDescent="0.2">
      <c r="A6" s="4"/>
      <c r="B6" s="4"/>
      <c r="C6" s="4"/>
    </row>
    <row r="7" spans="1:3" x14ac:dyDescent="0.2">
      <c r="A7" s="4"/>
      <c r="B7" s="4"/>
      <c r="C7" s="4"/>
    </row>
    <row r="8" spans="1:3" x14ac:dyDescent="0.2">
      <c r="A8" s="4"/>
      <c r="B8" s="4"/>
      <c r="C8" s="4"/>
    </row>
    <row r="9" spans="1:3" x14ac:dyDescent="0.2">
      <c r="A9" s="4"/>
      <c r="B9" s="4"/>
      <c r="C9" s="4"/>
    </row>
    <row r="10" spans="1:3" ht="15.75" x14ac:dyDescent="0.25">
      <c r="A10" s="27" t="s">
        <v>2</v>
      </c>
      <c r="B10" s="2" t="s">
        <v>3</v>
      </c>
      <c r="C10" s="15">
        <v>1</v>
      </c>
    </row>
    <row r="11" spans="1:3" x14ac:dyDescent="0.2">
      <c r="A11" s="15" t="s">
        <v>4</v>
      </c>
      <c r="B11" s="2" t="s">
        <v>3</v>
      </c>
      <c r="C11" s="15">
        <v>1</v>
      </c>
    </row>
    <row r="12" spans="1:3" x14ac:dyDescent="0.2">
      <c r="A12" s="15" t="s">
        <v>5</v>
      </c>
      <c r="B12" s="2" t="s">
        <v>3</v>
      </c>
      <c r="C12" s="15">
        <v>1</v>
      </c>
    </row>
    <row r="13" spans="1:3" x14ac:dyDescent="0.2">
      <c r="A13" s="15" t="s">
        <v>6</v>
      </c>
      <c r="B13" s="2" t="s">
        <v>3</v>
      </c>
      <c r="C13" s="15">
        <v>1</v>
      </c>
    </row>
    <row r="14" spans="1:3" x14ac:dyDescent="0.2">
      <c r="A14" s="15" t="s">
        <v>7</v>
      </c>
      <c r="B14" s="2" t="s">
        <v>3</v>
      </c>
      <c r="C14" s="15">
        <v>1</v>
      </c>
    </row>
    <row r="15" spans="1:3" x14ac:dyDescent="0.2">
      <c r="A15" s="15" t="s">
        <v>8</v>
      </c>
      <c r="B15" s="2" t="s">
        <v>3</v>
      </c>
      <c r="C15" s="15">
        <v>1</v>
      </c>
    </row>
    <row r="16" spans="1:3" ht="15.75" x14ac:dyDescent="0.25">
      <c r="A16" s="27" t="s">
        <v>9</v>
      </c>
      <c r="B16" s="2" t="s">
        <v>3</v>
      </c>
      <c r="C16" s="15">
        <v>2</v>
      </c>
    </row>
    <row r="17" spans="1:3" ht="15.75" x14ac:dyDescent="0.25">
      <c r="A17" s="27" t="s">
        <v>10</v>
      </c>
      <c r="B17" s="2" t="s">
        <v>3</v>
      </c>
      <c r="C17" s="15">
        <v>3</v>
      </c>
    </row>
    <row r="18" spans="1:3" ht="15.75" x14ac:dyDescent="0.25">
      <c r="A18" s="27" t="s">
        <v>11</v>
      </c>
      <c r="B18" s="2" t="s">
        <v>3</v>
      </c>
      <c r="C18" s="15">
        <v>4</v>
      </c>
    </row>
    <row r="19" spans="1:3" x14ac:dyDescent="0.2">
      <c r="A19" s="15" t="s">
        <v>12</v>
      </c>
      <c r="B19" s="2" t="s">
        <v>3</v>
      </c>
      <c r="C19" s="15">
        <v>4</v>
      </c>
    </row>
    <row r="20" spans="1:3" x14ac:dyDescent="0.2">
      <c r="A20" s="15" t="s">
        <v>13</v>
      </c>
      <c r="B20" s="2" t="s">
        <v>3</v>
      </c>
      <c r="C20" s="15">
        <v>4</v>
      </c>
    </row>
    <row r="21" spans="1:3" x14ac:dyDescent="0.2">
      <c r="A21" s="15" t="s">
        <v>14</v>
      </c>
      <c r="B21" s="2" t="s">
        <v>3</v>
      </c>
      <c r="C21" s="15">
        <v>4</v>
      </c>
    </row>
    <row r="22" spans="1:3" x14ac:dyDescent="0.2">
      <c r="A22" s="15" t="s">
        <v>15</v>
      </c>
      <c r="B22" s="2" t="s">
        <v>3</v>
      </c>
      <c r="C22" s="15">
        <v>4</v>
      </c>
    </row>
    <row r="23" spans="1:3" x14ac:dyDescent="0.2">
      <c r="A23" s="15" t="s">
        <v>16</v>
      </c>
      <c r="B23" s="2" t="s">
        <v>3</v>
      </c>
      <c r="C23" s="15">
        <v>4</v>
      </c>
    </row>
    <row r="24" spans="1:3" x14ac:dyDescent="0.2">
      <c r="A24" s="15" t="s">
        <v>17</v>
      </c>
      <c r="B24" s="2" t="s">
        <v>3</v>
      </c>
      <c r="C24" s="15">
        <v>4</v>
      </c>
    </row>
    <row r="25" spans="1:3" x14ac:dyDescent="0.2">
      <c r="A25" s="15" t="s">
        <v>18</v>
      </c>
      <c r="B25" s="2" t="s">
        <v>3</v>
      </c>
      <c r="C25" s="15">
        <v>4</v>
      </c>
    </row>
    <row r="26" spans="1:3" x14ac:dyDescent="0.2">
      <c r="A26" s="15" t="s">
        <v>19</v>
      </c>
      <c r="B26" s="2" t="s">
        <v>3</v>
      </c>
      <c r="C26" s="15">
        <v>4</v>
      </c>
    </row>
    <row r="27" spans="1:3" x14ac:dyDescent="0.2">
      <c r="A27" s="15"/>
      <c r="B27" s="55" t="s">
        <v>132</v>
      </c>
      <c r="C27" s="28" t="s">
        <v>20</v>
      </c>
    </row>
  </sheetData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5AE1-C96A-4BF6-B87C-780DC007659B}">
  <sheetPr>
    <pageSetUpPr fitToPage="1"/>
  </sheetPr>
  <dimension ref="A1:I27"/>
  <sheetViews>
    <sheetView zoomScaleNormal="100" workbookViewId="0">
      <selection activeCell="D14" sqref="D14"/>
    </sheetView>
  </sheetViews>
  <sheetFormatPr defaultColWidth="8.796875" defaultRowHeight="12.75" x14ac:dyDescent="0.2"/>
  <cols>
    <col min="1" max="1" width="25.19921875" style="3" bestFit="1" customWidth="1"/>
    <col min="2" max="2" width="17.5" style="3" bestFit="1" customWidth="1"/>
    <col min="3" max="5" width="6.3984375" style="3" customWidth="1"/>
    <col min="6" max="6" width="5.69921875" style="3" customWidth="1"/>
    <col min="7" max="7" width="6.3984375" style="3" customWidth="1"/>
    <col min="8" max="8" width="6" style="3" customWidth="1"/>
    <col min="9" max="9" width="7" style="3" customWidth="1"/>
    <col min="10" max="16384" width="8.796875" style="3"/>
  </cols>
  <sheetData>
    <row r="1" spans="1:9" ht="15" x14ac:dyDescent="0.2">
      <c r="A1" s="45" t="s">
        <v>2</v>
      </c>
      <c r="B1" s="46"/>
      <c r="C1" s="46"/>
      <c r="D1" s="46"/>
      <c r="E1" s="46"/>
      <c r="F1" s="46"/>
      <c r="G1" s="46"/>
      <c r="H1" s="46"/>
      <c r="I1" s="46"/>
    </row>
    <row r="11" spans="1:9" ht="13.5" thickBot="1" x14ac:dyDescent="0.25"/>
    <row r="12" spans="1:9" ht="15" thickBot="1" x14ac:dyDescent="0.25">
      <c r="C12" s="21" t="s">
        <v>21</v>
      </c>
      <c r="D12" s="21" t="s">
        <v>22</v>
      </c>
      <c r="E12" s="21" t="s">
        <v>23</v>
      </c>
      <c r="F12" s="21" t="s">
        <v>24</v>
      </c>
      <c r="G12" s="21" t="s">
        <v>25</v>
      </c>
      <c r="H12" s="21" t="s">
        <v>26</v>
      </c>
      <c r="I12" s="14" t="s">
        <v>27</v>
      </c>
    </row>
    <row r="13" spans="1:9" ht="13.5" customHeight="1" thickBot="1" x14ac:dyDescent="0.25">
      <c r="A13" s="18" t="s">
        <v>4</v>
      </c>
      <c r="B13" s="17" t="s">
        <v>134</v>
      </c>
      <c r="C13" s="22">
        <v>81759</v>
      </c>
      <c r="D13" s="22">
        <v>1709</v>
      </c>
      <c r="E13" s="22">
        <v>117132</v>
      </c>
      <c r="F13" s="22">
        <v>6879</v>
      </c>
      <c r="G13" s="22">
        <v>6358</v>
      </c>
      <c r="H13" s="22">
        <v>106068</v>
      </c>
      <c r="I13" s="12">
        <f>SUM(C13:H13)</f>
        <v>319905</v>
      </c>
    </row>
    <row r="14" spans="1:9" ht="15" customHeight="1" thickBot="1" x14ac:dyDescent="0.25">
      <c r="A14" s="24" t="s">
        <v>28</v>
      </c>
      <c r="B14" s="19" t="s">
        <v>29</v>
      </c>
      <c r="C14" s="22">
        <v>19</v>
      </c>
      <c r="D14" s="22">
        <v>1</v>
      </c>
      <c r="E14" s="22">
        <v>76</v>
      </c>
      <c r="F14" s="22">
        <v>4</v>
      </c>
      <c r="G14" s="22">
        <v>240</v>
      </c>
      <c r="H14" s="22">
        <v>19</v>
      </c>
      <c r="I14" s="12">
        <f t="shared" ref="I14:I19" si="0">SUM(C14:H14)</f>
        <v>359</v>
      </c>
    </row>
    <row r="15" spans="1:9" ht="15" customHeight="1" thickBot="1" x14ac:dyDescent="0.25">
      <c r="A15" s="25"/>
      <c r="B15" s="19" t="s">
        <v>30</v>
      </c>
      <c r="C15" s="22">
        <v>67</v>
      </c>
      <c r="D15" s="22">
        <v>1</v>
      </c>
      <c r="E15" s="22">
        <v>17</v>
      </c>
      <c r="F15" s="22">
        <v>9</v>
      </c>
      <c r="G15" s="22">
        <v>1041</v>
      </c>
      <c r="H15" s="22">
        <v>43</v>
      </c>
      <c r="I15" s="12">
        <f t="shared" si="0"/>
        <v>1178</v>
      </c>
    </row>
    <row r="16" spans="1:9" ht="13.5" customHeight="1" thickBot="1" x14ac:dyDescent="0.25">
      <c r="A16" s="26"/>
      <c r="B16" s="19" t="s">
        <v>31</v>
      </c>
      <c r="C16" s="22">
        <v>452</v>
      </c>
      <c r="D16" s="22">
        <v>37</v>
      </c>
      <c r="E16" s="22">
        <v>83</v>
      </c>
      <c r="F16" s="22">
        <v>563</v>
      </c>
      <c r="G16" s="22">
        <v>4130</v>
      </c>
      <c r="H16" s="22">
        <v>119</v>
      </c>
      <c r="I16" s="12">
        <f t="shared" si="0"/>
        <v>5384</v>
      </c>
    </row>
    <row r="17" spans="1:9" ht="15" customHeight="1" thickBot="1" x14ac:dyDescent="0.25">
      <c r="A17" s="18" t="s">
        <v>32</v>
      </c>
      <c r="B17" s="20" t="s">
        <v>133</v>
      </c>
      <c r="C17" s="23">
        <v>547</v>
      </c>
      <c r="D17" s="23">
        <v>39</v>
      </c>
      <c r="E17" s="23">
        <v>0</v>
      </c>
      <c r="F17" s="23">
        <v>583</v>
      </c>
      <c r="G17" s="23">
        <v>6557</v>
      </c>
      <c r="H17" s="23">
        <v>0</v>
      </c>
      <c r="I17" s="23">
        <f t="shared" si="0"/>
        <v>7726</v>
      </c>
    </row>
    <row r="18" spans="1:9" ht="13.5" customHeight="1" thickBot="1" x14ac:dyDescent="0.25">
      <c r="A18" s="18" t="s">
        <v>7</v>
      </c>
      <c r="B18" s="19" t="s">
        <v>33</v>
      </c>
      <c r="C18" s="22">
        <v>283</v>
      </c>
      <c r="D18" s="22">
        <v>44</v>
      </c>
      <c r="E18" s="22">
        <v>515</v>
      </c>
      <c r="F18" s="22">
        <v>204</v>
      </c>
      <c r="G18" s="22">
        <v>2269</v>
      </c>
      <c r="H18" s="22">
        <v>504</v>
      </c>
      <c r="I18" s="12">
        <f t="shared" si="0"/>
        <v>3819</v>
      </c>
    </row>
    <row r="19" spans="1:9" ht="13.5" customHeight="1" thickBot="1" x14ac:dyDescent="0.25">
      <c r="A19" s="18" t="s">
        <v>8</v>
      </c>
      <c r="B19" s="19" t="s">
        <v>135</v>
      </c>
      <c r="C19" s="22">
        <v>82118</v>
      </c>
      <c r="D19" s="22">
        <v>1748</v>
      </c>
      <c r="E19" s="22">
        <v>117604</v>
      </c>
      <c r="F19" s="22">
        <v>6550</v>
      </c>
      <c r="G19" s="22">
        <v>6203</v>
      </c>
      <c r="H19" s="22">
        <v>106605</v>
      </c>
      <c r="I19" s="12">
        <f t="shared" si="0"/>
        <v>320828</v>
      </c>
    </row>
    <row r="21" spans="1:9" ht="13.5" customHeight="1" x14ac:dyDescent="0.2">
      <c r="A21" s="3" t="s">
        <v>130</v>
      </c>
    </row>
    <row r="22" spans="1:9" ht="13.5" customHeight="1" x14ac:dyDescent="0.2">
      <c r="A22" s="3" t="s">
        <v>131</v>
      </c>
    </row>
    <row r="23" spans="1:9" ht="13.5" customHeight="1" x14ac:dyDescent="0.2">
      <c r="A23" s="3" t="s">
        <v>34</v>
      </c>
    </row>
    <row r="24" spans="1:9" ht="13.5" customHeight="1" x14ac:dyDescent="0.2">
      <c r="A24" s="3" t="s">
        <v>35</v>
      </c>
    </row>
    <row r="25" spans="1:9" ht="13.5" customHeight="1" x14ac:dyDescent="0.2">
      <c r="A25" s="3" t="s">
        <v>36</v>
      </c>
    </row>
    <row r="26" spans="1:9" ht="13.5" customHeight="1" x14ac:dyDescent="0.2">
      <c r="A26" s="3" t="s">
        <v>37</v>
      </c>
    </row>
    <row r="27" spans="1:9" ht="19.5" customHeight="1" x14ac:dyDescent="0.2">
      <c r="A27" s="3" t="s">
        <v>136</v>
      </c>
      <c r="H27" s="56"/>
      <c r="I27" s="56"/>
    </row>
  </sheetData>
  <printOptions horizontalCentered="1"/>
  <pageMargins left="0.7" right="0.7" top="0.75" bottom="0.75" header="0.3" footer="0.3"/>
  <pageSetup scale="94" orientation="landscape" r:id="rId1"/>
  <headerFooter>
    <oddFooter>&amp;L&amp;10Data Source:  CSIL (and CARE, see, note 1)&amp;C&amp;10Report Generated on:  11/5/22&amp;RPage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F825-CABF-4EAB-AE47-59F96B35DA15}">
  <dimension ref="A1:M30"/>
  <sheetViews>
    <sheetView zoomScaleNormal="100" workbookViewId="0">
      <selection activeCell="J20" sqref="J20"/>
    </sheetView>
  </sheetViews>
  <sheetFormatPr defaultRowHeight="15" x14ac:dyDescent="0.2"/>
  <cols>
    <col min="1" max="1" width="11.69921875" customWidth="1"/>
    <col min="2" max="2" width="7.59765625" bestFit="1" customWidth="1"/>
    <col min="3" max="3" width="5.59765625" bestFit="1" customWidth="1"/>
    <col min="4" max="4" width="7.59765625" bestFit="1" customWidth="1"/>
    <col min="5" max="5" width="5.59765625" bestFit="1" customWidth="1"/>
    <col min="6" max="6" width="7.59765625" bestFit="1" customWidth="1"/>
    <col min="7" max="7" width="5.59765625" bestFit="1" customWidth="1"/>
    <col min="8" max="8" width="7.59765625" bestFit="1" customWidth="1"/>
    <col min="9" max="9" width="5.59765625" bestFit="1" customWidth="1"/>
    <col min="10" max="10" width="7.59765625" bestFit="1" customWidth="1"/>
    <col min="11" max="11" width="5.59765625" bestFit="1" customWidth="1"/>
    <col min="12" max="12" width="7.59765625" bestFit="1" customWidth="1"/>
    <col min="13" max="13" width="4.59765625" bestFit="1" customWidth="1"/>
  </cols>
  <sheetData>
    <row r="1" spans="1:13" x14ac:dyDescent="0.2">
      <c r="A1" s="45" t="s">
        <v>129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10" spans="1:13" ht="15.75" thickBot="1" x14ac:dyDescent="0.25"/>
    <row r="11" spans="1:13" s="6" customFormat="1" ht="13.5" thickBot="1" x14ac:dyDescent="0.25">
      <c r="B11" s="11" t="s">
        <v>21</v>
      </c>
      <c r="C11" s="11"/>
      <c r="D11" s="11" t="s">
        <v>22</v>
      </c>
      <c r="E11" s="11"/>
      <c r="F11" s="11" t="s">
        <v>38</v>
      </c>
      <c r="G11" s="11"/>
      <c r="H11" s="11" t="s">
        <v>24</v>
      </c>
      <c r="I11" s="11"/>
      <c r="J11" s="11" t="s">
        <v>25</v>
      </c>
      <c r="K11" s="11"/>
      <c r="L11" s="11" t="s">
        <v>39</v>
      </c>
      <c r="M11" s="11"/>
    </row>
    <row r="12" spans="1:13" s="8" customFormat="1" ht="13.5" thickBot="1" x14ac:dyDescent="0.2">
      <c r="A12" s="7" t="s">
        <v>40</v>
      </c>
      <c r="B12" s="5" t="s">
        <v>41</v>
      </c>
      <c r="C12" s="5" t="s">
        <v>42</v>
      </c>
      <c r="D12" s="5" t="s">
        <v>41</v>
      </c>
      <c r="E12" s="5" t="s">
        <v>42</v>
      </c>
      <c r="F12" s="5" t="s">
        <v>41</v>
      </c>
      <c r="G12" s="5" t="s">
        <v>42</v>
      </c>
      <c r="H12" s="5" t="s">
        <v>41</v>
      </c>
      <c r="I12" s="5" t="s">
        <v>42</v>
      </c>
      <c r="J12" s="5" t="s">
        <v>41</v>
      </c>
      <c r="K12" s="5" t="s">
        <v>42</v>
      </c>
      <c r="L12" s="5" t="s">
        <v>41</v>
      </c>
      <c r="M12" s="5"/>
    </row>
    <row r="13" spans="1:13" ht="15.75" thickBot="1" x14ac:dyDescent="0.25">
      <c r="A13" s="5" t="s">
        <v>103</v>
      </c>
      <c r="B13" s="9">
        <v>2770</v>
      </c>
      <c r="C13" s="10">
        <v>3.3729500000000003E-2</v>
      </c>
      <c r="D13" s="9">
        <v>363</v>
      </c>
      <c r="E13" s="10">
        <v>0.20766589999999999</v>
      </c>
      <c r="F13" s="9">
        <v>6515</v>
      </c>
      <c r="G13" s="10">
        <v>5.5397799999999997E-2</v>
      </c>
      <c r="H13" s="9">
        <v>2150</v>
      </c>
      <c r="I13" s="10">
        <v>0.32824429999999999</v>
      </c>
      <c r="J13" s="9">
        <v>6176</v>
      </c>
      <c r="K13" s="10">
        <v>0.99564730000000001</v>
      </c>
      <c r="L13" s="9">
        <v>6551</v>
      </c>
      <c r="M13" s="10">
        <v>6.1451199999999997E-2</v>
      </c>
    </row>
    <row r="14" spans="1:13" ht="15.75" thickBot="1" x14ac:dyDescent="0.25">
      <c r="A14" s="5" t="s">
        <v>104</v>
      </c>
      <c r="B14" s="9">
        <v>4314</v>
      </c>
      <c r="C14" s="10">
        <v>5.2530300000000002E-2</v>
      </c>
      <c r="D14" s="9">
        <v>297</v>
      </c>
      <c r="E14" s="10">
        <v>0.16990849999999999</v>
      </c>
      <c r="F14" s="9">
        <v>5810</v>
      </c>
      <c r="G14" s="10">
        <v>4.9403099999999998E-2</v>
      </c>
      <c r="H14" s="9">
        <v>2760</v>
      </c>
      <c r="I14" s="10">
        <v>0.42137400000000003</v>
      </c>
      <c r="J14" s="9">
        <v>8</v>
      </c>
      <c r="K14" s="10">
        <v>1.2897E-3</v>
      </c>
      <c r="L14" s="9">
        <v>5819</v>
      </c>
      <c r="M14" s="10">
        <v>5.45847E-2</v>
      </c>
    </row>
    <row r="15" spans="1:13" ht="15.75" thickBot="1" x14ac:dyDescent="0.25">
      <c r="A15" s="5" t="s">
        <v>105</v>
      </c>
      <c r="B15" s="9">
        <v>4697</v>
      </c>
      <c r="C15" s="10">
        <v>5.7194000000000002E-2</v>
      </c>
      <c r="D15" s="9">
        <v>240</v>
      </c>
      <c r="E15" s="10">
        <v>0.1372998</v>
      </c>
      <c r="F15" s="9">
        <v>6157</v>
      </c>
      <c r="G15" s="10">
        <v>5.2353700000000003E-2</v>
      </c>
      <c r="H15" s="9">
        <v>1638</v>
      </c>
      <c r="I15" s="10">
        <v>0.25007629999999997</v>
      </c>
      <c r="J15" s="57"/>
      <c r="K15" s="57"/>
      <c r="L15" s="9">
        <v>6161</v>
      </c>
      <c r="M15" s="10">
        <v>5.7792799999999998E-2</v>
      </c>
    </row>
    <row r="16" spans="1:13" ht="15.75" thickBot="1" x14ac:dyDescent="0.25">
      <c r="A16" s="5" t="s">
        <v>106</v>
      </c>
      <c r="B16" s="9">
        <v>4298</v>
      </c>
      <c r="C16" s="10">
        <v>5.23355E-2</v>
      </c>
      <c r="D16" s="9">
        <v>288</v>
      </c>
      <c r="E16" s="10">
        <v>0.16475970000000001</v>
      </c>
      <c r="F16" s="9">
        <v>6759</v>
      </c>
      <c r="G16" s="10">
        <v>5.7472500000000003E-2</v>
      </c>
      <c r="H16" s="57"/>
      <c r="I16" s="57"/>
      <c r="J16" s="57"/>
      <c r="K16" s="57"/>
      <c r="L16" s="9">
        <v>6849</v>
      </c>
      <c r="M16" s="10">
        <v>6.4246499999999998E-2</v>
      </c>
    </row>
    <row r="17" spans="1:13" ht="15.75" thickBot="1" x14ac:dyDescent="0.25">
      <c r="A17" s="5" t="s">
        <v>107</v>
      </c>
      <c r="B17" s="9">
        <v>6092</v>
      </c>
      <c r="C17" s="10">
        <v>7.4180499999999996E-2</v>
      </c>
      <c r="D17" s="9">
        <v>211</v>
      </c>
      <c r="E17" s="10">
        <v>0.12070939999999999</v>
      </c>
      <c r="F17" s="9">
        <v>8394</v>
      </c>
      <c r="G17" s="10">
        <v>7.1375099999999997E-2</v>
      </c>
      <c r="H17" s="57"/>
      <c r="I17" s="57"/>
      <c r="J17" s="9">
        <v>11</v>
      </c>
      <c r="K17" s="10">
        <v>1.7733E-3</v>
      </c>
      <c r="L17" s="9">
        <v>8545</v>
      </c>
      <c r="M17" s="10">
        <v>8.0155699999999996E-2</v>
      </c>
    </row>
    <row r="18" spans="1:13" ht="15.75" thickBot="1" x14ac:dyDescent="0.25">
      <c r="A18" s="5" t="s">
        <v>108</v>
      </c>
      <c r="B18" s="9">
        <v>5945</v>
      </c>
      <c r="C18" s="10">
        <v>7.2390499999999997E-2</v>
      </c>
      <c r="D18" s="9">
        <v>152</v>
      </c>
      <c r="E18" s="10">
        <v>8.6956500000000006E-2</v>
      </c>
      <c r="F18" s="9">
        <v>8438</v>
      </c>
      <c r="G18" s="10">
        <v>7.1749300000000002E-2</v>
      </c>
      <c r="H18" s="9">
        <v>2</v>
      </c>
      <c r="I18" s="10">
        <v>3.0529999999999999E-4</v>
      </c>
      <c r="J18" s="57"/>
      <c r="K18" s="57"/>
      <c r="L18" s="9">
        <v>8623</v>
      </c>
      <c r="M18" s="10">
        <v>8.0887399999999998E-2</v>
      </c>
    </row>
    <row r="19" spans="1:13" ht="15.75" thickBot="1" x14ac:dyDescent="0.25">
      <c r="A19" s="5" t="s">
        <v>109</v>
      </c>
      <c r="B19" s="9">
        <v>6195</v>
      </c>
      <c r="C19" s="10">
        <v>7.5434699999999993E-2</v>
      </c>
      <c r="D19" s="9">
        <v>123</v>
      </c>
      <c r="E19" s="10">
        <v>7.0366100000000001E-2</v>
      </c>
      <c r="F19" s="9">
        <v>8509</v>
      </c>
      <c r="G19" s="10">
        <v>7.2353000000000001E-2</v>
      </c>
      <c r="H19" s="57"/>
      <c r="I19" s="57"/>
      <c r="J19" s="57"/>
      <c r="K19" s="57"/>
      <c r="L19" s="9">
        <v>8718</v>
      </c>
      <c r="M19" s="10">
        <v>8.1778500000000004E-2</v>
      </c>
    </row>
    <row r="20" spans="1:13" ht="15.75" thickBot="1" x14ac:dyDescent="0.25">
      <c r="A20" s="5" t="s">
        <v>110</v>
      </c>
      <c r="B20" s="9">
        <v>5525</v>
      </c>
      <c r="C20" s="10">
        <v>6.7276299999999997E-2</v>
      </c>
      <c r="D20" s="9">
        <v>73</v>
      </c>
      <c r="E20" s="10">
        <v>4.1762000000000001E-2</v>
      </c>
      <c r="F20" s="9">
        <v>8431</v>
      </c>
      <c r="G20" s="10">
        <v>7.1689699999999995E-2</v>
      </c>
      <c r="H20" s="57"/>
      <c r="I20" s="57"/>
      <c r="J20" s="9">
        <v>8</v>
      </c>
      <c r="K20" s="10">
        <v>1.2897E-3</v>
      </c>
      <c r="L20" s="9">
        <v>8615</v>
      </c>
      <c r="M20" s="10">
        <v>8.0812300000000004E-2</v>
      </c>
    </row>
    <row r="21" spans="1:13" ht="15.75" thickBot="1" x14ac:dyDescent="0.25">
      <c r="A21" s="5" t="s">
        <v>111</v>
      </c>
      <c r="B21" s="9">
        <v>4851</v>
      </c>
      <c r="C21" s="10">
        <v>5.9069200000000002E-2</v>
      </c>
      <c r="D21" s="57"/>
      <c r="E21" s="57"/>
      <c r="F21" s="9">
        <v>7463</v>
      </c>
      <c r="G21" s="10">
        <v>6.3458700000000007E-2</v>
      </c>
      <c r="H21" s="57"/>
      <c r="I21" s="57"/>
      <c r="J21" s="57"/>
      <c r="K21" s="57"/>
      <c r="L21" s="9">
        <v>7146</v>
      </c>
      <c r="M21" s="10">
        <v>6.7032499999999995E-2</v>
      </c>
    </row>
    <row r="22" spans="1:13" ht="15.75" thickBot="1" x14ac:dyDescent="0.25">
      <c r="A22" s="5" t="s">
        <v>112</v>
      </c>
      <c r="B22" s="9">
        <v>4580</v>
      </c>
      <c r="C22" s="10">
        <v>5.5769300000000001E-2</v>
      </c>
      <c r="D22" s="57"/>
      <c r="E22" s="57"/>
      <c r="F22" s="9">
        <v>6715</v>
      </c>
      <c r="G22" s="10">
        <v>5.7098400000000001E-2</v>
      </c>
      <c r="H22" s="57"/>
      <c r="I22" s="57"/>
      <c r="J22" s="57"/>
      <c r="K22" s="57"/>
      <c r="L22" s="9">
        <v>6857</v>
      </c>
      <c r="M22" s="10">
        <v>6.4321600000000007E-2</v>
      </c>
    </row>
    <row r="23" spans="1:13" ht="15.75" thickBot="1" x14ac:dyDescent="0.25">
      <c r="A23" s="5" t="s">
        <v>113</v>
      </c>
      <c r="B23" s="9">
        <v>4816</v>
      </c>
      <c r="C23" s="10">
        <v>5.8643000000000001E-2</v>
      </c>
      <c r="D23" s="57"/>
      <c r="E23" s="57"/>
      <c r="F23" s="9">
        <v>6902</v>
      </c>
      <c r="G23" s="10">
        <v>5.8688499999999998E-2</v>
      </c>
      <c r="H23" s="57"/>
      <c r="I23" s="57"/>
      <c r="J23" s="57"/>
      <c r="K23" s="57"/>
      <c r="L23" s="9">
        <v>7071</v>
      </c>
      <c r="M23" s="10">
        <v>6.6328999999999999E-2</v>
      </c>
    </row>
    <row r="24" spans="1:13" ht="15.75" thickBot="1" x14ac:dyDescent="0.25">
      <c r="A24" s="5" t="s">
        <v>114</v>
      </c>
      <c r="B24" s="9">
        <v>5253</v>
      </c>
      <c r="C24" s="10">
        <v>6.3964199999999999E-2</v>
      </c>
      <c r="D24" s="9">
        <v>1</v>
      </c>
      <c r="E24" s="10">
        <v>5.7209999999999997E-4</v>
      </c>
      <c r="F24" s="9">
        <v>7751</v>
      </c>
      <c r="G24" s="10">
        <v>6.5907599999999997E-2</v>
      </c>
      <c r="H24" s="57"/>
      <c r="I24" s="57"/>
      <c r="J24" s="57"/>
      <c r="K24" s="57"/>
      <c r="L24" s="9">
        <v>7768</v>
      </c>
      <c r="M24" s="10">
        <v>7.2867100000000004E-2</v>
      </c>
    </row>
    <row r="25" spans="1:13" ht="15.75" thickBot="1" x14ac:dyDescent="0.25">
      <c r="A25" s="5" t="s">
        <v>115</v>
      </c>
      <c r="B25" s="9">
        <v>6185</v>
      </c>
      <c r="C25" s="10">
        <v>7.5312900000000002E-2</v>
      </c>
      <c r="D25" s="57"/>
      <c r="E25" s="57"/>
      <c r="F25" s="9">
        <v>7746</v>
      </c>
      <c r="G25" s="10">
        <v>6.5865099999999996E-2</v>
      </c>
      <c r="H25" s="57"/>
      <c r="I25" s="57"/>
      <c r="J25" s="57"/>
      <c r="K25" s="57"/>
      <c r="L25" s="9">
        <v>7655</v>
      </c>
      <c r="M25" s="10">
        <v>7.1807099999999999E-2</v>
      </c>
    </row>
    <row r="26" spans="1:13" ht="15.75" thickBot="1" x14ac:dyDescent="0.25">
      <c r="A26" s="5" t="s">
        <v>116</v>
      </c>
      <c r="B26" s="9">
        <v>6533</v>
      </c>
      <c r="C26" s="10">
        <v>7.9550399999999993E-2</v>
      </c>
      <c r="D26" s="57"/>
      <c r="E26" s="57"/>
      <c r="F26" s="9">
        <v>7932</v>
      </c>
      <c r="G26" s="10">
        <v>6.7446699999999998E-2</v>
      </c>
      <c r="H26" s="57"/>
      <c r="I26" s="57"/>
      <c r="J26" s="57"/>
      <c r="K26" s="57"/>
      <c r="L26" s="9">
        <v>7687</v>
      </c>
      <c r="M26" s="10">
        <v>7.2107299999999999E-2</v>
      </c>
    </row>
    <row r="27" spans="1:13" ht="15.75" thickBot="1" x14ac:dyDescent="0.25">
      <c r="A27" s="5" t="s">
        <v>117</v>
      </c>
      <c r="B27" s="9">
        <v>5709</v>
      </c>
      <c r="C27" s="10">
        <v>6.9516800000000004E-2</v>
      </c>
      <c r="D27" s="57"/>
      <c r="E27" s="57"/>
      <c r="F27" s="9">
        <v>6853</v>
      </c>
      <c r="G27" s="10">
        <v>5.8271799999999999E-2</v>
      </c>
      <c r="H27" s="57"/>
      <c r="I27" s="57"/>
      <c r="J27" s="57"/>
      <c r="K27" s="57"/>
      <c r="L27" s="9">
        <v>2539</v>
      </c>
      <c r="M27" s="10">
        <v>2.3816899999999998E-2</v>
      </c>
    </row>
    <row r="28" spans="1:13" ht="15.75" thickBot="1" x14ac:dyDescent="0.25">
      <c r="A28" s="5" t="s">
        <v>118</v>
      </c>
      <c r="B28" s="9">
        <v>4354</v>
      </c>
      <c r="C28" s="10">
        <v>5.3017399999999999E-2</v>
      </c>
      <c r="D28" s="57"/>
      <c r="E28" s="57"/>
      <c r="F28" s="9">
        <v>5500</v>
      </c>
      <c r="G28" s="10">
        <v>4.6767099999999999E-2</v>
      </c>
      <c r="H28" s="57"/>
      <c r="I28" s="57"/>
      <c r="J28" s="57"/>
      <c r="K28" s="57"/>
      <c r="L28" s="9">
        <v>1</v>
      </c>
      <c r="M28" s="10">
        <v>9.3999999999999998E-6</v>
      </c>
    </row>
    <row r="29" spans="1:13" ht="15.75" thickBot="1" x14ac:dyDescent="0.25">
      <c r="A29" s="5" t="s">
        <v>119</v>
      </c>
      <c r="B29" s="9">
        <v>7</v>
      </c>
      <c r="C29" s="10">
        <v>8.5199999999999997E-5</v>
      </c>
      <c r="D29" s="57"/>
      <c r="E29" s="57"/>
      <c r="F29" s="9">
        <v>1729</v>
      </c>
      <c r="G29" s="10">
        <v>1.47019E-2</v>
      </c>
      <c r="H29" s="57"/>
      <c r="I29" s="57"/>
      <c r="J29" s="57"/>
      <c r="K29" s="57"/>
      <c r="L29" s="57"/>
      <c r="M29" s="57"/>
    </row>
    <row r="30" spans="1:13" ht="15.75" thickBot="1" x14ac:dyDescent="0.25">
      <c r="A30" s="14" t="s">
        <v>43</v>
      </c>
      <c r="B30" s="12">
        <v>82124</v>
      </c>
      <c r="C30" s="13">
        <v>0.99999970000000005</v>
      </c>
      <c r="D30" s="12">
        <v>1748</v>
      </c>
      <c r="E30" s="13">
        <v>1</v>
      </c>
      <c r="F30" s="12">
        <v>117604</v>
      </c>
      <c r="G30" s="13">
        <v>1</v>
      </c>
      <c r="H30" s="12">
        <v>6550</v>
      </c>
      <c r="I30" s="13">
        <v>0.99999990000000005</v>
      </c>
      <c r="J30" s="12">
        <v>6203</v>
      </c>
      <c r="K30" s="13">
        <v>1</v>
      </c>
      <c r="L30" s="12">
        <v>106605</v>
      </c>
      <c r="M30" s="13">
        <v>1</v>
      </c>
    </row>
  </sheetData>
  <pageMargins left="0.7" right="0.7" top="0.75" bottom="0.75" header="0.3" footer="0.3"/>
  <pageSetup orientation="landscape" r:id="rId1"/>
  <headerFooter>
    <oddFooter>&amp;L&amp;"Arial,Regular"&amp;10Data Source: CSIL&amp;C&amp;"Arial,Regular"&amp;10Report Generated on: 11/5/22&amp;R&amp;"Arial,Regular"&amp;10Page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1BBF-526D-4172-A3DE-42767A6A337A}">
  <dimension ref="A1:M26"/>
  <sheetViews>
    <sheetView zoomScaleNormal="100" workbookViewId="0">
      <selection activeCell="I20" sqref="I20"/>
    </sheetView>
  </sheetViews>
  <sheetFormatPr defaultColWidth="8.796875" defaultRowHeight="12.75" x14ac:dyDescent="0.2"/>
  <cols>
    <col min="1" max="1" width="8.796875" style="3"/>
    <col min="2" max="13" width="6.3984375" style="3" customWidth="1"/>
    <col min="14" max="16384" width="8.796875" style="3"/>
  </cols>
  <sheetData>
    <row r="1" spans="1:13" ht="15" x14ac:dyDescent="0.2">
      <c r="A1" s="45" t="s">
        <v>144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11" spans="1:13" ht="13.5" thickBot="1" x14ac:dyDescent="0.25"/>
    <row r="12" spans="1:13" ht="15" thickBot="1" x14ac:dyDescent="0.25">
      <c r="B12" s="29" t="s">
        <v>21</v>
      </c>
      <c r="C12" s="30"/>
      <c r="D12" s="31" t="s">
        <v>22</v>
      </c>
      <c r="E12" s="32"/>
      <c r="F12" s="33" t="s">
        <v>44</v>
      </c>
      <c r="G12" s="34"/>
      <c r="H12" s="35" t="s">
        <v>24</v>
      </c>
      <c r="I12" s="36"/>
      <c r="J12" s="37" t="s">
        <v>25</v>
      </c>
      <c r="K12" s="38"/>
      <c r="L12" s="39" t="s">
        <v>45</v>
      </c>
      <c r="M12" s="40"/>
    </row>
    <row r="13" spans="1:13" ht="16.5" thickBot="1" x14ac:dyDescent="0.3">
      <c r="A13" s="27" t="s">
        <v>46</v>
      </c>
      <c r="B13" s="19" t="s">
        <v>47</v>
      </c>
      <c r="C13" s="19" t="s">
        <v>42</v>
      </c>
      <c r="D13" s="19" t="s">
        <v>47</v>
      </c>
      <c r="E13" s="19" t="s">
        <v>42</v>
      </c>
      <c r="F13" s="19" t="s">
        <v>47</v>
      </c>
      <c r="G13" s="19" t="s">
        <v>42</v>
      </c>
      <c r="H13" s="19" t="s">
        <v>47</v>
      </c>
      <c r="I13" s="19" t="s">
        <v>42</v>
      </c>
      <c r="J13" s="19" t="s">
        <v>47</v>
      </c>
      <c r="K13" s="19" t="s">
        <v>42</v>
      </c>
      <c r="L13" s="19" t="s">
        <v>47</v>
      </c>
      <c r="M13" s="19" t="s">
        <v>42</v>
      </c>
    </row>
    <row r="14" spans="1:13" ht="13.5" thickBot="1" x14ac:dyDescent="0.25">
      <c r="A14" s="5" t="s">
        <v>12</v>
      </c>
      <c r="B14" s="9">
        <v>19</v>
      </c>
      <c r="C14" s="68">
        <v>0.22093019999999999</v>
      </c>
      <c r="D14" s="9">
        <v>1</v>
      </c>
      <c r="E14" s="68">
        <v>0.5</v>
      </c>
      <c r="F14" s="49">
        <v>76</v>
      </c>
      <c r="G14" s="69">
        <v>0.81720430107526887</v>
      </c>
      <c r="H14" s="9">
        <v>6</v>
      </c>
      <c r="I14" s="68">
        <v>0.4</v>
      </c>
      <c r="J14" s="9">
        <v>266</v>
      </c>
      <c r="K14" s="68">
        <v>0.20045209999999999</v>
      </c>
      <c r="L14" s="49">
        <v>19</v>
      </c>
      <c r="M14" s="69">
        <v>0.30645161290322581</v>
      </c>
    </row>
    <row r="15" spans="1:13" ht="13.5" thickBot="1" x14ac:dyDescent="0.25">
      <c r="A15" s="5" t="s">
        <v>13</v>
      </c>
      <c r="B15" s="9">
        <v>1</v>
      </c>
      <c r="C15" s="68">
        <v>1.16279E-2</v>
      </c>
      <c r="D15" s="58" t="s">
        <v>48</v>
      </c>
      <c r="E15" s="69">
        <v>0</v>
      </c>
      <c r="F15" s="49">
        <v>0</v>
      </c>
      <c r="G15" s="69">
        <v>0</v>
      </c>
      <c r="H15" s="9">
        <v>1</v>
      </c>
      <c r="I15" s="68">
        <v>6.6666699999999995E-2</v>
      </c>
      <c r="J15" s="9">
        <v>19</v>
      </c>
      <c r="K15" s="68">
        <v>1.4318000000000001E-2</v>
      </c>
      <c r="L15" s="49">
        <v>0</v>
      </c>
      <c r="M15" s="69">
        <v>0</v>
      </c>
    </row>
    <row r="16" spans="1:13" ht="13.5" thickBot="1" x14ac:dyDescent="0.25">
      <c r="A16" s="5" t="s">
        <v>14</v>
      </c>
      <c r="B16" s="9">
        <v>7</v>
      </c>
      <c r="C16" s="68">
        <v>8.1395300000000004E-2</v>
      </c>
      <c r="D16" s="58" t="s">
        <v>48</v>
      </c>
      <c r="E16" s="69">
        <v>0</v>
      </c>
      <c r="F16" s="49">
        <v>7</v>
      </c>
      <c r="G16" s="69">
        <v>7.5268817204301078E-2</v>
      </c>
      <c r="H16" s="9">
        <v>1</v>
      </c>
      <c r="I16" s="68">
        <v>6.6666699999999995E-2</v>
      </c>
      <c r="J16" s="9">
        <v>103</v>
      </c>
      <c r="K16" s="68">
        <v>7.7618699999999999E-2</v>
      </c>
      <c r="L16" s="49">
        <v>15</v>
      </c>
      <c r="M16" s="69">
        <v>0.24193548387096775</v>
      </c>
    </row>
    <row r="17" spans="1:13" ht="13.5" thickBot="1" x14ac:dyDescent="0.25">
      <c r="A17" s="5" t="s">
        <v>15</v>
      </c>
      <c r="B17" s="58" t="s">
        <v>48</v>
      </c>
      <c r="C17" s="69">
        <v>0</v>
      </c>
      <c r="D17" s="58" t="s">
        <v>48</v>
      </c>
      <c r="E17" s="69">
        <v>0</v>
      </c>
      <c r="F17" s="49">
        <v>9</v>
      </c>
      <c r="G17" s="69">
        <v>9.6774193548387094E-2</v>
      </c>
      <c r="H17" s="9">
        <v>5</v>
      </c>
      <c r="I17" s="68">
        <v>0.3333333</v>
      </c>
      <c r="J17" s="9">
        <v>657</v>
      </c>
      <c r="K17" s="68">
        <v>0.49510169999999998</v>
      </c>
      <c r="L17" s="49">
        <v>10</v>
      </c>
      <c r="M17" s="69">
        <v>0.16129032258064516</v>
      </c>
    </row>
    <row r="18" spans="1:13" ht="13.5" thickBot="1" x14ac:dyDescent="0.25">
      <c r="A18" s="5" t="s">
        <v>16</v>
      </c>
      <c r="B18" s="9">
        <v>57</v>
      </c>
      <c r="C18" s="68">
        <v>0.66279069999999995</v>
      </c>
      <c r="D18" s="9">
        <v>1</v>
      </c>
      <c r="E18" s="68">
        <v>0.5</v>
      </c>
      <c r="F18" s="49">
        <v>0</v>
      </c>
      <c r="G18" s="69">
        <v>0</v>
      </c>
      <c r="H18" s="58" t="s">
        <v>48</v>
      </c>
      <c r="I18" s="69">
        <v>0</v>
      </c>
      <c r="J18" s="9">
        <v>161</v>
      </c>
      <c r="K18" s="68">
        <v>0.1213263</v>
      </c>
      <c r="L18" s="49">
        <v>10</v>
      </c>
      <c r="M18" s="69">
        <v>0.16129032258064516</v>
      </c>
    </row>
    <row r="19" spans="1:13" ht="13.5" thickBot="1" x14ac:dyDescent="0.25">
      <c r="A19" s="5" t="s">
        <v>17</v>
      </c>
      <c r="B19" s="58" t="s">
        <v>48</v>
      </c>
      <c r="C19" s="69">
        <v>0</v>
      </c>
      <c r="D19" s="58" t="s">
        <v>48</v>
      </c>
      <c r="E19" s="69">
        <v>0</v>
      </c>
      <c r="F19" s="49">
        <v>0</v>
      </c>
      <c r="G19" s="69">
        <v>0</v>
      </c>
      <c r="H19" s="58" t="s">
        <v>48</v>
      </c>
      <c r="I19" s="69">
        <v>0</v>
      </c>
      <c r="J19" s="9">
        <v>38</v>
      </c>
      <c r="K19" s="68">
        <v>2.8636000000000002E-2</v>
      </c>
      <c r="L19" s="49">
        <v>7</v>
      </c>
      <c r="M19" s="69">
        <v>0.11290322580645161</v>
      </c>
    </row>
    <row r="20" spans="1:13" ht="13.5" thickBot="1" x14ac:dyDescent="0.25">
      <c r="A20" s="5" t="s">
        <v>18</v>
      </c>
      <c r="B20" s="9">
        <v>2</v>
      </c>
      <c r="C20" s="68">
        <v>2.32558E-2</v>
      </c>
      <c r="D20" s="58" t="s">
        <v>48</v>
      </c>
      <c r="E20" s="69">
        <v>0</v>
      </c>
      <c r="F20" s="49">
        <v>0</v>
      </c>
      <c r="G20" s="69">
        <v>0</v>
      </c>
      <c r="H20" s="9">
        <v>2</v>
      </c>
      <c r="I20" s="68">
        <v>0.13333329999999999</v>
      </c>
      <c r="J20" s="9">
        <v>56</v>
      </c>
      <c r="K20" s="68">
        <v>4.2200500000000002E-2</v>
      </c>
      <c r="L20" s="49">
        <v>0</v>
      </c>
      <c r="M20" s="69">
        <v>0</v>
      </c>
    </row>
    <row r="21" spans="1:13" ht="13.5" thickBot="1" x14ac:dyDescent="0.25">
      <c r="A21" s="5" t="s">
        <v>19</v>
      </c>
      <c r="B21" s="58" t="s">
        <v>48</v>
      </c>
      <c r="C21" s="69">
        <v>0</v>
      </c>
      <c r="D21" s="58" t="s">
        <v>48</v>
      </c>
      <c r="E21" s="69">
        <v>0</v>
      </c>
      <c r="F21" s="49">
        <v>0</v>
      </c>
      <c r="G21" s="69">
        <v>0</v>
      </c>
      <c r="H21" s="58" t="s">
        <v>48</v>
      </c>
      <c r="I21" s="69">
        <v>0</v>
      </c>
      <c r="J21" s="9">
        <v>27</v>
      </c>
      <c r="K21" s="68">
        <v>2.0346599999999999E-2</v>
      </c>
      <c r="L21" s="49">
        <v>0</v>
      </c>
      <c r="M21" s="69">
        <v>0</v>
      </c>
    </row>
    <row r="22" spans="1:13" ht="13.5" thickBot="1" x14ac:dyDescent="0.25">
      <c r="A22" s="5" t="s">
        <v>120</v>
      </c>
      <c r="B22" s="58" t="s">
        <v>48</v>
      </c>
      <c r="C22" s="69">
        <v>0</v>
      </c>
      <c r="D22" s="58" t="s">
        <v>48</v>
      </c>
      <c r="E22" s="69">
        <v>0</v>
      </c>
      <c r="F22" s="49">
        <v>1</v>
      </c>
      <c r="G22" s="69">
        <v>1.0752688172043012E-2</v>
      </c>
      <c r="H22" s="58" t="s">
        <v>48</v>
      </c>
      <c r="I22" s="69">
        <v>0</v>
      </c>
      <c r="J22" s="58" t="s">
        <v>48</v>
      </c>
      <c r="K22" s="69">
        <v>0</v>
      </c>
      <c r="L22" s="49">
        <v>1</v>
      </c>
      <c r="M22" s="69">
        <v>1.6129032258064516E-2</v>
      </c>
    </row>
    <row r="23" spans="1:13" ht="13.5" thickBot="1" x14ac:dyDescent="0.25">
      <c r="A23" s="44" t="s">
        <v>43</v>
      </c>
      <c r="B23" s="12">
        <v>86</v>
      </c>
      <c r="C23" s="70">
        <v>1</v>
      </c>
      <c r="D23" s="12">
        <v>2</v>
      </c>
      <c r="E23" s="70">
        <v>1</v>
      </c>
      <c r="F23" s="67">
        <v>93</v>
      </c>
      <c r="G23" s="71">
        <v>1.0000000000000002</v>
      </c>
      <c r="H23" s="12">
        <v>15</v>
      </c>
      <c r="I23" s="70">
        <v>1</v>
      </c>
      <c r="J23" s="12">
        <v>1327</v>
      </c>
      <c r="K23" s="70">
        <v>1</v>
      </c>
      <c r="L23" s="67">
        <v>62</v>
      </c>
      <c r="M23" s="71">
        <v>0.99999999999999989</v>
      </c>
    </row>
    <row r="25" spans="1:13" x14ac:dyDescent="0.2">
      <c r="A25" s="16" t="s">
        <v>49</v>
      </c>
    </row>
    <row r="26" spans="1:13" x14ac:dyDescent="0.2">
      <c r="A26" s="16" t="s">
        <v>137</v>
      </c>
      <c r="H26" s="56"/>
    </row>
  </sheetData>
  <pageMargins left="0.7" right="0.7" top="0.75" bottom="0.75" header="0.3" footer="0.3"/>
  <pageSetup orientation="landscape" r:id="rId1"/>
  <headerFooter>
    <oddFooter>&amp;L&amp;"Arial,Regular"&amp;10Data Source:  CSIL and CARE&amp;C&amp;"Arial,Regular"&amp;10Report Generated on:  11/5/22&amp;R&amp;"Arial,Regular"&amp;10Page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3631-269E-40CB-B522-1AFCEF27CE76}">
  <sheetPr>
    <pageSetUpPr fitToPage="1"/>
  </sheetPr>
  <dimension ref="A1:R48"/>
  <sheetViews>
    <sheetView topLeftCell="A19" zoomScaleNormal="100" workbookViewId="0">
      <selection activeCell="G35" sqref="G35"/>
    </sheetView>
  </sheetViews>
  <sheetFormatPr defaultColWidth="8.796875" defaultRowHeight="12.75" x14ac:dyDescent="0.2"/>
  <cols>
    <col min="1" max="1" width="10.19921875" style="3" customWidth="1"/>
    <col min="2" max="2" width="3" style="3" customWidth="1"/>
    <col min="3" max="3" width="25.5" style="3" bestFit="1" customWidth="1"/>
    <col min="4" max="4" width="6" style="3" bestFit="1" customWidth="1"/>
    <col min="5" max="5" width="4.8984375" style="3" bestFit="1" customWidth="1"/>
    <col min="6" max="6" width="6" style="3" bestFit="1" customWidth="1"/>
    <col min="7" max="7" width="6.296875" style="3" bestFit="1" customWidth="1"/>
    <col min="8" max="8" width="4.8984375" style="3" bestFit="1" customWidth="1"/>
    <col min="9" max="9" width="6.296875" style="3" bestFit="1" customWidth="1"/>
    <col min="10" max="10" width="4.8984375" style="3" bestFit="1" customWidth="1"/>
    <col min="11" max="13" width="6.296875" style="3" bestFit="1" customWidth="1"/>
    <col min="14" max="14" width="4.8984375" style="3" bestFit="1" customWidth="1"/>
    <col min="15" max="15" width="6.296875" style="3" bestFit="1" customWidth="1"/>
    <col min="16" max="16" width="4.8984375" style="3" bestFit="1" customWidth="1"/>
    <col min="17" max="18" width="6.296875" style="3" bestFit="1" customWidth="1"/>
    <col min="19" max="16384" width="8.796875" style="3"/>
  </cols>
  <sheetData>
    <row r="1" spans="1:18" ht="15" x14ac:dyDescent="0.2">
      <c r="A1" s="45" t="s">
        <v>144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11" spans="1:18" ht="13.5" thickBot="1" x14ac:dyDescent="0.25"/>
    <row r="12" spans="1:18" ht="15.75" thickBot="1" x14ac:dyDescent="0.25">
      <c r="A12" s="59" t="s">
        <v>139</v>
      </c>
      <c r="B12" s="60"/>
      <c r="C12" s="60"/>
      <c r="D12" s="60"/>
      <c r="E12" s="60"/>
      <c r="F12" s="60"/>
      <c r="G12" s="61" t="s">
        <v>21</v>
      </c>
      <c r="H12" s="62"/>
      <c r="I12" s="61" t="s">
        <v>22</v>
      </c>
      <c r="J12" s="62"/>
      <c r="K12" s="63" t="s">
        <v>140</v>
      </c>
      <c r="L12" s="62"/>
      <c r="M12" s="61" t="s">
        <v>24</v>
      </c>
      <c r="N12" s="62"/>
      <c r="O12" s="61" t="s">
        <v>25</v>
      </c>
      <c r="P12" s="62"/>
      <c r="Q12" s="63" t="s">
        <v>141</v>
      </c>
      <c r="R12" s="62"/>
    </row>
    <row r="13" spans="1:18" ht="13.5" customHeight="1" thickBot="1" x14ac:dyDescent="0.25">
      <c r="A13" s="60"/>
      <c r="B13" s="60"/>
      <c r="C13" s="60"/>
      <c r="D13" s="60"/>
      <c r="E13" s="60"/>
      <c r="F13" s="60"/>
      <c r="G13" s="42" t="s">
        <v>142</v>
      </c>
      <c r="H13" s="42" t="s">
        <v>42</v>
      </c>
      <c r="I13" s="42" t="s">
        <v>142</v>
      </c>
      <c r="J13" s="42" t="s">
        <v>42</v>
      </c>
      <c r="K13" s="42" t="s">
        <v>142</v>
      </c>
      <c r="L13" s="42" t="s">
        <v>42</v>
      </c>
      <c r="M13" s="42" t="s">
        <v>142</v>
      </c>
      <c r="N13" s="42" t="s">
        <v>42</v>
      </c>
      <c r="O13" s="42" t="s">
        <v>142</v>
      </c>
      <c r="P13" s="42" t="s">
        <v>42</v>
      </c>
      <c r="Q13" s="42" t="s">
        <v>142</v>
      </c>
      <c r="R13" s="42" t="s">
        <v>42</v>
      </c>
    </row>
    <row r="14" spans="1:18" ht="15.75" thickBot="1" x14ac:dyDescent="0.25">
      <c r="A14" s="48" t="s">
        <v>12</v>
      </c>
      <c r="B14" s="43"/>
      <c r="C14" s="64" t="s">
        <v>50</v>
      </c>
      <c r="D14" s="65"/>
      <c r="E14" s="65"/>
      <c r="F14" s="62"/>
      <c r="G14" s="72">
        <v>19</v>
      </c>
      <c r="H14" s="68">
        <v>0.22093019999999999</v>
      </c>
      <c r="I14" s="72">
        <v>1</v>
      </c>
      <c r="J14" s="68">
        <v>0.5</v>
      </c>
      <c r="K14" s="73">
        <v>76</v>
      </c>
      <c r="L14" s="69">
        <v>0.81720430107526887</v>
      </c>
      <c r="M14" s="72">
        <v>6</v>
      </c>
      <c r="N14" s="68">
        <v>0.4</v>
      </c>
      <c r="O14" s="72">
        <v>266</v>
      </c>
      <c r="P14" s="68">
        <v>0.20045209999999999</v>
      </c>
      <c r="Q14" s="73">
        <v>19</v>
      </c>
      <c r="R14" s="69">
        <v>0.30645161290322581</v>
      </c>
    </row>
    <row r="15" spans="1:18" ht="15.75" thickBot="1" x14ac:dyDescent="0.25">
      <c r="A15" s="48" t="s">
        <v>13</v>
      </c>
      <c r="B15" s="41" t="s">
        <v>51</v>
      </c>
      <c r="C15" s="66" t="s">
        <v>52</v>
      </c>
      <c r="D15" s="65"/>
      <c r="E15" s="65"/>
      <c r="F15" s="62"/>
      <c r="G15" s="72">
        <v>1</v>
      </c>
      <c r="H15" s="68">
        <v>1.16279E-2</v>
      </c>
      <c r="I15" s="74" t="s">
        <v>48</v>
      </c>
      <c r="J15" s="69">
        <v>0</v>
      </c>
      <c r="K15" s="73">
        <v>0</v>
      </c>
      <c r="L15" s="69">
        <v>0</v>
      </c>
      <c r="M15" s="72">
        <v>1</v>
      </c>
      <c r="N15" s="68">
        <v>6.6666699999999995E-2</v>
      </c>
      <c r="O15" s="72">
        <v>19</v>
      </c>
      <c r="P15" s="68">
        <v>1.4318000000000001E-2</v>
      </c>
      <c r="Q15" s="73">
        <v>0</v>
      </c>
      <c r="R15" s="69">
        <v>0</v>
      </c>
    </row>
    <row r="16" spans="1:18" ht="15.75" thickBot="1" x14ac:dyDescent="0.25">
      <c r="A16" s="50" t="s">
        <v>14</v>
      </c>
      <c r="B16" s="41" t="s">
        <v>53</v>
      </c>
      <c r="C16" s="66" t="s">
        <v>54</v>
      </c>
      <c r="D16" s="65"/>
      <c r="E16" s="65"/>
      <c r="F16" s="62"/>
      <c r="G16" s="74" t="s">
        <v>48</v>
      </c>
      <c r="H16" s="69">
        <v>0</v>
      </c>
      <c r="I16" s="74" t="s">
        <v>48</v>
      </c>
      <c r="J16" s="69">
        <v>0</v>
      </c>
      <c r="K16" s="73">
        <v>0</v>
      </c>
      <c r="L16" s="69">
        <v>0</v>
      </c>
      <c r="M16" s="74" t="s">
        <v>48</v>
      </c>
      <c r="N16" s="69">
        <v>0</v>
      </c>
      <c r="O16" s="74" t="s">
        <v>48</v>
      </c>
      <c r="P16" s="69">
        <v>0</v>
      </c>
      <c r="Q16" s="73">
        <v>1</v>
      </c>
      <c r="R16" s="69">
        <v>1.6129032258064516E-2</v>
      </c>
    </row>
    <row r="17" spans="1:18" ht="15.75" thickBot="1" x14ac:dyDescent="0.25">
      <c r="A17" s="51"/>
      <c r="B17" s="41" t="s">
        <v>55</v>
      </c>
      <c r="C17" s="66" t="s">
        <v>56</v>
      </c>
      <c r="D17" s="65"/>
      <c r="E17" s="65"/>
      <c r="F17" s="62"/>
      <c r="G17" s="72">
        <v>1</v>
      </c>
      <c r="H17" s="68">
        <v>1.16279E-2</v>
      </c>
      <c r="I17" s="74" t="s">
        <v>48</v>
      </c>
      <c r="J17" s="69">
        <v>0</v>
      </c>
      <c r="K17" s="73">
        <v>0</v>
      </c>
      <c r="L17" s="69">
        <v>0</v>
      </c>
      <c r="M17" s="74" t="s">
        <v>48</v>
      </c>
      <c r="N17" s="69">
        <v>0</v>
      </c>
      <c r="O17" s="72">
        <v>3</v>
      </c>
      <c r="P17" s="68">
        <v>2.2607E-3</v>
      </c>
      <c r="Q17" s="73">
        <v>0</v>
      </c>
      <c r="R17" s="69">
        <v>0</v>
      </c>
    </row>
    <row r="18" spans="1:18" ht="15.75" thickBot="1" x14ac:dyDescent="0.25">
      <c r="A18" s="51"/>
      <c r="B18" s="41" t="s">
        <v>57</v>
      </c>
      <c r="C18" s="66" t="s">
        <v>58</v>
      </c>
      <c r="D18" s="65"/>
      <c r="E18" s="65"/>
      <c r="F18" s="62"/>
      <c r="G18" s="74" t="s">
        <v>48</v>
      </c>
      <c r="H18" s="69">
        <v>0</v>
      </c>
      <c r="I18" s="74" t="s">
        <v>48</v>
      </c>
      <c r="J18" s="69">
        <v>0</v>
      </c>
      <c r="K18" s="73">
        <v>0</v>
      </c>
      <c r="L18" s="69">
        <v>0</v>
      </c>
      <c r="M18" s="74" t="s">
        <v>48</v>
      </c>
      <c r="N18" s="69">
        <v>0</v>
      </c>
      <c r="O18" s="72">
        <v>54</v>
      </c>
      <c r="P18" s="68">
        <v>4.0693300000000002E-2</v>
      </c>
      <c r="Q18" s="73">
        <v>0</v>
      </c>
      <c r="R18" s="69">
        <v>0</v>
      </c>
    </row>
    <row r="19" spans="1:18" ht="15.75" thickBot="1" x14ac:dyDescent="0.25">
      <c r="A19" s="51"/>
      <c r="B19" s="41" t="s">
        <v>59</v>
      </c>
      <c r="C19" s="66" t="s">
        <v>60</v>
      </c>
      <c r="D19" s="65"/>
      <c r="E19" s="65"/>
      <c r="F19" s="62"/>
      <c r="G19" s="72">
        <v>2</v>
      </c>
      <c r="H19" s="68">
        <v>2.32558E-2</v>
      </c>
      <c r="I19" s="74" t="s">
        <v>48</v>
      </c>
      <c r="J19" s="69">
        <v>0</v>
      </c>
      <c r="K19" s="73">
        <v>0</v>
      </c>
      <c r="L19" s="69">
        <v>0</v>
      </c>
      <c r="M19" s="74" t="s">
        <v>48</v>
      </c>
      <c r="N19" s="69">
        <v>0</v>
      </c>
      <c r="O19" s="74" t="s">
        <v>48</v>
      </c>
      <c r="P19" s="69">
        <v>0</v>
      </c>
      <c r="Q19" s="73">
        <v>0</v>
      </c>
      <c r="R19" s="69">
        <v>0</v>
      </c>
    </row>
    <row r="20" spans="1:18" ht="15.75" thickBot="1" x14ac:dyDescent="0.25">
      <c r="A20" s="51"/>
      <c r="B20" s="41" t="s">
        <v>61</v>
      </c>
      <c r="C20" s="66" t="s">
        <v>62</v>
      </c>
      <c r="D20" s="65"/>
      <c r="E20" s="65"/>
      <c r="F20" s="62"/>
      <c r="G20" s="72">
        <v>1</v>
      </c>
      <c r="H20" s="68">
        <v>1.16279E-2</v>
      </c>
      <c r="I20" s="74" t="s">
        <v>48</v>
      </c>
      <c r="J20" s="69">
        <v>0</v>
      </c>
      <c r="K20" s="73">
        <v>0</v>
      </c>
      <c r="L20" s="69">
        <v>0</v>
      </c>
      <c r="M20" s="74" t="s">
        <v>48</v>
      </c>
      <c r="N20" s="69">
        <v>0</v>
      </c>
      <c r="O20" s="74" t="s">
        <v>48</v>
      </c>
      <c r="P20" s="69">
        <v>0</v>
      </c>
      <c r="Q20" s="73">
        <v>1</v>
      </c>
      <c r="R20" s="69">
        <v>1.6129032258064516E-2</v>
      </c>
    </row>
    <row r="21" spans="1:18" ht="15.75" thickBot="1" x14ac:dyDescent="0.25">
      <c r="A21" s="51"/>
      <c r="B21" s="41" t="s">
        <v>63</v>
      </c>
      <c r="C21" s="66" t="s">
        <v>64</v>
      </c>
      <c r="D21" s="65"/>
      <c r="E21" s="65"/>
      <c r="F21" s="62"/>
      <c r="G21" s="72">
        <v>3</v>
      </c>
      <c r="H21" s="68">
        <v>3.4883699999999997E-2</v>
      </c>
      <c r="I21" s="74" t="s">
        <v>48</v>
      </c>
      <c r="J21" s="69">
        <v>0</v>
      </c>
      <c r="K21" s="73">
        <v>1</v>
      </c>
      <c r="L21" s="69">
        <v>1.0752688172043012E-2</v>
      </c>
      <c r="M21" s="74" t="s">
        <v>48</v>
      </c>
      <c r="N21" s="69">
        <v>0</v>
      </c>
      <c r="O21" s="74" t="s">
        <v>48</v>
      </c>
      <c r="P21" s="69">
        <v>0</v>
      </c>
      <c r="Q21" s="73">
        <v>2</v>
      </c>
      <c r="R21" s="69">
        <v>3.2258064516129031E-2</v>
      </c>
    </row>
    <row r="22" spans="1:18" ht="15.75" thickBot="1" x14ac:dyDescent="0.25">
      <c r="A22" s="51"/>
      <c r="B22" s="41" t="s">
        <v>65</v>
      </c>
      <c r="C22" s="66" t="s">
        <v>66</v>
      </c>
      <c r="D22" s="65"/>
      <c r="E22" s="65"/>
      <c r="F22" s="62"/>
      <c r="G22" s="74" t="s">
        <v>48</v>
      </c>
      <c r="H22" s="69">
        <v>0</v>
      </c>
      <c r="I22" s="74" t="s">
        <v>48</v>
      </c>
      <c r="J22" s="69">
        <v>0</v>
      </c>
      <c r="K22" s="73">
        <v>6</v>
      </c>
      <c r="L22" s="69">
        <v>6.4516129032258063E-2</v>
      </c>
      <c r="M22" s="72">
        <v>1</v>
      </c>
      <c r="N22" s="68">
        <v>6.6666699999999995E-2</v>
      </c>
      <c r="O22" s="72">
        <v>45</v>
      </c>
      <c r="P22" s="68">
        <v>3.39111E-2</v>
      </c>
      <c r="Q22" s="73">
        <v>11</v>
      </c>
      <c r="R22" s="69">
        <v>0.17741935483870969</v>
      </c>
    </row>
    <row r="23" spans="1:18" ht="15.75" thickBot="1" x14ac:dyDescent="0.25">
      <c r="A23" s="52"/>
      <c r="B23" s="41" t="s">
        <v>67</v>
      </c>
      <c r="C23" s="66" t="s">
        <v>68</v>
      </c>
      <c r="D23" s="65"/>
      <c r="E23" s="65"/>
      <c r="F23" s="62"/>
      <c r="G23" s="74" t="s">
        <v>48</v>
      </c>
      <c r="H23" s="69">
        <v>0</v>
      </c>
      <c r="I23" s="74" t="s">
        <v>48</v>
      </c>
      <c r="J23" s="69">
        <v>0</v>
      </c>
      <c r="K23" s="73">
        <v>0</v>
      </c>
      <c r="L23" s="69">
        <v>0</v>
      </c>
      <c r="M23" s="74" t="s">
        <v>48</v>
      </c>
      <c r="N23" s="69">
        <v>0</v>
      </c>
      <c r="O23" s="72">
        <v>1</v>
      </c>
      <c r="P23" s="68">
        <v>7.5359999999999999E-4</v>
      </c>
      <c r="Q23" s="73">
        <v>0</v>
      </c>
      <c r="R23" s="69">
        <v>0</v>
      </c>
    </row>
    <row r="24" spans="1:18" ht="15.75" thickBot="1" x14ac:dyDescent="0.25">
      <c r="A24" s="50" t="s">
        <v>15</v>
      </c>
      <c r="B24" s="41" t="s">
        <v>69</v>
      </c>
      <c r="C24" s="66" t="s">
        <v>70</v>
      </c>
      <c r="D24" s="65"/>
      <c r="E24" s="65"/>
      <c r="F24" s="62"/>
      <c r="G24" s="74" t="s">
        <v>48</v>
      </c>
      <c r="H24" s="69">
        <v>0</v>
      </c>
      <c r="I24" s="74" t="s">
        <v>48</v>
      </c>
      <c r="J24" s="69">
        <v>0</v>
      </c>
      <c r="K24" s="73">
        <v>0</v>
      </c>
      <c r="L24" s="69">
        <v>0</v>
      </c>
      <c r="M24" s="72">
        <v>2</v>
      </c>
      <c r="N24" s="68">
        <v>0.13333329999999999</v>
      </c>
      <c r="O24" s="72">
        <v>144</v>
      </c>
      <c r="P24" s="68">
        <v>0.1085154</v>
      </c>
      <c r="Q24" s="73">
        <v>0</v>
      </c>
      <c r="R24" s="69">
        <v>0</v>
      </c>
    </row>
    <row r="25" spans="1:18" ht="15.75" thickBot="1" x14ac:dyDescent="0.25">
      <c r="A25" s="51"/>
      <c r="B25" s="41" t="s">
        <v>71</v>
      </c>
      <c r="C25" s="66" t="s">
        <v>72</v>
      </c>
      <c r="D25" s="65"/>
      <c r="E25" s="65"/>
      <c r="F25" s="62"/>
      <c r="G25" s="74" t="s">
        <v>48</v>
      </c>
      <c r="H25" s="69">
        <v>0</v>
      </c>
      <c r="I25" s="74" t="s">
        <v>48</v>
      </c>
      <c r="J25" s="69">
        <v>0</v>
      </c>
      <c r="K25" s="73">
        <v>0</v>
      </c>
      <c r="L25" s="69">
        <v>0</v>
      </c>
      <c r="M25" s="74" t="s">
        <v>48</v>
      </c>
      <c r="N25" s="69">
        <v>0</v>
      </c>
      <c r="O25" s="72">
        <v>44</v>
      </c>
      <c r="P25" s="68">
        <v>3.3157499999999999E-2</v>
      </c>
      <c r="Q25" s="73">
        <v>0</v>
      </c>
      <c r="R25" s="69">
        <v>0</v>
      </c>
    </row>
    <row r="26" spans="1:18" ht="15.75" thickBot="1" x14ac:dyDescent="0.25">
      <c r="A26" s="51"/>
      <c r="B26" s="41" t="s">
        <v>73</v>
      </c>
      <c r="C26" s="66" t="s">
        <v>74</v>
      </c>
      <c r="D26" s="65"/>
      <c r="E26" s="65"/>
      <c r="F26" s="62"/>
      <c r="G26" s="74" t="s">
        <v>48</v>
      </c>
      <c r="H26" s="69">
        <v>0</v>
      </c>
      <c r="I26" s="74" t="s">
        <v>48</v>
      </c>
      <c r="J26" s="69">
        <v>0</v>
      </c>
      <c r="K26" s="73">
        <v>3</v>
      </c>
      <c r="L26" s="69">
        <v>3.2258064516129031E-2</v>
      </c>
      <c r="M26" s="72">
        <v>1</v>
      </c>
      <c r="N26" s="68">
        <v>6.6666699999999995E-2</v>
      </c>
      <c r="O26" s="72">
        <v>433</v>
      </c>
      <c r="P26" s="68">
        <v>0.32629989999999998</v>
      </c>
      <c r="Q26" s="73">
        <v>5</v>
      </c>
      <c r="R26" s="69">
        <v>8.0645161290322578E-2</v>
      </c>
    </row>
    <row r="27" spans="1:18" ht="15.75" thickBot="1" x14ac:dyDescent="0.25">
      <c r="A27" s="51"/>
      <c r="B27" s="41" t="s">
        <v>75</v>
      </c>
      <c r="C27" s="66" t="s">
        <v>76</v>
      </c>
      <c r="D27" s="65"/>
      <c r="E27" s="65"/>
      <c r="F27" s="62"/>
      <c r="G27" s="74" t="s">
        <v>48</v>
      </c>
      <c r="H27" s="69">
        <v>0</v>
      </c>
      <c r="I27" s="74" t="s">
        <v>48</v>
      </c>
      <c r="J27" s="69">
        <v>0</v>
      </c>
      <c r="K27" s="73">
        <v>6</v>
      </c>
      <c r="L27" s="69">
        <v>6.4516129032258063E-2</v>
      </c>
      <c r="M27" s="74" t="s">
        <v>48</v>
      </c>
      <c r="N27" s="69">
        <v>0</v>
      </c>
      <c r="O27" s="74" t="s">
        <v>48</v>
      </c>
      <c r="P27" s="69">
        <v>0</v>
      </c>
      <c r="Q27" s="73">
        <v>5</v>
      </c>
      <c r="R27" s="69">
        <v>8.0645161290322578E-2</v>
      </c>
    </row>
    <row r="28" spans="1:18" ht="15.75" thickBot="1" x14ac:dyDescent="0.25">
      <c r="A28" s="51"/>
      <c r="B28" s="41" t="s">
        <v>77</v>
      </c>
      <c r="C28" s="66" t="s">
        <v>78</v>
      </c>
      <c r="D28" s="65"/>
      <c r="E28" s="65"/>
      <c r="F28" s="62"/>
      <c r="G28" s="74" t="s">
        <v>48</v>
      </c>
      <c r="H28" s="69">
        <v>0</v>
      </c>
      <c r="I28" s="74" t="s">
        <v>48</v>
      </c>
      <c r="J28" s="69">
        <v>0</v>
      </c>
      <c r="K28" s="73">
        <v>0</v>
      </c>
      <c r="L28" s="69">
        <v>0</v>
      </c>
      <c r="M28" s="72">
        <v>1</v>
      </c>
      <c r="N28" s="68">
        <v>6.6666699999999995E-2</v>
      </c>
      <c r="O28" s="72">
        <v>2</v>
      </c>
      <c r="P28" s="68">
        <v>1.5072E-3</v>
      </c>
      <c r="Q28" s="73">
        <v>0</v>
      </c>
      <c r="R28" s="69">
        <v>0</v>
      </c>
    </row>
    <row r="29" spans="1:18" ht="15.75" thickBot="1" x14ac:dyDescent="0.25">
      <c r="A29" s="51"/>
      <c r="B29" s="41" t="s">
        <v>79</v>
      </c>
      <c r="C29" s="66" t="s">
        <v>80</v>
      </c>
      <c r="D29" s="65"/>
      <c r="E29" s="65"/>
      <c r="F29" s="62"/>
      <c r="G29" s="74" t="s">
        <v>48</v>
      </c>
      <c r="H29" s="69">
        <v>0</v>
      </c>
      <c r="I29" s="74" t="s">
        <v>48</v>
      </c>
      <c r="J29" s="69">
        <v>0</v>
      </c>
      <c r="K29" s="73">
        <v>0</v>
      </c>
      <c r="L29" s="69">
        <v>0</v>
      </c>
      <c r="M29" s="74" t="s">
        <v>48</v>
      </c>
      <c r="N29" s="69">
        <v>0</v>
      </c>
      <c r="O29" s="72">
        <v>5</v>
      </c>
      <c r="P29" s="68">
        <v>3.7678999999999998E-3</v>
      </c>
      <c r="Q29" s="73">
        <v>0</v>
      </c>
      <c r="R29" s="69">
        <v>0</v>
      </c>
    </row>
    <row r="30" spans="1:18" ht="15.75" thickBot="1" x14ac:dyDescent="0.25">
      <c r="A30" s="51"/>
      <c r="B30" s="41" t="s">
        <v>81</v>
      </c>
      <c r="C30" s="66" t="s">
        <v>82</v>
      </c>
      <c r="D30" s="65"/>
      <c r="E30" s="65"/>
      <c r="F30" s="62"/>
      <c r="G30" s="74" t="s">
        <v>48</v>
      </c>
      <c r="H30" s="69">
        <v>0</v>
      </c>
      <c r="I30" s="74" t="s">
        <v>48</v>
      </c>
      <c r="J30" s="69">
        <v>0</v>
      </c>
      <c r="K30" s="73">
        <v>0</v>
      </c>
      <c r="L30" s="69">
        <v>0</v>
      </c>
      <c r="M30" s="74" t="s">
        <v>48</v>
      </c>
      <c r="N30" s="69">
        <v>0</v>
      </c>
      <c r="O30" s="72">
        <v>1</v>
      </c>
      <c r="P30" s="68">
        <v>7.5359999999999999E-4</v>
      </c>
      <c r="Q30" s="73">
        <v>0</v>
      </c>
      <c r="R30" s="69">
        <v>0</v>
      </c>
    </row>
    <row r="31" spans="1:18" ht="15.75" thickBot="1" x14ac:dyDescent="0.25">
      <c r="A31" s="52"/>
      <c r="B31" s="41" t="s">
        <v>83</v>
      </c>
      <c r="C31" s="66" t="s">
        <v>84</v>
      </c>
      <c r="D31" s="65"/>
      <c r="E31" s="65"/>
      <c r="F31" s="62"/>
      <c r="G31" s="74" t="s">
        <v>48</v>
      </c>
      <c r="H31" s="69">
        <v>0</v>
      </c>
      <c r="I31" s="74" t="s">
        <v>48</v>
      </c>
      <c r="J31" s="69">
        <v>0</v>
      </c>
      <c r="K31" s="73">
        <v>0</v>
      </c>
      <c r="L31" s="69">
        <v>0</v>
      </c>
      <c r="M31" s="72">
        <v>1</v>
      </c>
      <c r="N31" s="68">
        <v>6.6666699999999995E-2</v>
      </c>
      <c r="O31" s="72">
        <v>28</v>
      </c>
      <c r="P31" s="68">
        <v>2.11002E-2</v>
      </c>
      <c r="Q31" s="73">
        <v>0</v>
      </c>
      <c r="R31" s="69">
        <v>0</v>
      </c>
    </row>
    <row r="32" spans="1:18" ht="15.75" thickBot="1" x14ac:dyDescent="0.25">
      <c r="A32" s="48" t="s">
        <v>16</v>
      </c>
      <c r="B32" s="41" t="s">
        <v>85</v>
      </c>
      <c r="C32" s="66" t="s">
        <v>86</v>
      </c>
      <c r="D32" s="65"/>
      <c r="E32" s="65"/>
      <c r="F32" s="62"/>
      <c r="G32" s="72">
        <v>57</v>
      </c>
      <c r="H32" s="68">
        <v>0.66279069999999995</v>
      </c>
      <c r="I32" s="72">
        <v>1</v>
      </c>
      <c r="J32" s="68">
        <v>0.5</v>
      </c>
      <c r="K32" s="73">
        <v>0</v>
      </c>
      <c r="L32" s="69">
        <v>0</v>
      </c>
      <c r="M32" s="74" t="s">
        <v>48</v>
      </c>
      <c r="N32" s="69">
        <v>0</v>
      </c>
      <c r="O32" s="72">
        <v>161</v>
      </c>
      <c r="P32" s="68">
        <v>0.1213263</v>
      </c>
      <c r="Q32" s="73">
        <v>10</v>
      </c>
      <c r="R32" s="69">
        <v>0.16129032258064516</v>
      </c>
    </row>
    <row r="33" spans="1:18" ht="15.75" thickBot="1" x14ac:dyDescent="0.25">
      <c r="A33" s="50" t="s">
        <v>17</v>
      </c>
      <c r="B33" s="41" t="s">
        <v>87</v>
      </c>
      <c r="C33" s="66" t="s">
        <v>88</v>
      </c>
      <c r="D33" s="65"/>
      <c r="E33" s="65"/>
      <c r="F33" s="62"/>
      <c r="G33" s="74" t="s">
        <v>48</v>
      </c>
      <c r="H33" s="69">
        <v>0</v>
      </c>
      <c r="I33" s="74" t="s">
        <v>48</v>
      </c>
      <c r="J33" s="69">
        <v>0</v>
      </c>
      <c r="K33" s="73">
        <v>0</v>
      </c>
      <c r="L33" s="69">
        <v>0</v>
      </c>
      <c r="M33" s="74" t="s">
        <v>48</v>
      </c>
      <c r="N33" s="69">
        <v>0</v>
      </c>
      <c r="O33" s="74" t="s">
        <v>48</v>
      </c>
      <c r="P33" s="69">
        <v>0</v>
      </c>
      <c r="Q33" s="73">
        <v>7</v>
      </c>
      <c r="R33" s="69">
        <v>0.11290322580645161</v>
      </c>
    </row>
    <row r="34" spans="1:18" ht="15.75" thickBot="1" x14ac:dyDescent="0.25">
      <c r="A34" s="52"/>
      <c r="B34" s="41" t="s">
        <v>89</v>
      </c>
      <c r="C34" s="66" t="s">
        <v>90</v>
      </c>
      <c r="D34" s="65"/>
      <c r="E34" s="65"/>
      <c r="F34" s="62"/>
      <c r="G34" s="74" t="s">
        <v>48</v>
      </c>
      <c r="H34" s="69">
        <v>0</v>
      </c>
      <c r="I34" s="74" t="s">
        <v>48</v>
      </c>
      <c r="J34" s="69">
        <v>0</v>
      </c>
      <c r="K34" s="73">
        <v>0</v>
      </c>
      <c r="L34" s="69">
        <v>0</v>
      </c>
      <c r="M34" s="74" t="s">
        <v>48</v>
      </c>
      <c r="N34" s="69">
        <v>0</v>
      </c>
      <c r="O34" s="72">
        <v>38</v>
      </c>
      <c r="P34" s="68">
        <v>2.8636000000000002E-2</v>
      </c>
      <c r="Q34" s="73">
        <v>0</v>
      </c>
      <c r="R34" s="69">
        <v>0</v>
      </c>
    </row>
    <row r="35" spans="1:18" ht="15.75" thickBot="1" x14ac:dyDescent="0.25">
      <c r="A35" s="50" t="s">
        <v>18</v>
      </c>
      <c r="B35" s="41" t="s">
        <v>91</v>
      </c>
      <c r="C35" s="66" t="s">
        <v>92</v>
      </c>
      <c r="D35" s="65"/>
      <c r="E35" s="65"/>
      <c r="F35" s="62"/>
      <c r="G35" s="72">
        <v>2</v>
      </c>
      <c r="H35" s="68">
        <v>2.32558E-2</v>
      </c>
      <c r="I35" s="74" t="s">
        <v>48</v>
      </c>
      <c r="J35" s="69">
        <v>0</v>
      </c>
      <c r="K35" s="73">
        <v>0</v>
      </c>
      <c r="L35" s="69">
        <v>0</v>
      </c>
      <c r="M35" s="72">
        <v>2</v>
      </c>
      <c r="N35" s="68">
        <v>0.13333329999999999</v>
      </c>
      <c r="O35" s="72">
        <v>32</v>
      </c>
      <c r="P35" s="68">
        <v>2.4114500000000001E-2</v>
      </c>
      <c r="Q35" s="73">
        <v>0</v>
      </c>
      <c r="R35" s="69">
        <v>0</v>
      </c>
    </row>
    <row r="36" spans="1:18" ht="15.75" thickBot="1" x14ac:dyDescent="0.25">
      <c r="A36" s="51"/>
      <c r="B36" s="41" t="s">
        <v>93</v>
      </c>
      <c r="C36" s="66" t="s">
        <v>94</v>
      </c>
      <c r="D36" s="65"/>
      <c r="E36" s="65"/>
      <c r="F36" s="62"/>
      <c r="G36" s="74" t="s">
        <v>48</v>
      </c>
      <c r="H36" s="69">
        <v>0</v>
      </c>
      <c r="I36" s="74" t="s">
        <v>48</v>
      </c>
      <c r="J36" s="69">
        <v>0</v>
      </c>
      <c r="K36" s="73">
        <v>0</v>
      </c>
      <c r="L36" s="69">
        <v>0</v>
      </c>
      <c r="M36" s="74" t="s">
        <v>48</v>
      </c>
      <c r="N36" s="69">
        <v>0</v>
      </c>
      <c r="O36" s="72">
        <v>5</v>
      </c>
      <c r="P36" s="68">
        <v>3.7678999999999998E-3</v>
      </c>
      <c r="Q36" s="73">
        <v>0</v>
      </c>
      <c r="R36" s="69">
        <v>0</v>
      </c>
    </row>
    <row r="37" spans="1:18" ht="15.75" thickBot="1" x14ac:dyDescent="0.25">
      <c r="A37" s="51"/>
      <c r="B37" s="41" t="s">
        <v>121</v>
      </c>
      <c r="C37" s="66" t="s">
        <v>125</v>
      </c>
      <c r="D37" s="65"/>
      <c r="E37" s="65"/>
      <c r="F37" s="62"/>
      <c r="G37" s="74" t="s">
        <v>48</v>
      </c>
      <c r="H37" s="69">
        <v>0</v>
      </c>
      <c r="I37" s="74" t="s">
        <v>48</v>
      </c>
      <c r="J37" s="69">
        <v>0</v>
      </c>
      <c r="K37" s="73">
        <v>0</v>
      </c>
      <c r="L37" s="69">
        <v>0</v>
      </c>
      <c r="M37" s="74" t="s">
        <v>48</v>
      </c>
      <c r="N37" s="69">
        <v>0</v>
      </c>
      <c r="O37" s="74" t="s">
        <v>48</v>
      </c>
      <c r="P37" s="69">
        <v>0</v>
      </c>
      <c r="Q37" s="73">
        <v>0</v>
      </c>
      <c r="R37" s="69">
        <v>0</v>
      </c>
    </row>
    <row r="38" spans="1:18" ht="15.75" thickBot="1" x14ac:dyDescent="0.25">
      <c r="A38" s="52"/>
      <c r="B38" s="41" t="s">
        <v>95</v>
      </c>
      <c r="C38" s="66" t="s">
        <v>96</v>
      </c>
      <c r="D38" s="65"/>
      <c r="E38" s="65"/>
      <c r="F38" s="62"/>
      <c r="G38" s="74" t="s">
        <v>48</v>
      </c>
      <c r="H38" s="69">
        <v>0</v>
      </c>
      <c r="I38" s="74" t="s">
        <v>48</v>
      </c>
      <c r="J38" s="69">
        <v>0</v>
      </c>
      <c r="K38" s="73">
        <v>0</v>
      </c>
      <c r="L38" s="69">
        <v>0</v>
      </c>
      <c r="M38" s="74" t="s">
        <v>48</v>
      </c>
      <c r="N38" s="69">
        <v>0</v>
      </c>
      <c r="O38" s="72">
        <v>19</v>
      </c>
      <c r="P38" s="68">
        <v>1.4318000000000001E-2</v>
      </c>
      <c r="Q38" s="73">
        <v>0</v>
      </c>
      <c r="R38" s="69">
        <v>0</v>
      </c>
    </row>
    <row r="39" spans="1:18" ht="13.15" customHeight="1" thickBot="1" x14ac:dyDescent="0.25">
      <c r="A39" s="50" t="s">
        <v>19</v>
      </c>
      <c r="B39" s="41" t="s">
        <v>97</v>
      </c>
      <c r="C39" s="66" t="s">
        <v>98</v>
      </c>
      <c r="D39" s="65"/>
      <c r="E39" s="65"/>
      <c r="F39" s="62"/>
      <c r="G39" s="74" t="s">
        <v>48</v>
      </c>
      <c r="H39" s="69">
        <v>0</v>
      </c>
      <c r="I39" s="74" t="s">
        <v>48</v>
      </c>
      <c r="J39" s="69">
        <v>0</v>
      </c>
      <c r="K39" s="73">
        <v>0</v>
      </c>
      <c r="L39" s="69">
        <v>0</v>
      </c>
      <c r="M39" s="74" t="s">
        <v>48</v>
      </c>
      <c r="N39" s="69">
        <v>0</v>
      </c>
      <c r="O39" s="74" t="s">
        <v>48</v>
      </c>
      <c r="P39" s="69">
        <v>0</v>
      </c>
      <c r="Q39" s="73">
        <v>0</v>
      </c>
      <c r="R39" s="69">
        <v>0</v>
      </c>
    </row>
    <row r="40" spans="1:18" ht="15.75" thickBot="1" x14ac:dyDescent="0.25">
      <c r="A40" s="51"/>
      <c r="B40" s="41" t="s">
        <v>99</v>
      </c>
      <c r="C40" s="66" t="s">
        <v>19</v>
      </c>
      <c r="D40" s="65"/>
      <c r="E40" s="65"/>
      <c r="F40" s="62"/>
      <c r="G40" s="74" t="s">
        <v>48</v>
      </c>
      <c r="H40" s="69">
        <v>0</v>
      </c>
      <c r="I40" s="74" t="s">
        <v>48</v>
      </c>
      <c r="J40" s="69">
        <v>0</v>
      </c>
      <c r="K40" s="73">
        <v>0</v>
      </c>
      <c r="L40" s="69">
        <v>0</v>
      </c>
      <c r="M40" s="74" t="s">
        <v>48</v>
      </c>
      <c r="N40" s="69">
        <v>0</v>
      </c>
      <c r="O40" s="72">
        <v>18</v>
      </c>
      <c r="P40" s="68">
        <v>1.3564400000000001E-2</v>
      </c>
      <c r="Q40" s="73">
        <v>0</v>
      </c>
      <c r="R40" s="69">
        <v>0</v>
      </c>
    </row>
    <row r="41" spans="1:18" ht="15.75" thickBot="1" x14ac:dyDescent="0.25">
      <c r="A41" s="52"/>
      <c r="B41" s="41" t="s">
        <v>100</v>
      </c>
      <c r="C41" s="66" t="s">
        <v>101</v>
      </c>
      <c r="D41" s="65"/>
      <c r="E41" s="65"/>
      <c r="F41" s="62"/>
      <c r="G41" s="74" t="s">
        <v>48</v>
      </c>
      <c r="H41" s="69">
        <v>0</v>
      </c>
      <c r="I41" s="74" t="s">
        <v>48</v>
      </c>
      <c r="J41" s="69">
        <v>0</v>
      </c>
      <c r="K41" s="73">
        <v>0</v>
      </c>
      <c r="L41" s="69">
        <v>0</v>
      </c>
      <c r="M41" s="74" t="s">
        <v>48</v>
      </c>
      <c r="N41" s="69">
        <v>0</v>
      </c>
      <c r="O41" s="72">
        <v>9</v>
      </c>
      <c r="P41" s="68">
        <v>6.7822000000000004E-3</v>
      </c>
      <c r="Q41" s="73">
        <v>0</v>
      </c>
      <c r="R41" s="69">
        <v>0</v>
      </c>
    </row>
    <row r="42" spans="1:18" ht="15.75" thickBot="1" x14ac:dyDescent="0.25">
      <c r="A42" s="50" t="s">
        <v>120</v>
      </c>
      <c r="B42" s="41" t="s">
        <v>122</v>
      </c>
      <c r="C42" s="66" t="s">
        <v>126</v>
      </c>
      <c r="D42" s="65"/>
      <c r="E42" s="65"/>
      <c r="F42" s="62"/>
      <c r="G42" s="74" t="s">
        <v>48</v>
      </c>
      <c r="H42" s="69">
        <v>0</v>
      </c>
      <c r="I42" s="74" t="s">
        <v>48</v>
      </c>
      <c r="J42" s="69">
        <v>0</v>
      </c>
      <c r="K42" s="73">
        <v>0</v>
      </c>
      <c r="L42" s="69">
        <v>0</v>
      </c>
      <c r="M42" s="74" t="s">
        <v>48</v>
      </c>
      <c r="N42" s="69">
        <v>0</v>
      </c>
      <c r="O42" s="74" t="s">
        <v>48</v>
      </c>
      <c r="P42" s="69">
        <v>0</v>
      </c>
      <c r="Q42" s="73">
        <v>0</v>
      </c>
      <c r="R42" s="69">
        <v>0</v>
      </c>
    </row>
    <row r="43" spans="1:18" ht="15.75" thickBot="1" x14ac:dyDescent="0.25">
      <c r="A43" s="51"/>
      <c r="B43" s="41" t="s">
        <v>123</v>
      </c>
      <c r="C43" s="66" t="s">
        <v>127</v>
      </c>
      <c r="D43" s="65"/>
      <c r="E43" s="65"/>
      <c r="F43" s="62"/>
      <c r="G43" s="74" t="s">
        <v>48</v>
      </c>
      <c r="H43" s="69">
        <v>0</v>
      </c>
      <c r="I43" s="74" t="s">
        <v>48</v>
      </c>
      <c r="J43" s="69">
        <v>0</v>
      </c>
      <c r="K43" s="73">
        <v>1</v>
      </c>
      <c r="L43" s="69">
        <v>1.0752688172043012E-2</v>
      </c>
      <c r="M43" s="74" t="s">
        <v>48</v>
      </c>
      <c r="N43" s="69">
        <v>0</v>
      </c>
      <c r="O43" s="74" t="s">
        <v>48</v>
      </c>
      <c r="P43" s="69">
        <v>0</v>
      </c>
      <c r="Q43" s="73">
        <v>1</v>
      </c>
      <c r="R43" s="69">
        <v>1.6129032258064516E-2</v>
      </c>
    </row>
    <row r="44" spans="1:18" ht="15.75" thickBot="1" x14ac:dyDescent="0.25">
      <c r="A44" s="52"/>
      <c r="B44" s="41" t="s">
        <v>124</v>
      </c>
      <c r="C44" s="66" t="s">
        <v>128</v>
      </c>
      <c r="D44" s="65"/>
      <c r="E44" s="65"/>
      <c r="F44" s="62"/>
      <c r="G44" s="74" t="s">
        <v>48</v>
      </c>
      <c r="H44" s="69">
        <v>0</v>
      </c>
      <c r="I44" s="74" t="s">
        <v>48</v>
      </c>
      <c r="J44" s="69">
        <v>0</v>
      </c>
      <c r="K44" s="73">
        <v>0</v>
      </c>
      <c r="L44" s="69">
        <v>0</v>
      </c>
      <c r="M44" s="74" t="s">
        <v>48</v>
      </c>
      <c r="N44" s="69">
        <v>0</v>
      </c>
      <c r="O44" s="74" t="s">
        <v>48</v>
      </c>
      <c r="P44" s="69">
        <v>0</v>
      </c>
      <c r="Q44" s="73">
        <v>0</v>
      </c>
      <c r="R44" s="69">
        <v>0</v>
      </c>
    </row>
    <row r="46" spans="1:18" x14ac:dyDescent="0.2">
      <c r="A46" s="3" t="s">
        <v>49</v>
      </c>
    </row>
    <row r="47" spans="1:18" x14ac:dyDescent="0.2">
      <c r="A47" s="3" t="s">
        <v>102</v>
      </c>
      <c r="E47" s="56"/>
      <c r="F47" s="56"/>
    </row>
    <row r="48" spans="1:18" x14ac:dyDescent="0.2">
      <c r="A48" s="3" t="s">
        <v>138</v>
      </c>
      <c r="E48" s="56"/>
      <c r="F48" s="56"/>
    </row>
  </sheetData>
  <mergeCells count="44">
    <mergeCell ref="C42:F42"/>
    <mergeCell ref="C43:F43"/>
    <mergeCell ref="C44:F44"/>
    <mergeCell ref="C35:F35"/>
    <mergeCell ref="C36:F36"/>
    <mergeCell ref="C37:F37"/>
    <mergeCell ref="C38:F38"/>
    <mergeCell ref="A39:A41"/>
    <mergeCell ref="C39:F39"/>
    <mergeCell ref="C40:F40"/>
    <mergeCell ref="C41:F41"/>
    <mergeCell ref="C29:F29"/>
    <mergeCell ref="C30:F30"/>
    <mergeCell ref="C31:F31"/>
    <mergeCell ref="C32:F32"/>
    <mergeCell ref="A33:A34"/>
    <mergeCell ref="C33:F33"/>
    <mergeCell ref="C34:F34"/>
    <mergeCell ref="C24:F24"/>
    <mergeCell ref="C25:F25"/>
    <mergeCell ref="C26:F26"/>
    <mergeCell ref="C27:F27"/>
    <mergeCell ref="C28:F28"/>
    <mergeCell ref="O12:P12"/>
    <mergeCell ref="Q12:R12"/>
    <mergeCell ref="C14:F14"/>
    <mergeCell ref="C15:F15"/>
    <mergeCell ref="A16:A23"/>
    <mergeCell ref="C16:F16"/>
    <mergeCell ref="C17:F17"/>
    <mergeCell ref="C18:F18"/>
    <mergeCell ref="C19:F19"/>
    <mergeCell ref="C20:F20"/>
    <mergeCell ref="C21:F21"/>
    <mergeCell ref="C22:F22"/>
    <mergeCell ref="C23:F23"/>
    <mergeCell ref="A12:F13"/>
    <mergeCell ref="G12:H12"/>
    <mergeCell ref="I12:J12"/>
    <mergeCell ref="K12:L12"/>
    <mergeCell ref="M12:N12"/>
    <mergeCell ref="A24:A31"/>
    <mergeCell ref="A35:A38"/>
    <mergeCell ref="A42:A44"/>
  </mergeCells>
  <pageMargins left="0.7" right="0.7" top="0.75" bottom="0.75" header="0.3" footer="0.3"/>
  <pageSetup scale="86" fitToHeight="0" orientation="landscape" r:id="rId1"/>
  <headerFooter>
    <oddHeader>&amp;C&amp;"Verdana,Bold"FY 22-23 Interest List Closures</oddHeader>
    <oddFooter>&amp;L&amp;"Arial,Regular"&amp;10Data Source:  CSIL and CARE&amp;C&amp;"Arial,Regular"&amp;10Report Generated on:  11/5/22&amp;R&amp;"Arial,Regular"&amp;10Page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1FA9F6B875C941B0D7998B3F6FF5DD" ma:contentTypeVersion="9" ma:contentTypeDescription="Create a new document." ma:contentTypeScope="" ma:versionID="6bc0d043fcec42670f106e9dd94faedb">
  <xsd:schema xmlns:xsd="http://www.w3.org/2001/XMLSchema" xmlns:xs="http://www.w3.org/2001/XMLSchema" xmlns:p="http://schemas.microsoft.com/office/2006/metadata/properties" xmlns:ns2="b6d8ffac-0972-40c3-9b20-9449b1d9cea9" targetNamespace="http://schemas.microsoft.com/office/2006/metadata/properties" ma:root="true" ma:fieldsID="4f4bad242df9e5c14027458124506e3e" ns2:_="">
    <xsd:import namespace="b6d8ffac-0972-40c3-9b20-9449b1d9ce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d8ffac-0972-40c3-9b20-9449b1d9ce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DC709E-ED3E-4984-A493-E704D63E7E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d8ffac-0972-40c3-9b20-9449b1d9ce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50EC6B-E640-416C-BC93-324CDE667F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568B0-3A62-4043-93FE-BE6EE94EC1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Page_1</vt:lpstr>
      <vt:lpstr>Table of Contents Page_2</vt:lpstr>
      <vt:lpstr>IL Releases Summary_3</vt:lpstr>
      <vt:lpstr>Time on Interest List_4</vt:lpstr>
      <vt:lpstr>Closure Overview_5</vt:lpstr>
      <vt:lpstr>Closure Details_6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Hood,Geoffrey (HHSC)</dc:creator>
  <cp:keywords/>
  <dc:description/>
  <cp:lastModifiedBy>Alberti,Rafael (HHSC)</cp:lastModifiedBy>
  <cp:revision/>
  <cp:lastPrinted>2022-12-16T19:10:52Z</cp:lastPrinted>
  <dcterms:created xsi:type="dcterms:W3CDTF">2022-05-17T19:42:22Z</dcterms:created>
  <dcterms:modified xsi:type="dcterms:W3CDTF">2023-11-21T17:52:32Z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0x010100921FA9F6B875C941B0D7998B3F6FF5DD</vt:lpwstr>
  </property>
</Properties>
</file>