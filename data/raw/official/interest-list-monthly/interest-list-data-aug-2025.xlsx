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BE2D3E9A-4CE0-4F07-9531-489DB54D9EDA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Details'!$A$25</definedName>
    <definedName name="TOC_14">'Closure Details'!$A$37</definedName>
    <definedName name="TOC_15">'Closure Details'!$A$38</definedName>
    <definedName name="TOC_16">'Closure Details'!$A$41</definedName>
    <definedName name="TOC_17">'Closure Details'!$A$45</definedName>
    <definedName name="TOC_18">'Closure Details'!$A$48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9" refMode="R1C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3" l="1"/>
  <c r="T21" i="3"/>
  <c r="T19" i="3"/>
  <c r="T17" i="3"/>
  <c r="T15" i="3"/>
</calcChain>
</file>

<file path=xl/sharedStrings.xml><?xml version="1.0" encoding="utf-8"?>
<sst xmlns="http://schemas.openxmlformats.org/spreadsheetml/2006/main" count="322" uniqueCount="164">
  <si>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</si>
  <si>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</si>
  <si>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August 31,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</si>
  <si>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</si>
  <si>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</si>
  <si>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</si>
  <si>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</si>
  <si>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</si>
  <si>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</si>
  <si>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</si>
  <si>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</si>
  <si>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</si>
  <si>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</si>
  <si>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</si>
  <si>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</si>
  <si>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</si>
  <si>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</si>
  <si>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</si>
  <si>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</si>
  <si>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</si>
  <si>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</si>
  <si>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</si>
  <si>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</si>
  <si>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</si>
  <si>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9/5/25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</si>
  <si>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</si>
  <si>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</si>
  <si>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</si>
  <si>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</si>
  <si>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</si>
  <si>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</si>
  <si>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</si>
  <si>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</si>
  <si>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</si>
  <si>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</si>
  <si>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</si>
  <si>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</si>
  <si>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</si>
  <si>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</si>
  <si>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</si>
  <si>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</si>
  <si>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</si>
  <si>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</si>
  <si>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</si>
  <si>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</si>
  <si>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</si>
  <si>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194,316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</si>
  <si>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</si>
  <si>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</si>
  <si>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</si>
  <si>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</si>
  <si>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</si>
  <si>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</si>
  <si>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</si>
  <si>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</si>
  <si>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</si>
  <si>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</si>
  <si>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</si>
  <si>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</si>
  <si>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</si>
  <si>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</si>
  <si>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</si>
  <si>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</si>
  <si>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</si>
  <si>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</si>
  <si>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</si>
  <si>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</si>
  <si>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</si>
  <si>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</si>
  <si>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</si>
  <si>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</si>
  <si>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</si>
  <si>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</si>
  <si>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</si>
  <si>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</si>
  <si>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</si>
  <si>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</si>
  <si>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</si>
  <si>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</si>
  <si>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</si>
  <si>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</si>
  <si>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</si>
  <si>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</si>
  <si>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</si>
  <si>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</si>
  <si>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</si>
  <si>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</si>
  <si>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</si>
  <si>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</si>
  <si>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</si>
  <si>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</si>
  <si>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</si>
  <si>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</si>
  <si>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</si>
  <si>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</si>
  <si>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</si>
  <si>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</si>
  <si>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</si>
  <si>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</si>
  <si>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</si>
  <si>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</si>
  <si>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</si>
  <si>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</si>
  <si>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</si>
  <si>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</si>
  <si>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</si>
  <si>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</si>
  <si>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</si>
  <si>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</si>
  <si>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</si>
  <si>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</si>
  <si>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</si>
  <si>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</si>
  <si>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</si>
  <si>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</si>
  <si>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</si>
  <si>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</si>
  <si>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</si>
  <si>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</si>
  <si>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</si>
  <si>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</si>
  <si>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</si>
  <si>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</si>
  <si>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</si>
  <si>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</si>
  <si>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</si>
  <si>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</si>
  <si>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</si>
  <si>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</si>
  <si>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</si>
  <si>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</si>
  <si>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</si>
  <si>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</si>
  <si>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</si>
  <si>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</si>
  <si>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</si>
  <si>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</si>
  <si>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</si>
  <si>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</si>
  <si>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</si>
  <si>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</si>
  <si>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</si>
  <si>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</si>
  <si>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</si>
  <si>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</si>
  <si>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</si>
  <si>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</si>
  <si>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</si>
  <si>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</si>
  <si>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</si>
  <si>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</si>
  <si>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</si>
  <si>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</si>
  <si>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</si>
  <si>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</si>
  <si>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</si>
  <si>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</si>
  <si>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</si>
  <si>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</si>
  <si>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</si>
  <si>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</si>
  <si>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24–25 Interest List Closures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</si>
  <si>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</si>
  <si>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24–25 Interest List Closure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</si>
</sst>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8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8" fillId="3" borderId="24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4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80" zoomScaleNormal="80" workbookViewId="0">
      <selection activeCell="A14" sqref="A14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8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29"/>
      <c r="B1" s="29"/>
      <c r="C1" s="9" t="s">
        <v>3</v>
      </c>
    </row>
    <row r="2" spans="1:3" ht="12.5">
      <c r="A2" s="30"/>
      <c r="B2" s="30"/>
      <c r="C2" s="8"/>
    </row>
    <row r="3" spans="1:3" ht="12.5">
      <c r="A3" s="30"/>
      <c r="B3" s="30"/>
      <c r="C3" s="8"/>
    </row>
    <row r="4" spans="1:3" ht="12.5">
      <c r="A4" s="30"/>
      <c r="B4" s="30"/>
      <c r="C4" s="8"/>
    </row>
    <row r="5" spans="1:3" ht="12.5">
      <c r="A5" s="30"/>
      <c r="B5" s="30"/>
      <c r="C5" s="8"/>
    </row>
    <row r="6" spans="1:3" ht="12.5">
      <c r="A6" s="30"/>
      <c r="B6" s="30"/>
      <c r="C6" s="8"/>
    </row>
    <row r="7" spans="1:3" ht="12.5">
      <c r="A7" s="30"/>
      <c r="B7" s="30"/>
      <c r="C7" s="8"/>
    </row>
    <row r="8" spans="1:3" ht="12.5">
      <c r="A8" s="30"/>
      <c r="B8" s="30"/>
      <c r="C8" s="8"/>
    </row>
    <row r="9" spans="1:3" ht="12.5">
      <c r="A9" s="30"/>
      <c r="B9" s="30"/>
      <c r="C9" s="8"/>
    </row>
    <row r="10" spans="1:3" ht="12.5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M9" sqref="M9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2.5">
      <c r="A11" s="36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">
      <c r="H12" s="37" t="s">
        <v>26</v>
      </c>
      <c r="I12" s="38"/>
      <c r="J12" s="37" t="s">
        <v>27</v>
      </c>
      <c r="K12" s="38"/>
      <c r="L12" s="39" t="s">
        <v>28</v>
      </c>
      <c r="M12" s="38"/>
      <c r="N12" s="37" t="s">
        <v>29</v>
      </c>
      <c r="O12" s="38"/>
      <c r="P12" s="37" t="s">
        <v>30</v>
      </c>
      <c r="Q12" s="38"/>
      <c r="R12" s="39" t="s">
        <v>31</v>
      </c>
      <c r="S12" s="38"/>
      <c r="T12" s="40" t="s">
        <v>32</v>
      </c>
      <c r="U12" s="41"/>
    </row>
    <row r="13" spans="1:21" ht="12.5">
      <c r="A13" s="42" t="s">
        <v>7</v>
      </c>
      <c r="B13" s="43"/>
      <c r="C13" s="43"/>
      <c r="D13" s="44"/>
      <c r="E13" s="48" t="s">
        <v>33</v>
      </c>
      <c r="F13" s="43"/>
      <c r="G13" s="44"/>
      <c r="H13" s="49">
        <v>82640</v>
      </c>
      <c r="I13" s="50"/>
      <c r="J13" s="49">
        <v>1714</v>
      </c>
      <c r="K13" s="50"/>
      <c r="L13" s="49">
        <v>117204</v>
      </c>
      <c r="M13" s="50"/>
      <c r="N13" s="49">
        <v>6901</v>
      </c>
      <c r="O13" s="50"/>
      <c r="P13" s="49">
        <v>6339</v>
      </c>
      <c r="Q13" s="50"/>
      <c r="R13" s="49">
        <v>106134</v>
      </c>
      <c r="S13" s="50"/>
      <c r="T13" s="32">
        <v>320932</v>
      </c>
      <c r="U13" s="33"/>
    </row>
    <row r="14" spans="1:21" ht="13" thickBot="1">
      <c r="A14" s="45"/>
      <c r="B14" s="46"/>
      <c r="C14" s="46"/>
      <c r="D14" s="47"/>
      <c r="E14" s="45"/>
      <c r="F14" s="46"/>
      <c r="G14" s="47"/>
      <c r="H14" s="51"/>
      <c r="I14" s="52"/>
      <c r="J14" s="51"/>
      <c r="K14" s="52"/>
      <c r="L14" s="51"/>
      <c r="M14" s="52"/>
      <c r="N14" s="51"/>
      <c r="O14" s="52"/>
      <c r="P14" s="51"/>
      <c r="Q14" s="52"/>
      <c r="R14" s="51"/>
      <c r="S14" s="52"/>
      <c r="T14" s="34"/>
      <c r="U14" s="35"/>
    </row>
    <row r="15" spans="1:21" ht="13" thickBot="1">
      <c r="A15" s="53" t="s">
        <v>34</v>
      </c>
      <c r="B15" s="54"/>
      <c r="C15" s="54"/>
      <c r="D15" s="55"/>
      <c r="E15" s="57" t="s">
        <v>35</v>
      </c>
      <c r="F15" s="54"/>
      <c r="G15" s="55"/>
      <c r="H15" s="49">
        <v>412</v>
      </c>
      <c r="I15" s="50"/>
      <c r="J15" s="49">
        <v>68</v>
      </c>
      <c r="K15" s="50"/>
      <c r="L15" s="49">
        <v>2053</v>
      </c>
      <c r="M15" s="50"/>
      <c r="N15" s="49">
        <v>1038</v>
      </c>
      <c r="O15" s="50"/>
      <c r="P15" s="49">
        <v>7090</v>
      </c>
      <c r="Q15" s="50"/>
      <c r="R15" s="49">
        <v>1002</v>
      </c>
      <c r="S15" s="50"/>
      <c r="T15" s="32">
        <f>SUM(H15:S16)</f>
        <v>11663</v>
      </c>
      <c r="U15" s="33"/>
    </row>
    <row r="16" spans="1:21" ht="13" thickBot="1">
      <c r="A16" s="56"/>
      <c r="B16" s="54"/>
      <c r="C16" s="54"/>
      <c r="D16" s="55"/>
      <c r="E16" s="45"/>
      <c r="F16" s="46"/>
      <c r="G16" s="47"/>
      <c r="H16" s="51"/>
      <c r="I16" s="52"/>
      <c r="J16" s="51"/>
      <c r="K16" s="52"/>
      <c r="L16" s="51"/>
      <c r="M16" s="52"/>
      <c r="N16" s="51"/>
      <c r="O16" s="52"/>
      <c r="P16" s="51"/>
      <c r="Q16" s="52"/>
      <c r="R16" s="51"/>
      <c r="S16" s="52"/>
      <c r="T16" s="34"/>
      <c r="U16" s="35"/>
    </row>
    <row r="17" spans="1:21" ht="13" thickBot="1">
      <c r="A17" s="56"/>
      <c r="B17" s="54"/>
      <c r="C17" s="54"/>
      <c r="D17" s="55"/>
      <c r="E17" s="58" t="s">
        <v>36</v>
      </c>
      <c r="F17" s="54"/>
      <c r="G17" s="55"/>
      <c r="H17" s="49">
        <v>472</v>
      </c>
      <c r="I17" s="50"/>
      <c r="J17" s="49">
        <v>154</v>
      </c>
      <c r="K17" s="50"/>
      <c r="L17" s="49">
        <v>510</v>
      </c>
      <c r="M17" s="50"/>
      <c r="N17" s="49">
        <v>167</v>
      </c>
      <c r="O17" s="50"/>
      <c r="P17" s="49">
        <v>2812</v>
      </c>
      <c r="Q17" s="50"/>
      <c r="R17" s="49">
        <v>446</v>
      </c>
      <c r="S17" s="50"/>
      <c r="T17" s="32">
        <f>SUM(H17:S18)</f>
        <v>4561</v>
      </c>
      <c r="U17" s="33"/>
    </row>
    <row r="18" spans="1:21" ht="13" thickBot="1">
      <c r="A18" s="56"/>
      <c r="B18" s="54"/>
      <c r="C18" s="54"/>
      <c r="D18" s="55"/>
      <c r="E18" s="45"/>
      <c r="F18" s="46"/>
      <c r="G18" s="47"/>
      <c r="H18" s="51"/>
      <c r="I18" s="52"/>
      <c r="J18" s="51"/>
      <c r="K18" s="52"/>
      <c r="L18" s="51"/>
      <c r="M18" s="52"/>
      <c r="N18" s="51"/>
      <c r="O18" s="52"/>
      <c r="P18" s="51"/>
      <c r="Q18" s="52"/>
      <c r="R18" s="51"/>
      <c r="S18" s="52"/>
      <c r="T18" s="34"/>
      <c r="U18" s="35"/>
    </row>
    <row r="19" spans="1:21" ht="13" thickBot="1">
      <c r="A19" s="56"/>
      <c r="B19" s="54"/>
      <c r="C19" s="54"/>
      <c r="D19" s="55"/>
      <c r="E19" s="57" t="s">
        <v>37</v>
      </c>
      <c r="F19" s="54"/>
      <c r="G19" s="55"/>
      <c r="H19" s="49">
        <v>2034</v>
      </c>
      <c r="I19" s="50"/>
      <c r="J19" s="49">
        <v>541</v>
      </c>
      <c r="K19" s="50"/>
      <c r="L19" s="49">
        <v>2701</v>
      </c>
      <c r="M19" s="50"/>
      <c r="N19" s="49">
        <v>4942</v>
      </c>
      <c r="O19" s="50"/>
      <c r="P19" s="49">
        <v>38364</v>
      </c>
      <c r="Q19" s="50"/>
      <c r="R19" s="49">
        <v>4756</v>
      </c>
      <c r="S19" s="50"/>
      <c r="T19" s="32">
        <f>SUM(H19:S20)</f>
        <v>53338</v>
      </c>
      <c r="U19" s="33"/>
    </row>
    <row r="20" spans="1:21" ht="13" thickBot="1">
      <c r="A20" s="56"/>
      <c r="B20" s="54"/>
      <c r="C20" s="54"/>
      <c r="D20" s="55"/>
      <c r="E20" s="45"/>
      <c r="F20" s="46"/>
      <c r="G20" s="47"/>
      <c r="H20" s="51"/>
      <c r="I20" s="52"/>
      <c r="J20" s="51"/>
      <c r="K20" s="52"/>
      <c r="L20" s="51"/>
      <c r="M20" s="52"/>
      <c r="N20" s="51"/>
      <c r="O20" s="52"/>
      <c r="P20" s="51"/>
      <c r="Q20" s="52"/>
      <c r="R20" s="51"/>
      <c r="S20" s="52"/>
      <c r="T20" s="34"/>
      <c r="U20" s="35"/>
    </row>
    <row r="21" spans="1:21" ht="13" thickBot="1">
      <c r="A21" s="56"/>
      <c r="B21" s="54"/>
      <c r="C21" s="54"/>
      <c r="D21" s="55"/>
      <c r="E21" s="58" t="s">
        <v>23</v>
      </c>
      <c r="F21" s="54"/>
      <c r="G21" s="55"/>
      <c r="H21" s="49">
        <v>3</v>
      </c>
      <c r="I21" s="50"/>
      <c r="J21" s="59" t="s">
        <v>38</v>
      </c>
      <c r="K21" s="50"/>
      <c r="L21" s="59">
        <v>172</v>
      </c>
      <c r="M21" s="50"/>
      <c r="N21" s="49">
        <v>12</v>
      </c>
      <c r="O21" s="50"/>
      <c r="P21" s="49">
        <v>17</v>
      </c>
      <c r="Q21" s="50"/>
      <c r="R21" s="59">
        <v>273</v>
      </c>
      <c r="S21" s="50"/>
      <c r="T21" s="32">
        <f>SUM(H21:S22)</f>
        <v>477</v>
      </c>
      <c r="U21" s="33"/>
    </row>
    <row r="22" spans="1:21" ht="13" thickBot="1">
      <c r="A22" s="45"/>
      <c r="B22" s="46"/>
      <c r="C22" s="46"/>
      <c r="D22" s="47"/>
      <c r="E22" s="45"/>
      <c r="F22" s="46"/>
      <c r="G22" s="47"/>
      <c r="H22" s="51"/>
      <c r="I22" s="52"/>
      <c r="J22" s="51"/>
      <c r="K22" s="52"/>
      <c r="L22" s="51"/>
      <c r="M22" s="52"/>
      <c r="N22" s="51"/>
      <c r="O22" s="52"/>
      <c r="P22" s="51"/>
      <c r="Q22" s="52"/>
      <c r="R22" s="51"/>
      <c r="S22" s="52"/>
      <c r="T22" s="34"/>
      <c r="U22" s="35"/>
    </row>
    <row r="23" spans="1:21" ht="13" thickBot="1">
      <c r="A23" s="62" t="s">
        <v>39</v>
      </c>
      <c r="B23" s="54"/>
      <c r="C23" s="54"/>
      <c r="D23" s="55"/>
      <c r="E23" s="62" t="s">
        <v>40</v>
      </c>
      <c r="F23" s="54"/>
      <c r="G23" s="55"/>
      <c r="H23" s="60">
        <v>2942</v>
      </c>
      <c r="I23" s="55"/>
      <c r="J23" s="60">
        <v>770</v>
      </c>
      <c r="K23" s="55"/>
      <c r="L23" s="60">
        <v>5257</v>
      </c>
      <c r="M23" s="55"/>
      <c r="N23" s="60">
        <v>6224</v>
      </c>
      <c r="O23" s="55"/>
      <c r="P23" s="60">
        <v>48773</v>
      </c>
      <c r="Q23" s="55"/>
      <c r="R23" s="60">
        <v>6303</v>
      </c>
      <c r="S23" s="55"/>
      <c r="T23" s="32">
        <f>SUM(H23:S24)</f>
        <v>70269</v>
      </c>
      <c r="U23" s="33"/>
    </row>
    <row r="24" spans="1:21" ht="13" thickBot="1">
      <c r="A24" s="45"/>
      <c r="B24" s="46"/>
      <c r="C24" s="46"/>
      <c r="D24" s="47"/>
      <c r="E24" s="45"/>
      <c r="F24" s="46"/>
      <c r="G24" s="47"/>
      <c r="H24" s="45"/>
      <c r="I24" s="47"/>
      <c r="J24" s="45"/>
      <c r="K24" s="47"/>
      <c r="L24" s="45"/>
      <c r="M24" s="47"/>
      <c r="N24" s="45"/>
      <c r="O24" s="47"/>
      <c r="P24" s="45"/>
      <c r="Q24" s="47"/>
      <c r="R24" s="45"/>
      <c r="S24" s="47"/>
      <c r="T24" s="34"/>
      <c r="U24" s="35"/>
    </row>
    <row r="25" spans="1:21" ht="13" thickBot="1">
      <c r="A25" s="61" t="s">
        <v>10</v>
      </c>
      <c r="B25" s="54"/>
      <c r="C25" s="54"/>
      <c r="D25" s="55"/>
      <c r="E25" s="58" t="s">
        <v>41</v>
      </c>
      <c r="F25" s="54"/>
      <c r="G25" s="55"/>
      <c r="H25" s="49">
        <v>13997</v>
      </c>
      <c r="I25" s="50"/>
      <c r="J25" s="49">
        <v>1334</v>
      </c>
      <c r="K25" s="50"/>
      <c r="L25" s="49">
        <v>17743</v>
      </c>
      <c r="M25" s="50"/>
      <c r="N25" s="49">
        <v>7243</v>
      </c>
      <c r="O25" s="50"/>
      <c r="P25" s="49">
        <v>51015</v>
      </c>
      <c r="Q25" s="50"/>
      <c r="R25" s="49">
        <v>16866</v>
      </c>
      <c r="S25" s="50"/>
      <c r="T25" s="32">
        <v>108198</v>
      </c>
      <c r="U25" s="33"/>
    </row>
    <row r="26" spans="1:21" ht="12.5">
      <c r="A26" s="45"/>
      <c r="B26" s="46"/>
      <c r="C26" s="46"/>
      <c r="D26" s="47"/>
      <c r="E26" s="45"/>
      <c r="F26" s="46"/>
      <c r="G26" s="47"/>
      <c r="H26" s="51"/>
      <c r="I26" s="52"/>
      <c r="J26" s="51"/>
      <c r="K26" s="52"/>
      <c r="L26" s="51"/>
      <c r="M26" s="52"/>
      <c r="N26" s="51"/>
      <c r="O26" s="52"/>
      <c r="P26" s="51"/>
      <c r="Q26" s="52"/>
      <c r="R26" s="51"/>
      <c r="S26" s="52"/>
      <c r="T26" s="34"/>
      <c r="U26" s="35"/>
    </row>
    <row r="27" spans="1:21" ht="12.5">
      <c r="A27" s="61" t="s">
        <v>11</v>
      </c>
      <c r="B27" s="54"/>
      <c r="C27" s="54"/>
      <c r="D27" s="55"/>
      <c r="E27" s="57" t="s">
        <v>42</v>
      </c>
      <c r="F27" s="54"/>
      <c r="G27" s="55"/>
      <c r="H27" s="49">
        <v>96211</v>
      </c>
      <c r="I27" s="50"/>
      <c r="J27" s="49">
        <v>2324</v>
      </c>
      <c r="K27" s="50"/>
      <c r="L27" s="49">
        <v>128111</v>
      </c>
      <c r="M27" s="50"/>
      <c r="N27" s="49">
        <v>7875</v>
      </c>
      <c r="O27" s="50"/>
      <c r="P27" s="49">
        <v>15689</v>
      </c>
      <c r="Q27" s="50"/>
      <c r="R27" s="49">
        <v>116551</v>
      </c>
      <c r="S27" s="50"/>
      <c r="T27" s="32">
        <v>366761</v>
      </c>
      <c r="U27" s="33"/>
    </row>
    <row r="28" spans="1:21" ht="12.5">
      <c r="A28" s="45"/>
      <c r="B28" s="46"/>
      <c r="C28" s="46"/>
      <c r="D28" s="47"/>
      <c r="E28" s="45"/>
      <c r="F28" s="46"/>
      <c r="G28" s="47"/>
      <c r="H28" s="51"/>
      <c r="I28" s="52"/>
      <c r="J28" s="51"/>
      <c r="K28" s="52"/>
      <c r="L28" s="51"/>
      <c r="M28" s="52"/>
      <c r="N28" s="51"/>
      <c r="O28" s="52"/>
      <c r="P28" s="51"/>
      <c r="Q28" s="52"/>
      <c r="R28" s="51"/>
      <c r="S28" s="52"/>
      <c r="T28" s="34"/>
      <c r="U28" s="35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63" t="s">
        <v>159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</row>
    <row r="31" spans="1:2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 spans="1:21" ht="13">
      <c r="A32" s="64" t="s">
        <v>43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</row>
    <row r="33" spans="1:21" ht="12.75" customHeight="1">
      <c r="A33" s="65" t="s">
        <v>44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</row>
    <row r="34" spans="1:21" ht="12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</row>
    <row r="35" spans="1:21" ht="12.75" customHeight="1">
      <c r="A35" s="65" t="s">
        <v>45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</row>
    <row r="36" spans="1:21" ht="12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2.5">
      <c r="A38" s="66" t="s">
        <v>46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23:U24"/>
    <mergeCell ref="T15:U16"/>
    <mergeCell ref="T17:U18"/>
    <mergeCell ref="T19:U20"/>
    <mergeCell ref="T21:U2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H2" sqref="H2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47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36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48</v>
      </c>
      <c r="B12" s="37" t="s">
        <v>26</v>
      </c>
      <c r="C12" s="38"/>
      <c r="D12" s="37" t="s">
        <v>27</v>
      </c>
      <c r="E12" s="38"/>
      <c r="F12" s="37" t="s">
        <v>49</v>
      </c>
      <c r="G12" s="38"/>
      <c r="H12" s="37" t="s">
        <v>29</v>
      </c>
      <c r="I12" s="38"/>
      <c r="J12" s="37" t="s">
        <v>30</v>
      </c>
      <c r="K12" s="38"/>
      <c r="L12" s="37" t="s">
        <v>50</v>
      </c>
      <c r="M12" s="38"/>
    </row>
    <row r="13" spans="1:13" ht="12.5">
      <c r="A13" s="28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7394</v>
      </c>
      <c r="C14" s="17">
        <v>7.6851100000000006E-2</v>
      </c>
      <c r="D14" s="16">
        <v>723</v>
      </c>
      <c r="E14" s="17">
        <v>0.31110149999999998</v>
      </c>
      <c r="F14" s="16">
        <v>8303</v>
      </c>
      <c r="G14" s="17">
        <v>6.4810999999999994E-2</v>
      </c>
      <c r="H14" s="16">
        <v>3716</v>
      </c>
      <c r="I14" s="17">
        <v>0.47187299999999999</v>
      </c>
      <c r="J14" s="16">
        <v>15585</v>
      </c>
      <c r="K14" s="17">
        <v>0.99337120000000001</v>
      </c>
      <c r="L14" s="16">
        <v>8123</v>
      </c>
      <c r="M14" s="17">
        <v>6.9694800000000001E-2</v>
      </c>
    </row>
    <row r="15" spans="1:13" ht="13">
      <c r="A15" s="12" t="s">
        <v>54</v>
      </c>
      <c r="B15" s="16">
        <v>6533</v>
      </c>
      <c r="C15" s="17">
        <v>6.7902100000000007E-2</v>
      </c>
      <c r="D15" s="16">
        <v>603</v>
      </c>
      <c r="E15" s="17">
        <v>0.25946639999999999</v>
      </c>
      <c r="F15" s="16">
        <v>8677</v>
      </c>
      <c r="G15" s="17">
        <v>6.7730299999999993E-2</v>
      </c>
      <c r="H15" s="16">
        <v>3194</v>
      </c>
      <c r="I15" s="17">
        <v>0.40558729999999998</v>
      </c>
      <c r="J15" s="16">
        <v>48</v>
      </c>
      <c r="K15" s="17">
        <v>3.0595000000000002E-3</v>
      </c>
      <c r="L15" s="16">
        <v>8671</v>
      </c>
      <c r="M15" s="17">
        <v>7.4396599999999993E-2</v>
      </c>
    </row>
    <row r="16" spans="1:13" ht="13">
      <c r="A16" s="12" t="s">
        <v>55</v>
      </c>
      <c r="B16" s="16">
        <v>5602</v>
      </c>
      <c r="C16" s="17">
        <v>5.8225600000000002E-2</v>
      </c>
      <c r="D16" s="16">
        <v>396</v>
      </c>
      <c r="E16" s="17">
        <v>0.17039589999999999</v>
      </c>
      <c r="F16" s="16">
        <v>7693</v>
      </c>
      <c r="G16" s="17">
        <v>6.0049499999999999E-2</v>
      </c>
      <c r="H16" s="16">
        <v>963</v>
      </c>
      <c r="I16" s="17">
        <v>0.1222857</v>
      </c>
      <c r="J16" s="16">
        <v>56</v>
      </c>
      <c r="K16" s="17">
        <v>3.5693999999999999E-3</v>
      </c>
      <c r="L16" s="16">
        <v>7657</v>
      </c>
      <c r="M16" s="17">
        <v>6.5696599999999994E-2</v>
      </c>
    </row>
    <row r="17" spans="1:13" ht="13">
      <c r="A17" s="12" t="s">
        <v>56</v>
      </c>
      <c r="B17" s="16">
        <v>5215</v>
      </c>
      <c r="C17" s="17">
        <v>5.42032E-2</v>
      </c>
      <c r="D17" s="16">
        <v>289</v>
      </c>
      <c r="E17" s="17">
        <v>0.1243546</v>
      </c>
      <c r="F17" s="16">
        <v>6889</v>
      </c>
      <c r="G17" s="17">
        <v>5.3773700000000001E-2</v>
      </c>
      <c r="H17" s="15"/>
      <c r="I17" s="15"/>
      <c r="J17" s="15"/>
      <c r="K17" s="15"/>
      <c r="L17" s="16">
        <v>6921</v>
      </c>
      <c r="M17" s="17">
        <v>5.9381700000000003E-2</v>
      </c>
    </row>
    <row r="18" spans="1:13" ht="13">
      <c r="A18" s="12" t="s">
        <v>57</v>
      </c>
      <c r="B18" s="16">
        <v>4476</v>
      </c>
      <c r="C18" s="17">
        <v>4.6522300000000003E-2</v>
      </c>
      <c r="D18" s="16">
        <v>250</v>
      </c>
      <c r="E18" s="17">
        <v>0.1075731</v>
      </c>
      <c r="F18" s="16">
        <v>6258</v>
      </c>
      <c r="G18" s="17">
        <v>4.8848299999999997E-2</v>
      </c>
      <c r="H18" s="15"/>
      <c r="I18" s="15"/>
      <c r="J18" s="15"/>
      <c r="K18" s="15"/>
      <c r="L18" s="16">
        <v>6280</v>
      </c>
      <c r="M18" s="17">
        <v>5.3881999999999999E-2</v>
      </c>
    </row>
    <row r="19" spans="1:13" ht="13">
      <c r="A19" s="12" t="s">
        <v>58</v>
      </c>
      <c r="B19" s="16">
        <v>4711</v>
      </c>
      <c r="C19" s="17">
        <v>4.8964800000000003E-2</v>
      </c>
      <c r="D19" s="16">
        <v>63</v>
      </c>
      <c r="E19" s="17">
        <v>2.7108400000000001E-2</v>
      </c>
      <c r="F19" s="16">
        <v>6840</v>
      </c>
      <c r="G19" s="17">
        <v>5.33912E-2</v>
      </c>
      <c r="H19" s="16">
        <v>1</v>
      </c>
      <c r="I19" s="17">
        <v>1.27E-4</v>
      </c>
      <c r="J19" s="15"/>
      <c r="K19" s="15"/>
      <c r="L19" s="16">
        <v>6970</v>
      </c>
      <c r="M19" s="17">
        <v>5.9802099999999997E-2</v>
      </c>
    </row>
    <row r="20" spans="1:13" ht="13">
      <c r="A20" s="12" t="s">
        <v>59</v>
      </c>
      <c r="B20" s="16">
        <v>5935</v>
      </c>
      <c r="C20" s="17">
        <v>6.1686699999999997E-2</v>
      </c>
      <c r="D20" s="15"/>
      <c r="E20" s="15"/>
      <c r="F20" s="16">
        <v>8191</v>
      </c>
      <c r="G20" s="17">
        <v>6.3936699999999999E-2</v>
      </c>
      <c r="H20" s="15"/>
      <c r="I20" s="15"/>
      <c r="J20" s="15"/>
      <c r="K20" s="15"/>
      <c r="L20" s="16">
        <v>8378</v>
      </c>
      <c r="M20" s="17">
        <v>7.1882699999999994E-2</v>
      </c>
    </row>
    <row r="21" spans="1:13" ht="13">
      <c r="A21" s="12" t="s">
        <v>60</v>
      </c>
      <c r="B21" s="16">
        <v>6016</v>
      </c>
      <c r="C21" s="17">
        <v>6.2528600000000004E-2</v>
      </c>
      <c r="D21" s="15"/>
      <c r="E21" s="15"/>
      <c r="F21" s="16">
        <v>8325</v>
      </c>
      <c r="G21" s="17">
        <v>6.4982700000000004E-2</v>
      </c>
      <c r="H21" s="16">
        <v>1</v>
      </c>
      <c r="I21" s="17">
        <v>1.27E-4</v>
      </c>
      <c r="J21" s="15"/>
      <c r="K21" s="15"/>
      <c r="L21" s="16">
        <v>8535</v>
      </c>
      <c r="M21" s="17">
        <v>7.3229699999999995E-2</v>
      </c>
    </row>
    <row r="22" spans="1:13" ht="13">
      <c r="A22" s="12" t="s">
        <v>61</v>
      </c>
      <c r="B22" s="16">
        <v>6014</v>
      </c>
      <c r="C22" s="17">
        <v>6.2507800000000002E-2</v>
      </c>
      <c r="D22" s="15"/>
      <c r="E22" s="15"/>
      <c r="F22" s="16">
        <v>8219</v>
      </c>
      <c r="G22" s="17">
        <v>6.4155299999999998E-2</v>
      </c>
      <c r="H22" s="15"/>
      <c r="I22" s="15"/>
      <c r="J22" s="15"/>
      <c r="K22" s="15"/>
      <c r="L22" s="16">
        <v>8426</v>
      </c>
      <c r="M22" s="17">
        <v>7.2294499999999998E-2</v>
      </c>
    </row>
    <row r="23" spans="1:13" ht="13">
      <c r="A23" s="12" t="s">
        <v>62</v>
      </c>
      <c r="B23" s="16">
        <v>5578</v>
      </c>
      <c r="C23" s="17">
        <v>5.7976100000000003E-2</v>
      </c>
      <c r="D23" s="15"/>
      <c r="E23" s="15"/>
      <c r="F23" s="16">
        <v>8133</v>
      </c>
      <c r="G23" s="17">
        <v>6.3483999999999999E-2</v>
      </c>
      <c r="H23" s="15"/>
      <c r="I23" s="15"/>
      <c r="J23" s="15"/>
      <c r="K23" s="15"/>
      <c r="L23" s="16">
        <v>8336</v>
      </c>
      <c r="M23" s="17">
        <v>7.1522299999999997E-2</v>
      </c>
    </row>
    <row r="24" spans="1:13" ht="13">
      <c r="A24" s="12" t="s">
        <v>63</v>
      </c>
      <c r="B24" s="16">
        <v>4653</v>
      </c>
      <c r="C24" s="17">
        <v>4.8362000000000002E-2</v>
      </c>
      <c r="D24" s="15"/>
      <c r="E24" s="15"/>
      <c r="F24" s="16">
        <v>7179</v>
      </c>
      <c r="G24" s="17">
        <v>5.6037299999999998E-2</v>
      </c>
      <c r="H24" s="15"/>
      <c r="I24" s="15"/>
      <c r="J24" s="15"/>
      <c r="K24" s="15"/>
      <c r="L24" s="16">
        <v>6876</v>
      </c>
      <c r="M24" s="17">
        <v>5.8995600000000002E-2</v>
      </c>
    </row>
    <row r="25" spans="1:13" ht="13">
      <c r="A25" s="12" t="s">
        <v>64</v>
      </c>
      <c r="B25" s="16">
        <v>4607</v>
      </c>
      <c r="C25" s="17">
        <v>4.7883799999999997E-2</v>
      </c>
      <c r="D25" s="15"/>
      <c r="E25" s="15"/>
      <c r="F25" s="16">
        <v>6451</v>
      </c>
      <c r="G25" s="17">
        <v>5.0354799999999998E-2</v>
      </c>
      <c r="H25" s="15"/>
      <c r="I25" s="15"/>
      <c r="J25" s="15"/>
      <c r="K25" s="15"/>
      <c r="L25" s="16">
        <v>6616</v>
      </c>
      <c r="M25" s="17">
        <v>5.6764799999999997E-2</v>
      </c>
    </row>
    <row r="26" spans="1:13" ht="13">
      <c r="A26" s="12" t="s">
        <v>65</v>
      </c>
      <c r="B26" s="16">
        <v>4858</v>
      </c>
      <c r="C26" s="17">
        <v>5.0492700000000001E-2</v>
      </c>
      <c r="D26" s="15"/>
      <c r="E26" s="15"/>
      <c r="F26" s="16">
        <v>6982</v>
      </c>
      <c r="G26" s="17">
        <v>5.4499600000000002E-2</v>
      </c>
      <c r="H26" s="15"/>
      <c r="I26" s="15"/>
      <c r="J26" s="15"/>
      <c r="K26" s="15"/>
      <c r="L26" s="16">
        <v>7122</v>
      </c>
      <c r="M26" s="17">
        <v>6.1106300000000002E-2</v>
      </c>
    </row>
    <row r="27" spans="1:13" ht="13">
      <c r="A27" s="12" t="s">
        <v>66</v>
      </c>
      <c r="B27" s="16">
        <v>5210</v>
      </c>
      <c r="C27" s="17">
        <v>5.4151199999999997E-2</v>
      </c>
      <c r="D27" s="15"/>
      <c r="E27" s="15"/>
      <c r="F27" s="16">
        <v>7652</v>
      </c>
      <c r="G27" s="17">
        <v>5.9729499999999998E-2</v>
      </c>
      <c r="H27" s="15"/>
      <c r="I27" s="15"/>
      <c r="J27" s="15"/>
      <c r="K27" s="15"/>
      <c r="L27" s="16">
        <v>7690</v>
      </c>
      <c r="M27" s="17">
        <v>6.5979700000000002E-2</v>
      </c>
    </row>
    <row r="28" spans="1:13" ht="13">
      <c r="A28" s="12" t="s">
        <v>67</v>
      </c>
      <c r="B28" s="16">
        <v>6457</v>
      </c>
      <c r="C28" s="17">
        <v>6.7112199999999997E-2</v>
      </c>
      <c r="D28" s="15"/>
      <c r="E28" s="15"/>
      <c r="F28" s="16">
        <v>7517</v>
      </c>
      <c r="G28" s="17">
        <v>5.8675699999999997E-2</v>
      </c>
      <c r="H28" s="15"/>
      <c r="I28" s="15"/>
      <c r="J28" s="15"/>
      <c r="K28" s="15"/>
      <c r="L28" s="16">
        <v>7455</v>
      </c>
      <c r="M28" s="17">
        <v>6.3963400000000004E-2</v>
      </c>
    </row>
    <row r="29" spans="1:13" ht="13">
      <c r="A29" s="12" t="s">
        <v>68</v>
      </c>
      <c r="B29" s="16">
        <v>6371</v>
      </c>
      <c r="C29" s="17">
        <v>6.6218399999999997E-2</v>
      </c>
      <c r="D29" s="15"/>
      <c r="E29" s="15"/>
      <c r="F29" s="16">
        <v>7614</v>
      </c>
      <c r="G29" s="17">
        <v>5.9432800000000001E-2</v>
      </c>
      <c r="H29" s="15"/>
      <c r="I29" s="15"/>
      <c r="J29" s="15"/>
      <c r="K29" s="15"/>
      <c r="L29" s="16">
        <v>2494</v>
      </c>
      <c r="M29" s="17">
        <v>2.1398400000000001E-2</v>
      </c>
    </row>
    <row r="30" spans="1:13" ht="13">
      <c r="A30" s="12" t="s">
        <v>69</v>
      </c>
      <c r="B30" s="16">
        <v>5593</v>
      </c>
      <c r="C30" s="17">
        <v>5.8132000000000003E-2</v>
      </c>
      <c r="D30" s="15"/>
      <c r="E30" s="15"/>
      <c r="F30" s="16">
        <v>6359</v>
      </c>
      <c r="G30" s="17">
        <v>4.9636600000000003E-2</v>
      </c>
      <c r="H30" s="15"/>
      <c r="I30" s="15"/>
      <c r="J30" s="15"/>
      <c r="K30" s="15"/>
      <c r="L30" s="16">
        <v>1</v>
      </c>
      <c r="M30" s="17">
        <v>8.6000000000000007E-6</v>
      </c>
    </row>
    <row r="31" spans="1:13" ht="13">
      <c r="A31" s="12" t="s">
        <v>70</v>
      </c>
      <c r="B31" s="16">
        <v>989</v>
      </c>
      <c r="C31" s="17">
        <v>1.0279399999999999E-2</v>
      </c>
      <c r="D31" s="15"/>
      <c r="E31" s="15"/>
      <c r="F31" s="16">
        <v>829</v>
      </c>
      <c r="G31" s="17">
        <v>6.4710000000000002E-3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96212</v>
      </c>
      <c r="C32" s="20">
        <v>1</v>
      </c>
      <c r="D32" s="19">
        <v>2324</v>
      </c>
      <c r="E32" s="20">
        <v>0.99999990000000005</v>
      </c>
      <c r="F32" s="19">
        <v>128111</v>
      </c>
      <c r="G32" s="20">
        <v>1</v>
      </c>
      <c r="H32" s="19">
        <v>7875</v>
      </c>
      <c r="I32" s="20">
        <v>1</v>
      </c>
      <c r="J32" s="19">
        <v>15689</v>
      </c>
      <c r="K32" s="20">
        <v>1.0000001000000001</v>
      </c>
      <c r="L32" s="19">
        <v>116551</v>
      </c>
      <c r="M32" s="20">
        <v>0.99999979999999999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>
      <selection activeCell="H2" sqref="H2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161</v>
      </c>
      <c r="I1" s="6"/>
      <c r="J1" s="6"/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36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71</v>
      </c>
      <c r="B12" s="37" t="s">
        <v>26</v>
      </c>
      <c r="C12" s="38"/>
      <c r="D12" s="37" t="s">
        <v>27</v>
      </c>
      <c r="E12" s="38"/>
      <c r="F12" s="39" t="s">
        <v>72</v>
      </c>
      <c r="G12" s="38"/>
      <c r="H12" s="37" t="s">
        <v>29</v>
      </c>
      <c r="I12" s="38"/>
      <c r="J12" s="37" t="s">
        <v>30</v>
      </c>
      <c r="K12" s="38"/>
      <c r="L12" s="39" t="s">
        <v>73</v>
      </c>
      <c r="M12" s="38"/>
    </row>
    <row r="13" spans="1:13" ht="12.5">
      <c r="A13" s="28"/>
      <c r="B13" s="13" t="s">
        <v>74</v>
      </c>
      <c r="C13" s="13" t="s">
        <v>52</v>
      </c>
      <c r="D13" s="13" t="s">
        <v>74</v>
      </c>
      <c r="E13" s="13" t="s">
        <v>52</v>
      </c>
      <c r="F13" s="13" t="s">
        <v>74</v>
      </c>
      <c r="G13" s="13" t="s">
        <v>52</v>
      </c>
      <c r="H13" s="13" t="s">
        <v>74</v>
      </c>
      <c r="I13" s="13" t="s">
        <v>52</v>
      </c>
      <c r="J13" s="13" t="s">
        <v>74</v>
      </c>
      <c r="K13" s="13" t="s">
        <v>52</v>
      </c>
      <c r="L13" s="13" t="s">
        <v>74</v>
      </c>
      <c r="M13" s="13" t="s">
        <v>52</v>
      </c>
    </row>
    <row r="14" spans="1:13" ht="13">
      <c r="A14" s="11" t="s">
        <v>15</v>
      </c>
      <c r="B14" s="16">
        <v>415</v>
      </c>
      <c r="C14" s="17">
        <v>0.16897390000000001</v>
      </c>
      <c r="D14" s="16">
        <v>68</v>
      </c>
      <c r="E14" s="17">
        <v>0.11165849999999999</v>
      </c>
      <c r="F14" s="16">
        <v>2053</v>
      </c>
      <c r="G14" s="17">
        <v>0.4167681688997158</v>
      </c>
      <c r="H14" s="16">
        <v>1041</v>
      </c>
      <c r="I14" s="17">
        <v>0.17338439999999999</v>
      </c>
      <c r="J14" s="16">
        <v>7173</v>
      </c>
      <c r="K14" s="17">
        <v>0.13667019999999999</v>
      </c>
      <c r="L14" s="16">
        <v>1002</v>
      </c>
      <c r="M14" s="17">
        <v>0.1661416017244238</v>
      </c>
    </row>
    <row r="15" spans="1:13" ht="13">
      <c r="A15" s="12" t="s">
        <v>16</v>
      </c>
      <c r="B15" s="16">
        <v>41</v>
      </c>
      <c r="C15" s="17">
        <v>1.6693800000000002E-2</v>
      </c>
      <c r="D15" s="16">
        <v>13</v>
      </c>
      <c r="E15" s="17">
        <v>2.1346500000000001E-2</v>
      </c>
      <c r="F15" s="16">
        <v>109</v>
      </c>
      <c r="G15" s="17">
        <v>2.2127486804709703E-2</v>
      </c>
      <c r="H15" s="16">
        <v>59</v>
      </c>
      <c r="I15" s="17">
        <v>9.8268000000000001E-3</v>
      </c>
      <c r="J15" s="16">
        <v>1864</v>
      </c>
      <c r="K15" s="17">
        <v>3.5515600000000001E-2</v>
      </c>
      <c r="L15" s="16">
        <v>125</v>
      </c>
      <c r="M15" s="17">
        <v>2.072624772011275E-2</v>
      </c>
    </row>
    <row r="16" spans="1:13" ht="13">
      <c r="A16" s="12" t="s">
        <v>17</v>
      </c>
      <c r="B16" s="16">
        <v>342</v>
      </c>
      <c r="C16" s="17">
        <v>0.13925080000000001</v>
      </c>
      <c r="D16" s="16">
        <v>89</v>
      </c>
      <c r="E16" s="17">
        <v>0.1461412</v>
      </c>
      <c r="F16" s="16">
        <v>1298</v>
      </c>
      <c r="G16" s="17">
        <v>0.26349979699553383</v>
      </c>
      <c r="H16" s="16">
        <v>714</v>
      </c>
      <c r="I16" s="17">
        <v>0.1189207</v>
      </c>
      <c r="J16" s="16">
        <v>3308</v>
      </c>
      <c r="K16" s="17">
        <v>6.3028699999999993E-2</v>
      </c>
      <c r="L16" s="16">
        <v>1692</v>
      </c>
      <c r="M16" s="17">
        <v>0.28055048913944619</v>
      </c>
    </row>
    <row r="17" spans="1:13" ht="13">
      <c r="A17" s="12" t="s">
        <v>18</v>
      </c>
      <c r="B17" s="16">
        <v>82</v>
      </c>
      <c r="C17" s="17">
        <v>3.3387600000000003E-2</v>
      </c>
      <c r="D17" s="16">
        <v>47</v>
      </c>
      <c r="E17" s="17">
        <v>7.71757E-2</v>
      </c>
      <c r="F17" s="16">
        <v>270</v>
      </c>
      <c r="G17" s="17">
        <v>5.4811205846528627E-2</v>
      </c>
      <c r="H17" s="16">
        <v>1215</v>
      </c>
      <c r="I17" s="17">
        <v>0.20236509999999999</v>
      </c>
      <c r="J17" s="16">
        <v>7882</v>
      </c>
      <c r="K17" s="17">
        <v>0.15017910000000001</v>
      </c>
      <c r="L17" s="16">
        <v>405</v>
      </c>
      <c r="M17" s="17">
        <v>6.715304261316532E-2</v>
      </c>
    </row>
    <row r="18" spans="1:13" ht="13">
      <c r="A18" s="12" t="s">
        <v>19</v>
      </c>
      <c r="B18" s="16">
        <v>1358</v>
      </c>
      <c r="C18" s="17">
        <v>0.55293159999999997</v>
      </c>
      <c r="D18" s="16">
        <v>320</v>
      </c>
      <c r="E18" s="17">
        <v>0.52545160000000002</v>
      </c>
      <c r="F18" s="16">
        <v>283</v>
      </c>
      <c r="G18" s="17">
        <v>5.7450263905805925E-2</v>
      </c>
      <c r="H18" s="16">
        <v>2114</v>
      </c>
      <c r="I18" s="17">
        <v>0.35209859999999998</v>
      </c>
      <c r="J18" s="16">
        <v>22834</v>
      </c>
      <c r="K18" s="17">
        <v>0.43506590000000001</v>
      </c>
      <c r="L18" s="16">
        <v>1298</v>
      </c>
      <c r="M18" s="17">
        <v>0.21522135632565081</v>
      </c>
    </row>
    <row r="19" spans="1:13" ht="13">
      <c r="A19" s="12" t="s">
        <v>20</v>
      </c>
      <c r="B19" s="16">
        <v>29</v>
      </c>
      <c r="C19" s="17">
        <v>1.18078E-2</v>
      </c>
      <c r="D19" s="16">
        <v>1</v>
      </c>
      <c r="E19" s="17">
        <v>1.642E-3</v>
      </c>
      <c r="F19" s="16">
        <v>738</v>
      </c>
      <c r="G19" s="17">
        <v>0.14981729598051158</v>
      </c>
      <c r="H19" s="16">
        <v>34</v>
      </c>
      <c r="I19" s="17">
        <v>5.6629000000000002E-3</v>
      </c>
      <c r="J19" s="16">
        <v>434</v>
      </c>
      <c r="K19" s="17">
        <v>8.2692000000000009E-3</v>
      </c>
      <c r="L19" s="16">
        <v>1236</v>
      </c>
      <c r="M19" s="17">
        <v>0.20494113745647488</v>
      </c>
    </row>
    <row r="20" spans="1:13" ht="13">
      <c r="A20" s="12" t="s">
        <v>21</v>
      </c>
      <c r="B20" s="16">
        <v>158</v>
      </c>
      <c r="C20" s="17">
        <v>6.4332200000000006E-2</v>
      </c>
      <c r="D20" s="16">
        <v>68</v>
      </c>
      <c r="E20" s="17">
        <v>0.11165849999999999</v>
      </c>
      <c r="F20" s="16">
        <v>2</v>
      </c>
      <c r="G20" s="17">
        <v>4.0600893219650832E-4</v>
      </c>
      <c r="H20" s="16">
        <v>806</v>
      </c>
      <c r="I20" s="17">
        <v>0.1342438</v>
      </c>
      <c r="J20" s="16">
        <v>8196</v>
      </c>
      <c r="K20" s="17">
        <v>0.15616189999999999</v>
      </c>
      <c r="L20" s="16">
        <v>0</v>
      </c>
      <c r="M20" s="17"/>
    </row>
    <row r="21" spans="1:13" ht="13">
      <c r="A21" s="12" t="s">
        <v>22</v>
      </c>
      <c r="B21" s="16">
        <v>28</v>
      </c>
      <c r="C21" s="17">
        <v>1.14007E-2</v>
      </c>
      <c r="D21" s="16">
        <v>3</v>
      </c>
      <c r="E21" s="17">
        <v>4.9261000000000001E-3</v>
      </c>
      <c r="F21" s="16">
        <v>1</v>
      </c>
      <c r="G21" s="17">
        <v>2.0300446609825416E-4</v>
      </c>
      <c r="H21" s="16">
        <v>9</v>
      </c>
      <c r="I21" s="17">
        <v>1.4989999999999999E-3</v>
      </c>
      <c r="J21" s="16">
        <v>776</v>
      </c>
      <c r="K21" s="17">
        <v>1.47855E-2</v>
      </c>
      <c r="L21" s="16">
        <v>0</v>
      </c>
      <c r="M21" s="17"/>
    </row>
    <row r="22" spans="1:13" ht="13">
      <c r="A22" s="12" t="s">
        <v>23</v>
      </c>
      <c r="B22" s="16">
        <v>3</v>
      </c>
      <c r="C22" s="17">
        <v>1.2214999999999999E-3</v>
      </c>
      <c r="D22" s="21" t="s">
        <v>38</v>
      </c>
      <c r="E22" s="15"/>
      <c r="F22" s="16">
        <v>172</v>
      </c>
      <c r="G22" s="17">
        <v>3.4916768168899714E-2</v>
      </c>
      <c r="H22" s="16">
        <v>12</v>
      </c>
      <c r="I22" s="17">
        <v>1.9987E-3</v>
      </c>
      <c r="J22" s="16">
        <v>17</v>
      </c>
      <c r="K22" s="17">
        <v>3.2390000000000001E-4</v>
      </c>
      <c r="L22" s="16">
        <v>273</v>
      </c>
      <c r="M22" s="17">
        <v>4.5266125020726244E-2</v>
      </c>
    </row>
    <row r="23" spans="1:13" ht="13">
      <c r="A23" s="18" t="s">
        <v>32</v>
      </c>
      <c r="B23" s="19">
        <v>2456</v>
      </c>
      <c r="C23" s="20">
        <v>1</v>
      </c>
      <c r="D23" s="19">
        <v>609</v>
      </c>
      <c r="E23" s="20">
        <v>1</v>
      </c>
      <c r="F23" s="19">
        <v>4926</v>
      </c>
      <c r="G23" s="20">
        <v>1</v>
      </c>
      <c r="H23" s="19">
        <v>6004</v>
      </c>
      <c r="I23" s="20">
        <v>1</v>
      </c>
      <c r="J23" s="19">
        <v>52484</v>
      </c>
      <c r="K23" s="20">
        <v>1</v>
      </c>
      <c r="L23" s="19">
        <v>6031</v>
      </c>
      <c r="M23" s="20">
        <v>1</v>
      </c>
    </row>
    <row r="24" spans="1:13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3">
      <c r="A25" s="68" t="s">
        <v>75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3">
      <c r="A26" s="69" t="s">
        <v>160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zoomScaleNormal="100" workbookViewId="0">
      <selection activeCell="H2" sqref="H2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18" width="8.1796875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163</v>
      </c>
      <c r="I1" s="6"/>
      <c r="J1" s="6"/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2.5">
      <c r="A11" s="36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67" t="s">
        <v>76</v>
      </c>
      <c r="B12" s="28"/>
      <c r="C12" s="28"/>
      <c r="D12" s="28"/>
      <c r="E12" s="28"/>
      <c r="F12" s="28"/>
      <c r="G12" s="37" t="s">
        <v>26</v>
      </c>
      <c r="H12" s="38"/>
      <c r="I12" s="37" t="s">
        <v>27</v>
      </c>
      <c r="J12" s="38"/>
      <c r="K12" s="39" t="s">
        <v>77</v>
      </c>
      <c r="L12" s="38"/>
      <c r="M12" s="37" t="s">
        <v>29</v>
      </c>
      <c r="N12" s="38"/>
      <c r="O12" s="37" t="s">
        <v>30</v>
      </c>
      <c r="P12" s="38"/>
      <c r="Q12" s="39" t="s">
        <v>78</v>
      </c>
      <c r="R12" s="38"/>
    </row>
    <row r="13" spans="1:18" ht="12.5">
      <c r="A13" s="28"/>
      <c r="B13" s="28"/>
      <c r="C13" s="28"/>
      <c r="D13" s="28"/>
      <c r="E13" s="28"/>
      <c r="F13" s="28"/>
      <c r="G13" s="13" t="s">
        <v>74</v>
      </c>
      <c r="H13" s="13" t="s">
        <v>52</v>
      </c>
      <c r="I13" s="13" t="s">
        <v>74</v>
      </c>
      <c r="J13" s="13" t="s">
        <v>52</v>
      </c>
      <c r="K13" s="13" t="s">
        <v>74</v>
      </c>
      <c r="L13" s="13" t="s">
        <v>52</v>
      </c>
      <c r="M13" s="13" t="s">
        <v>74</v>
      </c>
      <c r="N13" s="13" t="s">
        <v>52</v>
      </c>
      <c r="O13" s="13" t="s">
        <v>74</v>
      </c>
      <c r="P13" s="13" t="s">
        <v>52</v>
      </c>
      <c r="Q13" s="13" t="s">
        <v>74</v>
      </c>
      <c r="R13" s="13" t="s">
        <v>52</v>
      </c>
    </row>
    <row r="14" spans="1:18" ht="12.5">
      <c r="A14" s="22" t="s">
        <v>15</v>
      </c>
      <c r="B14" s="14"/>
      <c r="C14" s="70" t="s">
        <v>79</v>
      </c>
      <c r="D14" s="71"/>
      <c r="E14" s="71"/>
      <c r="F14" s="38"/>
      <c r="G14" s="23">
        <v>415</v>
      </c>
      <c r="H14" s="24">
        <v>0.16897390000000001</v>
      </c>
      <c r="I14" s="23">
        <v>68</v>
      </c>
      <c r="J14" s="24">
        <v>0.11165849999999999</v>
      </c>
      <c r="K14" s="23">
        <v>2053</v>
      </c>
      <c r="L14" s="24">
        <v>0.4167681688997158</v>
      </c>
      <c r="M14" s="23">
        <v>1041</v>
      </c>
      <c r="N14" s="24">
        <v>0.17338439999999999</v>
      </c>
      <c r="O14" s="23">
        <v>7173</v>
      </c>
      <c r="P14" s="24">
        <v>0.13667019999999999</v>
      </c>
      <c r="Q14" s="23">
        <v>1002</v>
      </c>
      <c r="R14" s="24">
        <v>0.1661416017244238</v>
      </c>
    </row>
    <row r="15" spans="1:18" ht="12.5">
      <c r="A15" s="25" t="s">
        <v>16</v>
      </c>
      <c r="B15" s="26" t="s">
        <v>80</v>
      </c>
      <c r="C15" s="72" t="s">
        <v>81</v>
      </c>
      <c r="D15" s="46"/>
      <c r="E15" s="46"/>
      <c r="F15" s="47"/>
      <c r="G15" s="23">
        <v>41</v>
      </c>
      <c r="H15" s="24">
        <v>1.6693800000000002E-2</v>
      </c>
      <c r="I15" s="23">
        <v>13</v>
      </c>
      <c r="J15" s="24">
        <v>2.1346500000000001E-2</v>
      </c>
      <c r="K15" s="23">
        <v>109</v>
      </c>
      <c r="L15" s="24">
        <v>2.2127486804709703E-2</v>
      </c>
      <c r="M15" s="23">
        <v>59</v>
      </c>
      <c r="N15" s="24">
        <v>9.8268000000000001E-3</v>
      </c>
      <c r="O15" s="23">
        <v>1864</v>
      </c>
      <c r="P15" s="24">
        <v>3.5515600000000001E-2</v>
      </c>
      <c r="Q15" s="23">
        <v>125</v>
      </c>
      <c r="R15" s="24">
        <v>2.072624772011275E-2</v>
      </c>
    </row>
    <row r="16" spans="1:18" ht="12.5">
      <c r="A16" s="73" t="s">
        <v>17</v>
      </c>
      <c r="B16" s="26" t="s">
        <v>82</v>
      </c>
      <c r="C16" s="72" t="s">
        <v>83</v>
      </c>
      <c r="D16" s="46"/>
      <c r="E16" s="46"/>
      <c r="F16" s="47"/>
      <c r="G16" s="27" t="s">
        <v>38</v>
      </c>
      <c r="H16" s="15"/>
      <c r="I16" s="23">
        <v>2</v>
      </c>
      <c r="J16" s="24">
        <v>3.2840999999999999E-3</v>
      </c>
      <c r="K16" s="23">
        <v>306</v>
      </c>
      <c r="L16" s="24">
        <v>6.2119366626065771E-2</v>
      </c>
      <c r="M16" s="23">
        <v>4</v>
      </c>
      <c r="N16" s="24">
        <v>6.6620000000000004E-4</v>
      </c>
      <c r="O16" s="23">
        <v>2</v>
      </c>
      <c r="P16" s="24">
        <v>3.8099999999999998E-5</v>
      </c>
      <c r="Q16" s="23">
        <v>201</v>
      </c>
      <c r="R16" s="24">
        <v>3.3327806333941307E-2</v>
      </c>
    </row>
    <row r="17" spans="1:18" ht="12.5">
      <c r="A17" s="74"/>
      <c r="B17" s="26" t="s">
        <v>84</v>
      </c>
      <c r="C17" s="72" t="s">
        <v>85</v>
      </c>
      <c r="D17" s="46"/>
      <c r="E17" s="46"/>
      <c r="F17" s="47"/>
      <c r="G17" s="23">
        <v>114</v>
      </c>
      <c r="H17" s="24">
        <v>4.6416899999999997E-2</v>
      </c>
      <c r="I17" s="23">
        <v>6</v>
      </c>
      <c r="J17" s="24">
        <v>9.8522000000000002E-3</v>
      </c>
      <c r="K17" s="23">
        <v>0</v>
      </c>
      <c r="L17" s="24"/>
      <c r="M17" s="23">
        <v>16</v>
      </c>
      <c r="N17" s="24">
        <v>2.6649E-3</v>
      </c>
      <c r="O17" s="23">
        <v>35</v>
      </c>
      <c r="P17" s="24">
        <v>6.669E-4</v>
      </c>
      <c r="Q17" s="23">
        <v>126</v>
      </c>
      <c r="R17" s="24">
        <v>2.0892057701873652E-2</v>
      </c>
    </row>
    <row r="18" spans="1:18" ht="12.5">
      <c r="A18" s="74"/>
      <c r="B18" s="26" t="s">
        <v>86</v>
      </c>
      <c r="C18" s="72" t="s">
        <v>87</v>
      </c>
      <c r="D18" s="46"/>
      <c r="E18" s="46"/>
      <c r="F18" s="47"/>
      <c r="G18" s="23">
        <v>5</v>
      </c>
      <c r="H18" s="24">
        <v>2.0357999999999999E-3</v>
      </c>
      <c r="I18" s="23">
        <v>4</v>
      </c>
      <c r="J18" s="24">
        <v>6.5681000000000003E-3</v>
      </c>
      <c r="K18" s="23">
        <v>36</v>
      </c>
      <c r="L18" s="24">
        <v>7.3081607795371494E-3</v>
      </c>
      <c r="M18" s="23">
        <v>3</v>
      </c>
      <c r="N18" s="24">
        <v>4.9969999999999995E-4</v>
      </c>
      <c r="O18" s="23">
        <v>1217</v>
      </c>
      <c r="P18" s="24">
        <v>2.3188E-2</v>
      </c>
      <c r="Q18" s="23">
        <v>178</v>
      </c>
      <c r="R18" s="24">
        <v>2.9514176753440556E-2</v>
      </c>
    </row>
    <row r="19" spans="1:18" ht="12.5">
      <c r="A19" s="74"/>
      <c r="B19" s="26" t="s">
        <v>88</v>
      </c>
      <c r="C19" s="72" t="s">
        <v>89</v>
      </c>
      <c r="D19" s="46"/>
      <c r="E19" s="46"/>
      <c r="F19" s="47"/>
      <c r="G19" s="23">
        <v>12</v>
      </c>
      <c r="H19" s="24">
        <v>4.8859999999999997E-3</v>
      </c>
      <c r="I19" s="23">
        <v>11</v>
      </c>
      <c r="J19" s="24">
        <v>1.8062399999999999E-2</v>
      </c>
      <c r="K19" s="23">
        <v>5</v>
      </c>
      <c r="L19" s="24">
        <v>1.0150223304912708E-3</v>
      </c>
      <c r="M19" s="27" t="s">
        <v>38</v>
      </c>
      <c r="N19" s="15"/>
      <c r="O19" s="27" t="s">
        <v>38</v>
      </c>
      <c r="P19" s="15"/>
      <c r="Q19" s="23">
        <v>40</v>
      </c>
      <c r="R19" s="24">
        <v>6.6323992704360804E-3</v>
      </c>
    </row>
    <row r="20" spans="1:18" ht="12.5">
      <c r="A20" s="74"/>
      <c r="B20" s="26" t="s">
        <v>90</v>
      </c>
      <c r="C20" s="72" t="s">
        <v>91</v>
      </c>
      <c r="D20" s="46"/>
      <c r="E20" s="46"/>
      <c r="F20" s="47"/>
      <c r="G20" s="23">
        <v>4</v>
      </c>
      <c r="H20" s="24">
        <v>1.6287000000000001E-3</v>
      </c>
      <c r="I20" s="27" t="s">
        <v>38</v>
      </c>
      <c r="J20" s="15"/>
      <c r="K20" s="23">
        <v>4</v>
      </c>
      <c r="L20" s="24">
        <v>8.1201786439301664E-4</v>
      </c>
      <c r="M20" s="23">
        <v>1</v>
      </c>
      <c r="N20" s="24">
        <v>1.6660000000000001E-4</v>
      </c>
      <c r="O20" s="27" t="s">
        <v>38</v>
      </c>
      <c r="P20" s="15"/>
      <c r="Q20" s="23">
        <v>11</v>
      </c>
      <c r="R20" s="24">
        <v>1.8239097993699221E-3</v>
      </c>
    </row>
    <row r="21" spans="1:18" ht="12.5">
      <c r="A21" s="74"/>
      <c r="B21" s="26" t="s">
        <v>92</v>
      </c>
      <c r="C21" s="72" t="s">
        <v>93</v>
      </c>
      <c r="D21" s="46"/>
      <c r="E21" s="46"/>
      <c r="F21" s="47"/>
      <c r="G21" s="23">
        <v>32</v>
      </c>
      <c r="H21" s="24">
        <v>1.3029300000000001E-2</v>
      </c>
      <c r="I21" s="23">
        <v>4</v>
      </c>
      <c r="J21" s="24">
        <v>6.5681000000000003E-3</v>
      </c>
      <c r="K21" s="23">
        <v>113</v>
      </c>
      <c r="L21" s="24">
        <v>2.2939504669102721E-2</v>
      </c>
      <c r="M21" s="27" t="s">
        <v>38</v>
      </c>
      <c r="N21" s="15"/>
      <c r="O21" s="27" t="s">
        <v>38</v>
      </c>
      <c r="P21" s="15"/>
      <c r="Q21" s="23">
        <v>207</v>
      </c>
      <c r="R21" s="24">
        <v>3.4322666224506714E-2</v>
      </c>
    </row>
    <row r="22" spans="1:18" ht="12.5">
      <c r="A22" s="74"/>
      <c r="B22" s="26" t="s">
        <v>94</v>
      </c>
      <c r="C22" s="72" t="s">
        <v>95</v>
      </c>
      <c r="D22" s="46"/>
      <c r="E22" s="46"/>
      <c r="F22" s="47"/>
      <c r="G22" s="23">
        <v>1</v>
      </c>
      <c r="H22" s="24">
        <v>4.0719999999999998E-4</v>
      </c>
      <c r="I22" s="27" t="s">
        <v>38</v>
      </c>
      <c r="J22" s="15"/>
      <c r="K22" s="23">
        <v>0</v>
      </c>
      <c r="L22" s="24"/>
      <c r="M22" s="23">
        <v>17</v>
      </c>
      <c r="N22" s="24">
        <v>2.8314E-3</v>
      </c>
      <c r="O22" s="23">
        <v>61</v>
      </c>
      <c r="P22" s="24">
        <v>1.1623E-3</v>
      </c>
      <c r="Q22" s="23">
        <v>0</v>
      </c>
      <c r="R22" s="24"/>
    </row>
    <row r="23" spans="1:18" ht="12.5">
      <c r="A23" s="74"/>
      <c r="B23" s="26" t="s">
        <v>96</v>
      </c>
      <c r="C23" s="72" t="s">
        <v>97</v>
      </c>
      <c r="D23" s="46"/>
      <c r="E23" s="46"/>
      <c r="F23" s="47"/>
      <c r="G23" s="23">
        <v>158</v>
      </c>
      <c r="H23" s="24">
        <v>6.4332200000000006E-2</v>
      </c>
      <c r="I23" s="23">
        <v>62</v>
      </c>
      <c r="J23" s="24">
        <v>0.1018062</v>
      </c>
      <c r="K23" s="23">
        <v>795</v>
      </c>
      <c r="L23" s="24">
        <v>0.16138855054811205</v>
      </c>
      <c r="M23" s="23">
        <v>672</v>
      </c>
      <c r="N23" s="24">
        <v>0.11192539999999999</v>
      </c>
      <c r="O23" s="23">
        <v>1989</v>
      </c>
      <c r="P23" s="24">
        <v>3.7897300000000002E-2</v>
      </c>
      <c r="Q23" s="23">
        <v>929</v>
      </c>
      <c r="R23" s="24">
        <v>0.15403747305587798</v>
      </c>
    </row>
    <row r="24" spans="1:18" ht="12.5">
      <c r="A24" s="75"/>
      <c r="B24" s="26" t="s">
        <v>98</v>
      </c>
      <c r="C24" s="72" t="s">
        <v>99</v>
      </c>
      <c r="D24" s="46"/>
      <c r="E24" s="46"/>
      <c r="F24" s="47"/>
      <c r="G24" s="23">
        <v>16</v>
      </c>
      <c r="H24" s="24">
        <v>6.5147E-3</v>
      </c>
      <c r="I24" s="27" t="s">
        <v>38</v>
      </c>
      <c r="J24" s="15"/>
      <c r="K24" s="23">
        <v>39</v>
      </c>
      <c r="L24" s="24">
        <v>7.9171741778319114E-3</v>
      </c>
      <c r="M24" s="23">
        <v>1</v>
      </c>
      <c r="N24" s="24">
        <v>1.6660000000000001E-4</v>
      </c>
      <c r="O24" s="23">
        <v>4</v>
      </c>
      <c r="P24" s="24">
        <v>7.6199999999999995E-5</v>
      </c>
      <c r="Q24" s="23">
        <v>0</v>
      </c>
      <c r="R24" s="24"/>
    </row>
    <row r="25" spans="1:18" ht="12.5">
      <c r="A25" s="73" t="s">
        <v>18</v>
      </c>
      <c r="B25" s="26" t="s">
        <v>100</v>
      </c>
      <c r="C25" s="72" t="s">
        <v>101</v>
      </c>
      <c r="D25" s="46"/>
      <c r="E25" s="46"/>
      <c r="F25" s="47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20</v>
      </c>
      <c r="P25" s="24">
        <v>3.8109999999999999E-4</v>
      </c>
      <c r="Q25" s="23">
        <v>0</v>
      </c>
      <c r="R25" s="24"/>
    </row>
    <row r="26" spans="1:18" ht="12.5">
      <c r="A26" s="74"/>
      <c r="B26" s="26" t="s">
        <v>102</v>
      </c>
      <c r="C26" s="72" t="s">
        <v>103</v>
      </c>
      <c r="D26" s="46"/>
      <c r="E26" s="46"/>
      <c r="F26" s="47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712</v>
      </c>
      <c r="N26" s="24">
        <v>0.1185876</v>
      </c>
      <c r="O26" s="23">
        <v>2011</v>
      </c>
      <c r="P26" s="24">
        <v>3.83164E-2</v>
      </c>
      <c r="Q26" s="23">
        <v>0</v>
      </c>
      <c r="R26" s="24"/>
    </row>
    <row r="27" spans="1:18" ht="12.5">
      <c r="A27" s="74"/>
      <c r="B27" s="26" t="s">
        <v>104</v>
      </c>
      <c r="C27" s="72" t="s">
        <v>105</v>
      </c>
      <c r="D27" s="46"/>
      <c r="E27" s="46"/>
      <c r="F27" s="47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31</v>
      </c>
      <c r="N27" s="24">
        <v>5.1631999999999997E-3</v>
      </c>
      <c r="O27" s="23">
        <v>889</v>
      </c>
      <c r="P27" s="24">
        <v>1.6938499999999999E-2</v>
      </c>
      <c r="Q27" s="23">
        <v>0</v>
      </c>
      <c r="R27" s="24"/>
    </row>
    <row r="28" spans="1:18" ht="12.5">
      <c r="A28" s="74"/>
      <c r="B28" s="26" t="s">
        <v>106</v>
      </c>
      <c r="C28" s="72" t="s">
        <v>107</v>
      </c>
      <c r="D28" s="46"/>
      <c r="E28" s="46"/>
      <c r="F28" s="47"/>
      <c r="G28" s="23">
        <v>2</v>
      </c>
      <c r="H28" s="24">
        <v>8.1430000000000001E-4</v>
      </c>
      <c r="I28" s="27" t="s">
        <v>38</v>
      </c>
      <c r="J28" s="15"/>
      <c r="K28" s="23">
        <v>23</v>
      </c>
      <c r="L28" s="24">
        <v>4.6691027202598453E-3</v>
      </c>
      <c r="M28" s="23">
        <v>17</v>
      </c>
      <c r="N28" s="24">
        <v>2.8314E-3</v>
      </c>
      <c r="O28" s="23">
        <v>4215</v>
      </c>
      <c r="P28" s="24">
        <v>8.0310199999999998E-2</v>
      </c>
      <c r="Q28" s="23">
        <v>91</v>
      </c>
      <c r="R28" s="24">
        <v>1.5088708340242082E-2</v>
      </c>
    </row>
    <row r="29" spans="1:18" ht="12.5">
      <c r="A29" s="74"/>
      <c r="B29" s="26" t="s">
        <v>108</v>
      </c>
      <c r="C29" s="72" t="s">
        <v>109</v>
      </c>
      <c r="D29" s="46"/>
      <c r="E29" s="46"/>
      <c r="F29" s="47"/>
      <c r="G29" s="23">
        <v>4</v>
      </c>
      <c r="H29" s="24">
        <v>1.6287000000000001E-3</v>
      </c>
      <c r="I29" s="23">
        <v>5</v>
      </c>
      <c r="J29" s="24">
        <v>8.2102000000000008E-3</v>
      </c>
      <c r="K29" s="23">
        <v>163</v>
      </c>
      <c r="L29" s="24">
        <v>3.308972797401543E-2</v>
      </c>
      <c r="M29" s="27" t="s">
        <v>38</v>
      </c>
      <c r="N29" s="15"/>
      <c r="O29" s="27" t="s">
        <v>38</v>
      </c>
      <c r="P29" s="15"/>
      <c r="Q29" s="23">
        <v>187</v>
      </c>
      <c r="R29" s="24">
        <v>3.1006466589288677E-2</v>
      </c>
    </row>
    <row r="30" spans="1:18" ht="12.5">
      <c r="A30" s="74"/>
      <c r="B30" s="26" t="s">
        <v>110</v>
      </c>
      <c r="C30" s="72" t="s">
        <v>111</v>
      </c>
      <c r="D30" s="46"/>
      <c r="E30" s="46"/>
      <c r="F30" s="47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3.3310000000000002E-4</v>
      </c>
      <c r="O30" s="23">
        <v>95</v>
      </c>
      <c r="P30" s="24">
        <v>1.8101E-3</v>
      </c>
      <c r="Q30" s="23">
        <v>0</v>
      </c>
      <c r="R30" s="24"/>
    </row>
    <row r="31" spans="1:18" ht="12.5">
      <c r="A31" s="74"/>
      <c r="B31" s="26" t="s">
        <v>112</v>
      </c>
      <c r="C31" s="72" t="s">
        <v>113</v>
      </c>
      <c r="D31" s="46"/>
      <c r="E31" s="46"/>
      <c r="F31" s="47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1.3324000000000001E-3</v>
      </c>
      <c r="O31" s="27" t="s">
        <v>38</v>
      </c>
      <c r="P31" s="15"/>
      <c r="Q31" s="23">
        <v>0</v>
      </c>
      <c r="R31" s="24"/>
    </row>
    <row r="32" spans="1:18" ht="12.5">
      <c r="A32" s="74"/>
      <c r="B32" s="26" t="s">
        <v>114</v>
      </c>
      <c r="C32" s="72" t="s">
        <v>115</v>
      </c>
      <c r="D32" s="46"/>
      <c r="E32" s="46"/>
      <c r="F32" s="47"/>
      <c r="G32" s="23">
        <v>32</v>
      </c>
      <c r="H32" s="24">
        <v>1.3029300000000001E-2</v>
      </c>
      <c r="I32" s="23">
        <v>11</v>
      </c>
      <c r="J32" s="24">
        <v>1.8062399999999999E-2</v>
      </c>
      <c r="K32" s="23">
        <v>84</v>
      </c>
      <c r="L32" s="24">
        <v>1.705237515225335E-2</v>
      </c>
      <c r="M32" s="23">
        <v>53</v>
      </c>
      <c r="N32" s="24">
        <v>8.8273999999999991E-3</v>
      </c>
      <c r="O32" s="23">
        <v>82</v>
      </c>
      <c r="P32" s="24">
        <v>1.5624E-3</v>
      </c>
      <c r="Q32" s="23">
        <v>127</v>
      </c>
      <c r="R32" s="24">
        <v>2.1057867683634556E-2</v>
      </c>
    </row>
    <row r="33" spans="1:18" ht="12.5">
      <c r="A33" s="74"/>
      <c r="B33" s="26" t="s">
        <v>116</v>
      </c>
      <c r="C33" s="72" t="s">
        <v>117</v>
      </c>
      <c r="D33" s="46"/>
      <c r="E33" s="46"/>
      <c r="F33" s="47"/>
      <c r="G33" s="23">
        <v>4</v>
      </c>
      <c r="H33" s="24">
        <v>1.6287000000000001E-3</v>
      </c>
      <c r="I33" s="23">
        <v>1</v>
      </c>
      <c r="J33" s="24">
        <v>1.642E-3</v>
      </c>
      <c r="K33" s="23">
        <v>0</v>
      </c>
      <c r="L33" s="24"/>
      <c r="M33" s="23">
        <v>4</v>
      </c>
      <c r="N33" s="24">
        <v>6.6620000000000004E-4</v>
      </c>
      <c r="O33" s="23">
        <v>176</v>
      </c>
      <c r="P33" s="24">
        <v>3.3533999999999999E-3</v>
      </c>
      <c r="Q33" s="23">
        <v>0</v>
      </c>
      <c r="R33" s="24"/>
    </row>
    <row r="34" spans="1:18" ht="12.5">
      <c r="A34" s="74"/>
      <c r="B34" s="26" t="s">
        <v>118</v>
      </c>
      <c r="C34" s="72" t="s">
        <v>119</v>
      </c>
      <c r="D34" s="46"/>
      <c r="E34" s="46"/>
      <c r="F34" s="47"/>
      <c r="G34" s="23">
        <v>2</v>
      </c>
      <c r="H34" s="24">
        <v>8.1430000000000001E-4</v>
      </c>
      <c r="I34" s="23">
        <v>5</v>
      </c>
      <c r="J34" s="24">
        <v>8.2102000000000008E-3</v>
      </c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2.5">
      <c r="A35" s="74"/>
      <c r="B35" s="26" t="s">
        <v>120</v>
      </c>
      <c r="C35" s="72" t="s">
        <v>121</v>
      </c>
      <c r="D35" s="46"/>
      <c r="E35" s="46"/>
      <c r="F35" s="47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19</v>
      </c>
      <c r="P35" s="24">
        <v>3.6200000000000002E-4</v>
      </c>
      <c r="Q35" s="23">
        <v>0</v>
      </c>
      <c r="R35" s="24"/>
    </row>
    <row r="36" spans="1:18" ht="12.5">
      <c r="A36" s="75"/>
      <c r="B36" s="26" t="s">
        <v>122</v>
      </c>
      <c r="C36" s="72" t="s">
        <v>123</v>
      </c>
      <c r="D36" s="46"/>
      <c r="E36" s="46"/>
      <c r="F36" s="47"/>
      <c r="G36" s="23">
        <v>38</v>
      </c>
      <c r="H36" s="24">
        <v>1.54723E-2</v>
      </c>
      <c r="I36" s="23">
        <v>25</v>
      </c>
      <c r="J36" s="24">
        <v>4.1050900000000001E-2</v>
      </c>
      <c r="K36" s="23">
        <v>0</v>
      </c>
      <c r="L36" s="24"/>
      <c r="M36" s="23">
        <v>388</v>
      </c>
      <c r="N36" s="24">
        <v>6.4623600000000003E-2</v>
      </c>
      <c r="O36" s="23">
        <v>375</v>
      </c>
      <c r="P36" s="24">
        <v>7.1450000000000003E-3</v>
      </c>
      <c r="Q36" s="23">
        <v>0</v>
      </c>
      <c r="R36" s="24"/>
    </row>
    <row r="37" spans="1:18" ht="12.5">
      <c r="A37" s="25" t="s">
        <v>19</v>
      </c>
      <c r="B37" s="26" t="s">
        <v>124</v>
      </c>
      <c r="C37" s="72" t="s">
        <v>125</v>
      </c>
      <c r="D37" s="46"/>
      <c r="E37" s="46"/>
      <c r="F37" s="47"/>
      <c r="G37" s="23">
        <v>1358</v>
      </c>
      <c r="H37" s="24">
        <v>0.55293159999999997</v>
      </c>
      <c r="I37" s="23">
        <v>320</v>
      </c>
      <c r="J37" s="24">
        <v>0.52545160000000002</v>
      </c>
      <c r="K37" s="23">
        <v>283</v>
      </c>
      <c r="L37" s="24">
        <v>5.7450263905805925E-2</v>
      </c>
      <c r="M37" s="23">
        <v>2114</v>
      </c>
      <c r="N37" s="24">
        <v>0.35209859999999998</v>
      </c>
      <c r="O37" s="23">
        <v>22834</v>
      </c>
      <c r="P37" s="24">
        <v>0.43506590000000001</v>
      </c>
      <c r="Q37" s="23">
        <v>1298</v>
      </c>
      <c r="R37" s="24">
        <v>0.21522135632565081</v>
      </c>
    </row>
    <row r="38" spans="1:18" ht="12.5">
      <c r="A38" s="73" t="s">
        <v>20</v>
      </c>
      <c r="B38" s="26" t="s">
        <v>126</v>
      </c>
      <c r="C38" s="72" t="s">
        <v>127</v>
      </c>
      <c r="D38" s="46"/>
      <c r="E38" s="46"/>
      <c r="F38" s="47"/>
      <c r="G38" s="27" t="s">
        <v>38</v>
      </c>
      <c r="H38" s="15"/>
      <c r="I38" s="27" t="s">
        <v>38</v>
      </c>
      <c r="J38" s="15"/>
      <c r="K38" s="23">
        <v>738</v>
      </c>
      <c r="L38" s="24">
        <v>0.14981729598051158</v>
      </c>
      <c r="M38" s="27" t="s">
        <v>38</v>
      </c>
      <c r="N38" s="15"/>
      <c r="O38" s="27" t="s">
        <v>38</v>
      </c>
      <c r="P38" s="15"/>
      <c r="Q38" s="23">
        <v>1236</v>
      </c>
      <c r="R38" s="24">
        <v>0.20494113745647488</v>
      </c>
    </row>
    <row r="39" spans="1:18" ht="12.5">
      <c r="A39" s="74"/>
      <c r="B39" s="26" t="s">
        <v>128</v>
      </c>
      <c r="C39" s="72" t="s">
        <v>129</v>
      </c>
      <c r="D39" s="46"/>
      <c r="E39" s="46"/>
      <c r="F39" s="47"/>
      <c r="G39" s="23">
        <v>29</v>
      </c>
      <c r="H39" s="24">
        <v>1.18078E-2</v>
      </c>
      <c r="I39" s="23">
        <v>1</v>
      </c>
      <c r="J39" s="24">
        <v>1.642E-3</v>
      </c>
      <c r="K39" s="23">
        <v>0</v>
      </c>
      <c r="L39" s="24"/>
      <c r="M39" s="23">
        <v>34</v>
      </c>
      <c r="N39" s="24">
        <v>5.6629000000000002E-3</v>
      </c>
      <c r="O39" s="23">
        <v>70</v>
      </c>
      <c r="P39" s="24">
        <v>1.3336999999999999E-3</v>
      </c>
      <c r="Q39" s="23">
        <v>0</v>
      </c>
      <c r="R39" s="24"/>
    </row>
    <row r="40" spans="1:18" ht="12.5">
      <c r="A40" s="75"/>
      <c r="B40" s="26" t="s">
        <v>130</v>
      </c>
      <c r="C40" s="72" t="s">
        <v>131</v>
      </c>
      <c r="D40" s="46"/>
      <c r="E40" s="46"/>
      <c r="F40" s="47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364</v>
      </c>
      <c r="P40" s="24">
        <v>6.9354000000000004E-3</v>
      </c>
      <c r="Q40" s="23">
        <v>0</v>
      </c>
      <c r="R40" s="24"/>
    </row>
    <row r="41" spans="1:18" ht="12.5">
      <c r="A41" s="73" t="s">
        <v>21</v>
      </c>
      <c r="B41" s="26" t="s">
        <v>132</v>
      </c>
      <c r="C41" s="72" t="s">
        <v>133</v>
      </c>
      <c r="D41" s="46"/>
      <c r="E41" s="46"/>
      <c r="F41" s="47"/>
      <c r="G41" s="23">
        <v>157</v>
      </c>
      <c r="H41" s="24">
        <v>6.3925099999999999E-2</v>
      </c>
      <c r="I41" s="23">
        <v>66</v>
      </c>
      <c r="J41" s="24">
        <v>0.1083744</v>
      </c>
      <c r="K41" s="23">
        <v>0</v>
      </c>
      <c r="L41" s="24"/>
      <c r="M41" s="23">
        <v>806</v>
      </c>
      <c r="N41" s="24">
        <v>0.1342438</v>
      </c>
      <c r="O41" s="23">
        <v>7356</v>
      </c>
      <c r="P41" s="24">
        <v>0.140157</v>
      </c>
      <c r="Q41" s="23">
        <v>0</v>
      </c>
      <c r="R41" s="24"/>
    </row>
    <row r="42" spans="1:18" ht="12.5">
      <c r="A42" s="74"/>
      <c r="B42" s="26" t="s">
        <v>134</v>
      </c>
      <c r="C42" s="72" t="s">
        <v>135</v>
      </c>
      <c r="D42" s="46"/>
      <c r="E42" s="46"/>
      <c r="F42" s="47"/>
      <c r="G42" s="27" t="s">
        <v>38</v>
      </c>
      <c r="H42" s="15"/>
      <c r="I42" s="27" t="s">
        <v>38</v>
      </c>
      <c r="J42" s="15"/>
      <c r="K42" s="23">
        <v>2</v>
      </c>
      <c r="L42" s="24">
        <v>4.0600893219650832E-4</v>
      </c>
      <c r="M42" s="27" t="s">
        <v>38</v>
      </c>
      <c r="N42" s="15"/>
      <c r="O42" s="23">
        <v>351</v>
      </c>
      <c r="P42" s="24">
        <v>6.6877999999999998E-3</v>
      </c>
      <c r="Q42" s="23">
        <v>0</v>
      </c>
      <c r="R42" s="24"/>
    </row>
    <row r="43" spans="1:18" ht="12.5">
      <c r="A43" s="74"/>
      <c r="B43" s="26" t="s">
        <v>136</v>
      </c>
      <c r="C43" s="72" t="s">
        <v>137</v>
      </c>
      <c r="D43" s="46"/>
      <c r="E43" s="46"/>
      <c r="F43" s="47"/>
      <c r="G43" s="23">
        <v>1</v>
      </c>
      <c r="H43" s="24">
        <v>4.0719999999999998E-4</v>
      </c>
      <c r="I43" s="23">
        <v>2</v>
      </c>
      <c r="J43" s="24">
        <v>3.2840999999999999E-3</v>
      </c>
      <c r="K43" s="23">
        <v>0</v>
      </c>
      <c r="L43" s="24"/>
      <c r="M43" s="27" t="s">
        <v>38</v>
      </c>
      <c r="N43" s="15"/>
      <c r="O43" s="23">
        <v>12</v>
      </c>
      <c r="P43" s="24">
        <v>2.286E-4</v>
      </c>
      <c r="Q43" s="23">
        <v>0</v>
      </c>
      <c r="R43" s="24"/>
    </row>
    <row r="44" spans="1:18" ht="12.5">
      <c r="A44" s="75"/>
      <c r="B44" s="26" t="s">
        <v>138</v>
      </c>
      <c r="C44" s="72" t="s">
        <v>139</v>
      </c>
      <c r="D44" s="46"/>
      <c r="E44" s="46"/>
      <c r="F44" s="47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477</v>
      </c>
      <c r="P44" s="24">
        <v>9.0884999999999994E-3</v>
      </c>
      <c r="Q44" s="23">
        <v>0</v>
      </c>
      <c r="R44" s="24"/>
    </row>
    <row r="45" spans="1:18" ht="12.5">
      <c r="A45" s="73" t="s">
        <v>22</v>
      </c>
      <c r="B45" s="26" t="s">
        <v>140</v>
      </c>
      <c r="C45" s="72" t="s">
        <v>141</v>
      </c>
      <c r="D45" s="46"/>
      <c r="E45" s="46"/>
      <c r="F45" s="47"/>
      <c r="G45" s="27" t="s">
        <v>38</v>
      </c>
      <c r="H45" s="15"/>
      <c r="I45" s="23">
        <v>1</v>
      </c>
      <c r="J45" s="24">
        <v>1.642E-3</v>
      </c>
      <c r="K45" s="23">
        <v>0</v>
      </c>
      <c r="L45" s="24"/>
      <c r="M45" s="27" t="s">
        <v>38</v>
      </c>
      <c r="N45" s="15"/>
      <c r="O45" s="23">
        <v>22</v>
      </c>
      <c r="P45" s="24">
        <v>4.192E-4</v>
      </c>
      <c r="Q45" s="23">
        <v>0</v>
      </c>
      <c r="R45" s="24"/>
    </row>
    <row r="46" spans="1:18" ht="12.5">
      <c r="A46" s="74"/>
      <c r="B46" s="26" t="s">
        <v>142</v>
      </c>
      <c r="C46" s="72" t="s">
        <v>22</v>
      </c>
      <c r="D46" s="46"/>
      <c r="E46" s="46"/>
      <c r="F46" s="47"/>
      <c r="G46" s="23">
        <v>28</v>
      </c>
      <c r="H46" s="24">
        <v>1.14007E-2</v>
      </c>
      <c r="I46" s="23">
        <v>2</v>
      </c>
      <c r="J46" s="24">
        <v>3.2840999999999999E-3</v>
      </c>
      <c r="K46" s="23">
        <v>0</v>
      </c>
      <c r="L46" s="24"/>
      <c r="M46" s="23">
        <v>9</v>
      </c>
      <c r="N46" s="24">
        <v>1.4989999999999999E-3</v>
      </c>
      <c r="O46" s="23">
        <v>228</v>
      </c>
      <c r="P46" s="24">
        <v>4.3442000000000003E-3</v>
      </c>
      <c r="Q46" s="23">
        <v>0</v>
      </c>
      <c r="R46" s="24"/>
    </row>
    <row r="47" spans="1:18" ht="12.5">
      <c r="A47" s="75"/>
      <c r="B47" s="26" t="s">
        <v>143</v>
      </c>
      <c r="C47" s="72" t="s">
        <v>144</v>
      </c>
      <c r="D47" s="46"/>
      <c r="E47" s="46"/>
      <c r="F47" s="47"/>
      <c r="G47" s="27" t="s">
        <v>38</v>
      </c>
      <c r="H47" s="15"/>
      <c r="I47" s="27" t="s">
        <v>38</v>
      </c>
      <c r="J47" s="15"/>
      <c r="K47" s="23">
        <v>1</v>
      </c>
      <c r="L47" s="24">
        <v>2.0300446609825416E-4</v>
      </c>
      <c r="M47" s="27" t="s">
        <v>38</v>
      </c>
      <c r="N47" s="15"/>
      <c r="O47" s="23">
        <v>526</v>
      </c>
      <c r="P47" s="24">
        <v>1.0022100000000001E-2</v>
      </c>
      <c r="Q47" s="23">
        <v>0</v>
      </c>
      <c r="R47" s="24"/>
    </row>
    <row r="48" spans="1:18" ht="13" thickBot="1">
      <c r="A48" s="73" t="s">
        <v>23</v>
      </c>
      <c r="B48" s="26" t="s">
        <v>145</v>
      </c>
      <c r="C48" s="72" t="s">
        <v>146</v>
      </c>
      <c r="D48" s="46"/>
      <c r="E48" s="46"/>
      <c r="F48" s="47"/>
      <c r="G48" s="27" t="s">
        <v>38</v>
      </c>
      <c r="H48" s="15"/>
      <c r="I48" s="27" t="s">
        <v>38</v>
      </c>
      <c r="J48" s="15"/>
      <c r="K48" s="23">
        <v>23</v>
      </c>
      <c r="L48" s="24">
        <v>4.6691027202598453E-3</v>
      </c>
      <c r="M48" s="27" t="s">
        <v>38</v>
      </c>
      <c r="N48" s="15"/>
      <c r="O48" s="27" t="s">
        <v>38</v>
      </c>
      <c r="P48" s="15"/>
      <c r="Q48" s="23">
        <v>22</v>
      </c>
      <c r="R48" s="24">
        <v>3.6478195987398442E-3</v>
      </c>
    </row>
    <row r="49" spans="1:18" ht="13" thickBot="1">
      <c r="A49" s="74"/>
      <c r="B49" s="26" t="s">
        <v>147</v>
      </c>
      <c r="C49" s="72" t="s">
        <v>148</v>
      </c>
      <c r="D49" s="46"/>
      <c r="E49" s="46"/>
      <c r="F49" s="47"/>
      <c r="G49" s="27" t="s">
        <v>38</v>
      </c>
      <c r="H49" s="15"/>
      <c r="I49" s="27" t="s">
        <v>38</v>
      </c>
      <c r="J49" s="15"/>
      <c r="K49" s="23">
        <v>87</v>
      </c>
      <c r="L49" s="24">
        <v>1.7661388550548111E-2</v>
      </c>
      <c r="M49" s="27" t="s">
        <v>38</v>
      </c>
      <c r="N49" s="15"/>
      <c r="O49" s="27" t="s">
        <v>38</v>
      </c>
      <c r="P49" s="15"/>
      <c r="Q49" s="23">
        <v>148</v>
      </c>
      <c r="R49" s="24">
        <v>2.4539877300613498E-2</v>
      </c>
    </row>
    <row r="50" spans="1:18" ht="13" thickBot="1">
      <c r="A50" s="74"/>
      <c r="B50" s="26" t="s">
        <v>149</v>
      </c>
      <c r="C50" s="72" t="s">
        <v>150</v>
      </c>
      <c r="D50" s="46"/>
      <c r="E50" s="46"/>
      <c r="F50" s="47"/>
      <c r="G50" s="27" t="s">
        <v>38</v>
      </c>
      <c r="H50" s="15"/>
      <c r="I50" s="27" t="s">
        <v>38</v>
      </c>
      <c r="J50" s="15"/>
      <c r="K50" s="23">
        <v>45</v>
      </c>
      <c r="L50" s="24">
        <v>9.1352009744214372E-3</v>
      </c>
      <c r="M50" s="27" t="s">
        <v>38</v>
      </c>
      <c r="N50" s="15"/>
      <c r="O50" s="27" t="s">
        <v>38</v>
      </c>
      <c r="P50" s="15"/>
      <c r="Q50" s="23">
        <v>37</v>
      </c>
      <c r="R50" s="24">
        <v>6.1349693251533744E-3</v>
      </c>
    </row>
    <row r="51" spans="1:18" ht="12.5">
      <c r="A51" s="74"/>
      <c r="B51" s="26" t="s">
        <v>151</v>
      </c>
      <c r="C51" s="72" t="s">
        <v>152</v>
      </c>
      <c r="D51" s="46"/>
      <c r="E51" s="46"/>
      <c r="F51" s="47"/>
      <c r="G51" s="23">
        <v>1</v>
      </c>
      <c r="H51" s="24">
        <v>4.0719999999999998E-4</v>
      </c>
      <c r="I51" s="27" t="s">
        <v>38</v>
      </c>
      <c r="J51" s="15"/>
      <c r="K51" s="23">
        <v>17</v>
      </c>
      <c r="L51" s="24">
        <v>3.4510759236703208E-3</v>
      </c>
      <c r="M51" s="27" t="s">
        <v>38</v>
      </c>
      <c r="N51" s="15"/>
      <c r="O51" s="23">
        <v>2</v>
      </c>
      <c r="P51" s="24">
        <v>3.8099999999999998E-5</v>
      </c>
      <c r="Q51" s="23">
        <v>64</v>
      </c>
      <c r="R51" s="24">
        <v>1.0611838832697729E-2</v>
      </c>
    </row>
    <row r="52" spans="1:18" ht="12.5">
      <c r="A52" s="74"/>
      <c r="B52" s="26" t="s">
        <v>153</v>
      </c>
      <c r="C52" s="72" t="s">
        <v>154</v>
      </c>
      <c r="D52" s="46"/>
      <c r="E52" s="46"/>
      <c r="F52" s="47"/>
      <c r="G52" s="23">
        <v>2</v>
      </c>
      <c r="H52" s="24">
        <v>8.1430000000000001E-4</v>
      </c>
      <c r="I52" s="27" t="s">
        <v>38</v>
      </c>
      <c r="J52" s="15"/>
      <c r="K52" s="23">
        <v>0</v>
      </c>
      <c r="L52" s="24"/>
      <c r="M52" s="23">
        <v>1</v>
      </c>
      <c r="N52" s="24">
        <v>1.6660000000000001E-4</v>
      </c>
      <c r="O52" s="23">
        <v>4</v>
      </c>
      <c r="P52" s="24">
        <v>7.6199999999999995E-5</v>
      </c>
      <c r="Q52" s="23">
        <v>2</v>
      </c>
      <c r="R52" s="24">
        <v>3.3161996352180402E-4</v>
      </c>
    </row>
    <row r="53" spans="1:18" ht="12.5">
      <c r="A53" s="75"/>
      <c r="B53" s="26" t="s">
        <v>155</v>
      </c>
      <c r="C53" s="72" t="s">
        <v>156</v>
      </c>
      <c r="D53" s="46"/>
      <c r="E53" s="46"/>
      <c r="F53" s="47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11</v>
      </c>
      <c r="N53" s="24">
        <v>1.8320999999999999E-3</v>
      </c>
      <c r="O53" s="23">
        <v>11</v>
      </c>
      <c r="P53" s="24">
        <v>2.096E-4</v>
      </c>
      <c r="Q53" s="23">
        <v>0</v>
      </c>
      <c r="R53" s="24"/>
    </row>
    <row r="54" spans="1:18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spans="1:18" ht="13">
      <c r="A55" s="76" t="s">
        <v>157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spans="1:18" ht="12.75" customHeight="1">
      <c r="A56" s="77" t="s">
        <v>158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spans="1:18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spans="1:18" ht="13">
      <c r="A58" s="69" t="s">
        <v>162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2025-09-11T13:29:21Z</dcterms:created>
  <dcterms:modified xsi:type="dcterms:W3CDTF">2025-09-24T13:00:01Z</dcterms:modified>
</cp:coreProperties>
</file>