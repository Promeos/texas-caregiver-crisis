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EB0A4567-989A-4DBA-8A1E-9D3C3B7FF24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Summary_3'!$A$2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Details_6'!$A$36</definedName>
    <definedName name="TOC_15">'Closure Details_6'!$A$37</definedName>
    <definedName name="TOC_16">'Closure Details_6'!$A$40</definedName>
    <definedName name="TOC_17">'Closure Details_6'!$A$44</definedName>
    <definedName name="TOC_18">'Closure Details_6'!$A$47</definedName>
    <definedName name="TOC_2">'IL Releases Summary_3'!$A$13</definedName>
    <definedName name="TOC_3">'IL Releases Summary_3'!$A$14</definedName>
    <definedName name="TOC_4">'IL Releases Summary_3'!$A$17</definedName>
    <definedName name="TOC_5">'IL Releases Summary_3'!$A$18</definedName>
    <definedName name="TOC_6">'IL Releases Summary_3'!$A$19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I16" i="3"/>
  <c r="I17" i="3"/>
  <c r="I14" i="3"/>
</calcChain>
</file>

<file path=xl/sharedStrings.xml><?xml version="1.0" encoding="utf-8"?>
<sst xmlns="http://schemas.openxmlformats.org/spreadsheetml/2006/main" count="346" uniqueCount="167">
  <si>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</si>
  <si>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</si>
  <si>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March 31,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</si>
  <si>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</si>
  <si>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</si>
  <si>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</si>
  <si>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</si>
  <si>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</si>
  <si>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</si>
  <si>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</si>
  <si>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</si>
  <si>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</si>
  <si>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</si>
  <si>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</si>
  <si>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</si>
  <si>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</si>
  <si>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</si>
  <si>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</si>
  <si>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</si>
  <si>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</si>
  <si>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</si>
  <si>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</si>
  <si>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</si>
  <si>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</si>
  <si>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4/5/24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</si>
  <si>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</si>
  <si>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</si>
  <si>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</si>
  <si>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</si>
  <si>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</si>
  <si>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</si>
  <si>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</si>
  <si>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</si>
  <si>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</si>
  <si>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</si>
  <si>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</si>
  <si>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</si>
  <si>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</si>
  <si>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</si>
  <si>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</si>
  <si>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</si>
  <si>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March 31, 2024</t>
    </r>
  </si>
  <si>
    <t>1. HCS and TxHmL counts for Released/Removed and Total Releases are derived from CARE data source, not CSIL, and provided by Local Authority staff.</t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</si>
  <si>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</si>
  <si>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</si>
  <si>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</si>
  <si>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171,668</t>
    </r>
  </si>
  <si>
    <t>Data Source:  CSIL (and CARE, see, note 1)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</si>
  <si>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4/5/24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</si>
  <si>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</si>
  <si>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</si>
  <si>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</si>
  <si>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</si>
  <si>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</si>
  <si>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</si>
  <si>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</si>
  <si>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</si>
  <si>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</si>
  <si>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</si>
  <si>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</si>
  <si>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</si>
  <si>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</si>
  <si>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</si>
  <si>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</si>
  <si>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</si>
  <si>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</si>
  <si>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</si>
  <si>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</si>
  <si>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</si>
  <si>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</si>
  <si>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</si>
  <si>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</si>
  <si>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>Data Source:  CSIL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</si>
  <si>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4/5/24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</si>
  <si>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2 of 5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</si>
  <si>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</si>
  <si>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</si>
  <si>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</si>
  <si>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</si>
  <si>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</si>
  <si>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</si>
  <si>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</si>
  <si>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t>0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</si>
  <si>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</si>
  <si>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CARE.</t>
    </r>
  </si>
  <si>
    <t>Data Source:  CSIL and CARE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</si>
  <si>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4/5/24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</si>
  <si>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3 of 5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</si>
  <si>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</si>
  <si>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</si>
  <si>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</si>
  <si>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</si>
  <si>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</si>
  <si>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</si>
  <si>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</si>
  <si>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</si>
  <si>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</si>
  <si>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</si>
  <si>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</si>
  <si>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</si>
  <si>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</si>
  <si>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</si>
  <si>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</si>
  <si>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</si>
  <si>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</si>
  <si>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</si>
  <si>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</si>
  <si>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</si>
  <si>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</si>
  <si>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</si>
  <si>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</si>
  <si>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</si>
  <si>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</si>
  <si>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</si>
  <si>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</si>
  <si>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</si>
  <si>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</si>
  <si>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</si>
  <si>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</si>
  <si>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</si>
  <si>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</si>
  <si>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</si>
  <si>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</si>
  <si>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</si>
  <si>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</si>
  <si>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</si>
  <si>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</si>
  <si>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</si>
  <si>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</si>
  <si>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</si>
  <si>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</si>
  <si>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</si>
  <si>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</si>
  <si>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</si>
  <si>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</si>
  <si>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</si>
  <si>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</si>
  <si>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</si>
  <si>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</si>
  <si>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</si>
  <si>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</si>
  <si>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</si>
  <si>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</si>
  <si>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</si>
  <si>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</si>
  <si>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</si>
  <si>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</si>
  <si>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</si>
  <si>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</si>
  <si>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</si>
  <si>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</si>
  <si>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</si>
  <si>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</si>
  <si>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</si>
  <si>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</si>
  <si>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</si>
  <si>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</si>
  <si>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 waiver services</t>
  </si>
  <si>
    <t>659</t>
  </si>
  <si>
    <t>Needs met through ICF/ID</t>
  </si>
  <si>
    <t>660</t>
  </si>
  <si>
    <t>Needs met through nursing facility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</si>
  <si>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</si>
  <si>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</si>
  <si>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rPr>
        <vertAlign val="superscript"/>
        <sz val="7"/>
        <color theme="1"/>
        <rFont val="Arial"/>
        <family val="2"/>
      </rP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CARE.</t>
    </r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</si>
  <si>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4/5/24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</si>
  <si>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4 of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</si>
</sst>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%"/>
    <numFmt numFmtId="166" formatCode="0.0%"/>
  </numFmts>
  <fonts count="32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8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0C0C0"/>
      </left>
      <right/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 style="medium">
        <color rgb="FFEFEFEF"/>
      </left>
      <right/>
      <top style="medium">
        <color rgb="FFEFEFEF"/>
      </top>
      <bottom style="medium">
        <color rgb="FFC0C0C0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 style="medium">
        <color rgb="FFD5D5D5"/>
      </left>
      <right/>
      <top style="medium">
        <color rgb="FFD5D5D5"/>
      </top>
      <bottom style="medium">
        <color rgb="FFD5D5D5"/>
      </bottom>
      <diagonal/>
    </border>
    <border>
      <left style="medium">
        <color rgb="FFC0C0C0"/>
      </left>
      <right/>
      <top/>
      <bottom style="medium">
        <color rgb="FFEFEFEF"/>
      </bottom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 style="medium">
        <color rgb="FFEFEFEF"/>
      </left>
      <right/>
      <top style="medium">
        <color rgb="FFEFEFEF"/>
      </top>
      <bottom/>
      <diagonal/>
    </border>
    <border>
      <left style="medium">
        <color rgb="FFC0C0C0"/>
      </left>
      <right/>
      <top style="medium">
        <color rgb="FFEFEFEF"/>
      </top>
      <bottom/>
      <diagonal/>
    </border>
    <border>
      <left style="medium">
        <color rgb="FFC0C0C0"/>
      </left>
      <right/>
      <top style="medium">
        <color rgb="FFEFEFEF"/>
      </top>
      <bottom style="medium">
        <color rgb="FFC0C0C0"/>
      </bottom>
      <diagonal/>
    </border>
    <border>
      <left style="medium">
        <color rgb="FFC0C0C0"/>
      </left>
      <right/>
      <top style="medium">
        <color rgb="FFEFEFEF"/>
      </top>
      <bottom style="medium">
        <color rgb="FFEFEFEF"/>
      </bottom>
      <diagonal/>
    </border>
    <border>
      <left style="medium">
        <color rgb="FFD5D5D5"/>
      </left>
      <right/>
      <top style="medium">
        <color rgb="FF93B1CD"/>
      </top>
      <bottom style="medium">
        <color rgb="FFD5D5D5"/>
      </bottom>
      <diagonal/>
    </border>
    <border>
      <left style="medium">
        <color rgb="FFEFEFEF"/>
      </left>
      <right/>
      <top style="medium">
        <color rgb="FFC0C0C0"/>
      </top>
      <bottom style="medium">
        <color rgb="FFEFEFEF"/>
      </bottom>
      <diagonal/>
    </border>
    <border>
      <left style="medium">
        <color rgb="FFC0C0C0"/>
      </left>
      <right/>
      <top style="medium">
        <color rgb="FFC0C0C0"/>
      </top>
      <bottom style="medium">
        <color rgb="FFEFEFEF"/>
      </bottom>
      <diagonal/>
    </border>
    <border>
      <left style="medium">
        <color rgb="FF93B1CD"/>
      </left>
      <right/>
      <top style="medium">
        <color rgb="FF93B1CD"/>
      </top>
      <bottom style="medium">
        <color rgb="FF93B1CD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3" borderId="6" xfId="0" applyFont="1" applyFill="1" applyBorder="1" applyAlignment="1">
      <alignment vertical="top"/>
    </xf>
    <xf numFmtId="0" fontId="0" fillId="3" borderId="6" xfId="0" applyFill="1" applyBorder="1"/>
    <xf numFmtId="0" fontId="19" fillId="3" borderId="6" xfId="0" applyFont="1" applyFill="1" applyBorder="1" applyAlignment="1">
      <alignment horizontal="center" vertical="top"/>
    </xf>
    <xf numFmtId="0" fontId="0" fillId="0" borderId="11" xfId="0" applyBorder="1"/>
    <xf numFmtId="3" fontId="12" fillId="0" borderId="11" xfId="0" applyNumberFormat="1" applyFont="1" applyBorder="1" applyAlignment="1">
      <alignment horizontal="right" vertical="top"/>
    </xf>
    <xf numFmtId="164" fontId="20" fillId="0" borderId="11" xfId="0" applyNumberFormat="1" applyFont="1" applyBorder="1" applyAlignment="1">
      <alignment horizontal="right" vertical="top"/>
    </xf>
    <xf numFmtId="0" fontId="10" fillId="4" borderId="7" xfId="0" applyFont="1" applyFill="1" applyBorder="1" applyAlignment="1">
      <alignment vertical="top"/>
    </xf>
    <xf numFmtId="3" fontId="21" fillId="5" borderId="10" xfId="0" applyNumberFormat="1" applyFont="1" applyFill="1" applyBorder="1" applyAlignment="1">
      <alignment horizontal="right" vertical="top"/>
    </xf>
    <xf numFmtId="165" fontId="13" fillId="5" borderId="10" xfId="0" applyNumberFormat="1" applyFont="1" applyFill="1" applyBorder="1" applyAlignment="1">
      <alignment horizontal="right" vertical="top"/>
    </xf>
    <xf numFmtId="0" fontId="23" fillId="3" borderId="6" xfId="0" applyFont="1" applyFill="1" applyBorder="1" applyAlignment="1">
      <alignment vertical="top"/>
    </xf>
    <xf numFmtId="0" fontId="24" fillId="3" borderId="6" xfId="0" applyFont="1" applyFill="1" applyBorder="1" applyAlignment="1">
      <alignment vertical="top"/>
    </xf>
    <xf numFmtId="0" fontId="0" fillId="0" borderId="0" xfId="0"/>
    <xf numFmtId="0" fontId="8" fillId="3" borderId="3" xfId="0" applyFont="1" applyFill="1" applyBorder="1" applyAlignment="1">
      <alignment horizontal="center"/>
    </xf>
    <xf numFmtId="0" fontId="8" fillId="3" borderId="6" xfId="0" applyFont="1" applyFill="1" applyBorder="1" applyAlignment="1">
      <alignment vertical="top"/>
    </xf>
    <xf numFmtId="0" fontId="11" fillId="3" borderId="3" xfId="0" applyFont="1" applyFill="1" applyBorder="1"/>
    <xf numFmtId="0" fontId="11" fillId="3" borderId="6" xfId="0" applyFont="1" applyFill="1" applyBorder="1"/>
    <xf numFmtId="0" fontId="15" fillId="3" borderId="3" xfId="0" applyFont="1" applyFill="1" applyBorder="1"/>
    <xf numFmtId="3" fontId="12" fillId="0" borderId="26" xfId="0" applyNumberFormat="1" applyFont="1" applyBorder="1" applyAlignment="1">
      <alignment horizontal="right"/>
    </xf>
    <xf numFmtId="3" fontId="12" fillId="0" borderId="23" xfId="0" applyNumberFormat="1" applyFont="1" applyBorder="1" applyAlignment="1">
      <alignment horizontal="right"/>
    </xf>
    <xf numFmtId="3" fontId="12" fillId="0" borderId="22" xfId="0" applyNumberFormat="1" applyFont="1" applyBorder="1" applyAlignment="1">
      <alignment horizontal="right"/>
    </xf>
    <xf numFmtId="3" fontId="15" fillId="3" borderId="14" xfId="0" applyNumberFormat="1" applyFont="1" applyFill="1" applyBorder="1" applyAlignment="1">
      <alignment horizontal="right"/>
    </xf>
    <xf numFmtId="3" fontId="12" fillId="0" borderId="18" xfId="0" applyNumberFormat="1" applyFont="1" applyBorder="1" applyAlignment="1">
      <alignment horizontal="right"/>
    </xf>
    <xf numFmtId="3" fontId="12" fillId="0" borderId="21" xfId="0" applyNumberFormat="1" applyFont="1" applyBorder="1" applyAlignment="1">
      <alignment horizontal="right"/>
    </xf>
    <xf numFmtId="0" fontId="10" fillId="4" borderId="27" xfId="0" applyFont="1" applyFill="1" applyBorder="1" applyAlignment="1">
      <alignment horizontal="center"/>
    </xf>
    <xf numFmtId="3" fontId="13" fillId="5" borderId="24" xfId="0" applyNumberFormat="1" applyFont="1" applyFill="1" applyBorder="1" applyAlignment="1">
      <alignment horizontal="right"/>
    </xf>
    <xf numFmtId="3" fontId="13" fillId="5" borderId="17" xfId="0" applyNumberFormat="1" applyFont="1" applyFill="1" applyBorder="1" applyAlignment="1">
      <alignment horizontal="right"/>
    </xf>
    <xf numFmtId="3" fontId="13" fillId="5" borderId="19" xfId="0" applyNumberFormat="1" applyFont="1" applyFill="1" applyBorder="1" applyAlignment="1">
      <alignment horizontal="right"/>
    </xf>
    <xf numFmtId="3" fontId="12" fillId="0" borderId="25" xfId="0" applyNumberFormat="1" applyFont="1" applyBorder="1" applyAlignment="1">
      <alignment horizontal="right"/>
    </xf>
    <xf numFmtId="3" fontId="12" fillId="0" borderId="16" xfId="0" applyNumberFormat="1" applyFont="1" applyBorder="1" applyAlignment="1">
      <alignment horizontal="right"/>
    </xf>
    <xf numFmtId="3" fontId="12" fillId="0" borderId="15" xfId="0" applyNumberFormat="1" applyFont="1" applyBorder="1" applyAlignment="1">
      <alignment horizontal="right"/>
    </xf>
    <xf numFmtId="3" fontId="12" fillId="0" borderId="20" xfId="0" applyNumberFormat="1" applyFont="1" applyBorder="1" applyAlignment="1">
      <alignment horizontal="right"/>
    </xf>
    <xf numFmtId="3" fontId="12" fillId="0" borderId="9" xfId="0" applyNumberFormat="1" applyFont="1" applyBorder="1" applyAlignment="1">
      <alignment horizontal="right"/>
    </xf>
    <xf numFmtId="0" fontId="11" fillId="3" borderId="14" xfId="0" applyFont="1" applyFill="1" applyBorder="1" applyAlignment="1">
      <alignment horizontal="center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vertical="top"/>
    </xf>
    <xf numFmtId="0" fontId="8" fillId="3" borderId="3" xfId="0" applyFont="1" applyFill="1" applyBorder="1" applyAlignment="1">
      <alignment vertical="top"/>
    </xf>
    <xf numFmtId="0" fontId="0" fillId="3" borderId="8" xfId="0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2" fillId="0" borderId="0" xfId="0" applyFont="1"/>
    <xf numFmtId="0" fontId="24" fillId="3" borderId="3" xfId="0" applyFont="1" applyFill="1" applyBorder="1" applyAlignment="1">
      <alignment vertical="top"/>
    </xf>
    <xf numFmtId="0" fontId="0" fillId="3" borderId="4" xfId="0" applyFill="1" applyBorder="1"/>
    <xf numFmtId="0" fontId="24" fillId="3" borderId="6" xfId="0" applyFont="1" applyFill="1" applyBorder="1" applyAlignment="1">
      <alignment vertical="top"/>
    </xf>
    <xf numFmtId="0" fontId="23" fillId="3" borderId="6" xfId="0" applyFont="1" applyFill="1" applyBorder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7" fillId="0" borderId="0" xfId="0" applyFont="1" applyAlignment="1">
      <alignment vertical="center"/>
    </xf>
    <xf numFmtId="0" fontId="22" fillId="0" borderId="0" xfId="0" applyFont="1" applyAlignment="1">
      <alignment wrapText="1"/>
    </xf>
    <xf numFmtId="0" fontId="2" fillId="0" borderId="0" xfId="0" applyFont="1" applyFill="1" applyAlignment="1">
      <alignment horizontal="right" vertical="center"/>
    </xf>
    <xf numFmtId="3" fontId="26" fillId="0" borderId="11" xfId="0" applyNumberFormat="1" applyFont="1" applyBorder="1" applyAlignment="1">
      <alignment horizontal="right" vertical="top"/>
    </xf>
    <xf numFmtId="164" fontId="27" fillId="0" borderId="11" xfId="0" applyNumberFormat="1" applyFont="1" applyBorder="1" applyAlignment="1">
      <alignment horizontal="right" vertical="top"/>
    </xf>
    <xf numFmtId="0" fontId="26" fillId="0" borderId="11" xfId="0" applyFont="1" applyBorder="1"/>
    <xf numFmtId="166" fontId="27" fillId="0" borderId="11" xfId="0" applyNumberFormat="1" applyFont="1" applyBorder="1"/>
    <xf numFmtId="0" fontId="26" fillId="0" borderId="11" xfId="0" applyFont="1" applyBorder="1" applyAlignment="1">
      <alignment horizontal="right" vertical="top"/>
    </xf>
    <xf numFmtId="3" fontId="28" fillId="5" borderId="10" xfId="0" applyNumberFormat="1" applyFont="1" applyFill="1" applyBorder="1" applyAlignment="1">
      <alignment horizontal="right" vertical="top"/>
    </xf>
    <xf numFmtId="165" fontId="29" fillId="5" borderId="10" xfId="0" applyNumberFormat="1" applyFont="1" applyFill="1" applyBorder="1" applyAlignment="1">
      <alignment horizontal="right" vertical="top"/>
    </xf>
    <xf numFmtId="0" fontId="28" fillId="5" borderId="10" xfId="0" applyFont="1" applyFill="1" applyBorder="1"/>
    <xf numFmtId="9" fontId="29" fillId="5" borderId="10" xfId="0" applyNumberFormat="1" applyFont="1" applyFill="1" applyBorder="1"/>
    <xf numFmtId="3" fontId="30" fillId="0" borderId="11" xfId="0" applyNumberFormat="1" applyFont="1" applyBorder="1" applyAlignment="1">
      <alignment horizontal="right" vertical="top"/>
    </xf>
    <xf numFmtId="164" fontId="31" fillId="0" borderId="11" xfId="0" applyNumberFormat="1" applyFont="1" applyBorder="1" applyAlignment="1">
      <alignment horizontal="right" vertical="top"/>
    </xf>
    <xf numFmtId="0" fontId="30" fillId="0" borderId="11" xfId="0" applyFont="1" applyBorder="1"/>
    <xf numFmtId="166" fontId="31" fillId="0" borderId="11" xfId="0" applyNumberFormat="1" applyFont="1" applyBorder="1"/>
    <xf numFmtId="0" fontId="30" fillId="0" borderId="1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239375" cy="4238625"/>
    <xdr:pic>
      <xdr:nvPicPr>
        <xdr:cNvPr id="2" name="HHS_Logo_color_2lines_H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39375" cy="42386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171450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33375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1"/>
  <sheetViews>
    <sheetView zoomScale="40" zoomScaleNormal="40" workbookViewId="0">
      <selection activeCell="A31" sqref="A31"/>
    </sheetView>
  </sheetViews>
  <sheetFormatPr defaultRowHeight="12.75" customHeight="1"/>
  <cols>
    <col min="1" max="1" width="171.88671875" bestFit="1" customWidth="1"/>
  </cols>
  <sheetData>
    <row r="2" spans="1:1" ht="12.75" customHeight="1">
      <c r="A2" s="44"/>
    </row>
    <row r="3" spans="1:1" ht="12.75" customHeight="1">
      <c r="A3" s="44"/>
    </row>
    <row r="4" spans="1:1" ht="12.75" customHeight="1">
      <c r="A4" s="44"/>
    </row>
    <row r="5" spans="1:1" ht="12.75" customHeight="1">
      <c r="A5" s="44"/>
    </row>
    <row r="6" spans="1:1" ht="12.75" customHeight="1">
      <c r="A6" s="44"/>
    </row>
    <row r="7" spans="1:1" ht="12.75" customHeight="1">
      <c r="A7" s="44"/>
    </row>
    <row r="8" spans="1:1" ht="12.75" customHeight="1">
      <c r="A8" s="44"/>
    </row>
    <row r="9" spans="1:1" ht="12.75" customHeight="1">
      <c r="A9" s="44"/>
    </row>
    <row r="10" spans="1:1" ht="12.75" customHeight="1">
      <c r="A10" s="44"/>
    </row>
    <row r="11" spans="1:1" ht="12.75" customHeight="1">
      <c r="A11" s="44"/>
    </row>
    <row r="12" spans="1:1" ht="12.75" customHeight="1">
      <c r="A12" s="44"/>
    </row>
    <row r="13" spans="1:1" ht="12.75" customHeight="1">
      <c r="A13" s="44"/>
    </row>
    <row r="14" spans="1:1" ht="12.75" customHeight="1">
      <c r="A14" s="44"/>
    </row>
    <row r="15" spans="1:1" ht="12.75" customHeight="1">
      <c r="A15" s="44"/>
    </row>
    <row r="16" spans="1:1" ht="12.75" customHeight="1">
      <c r="A16" s="44"/>
    </row>
    <row r="17" spans="1:1" ht="12.75" customHeight="1">
      <c r="A17" s="44"/>
    </row>
    <row r="18" spans="1:1" ht="12.75" customHeight="1">
      <c r="A18" s="44"/>
    </row>
    <row r="19" spans="1:1" ht="12.75" customHeight="1">
      <c r="A19" s="44"/>
    </row>
    <row r="20" spans="1:1" ht="12.75" customHeight="1">
      <c r="A20" s="44"/>
    </row>
    <row r="21" spans="1:1" ht="12.75" customHeight="1">
      <c r="A21" s="44"/>
    </row>
    <row r="22" spans="1:1" ht="12.75" customHeight="1">
      <c r="A22" s="44"/>
    </row>
    <row r="23" spans="1:1" ht="12.75" customHeight="1">
      <c r="A23" s="44"/>
    </row>
    <row r="24" spans="1:1" ht="12.75" customHeight="1">
      <c r="A24" s="44"/>
    </row>
    <row r="25" spans="1:1" ht="12.75" customHeight="1">
      <c r="A25" s="44"/>
    </row>
    <row r="26" spans="1:1" ht="12.75" customHeight="1">
      <c r="A26" s="44"/>
    </row>
    <row r="27" spans="1:1" ht="12.75" customHeight="1">
      <c r="A27" s="44"/>
    </row>
    <row r="28" spans="1:1" ht="12.75" customHeight="1">
      <c r="A28" s="44"/>
    </row>
    <row r="29" spans="1:1" ht="48" customHeight="1">
      <c r="A29" s="1" t="s">
        <v>0</v>
      </c>
    </row>
    <row r="30" spans="1:1" ht="48" customHeight="1">
      <c r="A30" s="1" t="s">
        <v>1</v>
      </c>
    </row>
    <row r="31" spans="1:1" ht="30" customHeight="1">
      <c r="A31" s="72" t="s">
        <v>2</v>
      </c>
    </row>
  </sheetData>
  <mergeCells count="1">
    <mergeCell ref="A2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6" zoomScale="96" zoomScaleNormal="96" workbookViewId="0">
      <selection activeCell="C18" sqref="C18"/>
    </sheetView>
  </sheetViews>
  <sheetFormatPr defaultRowHeight="12.75" customHeight="1"/>
  <cols>
    <col min="1" max="1" width="42.88671875" bestFit="1" customWidth="1"/>
    <col min="2" max="2" width="23.88671875" bestFit="1" customWidth="1"/>
    <col min="3" max="3" width="84.5546875" bestFit="1" customWidth="1"/>
  </cols>
  <sheetData>
    <row r="1" spans="1:3" ht="23.25" customHeight="1">
      <c r="A1" s="45"/>
      <c r="B1" s="45"/>
      <c r="C1" s="9" t="s">
        <v>3</v>
      </c>
    </row>
    <row r="2" spans="1:3" ht="13.2">
      <c r="A2" s="46"/>
      <c r="B2" s="46"/>
      <c r="C2" s="8"/>
    </row>
    <row r="3" spans="1:3" ht="13.2">
      <c r="A3" s="46"/>
      <c r="B3" s="46"/>
      <c r="C3" s="8"/>
    </row>
    <row r="4" spans="1:3" ht="13.2">
      <c r="A4" s="46"/>
      <c r="B4" s="46"/>
      <c r="C4" s="8"/>
    </row>
    <row r="5" spans="1:3" ht="13.2">
      <c r="A5" s="46"/>
      <c r="B5" s="46"/>
      <c r="C5" s="8"/>
    </row>
    <row r="6" spans="1:3" ht="13.2">
      <c r="A6" s="46"/>
      <c r="B6" s="46"/>
      <c r="C6" s="8"/>
    </row>
    <row r="7" spans="1:3" ht="13.2">
      <c r="A7" s="46"/>
      <c r="B7" s="46"/>
      <c r="C7" s="8"/>
    </row>
    <row r="8" spans="1:3" ht="13.2">
      <c r="A8" s="46"/>
      <c r="B8" s="46"/>
      <c r="C8" s="8"/>
    </row>
    <row r="9" spans="1:3" ht="13.2">
      <c r="A9" s="46"/>
      <c r="B9" s="46"/>
      <c r="C9" s="8"/>
    </row>
    <row r="10" spans="1:3" ht="13.2">
      <c r="A10" s="46"/>
      <c r="B10" s="46"/>
      <c r="C10" s="8"/>
    </row>
    <row r="11" spans="1:3" ht="23.25" customHeight="1">
      <c r="A11" s="47" t="s">
        <v>4</v>
      </c>
      <c r="B11" s="46"/>
      <c r="C11" s="46"/>
    </row>
    <row r="12" spans="1:3" ht="13.2">
      <c r="A12" s="4" t="s">
        <v>5</v>
      </c>
      <c r="B12" s="10" t="s">
        <v>6</v>
      </c>
      <c r="C12" s="5">
        <v>1</v>
      </c>
    </row>
    <row r="13" spans="1:3" ht="13.2">
      <c r="A13" s="7" t="s">
        <v>7</v>
      </c>
      <c r="B13" s="10" t="s">
        <v>6</v>
      </c>
      <c r="C13" s="5">
        <v>1</v>
      </c>
    </row>
    <row r="14" spans="1:3" ht="13.2">
      <c r="A14" s="7" t="s">
        <v>8</v>
      </c>
      <c r="B14" s="10" t="s">
        <v>6</v>
      </c>
      <c r="C14" s="5">
        <v>1</v>
      </c>
    </row>
    <row r="15" spans="1:3" ht="13.2">
      <c r="A15" s="7" t="s">
        <v>9</v>
      </c>
      <c r="B15" s="10" t="s">
        <v>6</v>
      </c>
      <c r="C15" s="5">
        <v>1</v>
      </c>
    </row>
    <row r="16" spans="1:3" ht="13.2">
      <c r="A16" s="7" t="s">
        <v>10</v>
      </c>
      <c r="B16" s="10" t="s">
        <v>6</v>
      </c>
      <c r="C16" s="5">
        <v>1</v>
      </c>
    </row>
    <row r="17" spans="1:3" ht="13.2">
      <c r="A17" s="7" t="s">
        <v>11</v>
      </c>
      <c r="B17" s="10" t="s">
        <v>6</v>
      </c>
      <c r="C17" s="5">
        <v>1</v>
      </c>
    </row>
    <row r="18" spans="1:3" ht="13.2">
      <c r="A18" s="4" t="s">
        <v>12</v>
      </c>
      <c r="B18" s="10" t="s">
        <v>6</v>
      </c>
      <c r="C18" s="5">
        <v>2</v>
      </c>
    </row>
    <row r="19" spans="1:3" ht="13.2">
      <c r="A19" s="4" t="s">
        <v>13</v>
      </c>
      <c r="B19" s="10" t="s">
        <v>6</v>
      </c>
      <c r="C19" s="5">
        <v>3</v>
      </c>
    </row>
    <row r="20" spans="1:3" ht="13.2">
      <c r="A20" s="4" t="s">
        <v>14</v>
      </c>
      <c r="B20" s="10" t="s">
        <v>6</v>
      </c>
      <c r="C20" s="5">
        <v>4</v>
      </c>
    </row>
    <row r="21" spans="1:3" ht="13.2">
      <c r="A21" s="7" t="s">
        <v>15</v>
      </c>
      <c r="B21" s="10" t="s">
        <v>6</v>
      </c>
      <c r="C21" s="5">
        <v>4</v>
      </c>
    </row>
    <row r="22" spans="1:3" ht="13.2">
      <c r="A22" s="7" t="s">
        <v>16</v>
      </c>
      <c r="B22" s="10" t="s">
        <v>6</v>
      </c>
      <c r="C22" s="5">
        <v>4</v>
      </c>
    </row>
    <row r="23" spans="1:3" ht="13.2">
      <c r="A23" s="7" t="s">
        <v>17</v>
      </c>
      <c r="B23" s="10" t="s">
        <v>6</v>
      </c>
      <c r="C23" s="5">
        <v>4</v>
      </c>
    </row>
    <row r="24" spans="1:3" ht="13.2">
      <c r="A24" s="7" t="s">
        <v>18</v>
      </c>
      <c r="B24" s="10" t="s">
        <v>6</v>
      </c>
      <c r="C24" s="5">
        <v>4</v>
      </c>
    </row>
    <row r="25" spans="1:3" ht="13.2">
      <c r="A25" s="7" t="s">
        <v>19</v>
      </c>
      <c r="B25" s="10" t="s">
        <v>6</v>
      </c>
      <c r="C25" s="5">
        <v>4</v>
      </c>
    </row>
    <row r="26" spans="1:3" ht="13.2">
      <c r="A26" s="7" t="s">
        <v>20</v>
      </c>
      <c r="B26" s="10" t="s">
        <v>6</v>
      </c>
      <c r="C26" s="5">
        <v>4</v>
      </c>
    </row>
    <row r="27" spans="1:3" ht="13.2">
      <c r="A27" s="7" t="s">
        <v>21</v>
      </c>
      <c r="B27" s="10" t="s">
        <v>6</v>
      </c>
      <c r="C27" s="5">
        <v>4</v>
      </c>
    </row>
    <row r="28" spans="1:3" ht="13.2">
      <c r="A28" s="7" t="s">
        <v>22</v>
      </c>
      <c r="B28" s="10" t="s">
        <v>6</v>
      </c>
      <c r="C28" s="5">
        <v>4</v>
      </c>
    </row>
    <row r="29" spans="1:3" ht="13.2">
      <c r="A29" s="7" t="s">
        <v>23</v>
      </c>
      <c r="B29" s="10" t="s">
        <v>6</v>
      </c>
      <c r="C29" s="5">
        <v>4</v>
      </c>
    </row>
    <row r="30" spans="1:3" ht="13.2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abSelected="1" topLeftCell="A9" zoomScaleNormal="100" workbookViewId="0">
      <selection activeCell="L19" sqref="L19"/>
    </sheetView>
  </sheetViews>
  <sheetFormatPr defaultRowHeight="12.75" customHeight="1"/>
  <cols>
    <col min="1" max="1" width="36.109375" bestFit="1" customWidth="1"/>
    <col min="2" max="2" width="25.44140625" bestFit="1" customWidth="1"/>
    <col min="3" max="3" width="7.33203125" bestFit="1" customWidth="1"/>
    <col min="4" max="4" width="6.44140625" bestFit="1" customWidth="1"/>
    <col min="5" max="5" width="7.5546875" bestFit="1" customWidth="1"/>
    <col min="6" max="6" width="6.44140625" bestFit="1" customWidth="1"/>
    <col min="7" max="7" width="7.109375" bestFit="1" customWidth="1"/>
    <col min="8" max="8" width="8.44140625" bestFit="1" customWidth="1"/>
    <col min="9" max="9" width="8.109375" bestFit="1" customWidth="1"/>
  </cols>
  <sheetData>
    <row r="1" spans="1:9" s="22" customFormat="1" ht="12.75" customHeight="1">
      <c r="B1" s="6" t="s">
        <v>5</v>
      </c>
    </row>
    <row r="2" spans="1:9" ht="23.25" customHeight="1">
      <c r="A2" s="44"/>
      <c r="B2" s="44"/>
    </row>
    <row r="3" spans="1:9" ht="12.75" customHeight="1">
      <c r="A3" s="44"/>
      <c r="B3" s="44"/>
    </row>
    <row r="4" spans="1:9" ht="12.75" customHeight="1">
      <c r="A4" s="44"/>
      <c r="B4" s="44"/>
    </row>
    <row r="5" spans="1:9" ht="12.75" customHeight="1">
      <c r="A5" s="44"/>
      <c r="B5" s="44"/>
    </row>
    <row r="6" spans="1:9" ht="12.75" customHeight="1">
      <c r="A6" s="44"/>
      <c r="B6" s="44"/>
    </row>
    <row r="7" spans="1:9" ht="12.75" customHeight="1">
      <c r="A7" s="44"/>
      <c r="B7" s="44"/>
    </row>
    <row r="8" spans="1:9" ht="12.75" customHeight="1">
      <c r="A8" s="44"/>
      <c r="B8" s="44"/>
    </row>
    <row r="9" spans="1:9" ht="12.75" customHeight="1">
      <c r="A9" s="44"/>
      <c r="B9" s="44"/>
    </row>
    <row r="10" spans="1:9" ht="12.75" customHeight="1">
      <c r="A10" s="44"/>
      <c r="B10" s="44"/>
    </row>
    <row r="11" spans="1:9" ht="12.75" customHeight="1" thickBot="1">
      <c r="A11" s="44"/>
      <c r="B11" s="44"/>
    </row>
    <row r="12" spans="1:9" ht="13.8" thickBot="1">
      <c r="C12" s="23" t="s">
        <v>26</v>
      </c>
      <c r="D12" s="23" t="s">
        <v>27</v>
      </c>
      <c r="E12" s="23" t="s">
        <v>28</v>
      </c>
      <c r="F12" s="23" t="s">
        <v>29</v>
      </c>
      <c r="G12" s="23" t="s">
        <v>30</v>
      </c>
      <c r="H12" s="23" t="s">
        <v>31</v>
      </c>
      <c r="I12" s="34" t="s">
        <v>32</v>
      </c>
    </row>
    <row r="13" spans="1:9" ht="13.8" thickBot="1">
      <c r="A13" s="24" t="s">
        <v>7</v>
      </c>
      <c r="B13" s="43" t="s">
        <v>33</v>
      </c>
      <c r="C13" s="28">
        <v>82643</v>
      </c>
      <c r="D13" s="38">
        <v>1714</v>
      </c>
      <c r="E13" s="38">
        <v>117220</v>
      </c>
      <c r="F13" s="38">
        <v>6901</v>
      </c>
      <c r="G13" s="38">
        <v>6339</v>
      </c>
      <c r="H13" s="38">
        <v>106148</v>
      </c>
      <c r="I13" s="35">
        <v>320965</v>
      </c>
    </row>
    <row r="14" spans="1:9" ht="13.8" thickBot="1">
      <c r="A14" s="48" t="s">
        <v>34</v>
      </c>
      <c r="B14" s="43" t="s">
        <v>35</v>
      </c>
      <c r="C14" s="29">
        <v>54</v>
      </c>
      <c r="D14" s="39">
        <v>1</v>
      </c>
      <c r="E14" s="39">
        <v>128</v>
      </c>
      <c r="F14" s="39">
        <v>63</v>
      </c>
      <c r="G14" s="39">
        <v>580</v>
      </c>
      <c r="H14" s="39">
        <v>65</v>
      </c>
      <c r="I14" s="36">
        <f>SUM(C14:H14)</f>
        <v>891</v>
      </c>
    </row>
    <row r="15" spans="1:9" ht="13.8" thickBot="1">
      <c r="A15" s="49"/>
      <c r="B15" s="25" t="s">
        <v>36</v>
      </c>
      <c r="C15" s="29">
        <v>251</v>
      </c>
      <c r="D15" s="39">
        <v>25</v>
      </c>
      <c r="E15" s="39">
        <v>157</v>
      </c>
      <c r="F15" s="39">
        <v>1157</v>
      </c>
      <c r="G15" s="39">
        <v>7855</v>
      </c>
      <c r="H15" s="39">
        <v>391</v>
      </c>
      <c r="I15" s="36">
        <f t="shared" ref="I15:I17" si="0">SUM(C15:H15)</f>
        <v>9836</v>
      </c>
    </row>
    <row r="16" spans="1:9" ht="13.8" thickBot="1">
      <c r="A16" s="49"/>
      <c r="B16" s="26" t="s">
        <v>37</v>
      </c>
      <c r="C16" s="30">
        <v>645</v>
      </c>
      <c r="D16" s="40">
        <v>90</v>
      </c>
      <c r="E16" s="40">
        <v>567</v>
      </c>
      <c r="F16" s="40">
        <v>1874</v>
      </c>
      <c r="G16" s="40">
        <v>15993</v>
      </c>
      <c r="H16" s="40">
        <v>1118</v>
      </c>
      <c r="I16" s="36">
        <f t="shared" si="0"/>
        <v>20287</v>
      </c>
    </row>
    <row r="17" spans="1:9" ht="13.8" thickBot="1">
      <c r="A17" s="27" t="s">
        <v>38</v>
      </c>
      <c r="B17" s="27" t="s">
        <v>39</v>
      </c>
      <c r="C17" s="31">
        <v>422</v>
      </c>
      <c r="D17" s="31">
        <v>77</v>
      </c>
      <c r="E17" s="31">
        <v>659</v>
      </c>
      <c r="F17" s="31">
        <v>3056</v>
      </c>
      <c r="G17" s="31">
        <v>21061</v>
      </c>
      <c r="H17" s="31">
        <v>1396</v>
      </c>
      <c r="I17" s="36">
        <f t="shared" si="0"/>
        <v>26671</v>
      </c>
    </row>
    <row r="18" spans="1:9" ht="13.8" thickBot="1">
      <c r="A18" s="24" t="s">
        <v>10</v>
      </c>
      <c r="B18" s="26" t="s">
        <v>40</v>
      </c>
      <c r="C18" s="32">
        <v>3784</v>
      </c>
      <c r="D18" s="42">
        <v>339</v>
      </c>
      <c r="E18" s="39">
        <v>5053</v>
      </c>
      <c r="F18" s="42">
        <v>1784</v>
      </c>
      <c r="G18" s="39">
        <v>14845</v>
      </c>
      <c r="H18" s="39">
        <v>4914</v>
      </c>
      <c r="I18" s="36">
        <v>30719</v>
      </c>
    </row>
    <row r="19" spans="1:9" ht="13.8" thickBot="1">
      <c r="A19" s="24" t="s">
        <v>11</v>
      </c>
      <c r="B19" s="25" t="s">
        <v>41</v>
      </c>
      <c r="C19" s="33">
        <v>88555</v>
      </c>
      <c r="D19" s="41">
        <v>2018</v>
      </c>
      <c r="E19" s="41">
        <v>122972</v>
      </c>
      <c r="F19" s="41">
        <v>5908</v>
      </c>
      <c r="G19" s="41">
        <v>2623</v>
      </c>
      <c r="H19" s="41">
        <v>111295</v>
      </c>
      <c r="I19" s="37">
        <v>333371</v>
      </c>
    </row>
    <row r="20" spans="1:9" ht="12.75" customHeight="1">
      <c r="A20" s="44"/>
      <c r="B20" s="44"/>
      <c r="C20" s="44"/>
      <c r="D20" s="44"/>
      <c r="E20" s="44"/>
      <c r="F20" s="44"/>
      <c r="G20" s="44"/>
      <c r="H20" s="44"/>
      <c r="I20" s="44"/>
    </row>
    <row r="21" spans="1:9" ht="13.2">
      <c r="A21" s="50" t="s">
        <v>42</v>
      </c>
      <c r="B21" s="44"/>
      <c r="C21" s="44"/>
      <c r="D21" s="44"/>
      <c r="E21" s="44"/>
      <c r="F21" s="44"/>
      <c r="G21" s="44"/>
      <c r="H21" s="44"/>
      <c r="I21" s="44"/>
    </row>
    <row r="22" spans="1:9" ht="12.75" customHeight="1">
      <c r="A22" s="44"/>
      <c r="B22" s="44"/>
      <c r="C22" s="44"/>
      <c r="D22" s="44"/>
      <c r="E22" s="44"/>
      <c r="F22" s="44"/>
      <c r="G22" s="44"/>
      <c r="H22" s="44"/>
      <c r="I22" s="44"/>
    </row>
    <row r="23" spans="1:9" ht="13.2">
      <c r="A23" s="51" t="s">
        <v>43</v>
      </c>
      <c r="B23" s="44"/>
      <c r="C23" s="44"/>
      <c r="D23" s="44"/>
      <c r="E23" s="44"/>
      <c r="F23" s="44"/>
      <c r="G23" s="44"/>
      <c r="H23" s="44"/>
      <c r="I23" s="44"/>
    </row>
    <row r="24" spans="1:9" ht="13.2">
      <c r="A24" s="52" t="s">
        <v>44</v>
      </c>
      <c r="B24" s="44"/>
      <c r="C24" s="44"/>
      <c r="D24" s="44"/>
      <c r="E24" s="44"/>
      <c r="F24" s="44"/>
      <c r="G24" s="44"/>
      <c r="H24" s="44"/>
      <c r="I24" s="44"/>
    </row>
    <row r="25" spans="1:9" ht="12.75" customHeight="1">
      <c r="A25" s="44"/>
      <c r="B25" s="44"/>
      <c r="C25" s="44"/>
      <c r="D25" s="44"/>
      <c r="E25" s="44"/>
      <c r="F25" s="44"/>
      <c r="G25" s="44"/>
      <c r="H25" s="44"/>
      <c r="I25" s="44"/>
    </row>
    <row r="26" spans="1:9" ht="13.2">
      <c r="A26" s="52" t="s">
        <v>45</v>
      </c>
      <c r="B26" s="44"/>
      <c r="C26" s="44"/>
      <c r="D26" s="44"/>
      <c r="E26" s="44"/>
      <c r="F26" s="44"/>
      <c r="G26" s="44"/>
      <c r="H26" s="44"/>
      <c r="I26" s="44"/>
    </row>
    <row r="27" spans="1:9" ht="12.75" customHeight="1">
      <c r="A27" s="44"/>
      <c r="B27" s="44"/>
      <c r="C27" s="44"/>
      <c r="D27" s="44"/>
      <c r="E27" s="44"/>
      <c r="F27" s="44"/>
      <c r="G27" s="44"/>
      <c r="H27" s="44"/>
      <c r="I27" s="44"/>
    </row>
    <row r="28" spans="1:9" ht="12.75" customHeight="1">
      <c r="A28" s="44"/>
      <c r="B28" s="44"/>
      <c r="C28" s="44"/>
      <c r="D28" s="44"/>
      <c r="E28" s="44"/>
      <c r="F28" s="44"/>
      <c r="G28" s="44"/>
      <c r="H28" s="44"/>
      <c r="I28" s="44"/>
    </row>
    <row r="29" spans="1:9" ht="13.2">
      <c r="A29" s="53" t="s">
        <v>46</v>
      </c>
      <c r="B29" s="44"/>
      <c r="C29" s="44"/>
      <c r="D29" s="44"/>
      <c r="E29" s="44"/>
      <c r="F29" s="44"/>
      <c r="G29" s="44"/>
      <c r="H29" s="44"/>
      <c r="I29" s="44"/>
    </row>
    <row r="30" spans="1:9" ht="12.75" customHeight="1">
      <c r="A30" s="44"/>
      <c r="B30" s="44"/>
      <c r="C30" s="44"/>
      <c r="D30" s="44"/>
      <c r="E30" s="44"/>
      <c r="F30" s="44"/>
      <c r="G30" s="44"/>
      <c r="H30" s="44"/>
      <c r="I30" s="44"/>
    </row>
    <row r="31" spans="1:9" ht="13.2">
      <c r="A31" s="54" t="s">
        <v>47</v>
      </c>
      <c r="B31" s="44"/>
      <c r="C31" s="55" t="s">
        <v>48</v>
      </c>
      <c r="D31" s="44"/>
      <c r="E31" s="44"/>
      <c r="F31" s="44"/>
      <c r="G31" s="44"/>
      <c r="H31" s="44"/>
      <c r="I31" s="44"/>
    </row>
  </sheetData>
  <mergeCells count="12">
    <mergeCell ref="A24:I25"/>
    <mergeCell ref="A26:I27"/>
    <mergeCell ref="A28:I28"/>
    <mergeCell ref="A29:I30"/>
    <mergeCell ref="A31:B31"/>
    <mergeCell ref="C31:F31"/>
    <mergeCell ref="G31:I31"/>
    <mergeCell ref="A2:B11"/>
    <mergeCell ref="A14:A16"/>
    <mergeCell ref="A20:I20"/>
    <mergeCell ref="A21:I22"/>
    <mergeCell ref="A23:I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A9" workbookViewId="0">
      <selection sqref="A1:G10"/>
    </sheetView>
  </sheetViews>
  <sheetFormatPr defaultRowHeight="12.75" customHeight="1"/>
  <cols>
    <col min="1" max="1" width="18.109375" bestFit="1" customWidth="1"/>
    <col min="2" max="2" width="8.44140625" bestFit="1" customWidth="1"/>
    <col min="3" max="3" width="6.44140625" bestFit="1" customWidth="1"/>
    <col min="4" max="4" width="8.44140625" bestFit="1" customWidth="1"/>
    <col min="5" max="5" width="6.44140625" bestFit="1" customWidth="1"/>
    <col min="6" max="6" width="8.88671875" bestFit="1" customWidth="1"/>
    <col min="7" max="7" width="6.44140625" bestFit="1" customWidth="1"/>
    <col min="8" max="8" width="10" customWidth="1"/>
    <col min="9" max="9" width="7.44140625" bestFit="1" customWidth="1"/>
    <col min="10" max="10" width="10" bestFit="1" customWidth="1"/>
    <col min="11" max="11" width="7.44140625" bestFit="1" customWidth="1"/>
    <col min="12" max="12" width="10" bestFit="1" customWidth="1"/>
    <col min="13" max="13" width="7.44140625" bestFit="1" customWidth="1"/>
  </cols>
  <sheetData>
    <row r="1" spans="1:13" ht="23.25" customHeight="1">
      <c r="A1" s="44"/>
      <c r="B1" s="44"/>
      <c r="C1" s="44"/>
      <c r="D1" s="44"/>
      <c r="E1" s="44"/>
      <c r="F1" s="44"/>
      <c r="G1" s="44"/>
      <c r="H1" s="6" t="s">
        <v>49</v>
      </c>
    </row>
    <row r="2" spans="1:13" ht="12.75" customHeight="1">
      <c r="A2" s="44"/>
      <c r="B2" s="44"/>
      <c r="C2" s="44"/>
      <c r="D2" s="44"/>
      <c r="E2" s="44"/>
      <c r="F2" s="44"/>
      <c r="G2" s="44"/>
    </row>
    <row r="3" spans="1:13" ht="12.75" customHeight="1">
      <c r="A3" s="44"/>
      <c r="B3" s="44"/>
      <c r="C3" s="44"/>
      <c r="D3" s="44"/>
      <c r="E3" s="44"/>
      <c r="F3" s="44"/>
      <c r="G3" s="44"/>
    </row>
    <row r="4" spans="1:13" ht="12.75" customHeight="1">
      <c r="A4" s="44"/>
      <c r="B4" s="44"/>
      <c r="C4" s="44"/>
      <c r="D4" s="44"/>
      <c r="E4" s="44"/>
      <c r="F4" s="44"/>
      <c r="G4" s="44"/>
    </row>
    <row r="5" spans="1:13" ht="12.75" customHeight="1">
      <c r="A5" s="44"/>
      <c r="B5" s="44"/>
      <c r="C5" s="44"/>
      <c r="D5" s="44"/>
      <c r="E5" s="44"/>
      <c r="F5" s="44"/>
      <c r="G5" s="44"/>
    </row>
    <row r="6" spans="1:13" ht="12.75" customHeight="1">
      <c r="A6" s="44"/>
      <c r="B6" s="44"/>
      <c r="C6" s="44"/>
      <c r="D6" s="44"/>
      <c r="E6" s="44"/>
      <c r="F6" s="44"/>
      <c r="G6" s="44"/>
    </row>
    <row r="7" spans="1:13" ht="12.75" customHeight="1">
      <c r="A7" s="44"/>
      <c r="B7" s="44"/>
      <c r="C7" s="44"/>
      <c r="D7" s="44"/>
      <c r="E7" s="44"/>
      <c r="F7" s="44"/>
      <c r="G7" s="44"/>
    </row>
    <row r="8" spans="1:13" ht="12.75" customHeight="1">
      <c r="A8" s="44"/>
      <c r="B8" s="44"/>
      <c r="C8" s="44"/>
      <c r="D8" s="44"/>
      <c r="E8" s="44"/>
      <c r="F8" s="44"/>
      <c r="G8" s="44"/>
    </row>
    <row r="9" spans="1:13" ht="12.75" customHeight="1">
      <c r="A9" s="44"/>
      <c r="B9" s="44"/>
      <c r="C9" s="44"/>
      <c r="D9" s="44"/>
      <c r="E9" s="44"/>
      <c r="F9" s="44"/>
      <c r="G9" s="44"/>
    </row>
    <row r="10" spans="1:13" ht="12.75" customHeight="1">
      <c r="A10" s="44"/>
      <c r="B10" s="44"/>
      <c r="C10" s="44"/>
      <c r="D10" s="44"/>
      <c r="E10" s="44"/>
      <c r="F10" s="44"/>
      <c r="G10" s="44"/>
    </row>
    <row r="11" spans="1:13" ht="13.2">
      <c r="A11" s="57" t="s">
        <v>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ht="18.75" customHeight="1">
      <c r="A12" s="58" t="s">
        <v>50</v>
      </c>
      <c r="B12" s="59" t="s">
        <v>26</v>
      </c>
      <c r="C12" s="60"/>
      <c r="D12" s="59" t="s">
        <v>27</v>
      </c>
      <c r="E12" s="60"/>
      <c r="F12" s="59" t="s">
        <v>51</v>
      </c>
      <c r="G12" s="60"/>
      <c r="H12" s="59" t="s">
        <v>29</v>
      </c>
      <c r="I12" s="60"/>
      <c r="J12" s="59" t="s">
        <v>30</v>
      </c>
      <c r="K12" s="60"/>
      <c r="L12" s="59" t="s">
        <v>52</v>
      </c>
      <c r="M12" s="60"/>
    </row>
    <row r="13" spans="1:13" ht="13.2">
      <c r="A13" s="44"/>
      <c r="B13" s="13" t="s">
        <v>53</v>
      </c>
      <c r="C13" s="13" t="s">
        <v>54</v>
      </c>
      <c r="D13" s="13" t="s">
        <v>53</v>
      </c>
      <c r="E13" s="13" t="s">
        <v>54</v>
      </c>
      <c r="F13" s="13" t="s">
        <v>53</v>
      </c>
      <c r="G13" s="13" t="s">
        <v>54</v>
      </c>
      <c r="H13" s="13" t="s">
        <v>53</v>
      </c>
      <c r="I13" s="13" t="s">
        <v>54</v>
      </c>
      <c r="J13" s="13" t="s">
        <v>53</v>
      </c>
      <c r="K13" s="13" t="s">
        <v>54</v>
      </c>
      <c r="L13" s="13" t="s">
        <v>53</v>
      </c>
      <c r="M13" s="13" t="s">
        <v>54</v>
      </c>
    </row>
    <row r="14" spans="1:13" ht="13.2">
      <c r="A14" s="11" t="s">
        <v>55</v>
      </c>
      <c r="B14" s="15">
        <v>6089</v>
      </c>
      <c r="C14" s="16">
        <v>6.8759500000000001E-2</v>
      </c>
      <c r="D14" s="15">
        <v>529</v>
      </c>
      <c r="E14" s="16">
        <v>0.2621407</v>
      </c>
      <c r="F14" s="15">
        <v>8178</v>
      </c>
      <c r="G14" s="16">
        <v>6.6502900000000004E-2</v>
      </c>
      <c r="H14" s="15">
        <v>2733</v>
      </c>
      <c r="I14" s="16">
        <v>0.46259309999999998</v>
      </c>
      <c r="J14" s="15">
        <v>2599</v>
      </c>
      <c r="K14" s="16">
        <v>0.99085020000000001</v>
      </c>
      <c r="L14" s="15">
        <v>8169</v>
      </c>
      <c r="M14" s="16">
        <v>7.3399500000000006E-2</v>
      </c>
    </row>
    <row r="15" spans="1:13" ht="13.2">
      <c r="A15" s="11" t="s">
        <v>56</v>
      </c>
      <c r="B15" s="15">
        <v>5653</v>
      </c>
      <c r="C15" s="16">
        <v>6.3836000000000004E-2</v>
      </c>
      <c r="D15" s="15">
        <v>356</v>
      </c>
      <c r="E15" s="16">
        <v>0.17641229999999999</v>
      </c>
      <c r="F15" s="15">
        <v>7549</v>
      </c>
      <c r="G15" s="16">
        <v>6.1387999999999998E-2</v>
      </c>
      <c r="H15" s="15">
        <v>3042</v>
      </c>
      <c r="I15" s="16">
        <v>0.51489510000000005</v>
      </c>
      <c r="J15" s="15">
        <v>24</v>
      </c>
      <c r="K15" s="16">
        <v>9.1497999999999996E-3</v>
      </c>
      <c r="L15" s="15">
        <v>7511</v>
      </c>
      <c r="M15" s="16">
        <v>6.74873E-2</v>
      </c>
    </row>
    <row r="16" spans="1:13" ht="13.2">
      <c r="A16" s="11" t="s">
        <v>57</v>
      </c>
      <c r="B16" s="15">
        <v>5063</v>
      </c>
      <c r="C16" s="16">
        <v>5.7173500000000002E-2</v>
      </c>
      <c r="D16" s="15">
        <v>255</v>
      </c>
      <c r="E16" s="16">
        <v>0.12636269999999999</v>
      </c>
      <c r="F16" s="15">
        <v>6570</v>
      </c>
      <c r="G16" s="16">
        <v>5.3426800000000003E-2</v>
      </c>
      <c r="H16" s="15">
        <v>132</v>
      </c>
      <c r="I16" s="16">
        <v>2.2342600000000001E-2</v>
      </c>
      <c r="J16" s="14"/>
      <c r="K16" s="14"/>
      <c r="L16" s="15">
        <v>6588</v>
      </c>
      <c r="M16" s="16">
        <v>5.9193999999999997E-2</v>
      </c>
    </row>
    <row r="17" spans="1:13" ht="13.2">
      <c r="A17" s="11" t="s">
        <v>58</v>
      </c>
      <c r="B17" s="15">
        <v>3763</v>
      </c>
      <c r="C17" s="16">
        <v>4.2493400000000001E-2</v>
      </c>
      <c r="D17" s="15">
        <v>262</v>
      </c>
      <c r="E17" s="16">
        <v>0.12983149999999999</v>
      </c>
      <c r="F17" s="15">
        <v>5974</v>
      </c>
      <c r="G17" s="16">
        <v>4.8580199999999997E-2</v>
      </c>
      <c r="H17" s="14"/>
      <c r="I17" s="14"/>
      <c r="J17" s="14"/>
      <c r="K17" s="14"/>
      <c r="L17" s="15">
        <v>6007</v>
      </c>
      <c r="M17" s="16">
        <v>5.3973699999999999E-2</v>
      </c>
    </row>
    <row r="18" spans="1:13" ht="13.2">
      <c r="A18" s="11" t="s">
        <v>59</v>
      </c>
      <c r="B18" s="15">
        <v>5950</v>
      </c>
      <c r="C18" s="16">
        <v>6.7189899999999997E-2</v>
      </c>
      <c r="D18" s="15">
        <v>267</v>
      </c>
      <c r="E18" s="16">
        <v>0.13230919999999999</v>
      </c>
      <c r="F18" s="15">
        <v>8289</v>
      </c>
      <c r="G18" s="16">
        <v>6.7405599999999996E-2</v>
      </c>
      <c r="H18" s="14"/>
      <c r="I18" s="14"/>
      <c r="J18" s="14"/>
      <c r="K18" s="14"/>
      <c r="L18" s="15">
        <v>8456</v>
      </c>
      <c r="M18" s="16">
        <v>7.5978299999999999E-2</v>
      </c>
    </row>
    <row r="19" spans="1:13" ht="13.2">
      <c r="A19" s="11" t="s">
        <v>60</v>
      </c>
      <c r="B19" s="15">
        <v>5833</v>
      </c>
      <c r="C19" s="16">
        <v>6.5868700000000002E-2</v>
      </c>
      <c r="D19" s="15">
        <v>170</v>
      </c>
      <c r="E19" s="16">
        <v>8.4241800000000006E-2</v>
      </c>
      <c r="F19" s="15">
        <v>8272</v>
      </c>
      <c r="G19" s="16">
        <v>6.7267300000000002E-2</v>
      </c>
      <c r="H19" s="14"/>
      <c r="I19" s="14"/>
      <c r="J19" s="14"/>
      <c r="K19" s="14"/>
      <c r="L19" s="15">
        <v>8427</v>
      </c>
      <c r="M19" s="16">
        <v>7.5717699999999999E-2</v>
      </c>
    </row>
    <row r="20" spans="1:13" ht="13.2">
      <c r="A20" s="11" t="s">
        <v>61</v>
      </c>
      <c r="B20" s="15">
        <v>6179</v>
      </c>
      <c r="C20" s="16">
        <v>6.9775799999999999E-2</v>
      </c>
      <c r="D20" s="15">
        <v>124</v>
      </c>
      <c r="E20" s="16">
        <v>6.1447000000000002E-2</v>
      </c>
      <c r="F20" s="15">
        <v>8311</v>
      </c>
      <c r="G20" s="16">
        <v>6.7584500000000006E-2</v>
      </c>
      <c r="H20" s="15">
        <v>1</v>
      </c>
      <c r="I20" s="16">
        <v>1.693E-4</v>
      </c>
      <c r="J20" s="14"/>
      <c r="K20" s="14"/>
      <c r="L20" s="15">
        <v>8544</v>
      </c>
      <c r="M20" s="16">
        <v>7.6768900000000001E-2</v>
      </c>
    </row>
    <row r="21" spans="1:13" ht="13.2">
      <c r="A21" s="11" t="s">
        <v>62</v>
      </c>
      <c r="B21" s="15">
        <v>5820</v>
      </c>
      <c r="C21" s="16">
        <v>6.57219E-2</v>
      </c>
      <c r="D21" s="15">
        <v>55</v>
      </c>
      <c r="E21" s="16">
        <v>2.72547E-2</v>
      </c>
      <c r="F21" s="15">
        <v>8661</v>
      </c>
      <c r="G21" s="16">
        <v>7.0430699999999999E-2</v>
      </c>
      <c r="H21" s="14"/>
      <c r="I21" s="14"/>
      <c r="J21" s="14"/>
      <c r="K21" s="14"/>
      <c r="L21" s="15">
        <v>8846</v>
      </c>
      <c r="M21" s="16">
        <v>7.9482499999999998E-2</v>
      </c>
    </row>
    <row r="22" spans="1:13" ht="13.2">
      <c r="A22" s="11" t="s">
        <v>63</v>
      </c>
      <c r="B22" s="15">
        <v>5331</v>
      </c>
      <c r="C22" s="16">
        <v>6.0199900000000001E-2</v>
      </c>
      <c r="D22" s="14"/>
      <c r="E22" s="14"/>
      <c r="F22" s="15">
        <v>8042</v>
      </c>
      <c r="G22" s="16">
        <v>6.5396999999999997E-2</v>
      </c>
      <c r="H22" s="14"/>
      <c r="I22" s="14"/>
      <c r="J22" s="14"/>
      <c r="K22" s="14"/>
      <c r="L22" s="15">
        <v>8035</v>
      </c>
      <c r="M22" s="16">
        <v>7.2195499999999996E-2</v>
      </c>
    </row>
    <row r="23" spans="1:13" ht="13.2">
      <c r="A23" s="11" t="s">
        <v>64</v>
      </c>
      <c r="B23" s="15">
        <v>4536</v>
      </c>
      <c r="C23" s="16">
        <v>5.1222400000000001E-2</v>
      </c>
      <c r="D23" s="14"/>
      <c r="E23" s="14"/>
      <c r="F23" s="15">
        <v>6838</v>
      </c>
      <c r="G23" s="16">
        <v>5.5606200000000001E-2</v>
      </c>
      <c r="H23" s="14"/>
      <c r="I23" s="14"/>
      <c r="J23" s="14"/>
      <c r="K23" s="14"/>
      <c r="L23" s="15">
        <v>6706</v>
      </c>
      <c r="M23" s="16">
        <v>6.0254299999999997E-2</v>
      </c>
    </row>
    <row r="24" spans="1:13" ht="13.2">
      <c r="A24" s="11" t="s">
        <v>65</v>
      </c>
      <c r="B24" s="15">
        <v>4776</v>
      </c>
      <c r="C24" s="16">
        <v>5.3932599999999997E-2</v>
      </c>
      <c r="D24" s="14"/>
      <c r="E24" s="14"/>
      <c r="F24" s="15">
        <v>6665</v>
      </c>
      <c r="G24" s="16">
        <v>5.4199299999999999E-2</v>
      </c>
      <c r="H24" s="14"/>
      <c r="I24" s="14"/>
      <c r="J24" s="14"/>
      <c r="K24" s="14"/>
      <c r="L24" s="15">
        <v>6840</v>
      </c>
      <c r="M24" s="16">
        <v>6.14583E-2</v>
      </c>
    </row>
    <row r="25" spans="1:13" ht="13.2">
      <c r="A25" s="11" t="s">
        <v>66</v>
      </c>
      <c r="B25" s="15">
        <v>4869</v>
      </c>
      <c r="C25" s="16">
        <v>5.4982799999999998E-2</v>
      </c>
      <c r="D25" s="14"/>
      <c r="E25" s="14"/>
      <c r="F25" s="15">
        <v>7611</v>
      </c>
      <c r="G25" s="16">
        <v>6.1892099999999999E-2</v>
      </c>
      <c r="H25" s="14"/>
      <c r="I25" s="14"/>
      <c r="J25" s="14"/>
      <c r="K25" s="14"/>
      <c r="L25" s="15">
        <v>7714</v>
      </c>
      <c r="M25" s="16">
        <v>6.9311300000000006E-2</v>
      </c>
    </row>
    <row r="26" spans="1:13" ht="13.2">
      <c r="A26" s="11" t="s">
        <v>67</v>
      </c>
      <c r="B26" s="15">
        <v>5732</v>
      </c>
      <c r="C26" s="16">
        <v>6.4728099999999997E-2</v>
      </c>
      <c r="D26" s="14"/>
      <c r="E26" s="14"/>
      <c r="F26" s="15">
        <v>7489</v>
      </c>
      <c r="G26" s="16">
        <v>6.0900000000000003E-2</v>
      </c>
      <c r="H26" s="14"/>
      <c r="I26" s="14"/>
      <c r="J26" s="14"/>
      <c r="K26" s="14"/>
      <c r="L26" s="15">
        <v>7449</v>
      </c>
      <c r="M26" s="16">
        <v>6.6930199999999995E-2</v>
      </c>
    </row>
    <row r="27" spans="1:13" ht="13.2">
      <c r="A27" s="11" t="s">
        <v>68</v>
      </c>
      <c r="B27" s="15">
        <v>6739</v>
      </c>
      <c r="C27" s="16">
        <v>7.6099600000000003E-2</v>
      </c>
      <c r="D27" s="14"/>
      <c r="E27" s="14"/>
      <c r="F27" s="15">
        <v>7943</v>
      </c>
      <c r="G27" s="16">
        <v>6.4591899999999994E-2</v>
      </c>
      <c r="H27" s="14"/>
      <c r="I27" s="14"/>
      <c r="J27" s="14"/>
      <c r="K27" s="14"/>
      <c r="L27" s="15">
        <v>7770</v>
      </c>
      <c r="M27" s="16">
        <v>6.9814500000000002E-2</v>
      </c>
    </row>
    <row r="28" spans="1:13" ht="13.2">
      <c r="A28" s="11" t="s">
        <v>69</v>
      </c>
      <c r="B28" s="15">
        <v>6105</v>
      </c>
      <c r="C28" s="16">
        <v>6.8940199999999993E-2</v>
      </c>
      <c r="D28" s="14"/>
      <c r="E28" s="14"/>
      <c r="F28" s="15">
        <v>7508</v>
      </c>
      <c r="G28" s="16">
        <v>6.1054499999999998E-2</v>
      </c>
      <c r="H28" s="14"/>
      <c r="I28" s="14"/>
      <c r="J28" s="14"/>
      <c r="K28" s="14"/>
      <c r="L28" s="15">
        <v>4233</v>
      </c>
      <c r="M28" s="16">
        <v>3.8034100000000001E-2</v>
      </c>
    </row>
    <row r="29" spans="1:13" ht="13.2">
      <c r="A29" s="11" t="s">
        <v>70</v>
      </c>
      <c r="B29" s="15">
        <v>5450</v>
      </c>
      <c r="C29" s="16">
        <v>6.15437E-2</v>
      </c>
      <c r="D29" s="14"/>
      <c r="E29" s="14"/>
      <c r="F29" s="15">
        <v>5903</v>
      </c>
      <c r="G29" s="16">
        <v>4.8002799999999998E-2</v>
      </c>
      <c r="H29" s="14"/>
      <c r="I29" s="14"/>
      <c r="J29" s="14"/>
      <c r="K29" s="14"/>
      <c r="L29" s="14"/>
      <c r="M29" s="14"/>
    </row>
    <row r="30" spans="1:13" ht="13.2">
      <c r="A30" s="11" t="s">
        <v>71</v>
      </c>
      <c r="B30" s="15">
        <v>667</v>
      </c>
      <c r="C30" s="16">
        <v>7.5319999999999996E-3</v>
      </c>
      <c r="D30" s="14"/>
      <c r="E30" s="14"/>
      <c r="F30" s="15">
        <v>3169</v>
      </c>
      <c r="G30" s="16">
        <v>2.5770100000000001E-2</v>
      </c>
      <c r="H30" s="14"/>
      <c r="I30" s="14"/>
      <c r="J30" s="14"/>
      <c r="K30" s="14"/>
      <c r="L30" s="14"/>
      <c r="M30" s="14"/>
    </row>
    <row r="31" spans="1:13" ht="13.2">
      <c r="A31" s="17" t="s">
        <v>32</v>
      </c>
      <c r="B31" s="18">
        <v>88555</v>
      </c>
      <c r="C31" s="19">
        <v>1</v>
      </c>
      <c r="D31" s="18">
        <v>2018</v>
      </c>
      <c r="E31" s="19">
        <v>0.99999990000000005</v>
      </c>
      <c r="F31" s="18">
        <v>122972</v>
      </c>
      <c r="G31" s="19">
        <v>0.99999990000000005</v>
      </c>
      <c r="H31" s="18">
        <v>5908</v>
      </c>
      <c r="I31" s="19">
        <v>1.0000001000000001</v>
      </c>
      <c r="J31" s="18">
        <v>2623</v>
      </c>
      <c r="K31" s="19">
        <v>1</v>
      </c>
      <c r="L31" s="18">
        <v>111295</v>
      </c>
      <c r="M31" s="19">
        <v>1.0000001000000001</v>
      </c>
    </row>
    <row r="32" spans="1:13" ht="13.2">
      <c r="A32" s="54" t="s">
        <v>72</v>
      </c>
      <c r="B32" s="44"/>
      <c r="C32" s="44"/>
      <c r="D32" s="44"/>
      <c r="E32" s="44"/>
      <c r="F32" s="55" t="s">
        <v>73</v>
      </c>
      <c r="G32" s="44"/>
      <c r="H32" s="44"/>
      <c r="I32" s="44"/>
      <c r="J32" s="56" t="s">
        <v>74</v>
      </c>
      <c r="K32" s="44"/>
      <c r="L32" s="44"/>
      <c r="M32" s="44"/>
    </row>
  </sheetData>
  <mergeCells count="12">
    <mergeCell ref="A32:E32"/>
    <mergeCell ref="F32:I32"/>
    <mergeCell ref="J32:M32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topLeftCell="A4" workbookViewId="0">
      <selection activeCell="M14" sqref="M14:M23"/>
    </sheetView>
  </sheetViews>
  <sheetFormatPr defaultRowHeight="12.75" customHeight="1"/>
  <cols>
    <col min="1" max="1" width="19.44140625" bestFit="1" customWidth="1"/>
    <col min="2" max="2" width="8.21875" bestFit="1" customWidth="1"/>
    <col min="3" max="3" width="6.88671875" bestFit="1" customWidth="1"/>
    <col min="4" max="4" width="8.21875" bestFit="1" customWidth="1"/>
    <col min="5" max="5" width="6.88671875" bestFit="1" customWidth="1"/>
    <col min="6" max="6" width="8.21875" bestFit="1" customWidth="1"/>
    <col min="7" max="7" width="6.88671875" bestFit="1" customWidth="1"/>
    <col min="8" max="8" width="10.109375" bestFit="1" customWidth="1"/>
    <col min="9" max="9" width="12.5546875" bestFit="1" customWidth="1"/>
    <col min="10" max="10" width="10" customWidth="1"/>
    <col min="11" max="11" width="7.5546875" bestFit="1" customWidth="1"/>
    <col min="12" max="12" width="10.109375" bestFit="1" customWidth="1"/>
    <col min="13" max="13" width="7.5546875" bestFit="1" customWidth="1"/>
  </cols>
  <sheetData>
    <row r="1" spans="1:13" ht="23.25" customHeight="1">
      <c r="A1" s="44"/>
      <c r="B1" s="44"/>
      <c r="C1" s="44"/>
      <c r="D1" s="44"/>
      <c r="E1" s="44"/>
      <c r="F1" s="44"/>
      <c r="G1" s="44"/>
      <c r="H1" s="6" t="s">
        <v>75</v>
      </c>
      <c r="I1" s="6" t="s">
        <v>76</v>
      </c>
      <c r="J1" s="6" t="s">
        <v>77</v>
      </c>
    </row>
    <row r="2" spans="1:13" ht="12.75" customHeight="1">
      <c r="A2" s="44"/>
      <c r="B2" s="44"/>
      <c r="C2" s="44"/>
      <c r="D2" s="44"/>
      <c r="E2" s="44"/>
      <c r="F2" s="44"/>
      <c r="G2" s="44"/>
    </row>
    <row r="3" spans="1:13" ht="12.75" customHeight="1">
      <c r="A3" s="44"/>
      <c r="B3" s="44"/>
      <c r="C3" s="44"/>
      <c r="D3" s="44"/>
      <c r="E3" s="44"/>
      <c r="F3" s="44"/>
      <c r="G3" s="44"/>
    </row>
    <row r="4" spans="1:13" ht="12.75" customHeight="1">
      <c r="A4" s="44"/>
      <c r="B4" s="44"/>
      <c r="C4" s="44"/>
      <c r="D4" s="44"/>
      <c r="E4" s="44"/>
      <c r="F4" s="44"/>
      <c r="G4" s="44"/>
    </row>
    <row r="5" spans="1:13" ht="12.75" customHeight="1">
      <c r="A5" s="44"/>
      <c r="B5" s="44"/>
      <c r="C5" s="44"/>
      <c r="D5" s="44"/>
      <c r="E5" s="44"/>
      <c r="F5" s="44"/>
      <c r="G5" s="44"/>
    </row>
    <row r="6" spans="1:13" ht="12.75" customHeight="1">
      <c r="A6" s="44"/>
      <c r="B6" s="44"/>
      <c r="C6" s="44"/>
      <c r="D6" s="44"/>
      <c r="E6" s="44"/>
      <c r="F6" s="44"/>
      <c r="G6" s="44"/>
    </row>
    <row r="7" spans="1:13" ht="12.75" customHeight="1">
      <c r="A7" s="44"/>
      <c r="B7" s="44"/>
      <c r="C7" s="44"/>
      <c r="D7" s="44"/>
      <c r="E7" s="44"/>
      <c r="F7" s="44"/>
      <c r="G7" s="44"/>
    </row>
    <row r="8" spans="1:13" ht="12.75" customHeight="1">
      <c r="A8" s="44"/>
      <c r="B8" s="44"/>
      <c r="C8" s="44"/>
      <c r="D8" s="44"/>
      <c r="E8" s="44"/>
      <c r="F8" s="44"/>
      <c r="G8" s="44"/>
    </row>
    <row r="9" spans="1:13" ht="12.75" customHeight="1">
      <c r="A9" s="44"/>
      <c r="B9" s="44"/>
      <c r="C9" s="44"/>
      <c r="D9" s="44"/>
      <c r="E9" s="44"/>
      <c r="F9" s="44"/>
      <c r="G9" s="44"/>
    </row>
    <row r="10" spans="1:13" ht="12.75" customHeight="1">
      <c r="A10" s="44"/>
      <c r="B10" s="44"/>
      <c r="C10" s="44"/>
      <c r="D10" s="44"/>
      <c r="E10" s="44"/>
      <c r="F10" s="44"/>
      <c r="G10" s="44"/>
    </row>
    <row r="11" spans="1:13" ht="13.2">
      <c r="A11" s="57" t="s">
        <v>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ht="18.75" customHeight="1">
      <c r="A12" s="58" t="s">
        <v>78</v>
      </c>
      <c r="B12" s="59" t="s">
        <v>26</v>
      </c>
      <c r="C12" s="60"/>
      <c r="D12" s="59" t="s">
        <v>27</v>
      </c>
      <c r="E12" s="60"/>
      <c r="F12" s="61" t="s">
        <v>79</v>
      </c>
      <c r="G12" s="60"/>
      <c r="H12" s="59" t="s">
        <v>29</v>
      </c>
      <c r="I12" s="60"/>
      <c r="J12" s="59" t="s">
        <v>30</v>
      </c>
      <c r="K12" s="60"/>
      <c r="L12" s="61" t="s">
        <v>80</v>
      </c>
      <c r="M12" s="60"/>
    </row>
    <row r="13" spans="1:13" ht="13.2">
      <c r="A13" s="44"/>
      <c r="B13" s="13" t="s">
        <v>81</v>
      </c>
      <c r="C13" s="13" t="s">
        <v>54</v>
      </c>
      <c r="D13" s="13" t="s">
        <v>81</v>
      </c>
      <c r="E13" s="13" t="s">
        <v>54</v>
      </c>
      <c r="F13" s="13" t="s">
        <v>81</v>
      </c>
      <c r="G13" s="13" t="s">
        <v>54</v>
      </c>
      <c r="H13" s="13" t="s">
        <v>81</v>
      </c>
      <c r="I13" s="13" t="s">
        <v>54</v>
      </c>
      <c r="J13" s="13" t="s">
        <v>81</v>
      </c>
      <c r="K13" s="13" t="s">
        <v>54</v>
      </c>
      <c r="L13" s="13" t="s">
        <v>81</v>
      </c>
      <c r="M13" s="13" t="s">
        <v>54</v>
      </c>
    </row>
    <row r="14" spans="1:13" ht="13.2">
      <c r="A14" s="11" t="s">
        <v>15</v>
      </c>
      <c r="B14" s="73">
        <v>54</v>
      </c>
      <c r="C14" s="74">
        <v>0.17704919999999999</v>
      </c>
      <c r="D14" s="73">
        <v>1</v>
      </c>
      <c r="E14" s="74">
        <v>3.8461500000000003E-2</v>
      </c>
      <c r="F14" s="75">
        <v>128</v>
      </c>
      <c r="G14" s="76">
        <v>0.47232472324723246</v>
      </c>
      <c r="H14" s="73">
        <v>63</v>
      </c>
      <c r="I14" s="74">
        <v>5.1639299999999999E-2</v>
      </c>
      <c r="J14" s="73">
        <v>642</v>
      </c>
      <c r="K14" s="74">
        <v>7.4365799999999996E-2</v>
      </c>
      <c r="L14" s="75">
        <v>65</v>
      </c>
      <c r="M14" s="76">
        <v>0.1447661469933185</v>
      </c>
    </row>
    <row r="15" spans="1:13" ht="13.2">
      <c r="A15" s="11" t="s">
        <v>16</v>
      </c>
      <c r="B15" s="73">
        <v>7</v>
      </c>
      <c r="C15" s="74">
        <v>2.29508E-2</v>
      </c>
      <c r="D15" s="73">
        <v>2</v>
      </c>
      <c r="E15" s="74">
        <v>7.6923099999999994E-2</v>
      </c>
      <c r="F15" s="75">
        <v>9</v>
      </c>
      <c r="G15" s="76">
        <v>3.3210332103321034E-2</v>
      </c>
      <c r="H15" s="73">
        <v>26</v>
      </c>
      <c r="I15" s="74">
        <v>2.1311500000000001E-2</v>
      </c>
      <c r="J15" s="73">
        <v>390</v>
      </c>
      <c r="K15" s="74">
        <v>4.51755E-2</v>
      </c>
      <c r="L15" s="75">
        <v>18</v>
      </c>
      <c r="M15" s="76">
        <v>4.0089086859688199E-2</v>
      </c>
    </row>
    <row r="16" spans="1:13" ht="13.2">
      <c r="A16" s="11" t="s">
        <v>17</v>
      </c>
      <c r="B16" s="73">
        <v>58</v>
      </c>
      <c r="C16" s="74">
        <v>0.1901639</v>
      </c>
      <c r="D16" s="73">
        <v>9</v>
      </c>
      <c r="E16" s="74">
        <v>0.34615380000000001</v>
      </c>
      <c r="F16" s="75">
        <v>82</v>
      </c>
      <c r="G16" s="76">
        <v>0.30258302583025831</v>
      </c>
      <c r="H16" s="73">
        <v>184</v>
      </c>
      <c r="I16" s="74">
        <v>0.1508197</v>
      </c>
      <c r="J16" s="73">
        <v>668</v>
      </c>
      <c r="K16" s="74">
        <v>7.7377500000000002E-2</v>
      </c>
      <c r="L16" s="75">
        <v>209</v>
      </c>
      <c r="M16" s="76">
        <v>0.46547884187082411</v>
      </c>
    </row>
    <row r="17" spans="1:13" ht="13.2">
      <c r="A17" s="11" t="s">
        <v>18</v>
      </c>
      <c r="B17" s="73">
        <v>11</v>
      </c>
      <c r="C17" s="74">
        <v>3.6065600000000003E-2</v>
      </c>
      <c r="D17" s="77" t="s">
        <v>82</v>
      </c>
      <c r="E17" s="75"/>
      <c r="F17" s="75">
        <v>24</v>
      </c>
      <c r="G17" s="76">
        <v>8.8560885608856083E-2</v>
      </c>
      <c r="H17" s="73">
        <v>243</v>
      </c>
      <c r="I17" s="74">
        <v>0.1991803</v>
      </c>
      <c r="J17" s="73">
        <v>1214</v>
      </c>
      <c r="K17" s="74">
        <v>0.1406232</v>
      </c>
      <c r="L17" s="75">
        <v>38</v>
      </c>
      <c r="M17" s="76">
        <v>8.4632516703786187E-2</v>
      </c>
    </row>
    <row r="18" spans="1:13" ht="13.2">
      <c r="A18" s="11" t="s">
        <v>19</v>
      </c>
      <c r="B18" s="73">
        <v>162</v>
      </c>
      <c r="C18" s="74">
        <v>0.53114749999999999</v>
      </c>
      <c r="D18" s="73">
        <v>9</v>
      </c>
      <c r="E18" s="74">
        <v>0.34615380000000001</v>
      </c>
      <c r="F18" s="75">
        <v>0</v>
      </c>
      <c r="G18" s="76"/>
      <c r="H18" s="73">
        <v>598</v>
      </c>
      <c r="I18" s="74">
        <v>0.49016389999999999</v>
      </c>
      <c r="J18" s="73">
        <v>3473</v>
      </c>
      <c r="K18" s="74">
        <v>0.40229350000000003</v>
      </c>
      <c r="L18" s="75">
        <v>30</v>
      </c>
      <c r="M18" s="76">
        <v>6.6815144766147E-2</v>
      </c>
    </row>
    <row r="19" spans="1:13" ht="13.2">
      <c r="A19" s="11" t="s">
        <v>20</v>
      </c>
      <c r="B19" s="77" t="s">
        <v>82</v>
      </c>
      <c r="C19" s="75"/>
      <c r="D19" s="77" t="s">
        <v>82</v>
      </c>
      <c r="E19" s="75"/>
      <c r="F19" s="75">
        <v>19</v>
      </c>
      <c r="G19" s="76">
        <v>7.0110701107011064E-2</v>
      </c>
      <c r="H19" s="73">
        <v>6</v>
      </c>
      <c r="I19" s="74">
        <v>4.9179999999999996E-3</v>
      </c>
      <c r="J19" s="73">
        <v>57</v>
      </c>
      <c r="K19" s="74">
        <v>6.6026000000000001E-3</v>
      </c>
      <c r="L19" s="75">
        <v>67</v>
      </c>
      <c r="M19" s="76">
        <v>0.1492204899777283</v>
      </c>
    </row>
    <row r="20" spans="1:13" ht="13.2">
      <c r="A20" s="11" t="s">
        <v>21</v>
      </c>
      <c r="B20" s="73">
        <v>12</v>
      </c>
      <c r="C20" s="74">
        <v>3.9344299999999999E-2</v>
      </c>
      <c r="D20" s="73">
        <v>5</v>
      </c>
      <c r="E20" s="74">
        <v>0.1923077</v>
      </c>
      <c r="F20" s="75">
        <v>0</v>
      </c>
      <c r="G20" s="76"/>
      <c r="H20" s="73">
        <v>97</v>
      </c>
      <c r="I20" s="74">
        <v>7.9508200000000001E-2</v>
      </c>
      <c r="J20" s="73">
        <v>1987</v>
      </c>
      <c r="K20" s="74">
        <v>0.23016329999999999</v>
      </c>
      <c r="L20" s="75">
        <v>0</v>
      </c>
      <c r="M20" s="76"/>
    </row>
    <row r="21" spans="1:13" ht="13.2">
      <c r="A21" s="11" t="s">
        <v>22</v>
      </c>
      <c r="B21" s="73">
        <v>1</v>
      </c>
      <c r="C21" s="74">
        <v>3.2786999999999998E-3</v>
      </c>
      <c r="D21" s="77" t="s">
        <v>82</v>
      </c>
      <c r="E21" s="75"/>
      <c r="F21" s="75">
        <v>0</v>
      </c>
      <c r="G21" s="76"/>
      <c r="H21" s="73">
        <v>3</v>
      </c>
      <c r="I21" s="74">
        <v>2.4589999999999998E-3</v>
      </c>
      <c r="J21" s="73">
        <v>202</v>
      </c>
      <c r="K21" s="74">
        <v>2.3398599999999999E-2</v>
      </c>
      <c r="L21" s="75">
        <v>0</v>
      </c>
      <c r="M21" s="76"/>
    </row>
    <row r="22" spans="1:13" ht="13.2">
      <c r="A22" s="11" t="s">
        <v>23</v>
      </c>
      <c r="B22" s="77" t="s">
        <v>82</v>
      </c>
      <c r="C22" s="75"/>
      <c r="D22" s="77" t="s">
        <v>82</v>
      </c>
      <c r="E22" s="75"/>
      <c r="F22" s="75">
        <v>9</v>
      </c>
      <c r="G22" s="76">
        <v>3.3210332103321034E-2</v>
      </c>
      <c r="H22" s="77" t="s">
        <v>82</v>
      </c>
      <c r="I22" s="75"/>
      <c r="J22" s="77" t="s">
        <v>82</v>
      </c>
      <c r="K22" s="75"/>
      <c r="L22" s="75">
        <v>22</v>
      </c>
      <c r="M22" s="76">
        <v>4.8997772828507792E-2</v>
      </c>
    </row>
    <row r="23" spans="1:13" ht="13.2">
      <c r="A23" s="17" t="s">
        <v>32</v>
      </c>
      <c r="B23" s="78">
        <v>305</v>
      </c>
      <c r="C23" s="79">
        <v>1</v>
      </c>
      <c r="D23" s="78">
        <v>26</v>
      </c>
      <c r="E23" s="79">
        <v>1</v>
      </c>
      <c r="F23" s="80">
        <v>271</v>
      </c>
      <c r="G23" s="81">
        <v>1</v>
      </c>
      <c r="H23" s="78">
        <v>1220</v>
      </c>
      <c r="I23" s="79">
        <v>1</v>
      </c>
      <c r="J23" s="78">
        <v>8633</v>
      </c>
      <c r="K23" s="79">
        <v>1</v>
      </c>
      <c r="L23" s="80">
        <v>449</v>
      </c>
      <c r="M23" s="81">
        <v>1</v>
      </c>
    </row>
    <row r="24" spans="1:13" ht="12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</row>
    <row r="25" spans="1:13" ht="13.2">
      <c r="A25" s="62" t="s">
        <v>83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spans="1:13" ht="13.2">
      <c r="A26" s="63" t="s">
        <v>84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</row>
    <row r="27" spans="1:13" ht="12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</row>
    <row r="28" spans="1:13" ht="13.2">
      <c r="A28" s="54" t="s">
        <v>85</v>
      </c>
      <c r="B28" s="44"/>
      <c r="C28" s="44"/>
      <c r="D28" s="44"/>
      <c r="E28" s="44"/>
      <c r="F28" s="55" t="s">
        <v>86</v>
      </c>
      <c r="G28" s="44"/>
      <c r="H28" s="44"/>
      <c r="I28" s="44"/>
      <c r="J28" s="56" t="s">
        <v>87</v>
      </c>
      <c r="K28" s="44"/>
      <c r="L28" s="44"/>
      <c r="M28" s="44"/>
    </row>
  </sheetData>
  <mergeCells count="16">
    <mergeCell ref="A24:M24"/>
    <mergeCell ref="A25:M25"/>
    <mergeCell ref="A26:M26"/>
    <mergeCell ref="A27:M27"/>
    <mergeCell ref="A28:E28"/>
    <mergeCell ref="F28:I28"/>
    <mergeCell ref="J28:M28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5"/>
  <sheetViews>
    <sheetView topLeftCell="A24" zoomScale="90" zoomScaleNormal="90" workbookViewId="0">
      <selection activeCell="J18" sqref="J18"/>
    </sheetView>
  </sheetViews>
  <sheetFormatPr defaultRowHeight="12.75" customHeight="1"/>
  <cols>
    <col min="1" max="1" width="22.109375" bestFit="1" customWidth="1"/>
    <col min="2" max="2" width="7.88671875" bestFit="1" customWidth="1"/>
    <col min="3" max="6" width="11.109375" bestFit="1" customWidth="1"/>
    <col min="7" max="7" width="12.88671875" bestFit="1" customWidth="1"/>
    <col min="8" max="8" width="7.44140625" bestFit="1" customWidth="1"/>
    <col min="9" max="9" width="12.44140625" bestFit="1" customWidth="1"/>
    <col min="10" max="10" width="14.5546875" customWidth="1"/>
    <col min="11" max="11" width="10" bestFit="1" customWidth="1"/>
    <col min="12" max="12" width="7.44140625" bestFit="1" customWidth="1"/>
    <col min="13" max="13" width="10" bestFit="1" customWidth="1"/>
    <col min="14" max="14" width="7.44140625" bestFit="1" customWidth="1"/>
    <col min="15" max="15" width="10" bestFit="1" customWidth="1"/>
    <col min="16" max="16" width="7.44140625" bestFit="1" customWidth="1"/>
    <col min="17" max="17" width="10" bestFit="1" customWidth="1"/>
    <col min="18" max="18" width="7.44140625" bestFit="1" customWidth="1"/>
  </cols>
  <sheetData>
    <row r="1" spans="1:18" ht="23.25" customHeight="1">
      <c r="A1" s="44"/>
      <c r="B1" s="44"/>
      <c r="C1" s="44"/>
      <c r="D1" s="44"/>
      <c r="E1" s="44"/>
      <c r="F1" s="44"/>
      <c r="G1" s="44"/>
      <c r="H1" s="6" t="s">
        <v>75</v>
      </c>
      <c r="I1" s="6" t="s">
        <v>76</v>
      </c>
      <c r="J1" s="6" t="s">
        <v>88</v>
      </c>
    </row>
    <row r="2" spans="1:18" ht="12.75" customHeight="1">
      <c r="A2" s="44"/>
      <c r="B2" s="44"/>
      <c r="C2" s="44"/>
      <c r="D2" s="44"/>
      <c r="E2" s="44"/>
      <c r="F2" s="44"/>
      <c r="G2" s="44"/>
    </row>
    <row r="3" spans="1:18" ht="12.75" customHeight="1">
      <c r="A3" s="44"/>
      <c r="B3" s="44"/>
      <c r="C3" s="44"/>
      <c r="D3" s="44"/>
      <c r="E3" s="44"/>
      <c r="F3" s="44"/>
      <c r="G3" s="44"/>
    </row>
    <row r="4" spans="1:18" ht="12.75" customHeight="1">
      <c r="A4" s="44"/>
      <c r="B4" s="44"/>
      <c r="C4" s="44"/>
      <c r="D4" s="44"/>
      <c r="E4" s="44"/>
      <c r="F4" s="44"/>
      <c r="G4" s="44"/>
    </row>
    <row r="5" spans="1:18" ht="12.75" customHeight="1">
      <c r="A5" s="44"/>
      <c r="B5" s="44"/>
      <c r="C5" s="44"/>
      <c r="D5" s="44"/>
      <c r="E5" s="44"/>
      <c r="F5" s="44"/>
      <c r="G5" s="44"/>
    </row>
    <row r="6" spans="1:18" ht="12.75" customHeight="1">
      <c r="A6" s="44"/>
      <c r="B6" s="44"/>
      <c r="C6" s="44"/>
      <c r="D6" s="44"/>
      <c r="E6" s="44"/>
      <c r="F6" s="44"/>
      <c r="G6" s="44"/>
    </row>
    <row r="7" spans="1:18" ht="12.75" customHeight="1">
      <c r="A7" s="44"/>
      <c r="B7" s="44"/>
      <c r="C7" s="44"/>
      <c r="D7" s="44"/>
      <c r="E7" s="44"/>
      <c r="F7" s="44"/>
      <c r="G7" s="44"/>
    </row>
    <row r="8" spans="1:18" ht="12.75" customHeight="1">
      <c r="A8" s="44"/>
      <c r="B8" s="44"/>
      <c r="C8" s="44"/>
      <c r="D8" s="44"/>
      <c r="E8" s="44"/>
      <c r="F8" s="44"/>
      <c r="G8" s="44"/>
    </row>
    <row r="9" spans="1:18" ht="12.75" customHeight="1">
      <c r="A9" s="44"/>
      <c r="B9" s="44"/>
      <c r="C9" s="44"/>
      <c r="D9" s="44"/>
      <c r="E9" s="44"/>
      <c r="F9" s="44"/>
      <c r="G9" s="44"/>
    </row>
    <row r="10" spans="1:18" ht="12.75" customHeight="1">
      <c r="A10" s="44"/>
      <c r="B10" s="44"/>
      <c r="C10" s="44"/>
      <c r="D10" s="44"/>
      <c r="E10" s="44"/>
      <c r="F10" s="44"/>
      <c r="G10" s="44"/>
    </row>
    <row r="11" spans="1:18" ht="13.2">
      <c r="A11" s="57" t="s">
        <v>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</row>
    <row r="12" spans="1:18" ht="18.75" customHeight="1">
      <c r="A12" s="58" t="s">
        <v>89</v>
      </c>
      <c r="B12" s="44"/>
      <c r="C12" s="44"/>
      <c r="D12" s="44"/>
      <c r="E12" s="44"/>
      <c r="F12" s="44"/>
      <c r="G12" s="59" t="s">
        <v>26</v>
      </c>
      <c r="H12" s="60"/>
      <c r="I12" s="59" t="s">
        <v>27</v>
      </c>
      <c r="J12" s="60"/>
      <c r="K12" s="61" t="s">
        <v>90</v>
      </c>
      <c r="L12" s="60"/>
      <c r="M12" s="59" t="s">
        <v>29</v>
      </c>
      <c r="N12" s="60"/>
      <c r="O12" s="59" t="s">
        <v>30</v>
      </c>
      <c r="P12" s="60"/>
      <c r="Q12" s="61" t="s">
        <v>91</v>
      </c>
      <c r="R12" s="60"/>
    </row>
    <row r="13" spans="1:18" ht="13.2">
      <c r="A13" s="44"/>
      <c r="B13" s="44"/>
      <c r="C13" s="44"/>
      <c r="D13" s="44"/>
      <c r="E13" s="44"/>
      <c r="F13" s="44"/>
      <c r="G13" s="13" t="s">
        <v>81</v>
      </c>
      <c r="H13" s="13" t="s">
        <v>54</v>
      </c>
      <c r="I13" s="13" t="s">
        <v>81</v>
      </c>
      <c r="J13" s="13" t="s">
        <v>54</v>
      </c>
      <c r="K13" s="13" t="s">
        <v>81</v>
      </c>
      <c r="L13" s="13" t="s">
        <v>54</v>
      </c>
      <c r="M13" s="13" t="s">
        <v>81</v>
      </c>
      <c r="N13" s="13" t="s">
        <v>54</v>
      </c>
      <c r="O13" s="13" t="s">
        <v>81</v>
      </c>
      <c r="P13" s="13" t="s">
        <v>54</v>
      </c>
      <c r="Q13" s="13" t="s">
        <v>81</v>
      </c>
      <c r="R13" s="13" t="s">
        <v>54</v>
      </c>
    </row>
    <row r="14" spans="1:18" ht="13.2">
      <c r="A14" s="20" t="s">
        <v>15</v>
      </c>
      <c r="B14" s="12"/>
      <c r="C14" s="64" t="s">
        <v>92</v>
      </c>
      <c r="D14" s="65"/>
      <c r="E14" s="65"/>
      <c r="F14" s="60"/>
      <c r="G14" s="82">
        <v>54</v>
      </c>
      <c r="H14" s="83">
        <v>0.17704919999999999</v>
      </c>
      <c r="I14" s="82">
        <v>1</v>
      </c>
      <c r="J14" s="83">
        <v>3.8461500000000003E-2</v>
      </c>
      <c r="K14" s="84">
        <v>128</v>
      </c>
      <c r="L14" s="85">
        <v>0.47232472324723246</v>
      </c>
      <c r="M14" s="82">
        <v>63</v>
      </c>
      <c r="N14" s="83">
        <v>5.1639299999999999E-2</v>
      </c>
      <c r="O14" s="82">
        <v>642</v>
      </c>
      <c r="P14" s="83">
        <v>7.4365799999999996E-2</v>
      </c>
      <c r="Q14" s="84">
        <v>65</v>
      </c>
      <c r="R14" s="85">
        <v>0.1447661469933185</v>
      </c>
    </row>
    <row r="15" spans="1:18" ht="13.2">
      <c r="A15" s="20" t="s">
        <v>16</v>
      </c>
      <c r="B15" s="21" t="s">
        <v>93</v>
      </c>
      <c r="C15" s="66" t="s">
        <v>94</v>
      </c>
      <c r="D15" s="65"/>
      <c r="E15" s="65"/>
      <c r="F15" s="60"/>
      <c r="G15" s="82">
        <v>7</v>
      </c>
      <c r="H15" s="83">
        <v>2.29508E-2</v>
      </c>
      <c r="I15" s="82">
        <v>2</v>
      </c>
      <c r="J15" s="83">
        <v>7.6923099999999994E-2</v>
      </c>
      <c r="K15" s="84">
        <v>9</v>
      </c>
      <c r="L15" s="85">
        <v>3.3210332103321034E-2</v>
      </c>
      <c r="M15" s="82">
        <v>26</v>
      </c>
      <c r="N15" s="83">
        <v>2.1311500000000001E-2</v>
      </c>
      <c r="O15" s="82">
        <v>390</v>
      </c>
      <c r="P15" s="83">
        <v>4.51755E-2</v>
      </c>
      <c r="Q15" s="84">
        <v>18</v>
      </c>
      <c r="R15" s="85">
        <v>4.0089086859688199E-2</v>
      </c>
    </row>
    <row r="16" spans="1:18" ht="13.2">
      <c r="A16" s="67" t="s">
        <v>17</v>
      </c>
      <c r="B16" s="21" t="s">
        <v>95</v>
      </c>
      <c r="C16" s="66" t="s">
        <v>96</v>
      </c>
      <c r="D16" s="65"/>
      <c r="E16" s="65"/>
      <c r="F16" s="60"/>
      <c r="G16" s="86" t="s">
        <v>82</v>
      </c>
      <c r="H16" s="84"/>
      <c r="I16" s="86" t="s">
        <v>82</v>
      </c>
      <c r="J16" s="84"/>
      <c r="K16" s="84">
        <v>24</v>
      </c>
      <c r="L16" s="85">
        <v>8.8560885608856083E-2</v>
      </c>
      <c r="M16" s="82">
        <v>2</v>
      </c>
      <c r="N16" s="83">
        <v>1.6393E-3</v>
      </c>
      <c r="O16" s="86" t="s">
        <v>82</v>
      </c>
      <c r="P16" s="84"/>
      <c r="Q16" s="84">
        <v>25</v>
      </c>
      <c r="R16" s="85">
        <v>5.5679287305122498E-2</v>
      </c>
    </row>
    <row r="17" spans="1:18" ht="13.2">
      <c r="A17" s="68"/>
      <c r="B17" s="21" t="s">
        <v>97</v>
      </c>
      <c r="C17" s="66" t="s">
        <v>98</v>
      </c>
      <c r="D17" s="65"/>
      <c r="E17" s="65"/>
      <c r="F17" s="60"/>
      <c r="G17" s="82">
        <v>11</v>
      </c>
      <c r="H17" s="83">
        <v>3.6065600000000003E-2</v>
      </c>
      <c r="I17" s="86" t="s">
        <v>82</v>
      </c>
      <c r="J17" s="84"/>
      <c r="K17" s="84">
        <v>0</v>
      </c>
      <c r="L17" s="85"/>
      <c r="M17" s="82">
        <v>5</v>
      </c>
      <c r="N17" s="83">
        <v>4.0984000000000003E-3</v>
      </c>
      <c r="O17" s="82">
        <v>14</v>
      </c>
      <c r="P17" s="83">
        <v>1.6217E-3</v>
      </c>
      <c r="Q17" s="84">
        <v>18</v>
      </c>
      <c r="R17" s="85">
        <v>4.0089086859688199E-2</v>
      </c>
    </row>
    <row r="18" spans="1:18" ht="13.2">
      <c r="A18" s="68"/>
      <c r="B18" s="21" t="s">
        <v>99</v>
      </c>
      <c r="C18" s="66" t="s">
        <v>100</v>
      </c>
      <c r="D18" s="65"/>
      <c r="E18" s="65"/>
      <c r="F18" s="60"/>
      <c r="G18" s="86" t="s">
        <v>82</v>
      </c>
      <c r="H18" s="84"/>
      <c r="I18" s="86" t="s">
        <v>82</v>
      </c>
      <c r="J18" s="84"/>
      <c r="K18" s="84">
        <v>3</v>
      </c>
      <c r="L18" s="85">
        <v>1.107011070110701E-2</v>
      </c>
      <c r="M18" s="82">
        <v>1</v>
      </c>
      <c r="N18" s="83">
        <v>8.1970000000000003E-4</v>
      </c>
      <c r="O18" s="82">
        <v>284</v>
      </c>
      <c r="P18" s="83">
        <v>3.2897000000000003E-2</v>
      </c>
      <c r="Q18" s="84">
        <v>25</v>
      </c>
      <c r="R18" s="85">
        <v>5.5679287305122498E-2</v>
      </c>
    </row>
    <row r="19" spans="1:18" ht="13.2">
      <c r="A19" s="68"/>
      <c r="B19" s="21" t="s">
        <v>101</v>
      </c>
      <c r="C19" s="66" t="s">
        <v>102</v>
      </c>
      <c r="D19" s="65"/>
      <c r="E19" s="65"/>
      <c r="F19" s="60"/>
      <c r="G19" s="82">
        <v>4</v>
      </c>
      <c r="H19" s="83">
        <v>1.3114799999999999E-2</v>
      </c>
      <c r="I19" s="86" t="s">
        <v>82</v>
      </c>
      <c r="J19" s="84"/>
      <c r="K19" s="84">
        <v>0</v>
      </c>
      <c r="L19" s="85"/>
      <c r="M19" s="86" t="s">
        <v>82</v>
      </c>
      <c r="N19" s="84"/>
      <c r="O19" s="86" t="s">
        <v>82</v>
      </c>
      <c r="P19" s="84"/>
      <c r="Q19" s="84">
        <v>6</v>
      </c>
      <c r="R19" s="85">
        <v>1.3363028953229399E-2</v>
      </c>
    </row>
    <row r="20" spans="1:18" ht="13.2">
      <c r="A20" s="68"/>
      <c r="B20" s="21" t="s">
        <v>103</v>
      </c>
      <c r="C20" s="66" t="s">
        <v>104</v>
      </c>
      <c r="D20" s="65"/>
      <c r="E20" s="65"/>
      <c r="F20" s="60"/>
      <c r="G20" s="82">
        <v>1</v>
      </c>
      <c r="H20" s="83">
        <v>3.2786999999999998E-3</v>
      </c>
      <c r="I20" s="86" t="s">
        <v>82</v>
      </c>
      <c r="J20" s="84"/>
      <c r="K20" s="84">
        <v>0</v>
      </c>
      <c r="L20" s="85"/>
      <c r="M20" s="86" t="s">
        <v>82</v>
      </c>
      <c r="N20" s="84"/>
      <c r="O20" s="86" t="s">
        <v>82</v>
      </c>
      <c r="P20" s="84"/>
      <c r="Q20" s="84">
        <v>2</v>
      </c>
      <c r="R20" s="85">
        <v>4.4543429844097994E-3</v>
      </c>
    </row>
    <row r="21" spans="1:18" ht="13.2">
      <c r="A21" s="68"/>
      <c r="B21" s="21" t="s">
        <v>105</v>
      </c>
      <c r="C21" s="66" t="s">
        <v>106</v>
      </c>
      <c r="D21" s="65"/>
      <c r="E21" s="65"/>
      <c r="F21" s="60"/>
      <c r="G21" s="82">
        <v>10</v>
      </c>
      <c r="H21" s="83">
        <v>3.2786900000000001E-2</v>
      </c>
      <c r="I21" s="82">
        <v>1</v>
      </c>
      <c r="J21" s="83">
        <v>3.8461500000000003E-2</v>
      </c>
      <c r="K21" s="84">
        <v>7</v>
      </c>
      <c r="L21" s="85">
        <v>2.5830258302583026E-2</v>
      </c>
      <c r="M21" s="86" t="s">
        <v>82</v>
      </c>
      <c r="N21" s="84"/>
      <c r="O21" s="86" t="s">
        <v>82</v>
      </c>
      <c r="P21" s="84"/>
      <c r="Q21" s="84">
        <v>26</v>
      </c>
      <c r="R21" s="85">
        <v>5.7906458797327393E-2</v>
      </c>
    </row>
    <row r="22" spans="1:18" ht="13.2">
      <c r="A22" s="68"/>
      <c r="B22" s="21" t="s">
        <v>107</v>
      </c>
      <c r="C22" s="66" t="s">
        <v>108</v>
      </c>
      <c r="D22" s="65"/>
      <c r="E22" s="65"/>
      <c r="F22" s="60"/>
      <c r="G22" s="86" t="s">
        <v>82</v>
      </c>
      <c r="H22" s="84"/>
      <c r="I22" s="86" t="s">
        <v>82</v>
      </c>
      <c r="J22" s="84"/>
      <c r="K22" s="84">
        <v>0</v>
      </c>
      <c r="L22" s="85"/>
      <c r="M22" s="82">
        <v>10</v>
      </c>
      <c r="N22" s="83">
        <v>8.1966999999999995E-3</v>
      </c>
      <c r="O22" s="82">
        <v>16</v>
      </c>
      <c r="P22" s="83">
        <v>1.8534000000000001E-3</v>
      </c>
      <c r="Q22" s="84">
        <v>0</v>
      </c>
      <c r="R22" s="85"/>
    </row>
    <row r="23" spans="1:18" ht="13.2">
      <c r="A23" s="68"/>
      <c r="B23" s="21" t="s">
        <v>109</v>
      </c>
      <c r="C23" s="66" t="s">
        <v>110</v>
      </c>
      <c r="D23" s="65"/>
      <c r="E23" s="65"/>
      <c r="F23" s="60"/>
      <c r="G23" s="82">
        <v>26</v>
      </c>
      <c r="H23" s="83">
        <v>8.5245899999999999E-2</v>
      </c>
      <c r="I23" s="82">
        <v>8</v>
      </c>
      <c r="J23" s="83">
        <v>0.30769229999999997</v>
      </c>
      <c r="K23" s="84">
        <v>45</v>
      </c>
      <c r="L23" s="85">
        <v>0.16605166051660517</v>
      </c>
      <c r="M23" s="82">
        <v>166</v>
      </c>
      <c r="N23" s="83">
        <v>0.13606560000000001</v>
      </c>
      <c r="O23" s="82">
        <v>353</v>
      </c>
      <c r="P23" s="83">
        <v>4.0889599999999998E-2</v>
      </c>
      <c r="Q23" s="84">
        <v>107</v>
      </c>
      <c r="R23" s="85">
        <v>0.23830734966592429</v>
      </c>
    </row>
    <row r="24" spans="1:18" ht="13.2">
      <c r="A24" s="69"/>
      <c r="B24" s="21" t="s">
        <v>111</v>
      </c>
      <c r="C24" s="66" t="s">
        <v>112</v>
      </c>
      <c r="D24" s="65"/>
      <c r="E24" s="65"/>
      <c r="F24" s="60"/>
      <c r="G24" s="82">
        <v>6</v>
      </c>
      <c r="H24" s="83">
        <v>1.9672100000000001E-2</v>
      </c>
      <c r="I24" s="86" t="s">
        <v>82</v>
      </c>
      <c r="J24" s="84"/>
      <c r="K24" s="84">
        <v>3</v>
      </c>
      <c r="L24" s="85">
        <v>1.107011070110701E-2</v>
      </c>
      <c r="M24" s="86" t="s">
        <v>82</v>
      </c>
      <c r="N24" s="84"/>
      <c r="O24" s="82">
        <v>1</v>
      </c>
      <c r="P24" s="83">
        <v>1.158E-4</v>
      </c>
      <c r="Q24" s="84">
        <v>0</v>
      </c>
      <c r="R24" s="85"/>
    </row>
    <row r="25" spans="1:18" ht="13.2">
      <c r="A25" s="67" t="s">
        <v>18</v>
      </c>
      <c r="B25" s="21" t="s">
        <v>113</v>
      </c>
      <c r="C25" s="66" t="s">
        <v>114</v>
      </c>
      <c r="D25" s="65"/>
      <c r="E25" s="65"/>
      <c r="F25" s="60"/>
      <c r="G25" s="86" t="s">
        <v>82</v>
      </c>
      <c r="H25" s="84"/>
      <c r="I25" s="86" t="s">
        <v>82</v>
      </c>
      <c r="J25" s="84"/>
      <c r="K25" s="84">
        <v>0</v>
      </c>
      <c r="L25" s="85"/>
      <c r="M25" s="86" t="s">
        <v>82</v>
      </c>
      <c r="N25" s="84"/>
      <c r="O25" s="82">
        <v>2</v>
      </c>
      <c r="P25" s="83">
        <v>2.3169999999999999E-4</v>
      </c>
      <c r="Q25" s="84">
        <v>0</v>
      </c>
      <c r="R25" s="85"/>
    </row>
    <row r="26" spans="1:18" ht="13.2">
      <c r="A26" s="68"/>
      <c r="B26" s="21" t="s">
        <v>115</v>
      </c>
      <c r="C26" s="66" t="s">
        <v>116</v>
      </c>
      <c r="D26" s="65"/>
      <c r="E26" s="65"/>
      <c r="F26" s="60"/>
      <c r="G26" s="86" t="s">
        <v>82</v>
      </c>
      <c r="H26" s="84"/>
      <c r="I26" s="86" t="s">
        <v>82</v>
      </c>
      <c r="J26" s="84"/>
      <c r="K26" s="84">
        <v>0</v>
      </c>
      <c r="L26" s="85"/>
      <c r="M26" s="82">
        <v>115</v>
      </c>
      <c r="N26" s="83">
        <v>9.4262299999999993E-2</v>
      </c>
      <c r="O26" s="82">
        <v>258</v>
      </c>
      <c r="P26" s="83">
        <v>2.98853E-2</v>
      </c>
      <c r="Q26" s="84">
        <v>0</v>
      </c>
      <c r="R26" s="85"/>
    </row>
    <row r="27" spans="1:18" ht="13.2">
      <c r="A27" s="68"/>
      <c r="B27" s="21" t="s">
        <v>117</v>
      </c>
      <c r="C27" s="66" t="s">
        <v>118</v>
      </c>
      <c r="D27" s="65"/>
      <c r="E27" s="65"/>
      <c r="F27" s="60"/>
      <c r="G27" s="86" t="s">
        <v>82</v>
      </c>
      <c r="H27" s="84"/>
      <c r="I27" s="86" t="s">
        <v>82</v>
      </c>
      <c r="J27" s="84"/>
      <c r="K27" s="84">
        <v>0</v>
      </c>
      <c r="L27" s="85"/>
      <c r="M27" s="82">
        <v>7</v>
      </c>
      <c r="N27" s="83">
        <v>5.7377000000000001E-3</v>
      </c>
      <c r="O27" s="82">
        <v>111</v>
      </c>
      <c r="P27" s="83">
        <v>1.28576E-2</v>
      </c>
      <c r="Q27" s="84">
        <v>0</v>
      </c>
      <c r="R27" s="85"/>
    </row>
    <row r="28" spans="1:18" ht="13.2">
      <c r="A28" s="68"/>
      <c r="B28" s="21" t="s">
        <v>119</v>
      </c>
      <c r="C28" s="66" t="s">
        <v>120</v>
      </c>
      <c r="D28" s="65"/>
      <c r="E28" s="65"/>
      <c r="F28" s="60"/>
      <c r="G28" s="86" t="s">
        <v>82</v>
      </c>
      <c r="H28" s="84"/>
      <c r="I28" s="86" t="s">
        <v>82</v>
      </c>
      <c r="J28" s="84"/>
      <c r="K28" s="84">
        <v>5</v>
      </c>
      <c r="L28" s="85">
        <v>1.8450184501845018E-2</v>
      </c>
      <c r="M28" s="82">
        <v>5</v>
      </c>
      <c r="N28" s="83">
        <v>4.0984000000000003E-3</v>
      </c>
      <c r="O28" s="82">
        <v>678</v>
      </c>
      <c r="P28" s="83">
        <v>7.8535900000000006E-2</v>
      </c>
      <c r="Q28" s="84">
        <v>12</v>
      </c>
      <c r="R28" s="85">
        <v>2.6726057906458798E-2</v>
      </c>
    </row>
    <row r="29" spans="1:18" ht="13.2">
      <c r="A29" s="68"/>
      <c r="B29" s="21" t="s">
        <v>121</v>
      </c>
      <c r="C29" s="66" t="s">
        <v>122</v>
      </c>
      <c r="D29" s="65"/>
      <c r="E29" s="65"/>
      <c r="F29" s="60"/>
      <c r="G29" s="82">
        <v>1</v>
      </c>
      <c r="H29" s="83">
        <v>3.2786999999999998E-3</v>
      </c>
      <c r="I29" s="86" t="s">
        <v>82</v>
      </c>
      <c r="J29" s="84"/>
      <c r="K29" s="84">
        <v>15</v>
      </c>
      <c r="L29" s="85">
        <v>5.5350553505535055E-2</v>
      </c>
      <c r="M29" s="86" t="s">
        <v>82</v>
      </c>
      <c r="N29" s="84"/>
      <c r="O29" s="86" t="s">
        <v>82</v>
      </c>
      <c r="P29" s="84"/>
      <c r="Q29" s="84">
        <v>5</v>
      </c>
      <c r="R29" s="85">
        <v>1.1135857461024499E-2</v>
      </c>
    </row>
    <row r="30" spans="1:18" ht="13.2">
      <c r="A30" s="68"/>
      <c r="B30" s="21" t="s">
        <v>123</v>
      </c>
      <c r="C30" s="66" t="s">
        <v>124</v>
      </c>
      <c r="D30" s="65"/>
      <c r="E30" s="65"/>
      <c r="F30" s="60"/>
      <c r="G30" s="86" t="s">
        <v>82</v>
      </c>
      <c r="H30" s="84"/>
      <c r="I30" s="86" t="s">
        <v>82</v>
      </c>
      <c r="J30" s="84"/>
      <c r="K30" s="84">
        <v>0</v>
      </c>
      <c r="L30" s="85"/>
      <c r="M30" s="82">
        <v>1</v>
      </c>
      <c r="N30" s="83">
        <v>8.1970000000000003E-4</v>
      </c>
      <c r="O30" s="82">
        <v>40</v>
      </c>
      <c r="P30" s="83">
        <v>4.6334000000000002E-3</v>
      </c>
      <c r="Q30" s="84">
        <v>0</v>
      </c>
      <c r="R30" s="85"/>
    </row>
    <row r="31" spans="1:18" ht="13.2">
      <c r="A31" s="68"/>
      <c r="B31" s="21" t="s">
        <v>125</v>
      </c>
      <c r="C31" s="66" t="s">
        <v>126</v>
      </c>
      <c r="D31" s="65"/>
      <c r="E31" s="65"/>
      <c r="F31" s="60"/>
      <c r="G31" s="86" t="s">
        <v>82</v>
      </c>
      <c r="H31" s="84"/>
      <c r="I31" s="86" t="s">
        <v>82</v>
      </c>
      <c r="J31" s="84"/>
      <c r="K31" s="84">
        <v>0</v>
      </c>
      <c r="L31" s="85"/>
      <c r="M31" s="82">
        <v>5</v>
      </c>
      <c r="N31" s="83">
        <v>4.0984000000000003E-3</v>
      </c>
      <c r="O31" s="86" t="s">
        <v>82</v>
      </c>
      <c r="P31" s="84"/>
      <c r="Q31" s="84">
        <v>0</v>
      </c>
      <c r="R31" s="85"/>
    </row>
    <row r="32" spans="1:18" ht="13.2">
      <c r="A32" s="68"/>
      <c r="B32" s="21" t="s">
        <v>127</v>
      </c>
      <c r="C32" s="66" t="s">
        <v>128</v>
      </c>
      <c r="D32" s="65"/>
      <c r="E32" s="65"/>
      <c r="F32" s="60"/>
      <c r="G32" s="82">
        <v>3</v>
      </c>
      <c r="H32" s="83">
        <v>9.8361000000000004E-3</v>
      </c>
      <c r="I32" s="86" t="s">
        <v>82</v>
      </c>
      <c r="J32" s="84"/>
      <c r="K32" s="84">
        <v>4</v>
      </c>
      <c r="L32" s="85">
        <v>1.4760147601476014E-2</v>
      </c>
      <c r="M32" s="82">
        <v>27</v>
      </c>
      <c r="N32" s="83">
        <v>2.2131100000000001E-2</v>
      </c>
      <c r="O32" s="82">
        <v>21</v>
      </c>
      <c r="P32" s="83">
        <v>2.4325000000000002E-3</v>
      </c>
      <c r="Q32" s="84">
        <v>21</v>
      </c>
      <c r="R32" s="85">
        <v>4.6770601336302897E-2</v>
      </c>
    </row>
    <row r="33" spans="1:18" ht="13.2">
      <c r="A33" s="68"/>
      <c r="B33" s="21" t="s">
        <v>129</v>
      </c>
      <c r="C33" s="66" t="s">
        <v>130</v>
      </c>
      <c r="D33" s="65"/>
      <c r="E33" s="65"/>
      <c r="F33" s="60"/>
      <c r="G33" s="86" t="s">
        <v>82</v>
      </c>
      <c r="H33" s="84"/>
      <c r="I33" s="86" t="s">
        <v>82</v>
      </c>
      <c r="J33" s="84"/>
      <c r="K33" s="84">
        <v>0</v>
      </c>
      <c r="L33" s="85"/>
      <c r="M33" s="82">
        <v>1</v>
      </c>
      <c r="N33" s="83">
        <v>8.1970000000000003E-4</v>
      </c>
      <c r="O33" s="82">
        <v>21</v>
      </c>
      <c r="P33" s="83">
        <v>2.4325000000000002E-3</v>
      </c>
      <c r="Q33" s="84">
        <v>0</v>
      </c>
      <c r="R33" s="85"/>
    </row>
    <row r="34" spans="1:18" ht="13.2">
      <c r="A34" s="68"/>
      <c r="B34" s="21" t="s">
        <v>131</v>
      </c>
      <c r="C34" s="66" t="s">
        <v>132</v>
      </c>
      <c r="D34" s="65"/>
      <c r="E34" s="65"/>
      <c r="F34" s="60"/>
      <c r="G34" s="86" t="s">
        <v>82</v>
      </c>
      <c r="H34" s="84"/>
      <c r="I34" s="86" t="s">
        <v>82</v>
      </c>
      <c r="J34" s="84"/>
      <c r="K34" s="84">
        <v>0</v>
      </c>
      <c r="L34" s="85"/>
      <c r="M34" s="86" t="s">
        <v>82</v>
      </c>
      <c r="N34" s="84"/>
      <c r="O34" s="82">
        <v>5</v>
      </c>
      <c r="P34" s="83">
        <v>5.7919999999999998E-4</v>
      </c>
      <c r="Q34" s="84">
        <v>0</v>
      </c>
      <c r="R34" s="85"/>
    </row>
    <row r="35" spans="1:18" ht="13.2">
      <c r="A35" s="69"/>
      <c r="B35" s="21" t="s">
        <v>133</v>
      </c>
      <c r="C35" s="66" t="s">
        <v>134</v>
      </c>
      <c r="D35" s="65"/>
      <c r="E35" s="65"/>
      <c r="F35" s="60"/>
      <c r="G35" s="82">
        <v>7</v>
      </c>
      <c r="H35" s="83">
        <v>2.29508E-2</v>
      </c>
      <c r="I35" s="86" t="s">
        <v>82</v>
      </c>
      <c r="J35" s="84"/>
      <c r="K35" s="84">
        <v>0</v>
      </c>
      <c r="L35" s="85"/>
      <c r="M35" s="82">
        <v>82</v>
      </c>
      <c r="N35" s="83">
        <v>6.7213099999999998E-2</v>
      </c>
      <c r="O35" s="82">
        <v>78</v>
      </c>
      <c r="P35" s="83">
        <v>9.0351000000000008E-3</v>
      </c>
      <c r="Q35" s="84">
        <v>0</v>
      </c>
      <c r="R35" s="85"/>
    </row>
    <row r="36" spans="1:18" ht="13.2">
      <c r="A36" s="20" t="s">
        <v>19</v>
      </c>
      <c r="B36" s="21" t="s">
        <v>135</v>
      </c>
      <c r="C36" s="66" t="s">
        <v>136</v>
      </c>
      <c r="D36" s="65"/>
      <c r="E36" s="65"/>
      <c r="F36" s="60"/>
      <c r="G36" s="82">
        <v>162</v>
      </c>
      <c r="H36" s="83">
        <v>0.53114749999999999</v>
      </c>
      <c r="I36" s="82">
        <v>9</v>
      </c>
      <c r="J36" s="83">
        <v>0.34615380000000001</v>
      </c>
      <c r="K36" s="84">
        <v>0</v>
      </c>
      <c r="L36" s="85"/>
      <c r="M36" s="82">
        <v>598</v>
      </c>
      <c r="N36" s="83">
        <v>0.49016389999999999</v>
      </c>
      <c r="O36" s="82">
        <v>3473</v>
      </c>
      <c r="P36" s="83">
        <v>0.40229350000000003</v>
      </c>
      <c r="Q36" s="84">
        <v>30</v>
      </c>
      <c r="R36" s="85">
        <v>6.6815144766147E-2</v>
      </c>
    </row>
    <row r="37" spans="1:18" ht="13.2">
      <c r="A37" s="67" t="s">
        <v>20</v>
      </c>
      <c r="B37" s="21" t="s">
        <v>137</v>
      </c>
      <c r="C37" s="66" t="s">
        <v>138</v>
      </c>
      <c r="D37" s="65"/>
      <c r="E37" s="65"/>
      <c r="F37" s="60"/>
      <c r="G37" s="86" t="s">
        <v>82</v>
      </c>
      <c r="H37" s="84"/>
      <c r="I37" s="86" t="s">
        <v>82</v>
      </c>
      <c r="J37" s="84"/>
      <c r="K37" s="84">
        <v>19</v>
      </c>
      <c r="L37" s="85">
        <v>7.0110701107011064E-2</v>
      </c>
      <c r="M37" s="86" t="s">
        <v>82</v>
      </c>
      <c r="N37" s="84"/>
      <c r="O37" s="86" t="s">
        <v>82</v>
      </c>
      <c r="P37" s="84"/>
      <c r="Q37" s="84">
        <v>67</v>
      </c>
      <c r="R37" s="85">
        <v>0.1492204899777283</v>
      </c>
    </row>
    <row r="38" spans="1:18" ht="13.2">
      <c r="A38" s="68"/>
      <c r="B38" s="21" t="s">
        <v>139</v>
      </c>
      <c r="C38" s="66" t="s">
        <v>140</v>
      </c>
      <c r="D38" s="65"/>
      <c r="E38" s="65"/>
      <c r="F38" s="60"/>
      <c r="G38" s="86" t="s">
        <v>82</v>
      </c>
      <c r="H38" s="84"/>
      <c r="I38" s="86" t="s">
        <v>82</v>
      </c>
      <c r="J38" s="84"/>
      <c r="K38" s="84">
        <v>0</v>
      </c>
      <c r="L38" s="85"/>
      <c r="M38" s="82">
        <v>6</v>
      </c>
      <c r="N38" s="83">
        <v>4.9179999999999996E-3</v>
      </c>
      <c r="O38" s="82">
        <v>3</v>
      </c>
      <c r="P38" s="83">
        <v>3.4749999999999999E-4</v>
      </c>
      <c r="Q38" s="84">
        <v>0</v>
      </c>
      <c r="R38" s="85"/>
    </row>
    <row r="39" spans="1:18" ht="13.2">
      <c r="A39" s="69"/>
      <c r="B39" s="21" t="s">
        <v>141</v>
      </c>
      <c r="C39" s="66" t="s">
        <v>142</v>
      </c>
      <c r="D39" s="65"/>
      <c r="E39" s="65"/>
      <c r="F39" s="60"/>
      <c r="G39" s="86" t="s">
        <v>82</v>
      </c>
      <c r="H39" s="84"/>
      <c r="I39" s="86" t="s">
        <v>82</v>
      </c>
      <c r="J39" s="84"/>
      <c r="K39" s="84">
        <v>0</v>
      </c>
      <c r="L39" s="85"/>
      <c r="M39" s="86" t="s">
        <v>82</v>
      </c>
      <c r="N39" s="84"/>
      <c r="O39" s="82">
        <v>54</v>
      </c>
      <c r="P39" s="83">
        <v>6.2551000000000004E-3</v>
      </c>
      <c r="Q39" s="84">
        <v>0</v>
      </c>
      <c r="R39" s="85"/>
    </row>
    <row r="40" spans="1:18" ht="13.2">
      <c r="A40" s="67" t="s">
        <v>21</v>
      </c>
      <c r="B40" s="21" t="s">
        <v>143</v>
      </c>
      <c r="C40" s="66" t="s">
        <v>144</v>
      </c>
      <c r="D40" s="65"/>
      <c r="E40" s="65"/>
      <c r="F40" s="60"/>
      <c r="G40" s="82">
        <v>12</v>
      </c>
      <c r="H40" s="83">
        <v>3.9344299999999999E-2</v>
      </c>
      <c r="I40" s="82">
        <v>3</v>
      </c>
      <c r="J40" s="83">
        <v>0.1153846</v>
      </c>
      <c r="K40" s="84">
        <v>0</v>
      </c>
      <c r="L40" s="85"/>
      <c r="M40" s="82">
        <v>97</v>
      </c>
      <c r="N40" s="83">
        <v>7.9508200000000001E-2</v>
      </c>
      <c r="O40" s="82">
        <v>1861</v>
      </c>
      <c r="P40" s="83">
        <v>0.21556819999999999</v>
      </c>
      <c r="Q40" s="84">
        <v>0</v>
      </c>
      <c r="R40" s="85"/>
    </row>
    <row r="41" spans="1:18" ht="13.2">
      <c r="A41" s="68"/>
      <c r="B41" s="21" t="s">
        <v>145</v>
      </c>
      <c r="C41" s="66" t="s">
        <v>146</v>
      </c>
      <c r="D41" s="65"/>
      <c r="E41" s="65"/>
      <c r="F41" s="60"/>
      <c r="G41" s="86" t="s">
        <v>82</v>
      </c>
      <c r="H41" s="84"/>
      <c r="I41" s="86" t="s">
        <v>82</v>
      </c>
      <c r="J41" s="84"/>
      <c r="K41" s="84">
        <v>0</v>
      </c>
      <c r="L41" s="85"/>
      <c r="M41" s="86" t="s">
        <v>82</v>
      </c>
      <c r="N41" s="84"/>
      <c r="O41" s="82">
        <v>75</v>
      </c>
      <c r="P41" s="83">
        <v>8.6876000000000002E-3</v>
      </c>
      <c r="Q41" s="84">
        <v>0</v>
      </c>
      <c r="R41" s="85"/>
    </row>
    <row r="42" spans="1:18" ht="13.2">
      <c r="A42" s="68"/>
      <c r="B42" s="21" t="s">
        <v>147</v>
      </c>
      <c r="C42" s="66" t="s">
        <v>148</v>
      </c>
      <c r="D42" s="65"/>
      <c r="E42" s="65"/>
      <c r="F42" s="60"/>
      <c r="G42" s="86" t="s">
        <v>82</v>
      </c>
      <c r="H42" s="84"/>
      <c r="I42" s="82">
        <v>2</v>
      </c>
      <c r="J42" s="83">
        <v>7.6923099999999994E-2</v>
      </c>
      <c r="K42" s="84">
        <v>0</v>
      </c>
      <c r="L42" s="85"/>
      <c r="M42" s="86" t="s">
        <v>82</v>
      </c>
      <c r="N42" s="84"/>
      <c r="O42" s="86" t="s">
        <v>82</v>
      </c>
      <c r="P42" s="84"/>
      <c r="Q42" s="84">
        <v>0</v>
      </c>
      <c r="R42" s="85"/>
    </row>
    <row r="43" spans="1:18" ht="13.2">
      <c r="A43" s="69"/>
      <c r="B43" s="21" t="s">
        <v>149</v>
      </c>
      <c r="C43" s="66" t="s">
        <v>150</v>
      </c>
      <c r="D43" s="65"/>
      <c r="E43" s="65"/>
      <c r="F43" s="60"/>
      <c r="G43" s="86" t="s">
        <v>82</v>
      </c>
      <c r="H43" s="84"/>
      <c r="I43" s="86" t="s">
        <v>82</v>
      </c>
      <c r="J43" s="84"/>
      <c r="K43" s="84">
        <v>0</v>
      </c>
      <c r="L43" s="85"/>
      <c r="M43" s="86" t="s">
        <v>82</v>
      </c>
      <c r="N43" s="84"/>
      <c r="O43" s="82">
        <v>51</v>
      </c>
      <c r="P43" s="83">
        <v>5.9075999999999998E-3</v>
      </c>
      <c r="Q43" s="84">
        <v>0</v>
      </c>
      <c r="R43" s="85"/>
    </row>
    <row r="44" spans="1:18" ht="13.2">
      <c r="A44" s="67" t="s">
        <v>22</v>
      </c>
      <c r="B44" s="21" t="s">
        <v>151</v>
      </c>
      <c r="C44" s="66" t="s">
        <v>152</v>
      </c>
      <c r="D44" s="65"/>
      <c r="E44" s="65"/>
      <c r="F44" s="60"/>
      <c r="G44" s="86" t="s">
        <v>82</v>
      </c>
      <c r="H44" s="84"/>
      <c r="I44" s="86" t="s">
        <v>82</v>
      </c>
      <c r="J44" s="84"/>
      <c r="K44" s="84">
        <v>0</v>
      </c>
      <c r="L44" s="85"/>
      <c r="M44" s="86" t="s">
        <v>82</v>
      </c>
      <c r="N44" s="84"/>
      <c r="O44" s="82">
        <v>7</v>
      </c>
      <c r="P44" s="83">
        <v>8.1079999999999998E-4</v>
      </c>
      <c r="Q44" s="84">
        <v>0</v>
      </c>
      <c r="R44" s="85"/>
    </row>
    <row r="45" spans="1:18" ht="13.2">
      <c r="A45" s="68"/>
      <c r="B45" s="21" t="s">
        <v>153</v>
      </c>
      <c r="C45" s="66" t="s">
        <v>22</v>
      </c>
      <c r="D45" s="65"/>
      <c r="E45" s="65"/>
      <c r="F45" s="60"/>
      <c r="G45" s="82">
        <v>1</v>
      </c>
      <c r="H45" s="83">
        <v>3.2786999999999998E-3</v>
      </c>
      <c r="I45" s="86" t="s">
        <v>82</v>
      </c>
      <c r="J45" s="84"/>
      <c r="K45" s="84">
        <v>0</v>
      </c>
      <c r="L45" s="85"/>
      <c r="M45" s="82">
        <v>3</v>
      </c>
      <c r="N45" s="83">
        <v>2.4589999999999998E-3</v>
      </c>
      <c r="O45" s="82">
        <v>40</v>
      </c>
      <c r="P45" s="83">
        <v>4.6334000000000002E-3</v>
      </c>
      <c r="Q45" s="84">
        <v>0</v>
      </c>
      <c r="R45" s="85"/>
    </row>
    <row r="46" spans="1:18" ht="13.2">
      <c r="A46" s="69"/>
      <c r="B46" s="21" t="s">
        <v>154</v>
      </c>
      <c r="C46" s="66" t="s">
        <v>155</v>
      </c>
      <c r="D46" s="65"/>
      <c r="E46" s="65"/>
      <c r="F46" s="60"/>
      <c r="G46" s="86" t="s">
        <v>82</v>
      </c>
      <c r="H46" s="84"/>
      <c r="I46" s="86" t="s">
        <v>82</v>
      </c>
      <c r="J46" s="84"/>
      <c r="K46" s="84">
        <v>0</v>
      </c>
      <c r="L46" s="85"/>
      <c r="M46" s="86" t="s">
        <v>82</v>
      </c>
      <c r="N46" s="84"/>
      <c r="O46" s="82">
        <v>155</v>
      </c>
      <c r="P46" s="83">
        <v>1.7954399999999999E-2</v>
      </c>
      <c r="Q46" s="84">
        <v>0</v>
      </c>
      <c r="R46" s="85"/>
    </row>
    <row r="47" spans="1:18" ht="13.2">
      <c r="A47" s="67" t="s">
        <v>23</v>
      </c>
      <c r="B47" s="21" t="s">
        <v>156</v>
      </c>
      <c r="C47" s="66" t="s">
        <v>157</v>
      </c>
      <c r="D47" s="65"/>
      <c r="E47" s="65"/>
      <c r="F47" s="60"/>
      <c r="G47" s="86" t="s">
        <v>82</v>
      </c>
      <c r="H47" s="84"/>
      <c r="I47" s="86" t="s">
        <v>82</v>
      </c>
      <c r="J47" s="84"/>
      <c r="K47" s="84">
        <v>1</v>
      </c>
      <c r="L47" s="85">
        <v>3.6900369003690036E-3</v>
      </c>
      <c r="M47" s="86" t="s">
        <v>82</v>
      </c>
      <c r="N47" s="84"/>
      <c r="O47" s="86" t="s">
        <v>82</v>
      </c>
      <c r="P47" s="84"/>
      <c r="Q47" s="84">
        <v>3</v>
      </c>
      <c r="R47" s="85">
        <v>6.6815144766146995E-3</v>
      </c>
    </row>
    <row r="48" spans="1:18" ht="13.2">
      <c r="A48" s="68"/>
      <c r="B48" s="21" t="s">
        <v>158</v>
      </c>
      <c r="C48" s="66" t="s">
        <v>159</v>
      </c>
      <c r="D48" s="65"/>
      <c r="E48" s="65"/>
      <c r="F48" s="60"/>
      <c r="G48" s="86" t="s">
        <v>82</v>
      </c>
      <c r="H48" s="84"/>
      <c r="I48" s="86" t="s">
        <v>82</v>
      </c>
      <c r="J48" s="84"/>
      <c r="K48" s="84">
        <v>7</v>
      </c>
      <c r="L48" s="85">
        <v>2.5830258302583026E-2</v>
      </c>
      <c r="M48" s="86" t="s">
        <v>82</v>
      </c>
      <c r="N48" s="84"/>
      <c r="O48" s="86" t="s">
        <v>82</v>
      </c>
      <c r="P48" s="84"/>
      <c r="Q48" s="84">
        <v>17</v>
      </c>
      <c r="R48" s="85">
        <v>3.7861915367483297E-2</v>
      </c>
    </row>
    <row r="49" spans="1:18" ht="13.2">
      <c r="A49" s="69"/>
      <c r="B49" s="21" t="s">
        <v>160</v>
      </c>
      <c r="C49" s="66" t="s">
        <v>161</v>
      </c>
      <c r="D49" s="65"/>
      <c r="E49" s="65"/>
      <c r="F49" s="60"/>
      <c r="G49" s="86" t="s">
        <v>82</v>
      </c>
      <c r="H49" s="84"/>
      <c r="I49" s="86" t="s">
        <v>82</v>
      </c>
      <c r="J49" s="84"/>
      <c r="K49" s="84">
        <v>1</v>
      </c>
      <c r="L49" s="85">
        <v>3.6900369003690036E-3</v>
      </c>
      <c r="M49" s="86" t="s">
        <v>82</v>
      </c>
      <c r="N49" s="84"/>
      <c r="O49" s="86" t="s">
        <v>82</v>
      </c>
      <c r="P49" s="84"/>
      <c r="Q49" s="84">
        <v>2</v>
      </c>
      <c r="R49" s="85">
        <v>4.4543429844097994E-3</v>
      </c>
    </row>
    <row r="50" spans="1:18" ht="12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1:18" ht="13.2">
      <c r="A51" s="70" t="s">
        <v>162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</row>
    <row r="52" spans="1:18" ht="13.2">
      <c r="A52" s="71" t="s">
        <v>163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</row>
    <row r="53" spans="1:18" ht="12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</row>
    <row r="54" spans="1:18" ht="13.2">
      <c r="A54" s="63" t="s">
        <v>164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</row>
    <row r="55" spans="1:18" ht="13.2">
      <c r="A55" s="54" t="s">
        <v>85</v>
      </c>
      <c r="B55" s="44"/>
      <c r="C55" s="44"/>
      <c r="D55" s="44"/>
      <c r="E55" s="44"/>
      <c r="F55" s="44"/>
      <c r="G55" s="55" t="s">
        <v>165</v>
      </c>
      <c r="H55" s="44"/>
      <c r="I55" s="44"/>
      <c r="J55" s="44"/>
      <c r="K55" s="44"/>
      <c r="L55" s="44"/>
      <c r="M55" s="56" t="s">
        <v>166</v>
      </c>
      <c r="N55" s="44"/>
      <c r="O55" s="44"/>
      <c r="P55" s="44"/>
      <c r="Q55" s="44"/>
      <c r="R55" s="44"/>
    </row>
  </sheetData>
  <mergeCells count="58">
    <mergeCell ref="A50:R50"/>
    <mergeCell ref="A51:R51"/>
    <mergeCell ref="A52:R53"/>
    <mergeCell ref="A54:R54"/>
    <mergeCell ref="A55:F55"/>
    <mergeCell ref="G55:L55"/>
    <mergeCell ref="M55:R55"/>
    <mergeCell ref="A44:A46"/>
    <mergeCell ref="C44:F44"/>
    <mergeCell ref="C45:F45"/>
    <mergeCell ref="C46:F46"/>
    <mergeCell ref="A47:A49"/>
    <mergeCell ref="C47:F47"/>
    <mergeCell ref="C48:F48"/>
    <mergeCell ref="C49:F49"/>
    <mergeCell ref="A40:A43"/>
    <mergeCell ref="C40:F40"/>
    <mergeCell ref="C41:F41"/>
    <mergeCell ref="C42:F42"/>
    <mergeCell ref="C43:F43"/>
    <mergeCell ref="C36:F36"/>
    <mergeCell ref="A37:A39"/>
    <mergeCell ref="C37:F37"/>
    <mergeCell ref="C38:F38"/>
    <mergeCell ref="C39:F39"/>
    <mergeCell ref="A25:A35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b154c8-766f-4d10-9ef1-7ba7e00e91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AC6174B7F344DAAAE0C0C844A694E" ma:contentTypeVersion="15" ma:contentTypeDescription="Create a new document." ma:contentTypeScope="" ma:versionID="435ed13c84decd21cc2389e6d6047608">
  <xsd:schema xmlns:xsd="http://www.w3.org/2001/XMLSchema" xmlns:xs="http://www.w3.org/2001/XMLSchema" xmlns:p="http://schemas.microsoft.com/office/2006/metadata/properties" xmlns:ns3="ceb154c8-766f-4d10-9ef1-7ba7e00e918a" xmlns:ns4="2e8a479e-38a7-4b25-9bd9-dbe9fc91aead" targetNamespace="http://schemas.microsoft.com/office/2006/metadata/properties" ma:root="true" ma:fieldsID="183adcb862fdbf0877945d27139fc58c" ns3:_="" ns4:_="">
    <xsd:import namespace="ceb154c8-766f-4d10-9ef1-7ba7e00e918a"/>
    <xsd:import namespace="2e8a479e-38a7-4b25-9bd9-dbe9fc91aea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154c8-766f-4d10-9ef1-7ba7e00e918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a479e-38a7-4b25-9bd9-dbe9fc91aea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4B7AA6-770D-490A-8F41-63624F644114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2e8a479e-38a7-4b25-9bd9-dbe9fc91aead"/>
    <ds:schemaRef ds:uri="ceb154c8-766f-4d10-9ef1-7ba7e00e918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0766244-EA3F-4DE8-BA8A-C33F8EE081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63BA6-0889-4DED-8C4F-665ED318C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b154c8-766f-4d10-9ef1-7ba7e00e918a"/>
    <ds:schemaRef ds:uri="2e8a479e-38a7-4b25-9bd9-dbe9fc91a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2024-04-19T13:50:17Z</dcterms:created>
  <dcterms:modified xsi:type="dcterms:W3CDTF">2024-04-24T23:27:15Z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0x010100CCDAC6174B7F344DAAAE0C0C844A694E</vt:lpwstr>
  </property>
</Properties>
</file>