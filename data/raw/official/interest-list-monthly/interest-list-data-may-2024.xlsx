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Y:\P&amp;E\ADDD_Team\IL Times and Dispositions Report\"/>
    </mc:Choice>
  </mc:AlternateContent>
  <xr:revisionPtr revIDLastSave="0" documentId="8_{7D67567A-F012-4179-ACA0-E3EF12306F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Page_2'!$A$10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Summary_3'!$A$21</definedName>
    <definedName name="TOC_5">'IL Releases Summary_3'!$A$23</definedName>
    <definedName name="TOC_6">'IL Releases Summary_3'!$A$25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3" l="1"/>
  <c r="T17" i="3"/>
  <c r="T19" i="3"/>
  <c r="T21" i="3"/>
</calcChain>
</file>

<file path=xl/sharedStrings.xml><?xml version="1.0" encoding="utf-8"?>
<sst xmlns="http://schemas.openxmlformats.org/spreadsheetml/2006/main" count="362" uniqueCount="174">
  <si>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</si>
  <si>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</si>
  <si>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May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</si>
  <si>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</si>
  <si>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</si>
  <si>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</si>
  <si>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</si>
  <si>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</si>
  <si>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</si>
  <si>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</si>
  <si>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</si>
  <si>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</si>
  <si>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</si>
  <si>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</si>
  <si>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</si>
  <si>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</si>
  <si>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</si>
  <si>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</si>
  <si>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</si>
  <si>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</si>
  <si>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</si>
  <si>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</si>
  <si>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</si>
  <si>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</si>
  <si>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6/20/24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</si>
  <si>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</si>
  <si>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</si>
  <si>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</si>
  <si>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</si>
  <si>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</si>
  <si>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</si>
  <si>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</si>
  <si>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</si>
  <si>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</si>
  <si>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</si>
  <si>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</si>
  <si>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</si>
  <si>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</si>
  <si>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</si>
  <si>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</si>
  <si>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</si>
  <si>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May 31, 2024</t>
    </r>
  </si>
  <si>
    <t>1. HCS and TxHmL counts for Released/Removed and Total Releases are derived from CARE data source, not CSIL, and provided by Local Authority staff.</t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</si>
  <si>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</si>
  <si>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</si>
  <si>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</si>
  <si>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173,305</t>
    </r>
  </si>
  <si>
    <t>Data Source:  CSIL (and CARE, see, note 1)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</si>
  <si>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6/20/24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</si>
  <si>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1 of 5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</si>
  <si>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</si>
  <si>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</si>
  <si>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</si>
  <si>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</si>
  <si>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</si>
  <si>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</si>
  <si>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</si>
  <si>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</si>
  <si>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</si>
  <si>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</si>
  <si>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</si>
  <si>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</si>
  <si>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</si>
  <si>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</si>
  <si>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</si>
  <si>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</si>
  <si>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</si>
  <si>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</si>
  <si>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</si>
  <si>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</si>
  <si>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</si>
  <si>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</si>
  <si>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</si>
  <si>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>Data Source:  CSIL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</si>
  <si>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6/20/24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</si>
  <si>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2 of 5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</si>
  <si>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</si>
  <si>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</si>
  <si>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</si>
  <si>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</si>
  <si>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</si>
  <si>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</si>
  <si>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</si>
  <si>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t>0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</si>
  <si>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</si>
  <si>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</si>
  <si>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t>Data Source:  CSIL and CARE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</si>
  <si>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6/20/24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</si>
  <si>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3 of 5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</si>
  <si>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</si>
  <si>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</si>
  <si>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</si>
  <si>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</si>
  <si>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</si>
  <si>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</si>
  <si>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</si>
  <si>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</si>
  <si>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</si>
  <si>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</si>
  <si>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</si>
  <si>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</si>
  <si>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</si>
  <si>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</si>
  <si>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</si>
  <si>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</si>
  <si>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</si>
  <si>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</si>
  <si>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</si>
  <si>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</si>
  <si>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</si>
  <si>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</si>
  <si>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</si>
  <si>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</si>
  <si>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</si>
  <si>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</si>
  <si>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</si>
  <si>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</si>
  <si>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</si>
  <si>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</si>
  <si>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</si>
  <si>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</si>
  <si>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</si>
  <si>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</si>
  <si>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</si>
  <si>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</si>
  <si>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</si>
  <si>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</si>
  <si>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</si>
  <si>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</si>
  <si>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</si>
  <si>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</si>
  <si>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</si>
  <si>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</si>
  <si>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</si>
  <si>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</si>
  <si>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</si>
  <si>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</si>
  <si>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</si>
  <si>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</si>
  <si>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</si>
  <si>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</si>
  <si>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</si>
  <si>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</si>
  <si>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</si>
  <si>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</si>
  <si>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</si>
  <si>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</si>
  <si>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</si>
  <si>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</si>
  <si>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</si>
  <si>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</si>
  <si>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</si>
  <si>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</si>
  <si>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</si>
  <si>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</si>
  <si>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</si>
  <si>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</si>
  <si>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</si>
  <si>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</si>
  <si>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</si>
  <si>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 waiver services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</si>
  <si>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</si>
  <si>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</si>
  <si>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</si>
  <si>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</si>
  <si>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</si>
  <si>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</si>
  <si>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</si>
  <si>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</si>
  <si>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</si>
  <si>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</si>
  <si>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rPr>
        <vertAlign val="superscript"/>
        <sz val="7"/>
        <color theme="1"/>
        <rFont val="Arial"/>
        <family val="2"/>
      </rP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CARE.</t>
    </r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</si>
  <si>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6/20/24</t>
    </r>
  </si>
  <si>
    <r>
      <rPr>
        <sz val="8"/>
        <color theme="1"/>
        <rFont val="Arial"/>
        <family val="2"/>
      </rPr>
      <t xml:space="preserve">Page </t>
    </r>
    <r>
      <rPr>
        <sz val="8"/>
        <color theme="1"/>
        <rFont val="Arial"/>
        <family val="2"/>
      </rPr>
      <t>4 of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</si>
</sst>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0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 style="medium">
        <color rgb="FFEFEFEF"/>
      </right>
      <top style="medium">
        <color rgb="FFEFEFEF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0" xfId="0" applyFill="1"/>
    <xf numFmtId="0" fontId="3" fillId="2" borderId="0" xfId="0" applyFont="1" applyFill="1" applyBorder="1" applyAlignment="1">
      <alignment horizontal="left" vertical="center"/>
    </xf>
    <xf numFmtId="0" fontId="0" fillId="2" borderId="0" xfId="0" applyFill="1" applyBorder="1"/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3" fontId="12" fillId="0" borderId="28" xfId="0" applyNumberFormat="1" applyFont="1" applyBorder="1" applyAlignment="1">
      <alignment horizontal="right"/>
    </xf>
    <xf numFmtId="0" fontId="0" fillId="0" borderId="29" xfId="0" applyBorder="1"/>
    <xf numFmtId="0" fontId="0" fillId="0" borderId="17" xfId="0" applyBorder="1"/>
    <xf numFmtId="0" fontId="0" fillId="0" borderId="18" xfId="0" applyBorder="1"/>
    <xf numFmtId="3" fontId="15" fillId="3" borderId="6" xfId="0" applyNumberFormat="1" applyFont="1" applyFill="1" applyBorder="1" applyAlignment="1">
      <alignment horizontal="right"/>
    </xf>
    <xf numFmtId="0" fontId="0" fillId="3" borderId="10" xfId="0" applyFill="1" applyBorder="1"/>
    <xf numFmtId="0" fontId="0" fillId="3" borderId="13" xfId="0" applyFill="1" applyBorder="1"/>
    <xf numFmtId="0" fontId="0" fillId="3" borderId="15" xfId="0" applyFill="1" applyBorder="1"/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24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5" fillId="3" borderId="13" xfId="0" applyFont="1" applyFill="1" applyBorder="1"/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11" fillId="3" borderId="3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24" fillId="3" borderId="24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1008179" cy="4556876"/>
    <xdr:pic>
      <xdr:nvPicPr>
        <xdr:cNvPr id="3" name="HHS_Logo_color_2lines_H.jpeg">
          <a:extLst>
            <a:ext uri="{FF2B5EF4-FFF2-40B4-BE49-F238E27FC236}">
              <a16:creationId xmlns:a16="http://schemas.microsoft.com/office/drawing/2014/main" id="{0F985D42-25B4-47AC-8A57-47669D46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1008179" cy="455687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3" name="DADS_Color_Logo.jpeg">
          <a:extLst>
            <a:ext uri="{FF2B5EF4-FFF2-40B4-BE49-F238E27FC236}">
              <a16:creationId xmlns:a16="http://schemas.microsoft.com/office/drawing/2014/main" id="{A06126B2-3421-4B08-B2D7-2D3D7F97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3" name="DADS_Color_Logo1.jpeg">
          <a:extLst>
            <a:ext uri="{FF2B5EF4-FFF2-40B4-BE49-F238E27FC236}">
              <a16:creationId xmlns:a16="http://schemas.microsoft.com/office/drawing/2014/main" id="{AC4306D2-3BF0-4D54-81CE-B62FA4BF6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3" name="DADS_Color_Logo1.jpeg">
          <a:extLst>
            <a:ext uri="{FF2B5EF4-FFF2-40B4-BE49-F238E27FC236}">
              <a16:creationId xmlns:a16="http://schemas.microsoft.com/office/drawing/2014/main" id="{27A3D471-4058-433F-ADE1-8F25BCA7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252992" cy="1744266"/>
    <xdr:pic>
      <xdr:nvPicPr>
        <xdr:cNvPr id="3" name="DADS_Color_Logo1.jpeg">
          <a:extLst>
            <a:ext uri="{FF2B5EF4-FFF2-40B4-BE49-F238E27FC236}">
              <a16:creationId xmlns:a16="http://schemas.microsoft.com/office/drawing/2014/main" id="{2D5CD45C-530D-40B2-8330-A77D3C64A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52992" cy="174426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3" name="DADS_Color_Logo1.jpeg">
          <a:extLst>
            <a:ext uri="{FF2B5EF4-FFF2-40B4-BE49-F238E27FC236}">
              <a16:creationId xmlns:a16="http://schemas.microsoft.com/office/drawing/2014/main" id="{95544AB4-2884-44A2-AAF4-F315D5EE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7:A31"/>
  <sheetViews>
    <sheetView tabSelected="1" zoomScale="50" zoomScaleNormal="50" workbookViewId="0">
      <selection activeCell="E20" sqref="E20"/>
    </sheetView>
  </sheetViews>
  <sheetFormatPr defaultRowHeight="12.75" customHeight="1"/>
  <cols>
    <col min="1" max="1" width="165.140625" customWidth="1"/>
  </cols>
  <sheetData>
    <row r="27" spans="1:1" ht="12.75" customHeight="1">
      <c r="A27" s="32"/>
    </row>
    <row r="28" spans="1:1" ht="12.75" customHeight="1">
      <c r="A28" s="32"/>
    </row>
    <row r="29" spans="1:1" ht="48" customHeight="1">
      <c r="A29" s="1" t="s">
        <v>0</v>
      </c>
    </row>
    <row r="30" spans="1:1" ht="48" customHeight="1">
      <c r="A30" s="1" t="s">
        <v>1</v>
      </c>
    </row>
    <row r="31" spans="1:1" ht="30" customHeight="1">
      <c r="A31" s="87" t="s">
        <v>2</v>
      </c>
    </row>
  </sheetData>
  <mergeCells count="1">
    <mergeCell ref="A27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opLeftCell="A14" workbookViewId="0">
      <selection activeCell="L18" sqref="L18"/>
    </sheetView>
  </sheetViews>
  <sheetFormatPr defaultRowHeight="12.75" customHeight="1"/>
  <cols>
    <col min="1" max="1" width="42.85546875" customWidth="1"/>
    <col min="2" max="2" width="23.85546875" customWidth="1"/>
    <col min="3" max="3" width="84.5703125" customWidth="1"/>
  </cols>
  <sheetData>
    <row r="1" spans="1:3" ht="23.25" customHeight="1">
      <c r="A1" s="33"/>
      <c r="B1" s="30"/>
      <c r="C1" s="9" t="s">
        <v>3</v>
      </c>
    </row>
    <row r="2" spans="1:3" s="28" customFormat="1" ht="23.25" customHeight="1">
      <c r="A2" s="34"/>
      <c r="B2" s="30"/>
      <c r="C2" s="31"/>
    </row>
    <row r="3" spans="1:3" s="28" customFormat="1" ht="23.25" customHeight="1">
      <c r="A3" s="34"/>
      <c r="B3" s="30"/>
      <c r="C3" s="31"/>
    </row>
    <row r="4" spans="1:3" s="28" customFormat="1" ht="23.25" customHeight="1">
      <c r="A4" s="34"/>
      <c r="B4" s="30"/>
      <c r="C4" s="31"/>
    </row>
    <row r="5" spans="1:3">
      <c r="A5" s="35"/>
      <c r="B5" s="8"/>
      <c r="C5" s="8"/>
    </row>
    <row r="6" spans="1:3" s="28" customFormat="1">
      <c r="A6" s="29"/>
      <c r="B6" s="29"/>
      <c r="C6" s="29"/>
    </row>
    <row r="7" spans="1:3" s="28" customFormat="1">
      <c r="A7" s="29"/>
      <c r="B7" s="29"/>
      <c r="C7" s="29"/>
    </row>
    <row r="8" spans="1:3" s="28" customFormat="1">
      <c r="A8" s="29"/>
      <c r="B8" s="29"/>
      <c r="C8" s="29"/>
    </row>
    <row r="9" spans="1:3" ht="23.25" customHeight="1">
      <c r="A9" s="36" t="s">
        <v>4</v>
      </c>
      <c r="B9" s="35"/>
      <c r="C9" s="35"/>
    </row>
    <row r="10" spans="1:3">
      <c r="A10" s="4" t="s">
        <v>5</v>
      </c>
      <c r="B10" s="10" t="s">
        <v>6</v>
      </c>
      <c r="C10" s="5">
        <v>1</v>
      </c>
    </row>
    <row r="11" spans="1:3">
      <c r="A11" s="7" t="s">
        <v>7</v>
      </c>
      <c r="B11" s="10" t="s">
        <v>6</v>
      </c>
      <c r="C11" s="5">
        <v>1</v>
      </c>
    </row>
    <row r="12" spans="1:3">
      <c r="A12" s="7" t="s">
        <v>8</v>
      </c>
      <c r="B12" s="10" t="s">
        <v>6</v>
      </c>
      <c r="C12" s="5">
        <v>1</v>
      </c>
    </row>
    <row r="13" spans="1:3">
      <c r="A13" s="7" t="s">
        <v>9</v>
      </c>
      <c r="B13" s="10" t="s">
        <v>6</v>
      </c>
      <c r="C13" s="5">
        <v>1</v>
      </c>
    </row>
    <row r="14" spans="1:3">
      <c r="A14" s="7" t="s">
        <v>10</v>
      </c>
      <c r="B14" s="10" t="s">
        <v>6</v>
      </c>
      <c r="C14" s="5">
        <v>1</v>
      </c>
    </row>
    <row r="15" spans="1:3">
      <c r="A15" s="7" t="s">
        <v>11</v>
      </c>
      <c r="B15" s="10" t="s">
        <v>6</v>
      </c>
      <c r="C15" s="5">
        <v>1</v>
      </c>
    </row>
    <row r="16" spans="1:3">
      <c r="A16" s="4" t="s">
        <v>12</v>
      </c>
      <c r="B16" s="10" t="s">
        <v>6</v>
      </c>
      <c r="C16" s="5">
        <v>2</v>
      </c>
    </row>
    <row r="17" spans="1:3">
      <c r="A17" s="4" t="s">
        <v>13</v>
      </c>
      <c r="B17" s="10" t="s">
        <v>6</v>
      </c>
      <c r="C17" s="5">
        <v>3</v>
      </c>
    </row>
    <row r="18" spans="1:3">
      <c r="A18" s="4" t="s">
        <v>14</v>
      </c>
      <c r="B18" s="10" t="s">
        <v>6</v>
      </c>
      <c r="C18" s="5">
        <v>4</v>
      </c>
    </row>
    <row r="19" spans="1:3">
      <c r="A19" s="7" t="s">
        <v>15</v>
      </c>
      <c r="B19" s="10" t="s">
        <v>6</v>
      </c>
      <c r="C19" s="5">
        <v>4</v>
      </c>
    </row>
    <row r="20" spans="1:3">
      <c r="A20" s="7" t="s">
        <v>16</v>
      </c>
      <c r="B20" s="10" t="s">
        <v>6</v>
      </c>
      <c r="C20" s="5">
        <v>4</v>
      </c>
    </row>
    <row r="21" spans="1:3">
      <c r="A21" s="7" t="s">
        <v>17</v>
      </c>
      <c r="B21" s="10" t="s">
        <v>6</v>
      </c>
      <c r="C21" s="5">
        <v>4</v>
      </c>
    </row>
    <row r="22" spans="1:3">
      <c r="A22" s="7" t="s">
        <v>18</v>
      </c>
      <c r="B22" s="10" t="s">
        <v>6</v>
      </c>
      <c r="C22" s="5">
        <v>4</v>
      </c>
    </row>
    <row r="23" spans="1:3">
      <c r="A23" s="7" t="s">
        <v>19</v>
      </c>
      <c r="B23" s="10" t="s">
        <v>6</v>
      </c>
      <c r="C23" s="5">
        <v>4</v>
      </c>
    </row>
    <row r="24" spans="1:3">
      <c r="A24" s="7" t="s">
        <v>20</v>
      </c>
      <c r="B24" s="10" t="s">
        <v>6</v>
      </c>
      <c r="C24" s="5">
        <v>4</v>
      </c>
    </row>
    <row r="25" spans="1:3">
      <c r="A25" s="7" t="s">
        <v>21</v>
      </c>
      <c r="B25" s="10" t="s">
        <v>6</v>
      </c>
      <c r="C25" s="5">
        <v>4</v>
      </c>
    </row>
    <row r="26" spans="1:3">
      <c r="A26" s="7" t="s">
        <v>22</v>
      </c>
      <c r="B26" s="10" t="s">
        <v>6</v>
      </c>
      <c r="C26" s="5">
        <v>4</v>
      </c>
    </row>
    <row r="27" spans="1:3">
      <c r="A27" s="7" t="s">
        <v>23</v>
      </c>
      <c r="B27" s="10" t="s">
        <v>6</v>
      </c>
      <c r="C27" s="5">
        <v>4</v>
      </c>
    </row>
    <row r="28" spans="1:3">
      <c r="B28" s="2" t="s">
        <v>24</v>
      </c>
      <c r="C28" s="3" t="s">
        <v>25</v>
      </c>
    </row>
  </sheetData>
  <mergeCells count="2">
    <mergeCell ref="A1:A5"/>
    <mergeCell ref="A9:C9"/>
  </mergeCells>
  <hyperlinks>
    <hyperlink ref="A10:C10" location="TOC_1" display="Summary of Interest List Releases" xr:uid="{00000000-0004-0000-0100-000000000000}"/>
    <hyperlink ref="A11:C11" location="TOC_2" display="Previous Biennium Counts" xr:uid="{00000000-0004-0000-0100-000001000000}"/>
    <hyperlink ref="A12:C12" location="TOC_3" display="Released/Removed from Interest List" xr:uid="{00000000-0004-0000-0100-000002000000}"/>
    <hyperlink ref="A13:C13" location="TOC_4" display="Total Releases This Biennium " xr:uid="{00000000-0004-0000-0100-000003000000}"/>
    <hyperlink ref="A14:C14" location="TOC_5" display="Added This Biennium" xr:uid="{00000000-0004-0000-0100-000004000000}"/>
    <hyperlink ref="A15:C15" location="TOC_6" display="Current Interest List Counts" xr:uid="{00000000-0004-0000-0100-000005000000}"/>
    <hyperlink ref="A16:C16" location="TOC_7" display="Interest List Counts by Years on List" xr:uid="{00000000-0004-0000-0100-000006000000}"/>
    <hyperlink ref="A17:C17" location="TOC_8" display="Interest List Closures" xr:uid="{00000000-0004-0000-0100-000007000000}"/>
    <hyperlink ref="A18:C18" location="TOC_9" display="Interest List Closure Details" xr:uid="{00000000-0004-0000-0100-000008000000}"/>
    <hyperlink ref="A19:C19" location="TOC_10" display="Enrolled" xr:uid="{00000000-0004-0000-0100-000009000000}"/>
    <hyperlink ref="A20:C20" location="TOC_11" display="Deceased" xr:uid="{00000000-0004-0000-0100-00000A000000}"/>
    <hyperlink ref="A21:C21" location="TOC_12" display="Declined" xr:uid="{00000000-0004-0000-0100-00000B000000}"/>
    <hyperlink ref="A22:C22" location="TOC_13" display="Denied" xr:uid="{00000000-0004-0000-0100-00000C000000}"/>
    <hyperlink ref="A23:C23" location="TOC_14" display="No Response" xr:uid="{00000000-0004-0000-0100-00000D000000}"/>
    <hyperlink ref="A24:C24" location="TOC_15" display="Unable to Locate" xr:uid="{00000000-0004-0000-0100-00000E000000}"/>
    <hyperlink ref="A25:C25" location="TOC_16" display="Withdrawn" xr:uid="{00000000-0004-0000-0100-00000F000000}"/>
    <hyperlink ref="A26:C26" location="TOC_17" display="Other" xr:uid="{00000000-0004-0000-0100-000010000000}"/>
    <hyperlink ref="A27:C27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topLeftCell="A15" zoomScale="80" zoomScaleNormal="80" workbookViewId="0">
      <selection activeCell="Z23" sqref="Z23"/>
    </sheetView>
  </sheetViews>
  <sheetFormatPr defaultRowHeight="12.75" customHeight="1"/>
  <cols>
    <col min="1" max="4" width="12.42578125" customWidth="1"/>
    <col min="5" max="6" width="10.140625" customWidth="1"/>
    <col min="7" max="7" width="10.140625" bestFit="1" customWidth="1"/>
    <col min="8" max="8" width="15.85546875" customWidth="1"/>
    <col min="9" max="9" width="9.140625" customWidth="1"/>
    <col min="10" max="21" width="5.7109375" bestFit="1" customWidth="1"/>
  </cols>
  <sheetData>
    <row r="1" spans="1:21" ht="23.25" customHeight="1">
      <c r="A1" s="32"/>
      <c r="B1" s="32"/>
      <c r="C1" s="32"/>
      <c r="D1" s="32"/>
      <c r="E1" s="32"/>
      <c r="F1" s="32"/>
      <c r="G1" s="32"/>
      <c r="H1" s="6" t="s">
        <v>5</v>
      </c>
    </row>
    <row r="2" spans="1:21" ht="12.75" customHeight="1">
      <c r="A2" s="32"/>
      <c r="B2" s="32"/>
      <c r="C2" s="32"/>
      <c r="D2" s="32"/>
      <c r="E2" s="32"/>
      <c r="F2" s="32"/>
      <c r="G2" s="32"/>
    </row>
    <row r="3" spans="1:21" s="28" customFormat="1" ht="12.75" customHeight="1">
      <c r="A3" s="32"/>
      <c r="B3" s="32"/>
      <c r="C3" s="32"/>
      <c r="D3" s="32"/>
      <c r="E3" s="32"/>
      <c r="F3" s="32"/>
      <c r="G3" s="32"/>
    </row>
    <row r="4" spans="1:21" s="28" customFormat="1" ht="12.75" customHeight="1">
      <c r="A4" s="32"/>
      <c r="B4" s="32"/>
      <c r="C4" s="32"/>
      <c r="D4" s="32"/>
      <c r="E4" s="32"/>
      <c r="F4" s="32"/>
      <c r="G4" s="32"/>
    </row>
    <row r="5" spans="1:21" s="28" customFormat="1" ht="12.75" customHeight="1">
      <c r="A5" s="32"/>
      <c r="B5" s="32"/>
      <c r="C5" s="32"/>
      <c r="D5" s="32"/>
      <c r="E5" s="32"/>
      <c r="F5" s="32"/>
      <c r="G5" s="32"/>
    </row>
    <row r="6" spans="1:21" s="28" customFormat="1" ht="12.75" customHeight="1">
      <c r="A6" s="32"/>
      <c r="B6" s="32"/>
      <c r="C6" s="32"/>
      <c r="D6" s="32"/>
      <c r="E6" s="32"/>
      <c r="F6" s="32"/>
      <c r="G6" s="32"/>
    </row>
    <row r="7" spans="1:21" s="28" customFormat="1" ht="12.75" customHeight="1">
      <c r="A7" s="32"/>
      <c r="B7" s="32"/>
      <c r="C7" s="32"/>
      <c r="D7" s="32"/>
      <c r="E7" s="32"/>
      <c r="F7" s="32"/>
      <c r="G7" s="32"/>
    </row>
    <row r="8" spans="1:21" s="28" customFormat="1" ht="12.75" customHeight="1">
      <c r="A8" s="32"/>
      <c r="B8" s="32"/>
      <c r="C8" s="32"/>
      <c r="D8" s="32"/>
      <c r="E8" s="32"/>
      <c r="F8" s="32"/>
      <c r="G8" s="32"/>
    </row>
    <row r="9" spans="1:21" s="28" customFormat="1" ht="12.75" customHeight="1">
      <c r="A9" s="32"/>
      <c r="B9" s="32"/>
      <c r="C9" s="32"/>
      <c r="D9" s="32"/>
      <c r="E9" s="32"/>
      <c r="F9" s="32"/>
      <c r="G9" s="32"/>
    </row>
    <row r="10" spans="1:21" s="28" customFormat="1" ht="12.75" customHeight="1">
      <c r="A10" s="32"/>
      <c r="B10" s="32"/>
      <c r="C10" s="32"/>
      <c r="D10" s="32"/>
      <c r="E10" s="32"/>
      <c r="F10" s="32"/>
      <c r="G10" s="32"/>
    </row>
    <row r="11" spans="1:21" ht="13.5" thickBot="1">
      <c r="A11" s="67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1">
      <c r="H12" s="68" t="s">
        <v>26</v>
      </c>
      <c r="I12" s="69"/>
      <c r="J12" s="68" t="s">
        <v>27</v>
      </c>
      <c r="K12" s="69"/>
      <c r="L12" s="70" t="s">
        <v>28</v>
      </c>
      <c r="M12" s="69"/>
      <c r="N12" s="68" t="s">
        <v>29</v>
      </c>
      <c r="O12" s="69"/>
      <c r="P12" s="68" t="s">
        <v>30</v>
      </c>
      <c r="Q12" s="69"/>
      <c r="R12" s="70" t="s">
        <v>31</v>
      </c>
      <c r="S12" s="69"/>
      <c r="T12" s="71" t="s">
        <v>32</v>
      </c>
      <c r="U12" s="72"/>
    </row>
    <row r="13" spans="1:21">
      <c r="A13" s="73" t="s">
        <v>7</v>
      </c>
      <c r="B13" s="74"/>
      <c r="C13" s="74"/>
      <c r="D13" s="42"/>
      <c r="E13" s="75" t="s">
        <v>33</v>
      </c>
      <c r="F13" s="74"/>
      <c r="G13" s="42"/>
      <c r="H13" s="45">
        <v>82643</v>
      </c>
      <c r="I13" s="46"/>
      <c r="J13" s="45">
        <v>1714</v>
      </c>
      <c r="K13" s="46"/>
      <c r="L13" s="45">
        <v>117221</v>
      </c>
      <c r="M13" s="46"/>
      <c r="N13" s="45">
        <v>6901</v>
      </c>
      <c r="O13" s="46"/>
      <c r="P13" s="45">
        <v>6339</v>
      </c>
      <c r="Q13" s="46"/>
      <c r="R13" s="45">
        <v>106148</v>
      </c>
      <c r="S13" s="46"/>
      <c r="T13" s="54">
        <v>320966</v>
      </c>
      <c r="U13" s="55"/>
    </row>
    <row r="14" spans="1:21" ht="13.5" thickBot="1">
      <c r="A14" s="43"/>
      <c r="B14" s="61"/>
      <c r="C14" s="61"/>
      <c r="D14" s="44"/>
      <c r="E14" s="43"/>
      <c r="F14" s="61"/>
      <c r="G14" s="44"/>
      <c r="H14" s="39"/>
      <c r="I14" s="40"/>
      <c r="J14" s="39"/>
      <c r="K14" s="40"/>
      <c r="L14" s="39"/>
      <c r="M14" s="40"/>
      <c r="N14" s="39"/>
      <c r="O14" s="40"/>
      <c r="P14" s="39"/>
      <c r="Q14" s="40"/>
      <c r="R14" s="39"/>
      <c r="S14" s="40"/>
      <c r="T14" s="56"/>
      <c r="U14" s="57"/>
    </row>
    <row r="15" spans="1:21" ht="13.5" thickBot="1">
      <c r="A15" s="65" t="s">
        <v>34</v>
      </c>
      <c r="B15" s="59"/>
      <c r="C15" s="59"/>
      <c r="D15" s="60"/>
      <c r="E15" s="62" t="s">
        <v>35</v>
      </c>
      <c r="F15" s="59"/>
      <c r="G15" s="60"/>
      <c r="H15" s="45">
        <v>72</v>
      </c>
      <c r="I15" s="46"/>
      <c r="J15" s="45">
        <v>2</v>
      </c>
      <c r="K15" s="46"/>
      <c r="L15" s="37">
        <v>202</v>
      </c>
      <c r="M15" s="38"/>
      <c r="N15" s="45">
        <v>196</v>
      </c>
      <c r="O15" s="46"/>
      <c r="P15" s="45">
        <v>1153</v>
      </c>
      <c r="Q15" s="46"/>
      <c r="R15" s="37">
        <v>113</v>
      </c>
      <c r="S15" s="38"/>
      <c r="T15" s="54">
        <f>SUM(H15:S16)</f>
        <v>1738</v>
      </c>
      <c r="U15" s="55"/>
    </row>
    <row r="16" spans="1:21" ht="13.5" thickBot="1">
      <c r="A16" s="66"/>
      <c r="B16" s="59"/>
      <c r="C16" s="59"/>
      <c r="D16" s="60"/>
      <c r="E16" s="43"/>
      <c r="F16" s="61"/>
      <c r="G16" s="44"/>
      <c r="H16" s="39"/>
      <c r="I16" s="40"/>
      <c r="J16" s="39"/>
      <c r="K16" s="40"/>
      <c r="L16" s="39"/>
      <c r="M16" s="40"/>
      <c r="N16" s="39"/>
      <c r="O16" s="40"/>
      <c r="P16" s="39"/>
      <c r="Q16" s="40"/>
      <c r="R16" s="39"/>
      <c r="S16" s="40"/>
      <c r="T16" s="56"/>
      <c r="U16" s="57"/>
    </row>
    <row r="17" spans="1:21" ht="13.5" thickBot="1">
      <c r="A17" s="66"/>
      <c r="B17" s="59"/>
      <c r="C17" s="59"/>
      <c r="D17" s="60"/>
      <c r="E17" s="63" t="s">
        <v>36</v>
      </c>
      <c r="F17" s="59"/>
      <c r="G17" s="60"/>
      <c r="H17" s="45">
        <v>887</v>
      </c>
      <c r="I17" s="46"/>
      <c r="J17" s="45">
        <v>99</v>
      </c>
      <c r="K17" s="46"/>
      <c r="L17" s="37">
        <v>341</v>
      </c>
      <c r="M17" s="38"/>
      <c r="N17" s="45">
        <v>1676</v>
      </c>
      <c r="O17" s="46"/>
      <c r="P17" s="45">
        <v>15739</v>
      </c>
      <c r="Q17" s="46"/>
      <c r="R17" s="37">
        <v>988</v>
      </c>
      <c r="S17" s="38"/>
      <c r="T17" s="54">
        <f t="shared" ref="T17" si="0">SUM(H17:S18)</f>
        <v>19730</v>
      </c>
      <c r="U17" s="55"/>
    </row>
    <row r="18" spans="1:21" ht="13.5" thickBot="1">
      <c r="A18" s="66"/>
      <c r="B18" s="59"/>
      <c r="C18" s="59"/>
      <c r="D18" s="60"/>
      <c r="E18" s="43"/>
      <c r="F18" s="61"/>
      <c r="G18" s="44"/>
      <c r="H18" s="39"/>
      <c r="I18" s="40"/>
      <c r="J18" s="39"/>
      <c r="K18" s="40"/>
      <c r="L18" s="39"/>
      <c r="M18" s="40"/>
      <c r="N18" s="39"/>
      <c r="O18" s="40"/>
      <c r="P18" s="39"/>
      <c r="Q18" s="40"/>
      <c r="R18" s="39"/>
      <c r="S18" s="40"/>
      <c r="T18" s="56"/>
      <c r="U18" s="57"/>
    </row>
    <row r="19" spans="1:21" ht="13.5" thickBot="1">
      <c r="A19" s="66"/>
      <c r="B19" s="59"/>
      <c r="C19" s="59"/>
      <c r="D19" s="60"/>
      <c r="E19" s="62" t="s">
        <v>37</v>
      </c>
      <c r="F19" s="59"/>
      <c r="G19" s="60"/>
      <c r="H19" s="45">
        <v>319</v>
      </c>
      <c r="I19" s="46"/>
      <c r="J19" s="45">
        <v>58</v>
      </c>
      <c r="K19" s="46"/>
      <c r="L19" s="37">
        <v>427</v>
      </c>
      <c r="M19" s="38"/>
      <c r="N19" s="45">
        <v>2049</v>
      </c>
      <c r="O19" s="46"/>
      <c r="P19" s="45">
        <v>12282</v>
      </c>
      <c r="Q19" s="46"/>
      <c r="R19" s="37">
        <v>1287</v>
      </c>
      <c r="S19" s="38"/>
      <c r="T19" s="54">
        <f t="shared" ref="T19" si="1">SUM(H19:S20)</f>
        <v>16422</v>
      </c>
      <c r="U19" s="55"/>
    </row>
    <row r="20" spans="1:21" ht="13.5" thickBot="1">
      <c r="A20" s="43"/>
      <c r="B20" s="61"/>
      <c r="C20" s="61"/>
      <c r="D20" s="44"/>
      <c r="E20" s="43"/>
      <c r="F20" s="61"/>
      <c r="G20" s="44"/>
      <c r="H20" s="39"/>
      <c r="I20" s="40"/>
      <c r="J20" s="39"/>
      <c r="K20" s="40"/>
      <c r="L20" s="39"/>
      <c r="M20" s="40"/>
      <c r="N20" s="39"/>
      <c r="O20" s="40"/>
      <c r="P20" s="39"/>
      <c r="Q20" s="40"/>
      <c r="R20" s="39"/>
      <c r="S20" s="40"/>
      <c r="T20" s="56"/>
      <c r="U20" s="57"/>
    </row>
    <row r="21" spans="1:21" ht="13.5" thickBot="1">
      <c r="A21" s="64" t="s">
        <v>38</v>
      </c>
      <c r="B21" s="59"/>
      <c r="C21" s="59"/>
      <c r="D21" s="60"/>
      <c r="E21" s="64" t="s">
        <v>39</v>
      </c>
      <c r="F21" s="59"/>
      <c r="G21" s="60"/>
      <c r="H21" s="41">
        <v>1297</v>
      </c>
      <c r="I21" s="42"/>
      <c r="J21" s="41">
        <v>159</v>
      </c>
      <c r="K21" s="42"/>
      <c r="L21" s="41">
        <v>1091</v>
      </c>
      <c r="M21" s="42"/>
      <c r="N21" s="41">
        <v>3990</v>
      </c>
      <c r="O21" s="42"/>
      <c r="P21" s="41">
        <v>28815</v>
      </c>
      <c r="Q21" s="42"/>
      <c r="R21" s="41">
        <v>2327</v>
      </c>
      <c r="S21" s="42"/>
      <c r="T21" s="54">
        <f t="shared" ref="T21" si="2">SUM(H21:S22)</f>
        <v>37679</v>
      </c>
      <c r="U21" s="55"/>
    </row>
    <row r="22" spans="1:21" ht="13.5" thickBot="1">
      <c r="A22" s="43"/>
      <c r="B22" s="61"/>
      <c r="C22" s="61"/>
      <c r="D22" s="44"/>
      <c r="E22" s="43"/>
      <c r="F22" s="61"/>
      <c r="G22" s="44"/>
      <c r="H22" s="43"/>
      <c r="I22" s="44"/>
      <c r="J22" s="43"/>
      <c r="K22" s="44"/>
      <c r="L22" s="43"/>
      <c r="M22" s="44"/>
      <c r="N22" s="43"/>
      <c r="O22" s="44"/>
      <c r="P22" s="43"/>
      <c r="Q22" s="44"/>
      <c r="R22" s="43"/>
      <c r="S22" s="44"/>
      <c r="T22" s="56"/>
      <c r="U22" s="57"/>
    </row>
    <row r="23" spans="1:21" ht="13.5" thickBot="1">
      <c r="A23" s="58" t="s">
        <v>10</v>
      </c>
      <c r="B23" s="59"/>
      <c r="C23" s="59"/>
      <c r="D23" s="60"/>
      <c r="E23" s="63" t="s">
        <v>40</v>
      </c>
      <c r="F23" s="59"/>
      <c r="G23" s="60"/>
      <c r="H23" s="45">
        <v>4994</v>
      </c>
      <c r="I23" s="46"/>
      <c r="J23" s="45">
        <v>447</v>
      </c>
      <c r="K23" s="46"/>
      <c r="L23" s="45">
        <v>6717</v>
      </c>
      <c r="M23" s="46"/>
      <c r="N23" s="45">
        <v>2374</v>
      </c>
      <c r="O23" s="46"/>
      <c r="P23" s="45">
        <v>19669</v>
      </c>
      <c r="Q23" s="46"/>
      <c r="R23" s="45">
        <v>6491</v>
      </c>
      <c r="S23" s="46"/>
      <c r="T23" s="54">
        <v>40692</v>
      </c>
      <c r="U23" s="55"/>
    </row>
    <row r="24" spans="1:21">
      <c r="A24" s="43"/>
      <c r="B24" s="61"/>
      <c r="C24" s="61"/>
      <c r="D24" s="44"/>
      <c r="E24" s="43"/>
      <c r="F24" s="61"/>
      <c r="G24" s="44"/>
      <c r="H24" s="39"/>
      <c r="I24" s="40"/>
      <c r="J24" s="39"/>
      <c r="K24" s="40"/>
      <c r="L24" s="39"/>
      <c r="M24" s="40"/>
      <c r="N24" s="39"/>
      <c r="O24" s="40"/>
      <c r="P24" s="39"/>
      <c r="Q24" s="40"/>
      <c r="R24" s="39"/>
      <c r="S24" s="40"/>
      <c r="T24" s="56"/>
      <c r="U24" s="57"/>
    </row>
    <row r="25" spans="1:21">
      <c r="A25" s="58" t="s">
        <v>11</v>
      </c>
      <c r="B25" s="59"/>
      <c r="C25" s="59"/>
      <c r="D25" s="60"/>
      <c r="E25" s="62" t="s">
        <v>41</v>
      </c>
      <c r="F25" s="59"/>
      <c r="G25" s="60"/>
      <c r="H25" s="45">
        <v>89402</v>
      </c>
      <c r="I25" s="46"/>
      <c r="J25" s="45">
        <v>2079</v>
      </c>
      <c r="K25" s="46"/>
      <c r="L25" s="45">
        <v>124001</v>
      </c>
      <c r="M25" s="46"/>
      <c r="N25" s="45">
        <v>5626</v>
      </c>
      <c r="O25" s="46"/>
      <c r="P25" s="45">
        <v>2809</v>
      </c>
      <c r="Q25" s="46"/>
      <c r="R25" s="45">
        <v>111848</v>
      </c>
      <c r="S25" s="46"/>
      <c r="T25" s="54">
        <v>335765</v>
      </c>
      <c r="U25" s="55"/>
    </row>
    <row r="26" spans="1:21">
      <c r="A26" s="43"/>
      <c r="B26" s="61"/>
      <c r="C26" s="61"/>
      <c r="D26" s="44"/>
      <c r="E26" s="43"/>
      <c r="F26" s="61"/>
      <c r="G26" s="44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9"/>
      <c r="S26" s="40"/>
      <c r="T26" s="56"/>
      <c r="U26" s="57"/>
    </row>
    <row r="27" spans="1:21" ht="12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1:21">
      <c r="A28" s="51" t="s">
        <v>42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spans="1:21" ht="12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21">
      <c r="A30" s="52" t="s">
        <v>43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1">
      <c r="A31" s="53" t="s">
        <v>44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1" ht="12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1:21">
      <c r="A33" s="53" t="s">
        <v>45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spans="1:21" ht="12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spans="1:21" ht="12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1:21">
      <c r="A36" s="47" t="s">
        <v>46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spans="1:21" ht="12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1:21">
      <c r="A38" s="48" t="s">
        <v>47</v>
      </c>
      <c r="B38" s="32"/>
      <c r="C38" s="32"/>
      <c r="D38" s="32"/>
      <c r="E38" s="32"/>
      <c r="F38" s="32"/>
      <c r="G38" s="32"/>
      <c r="H38" s="49" t="s">
        <v>48</v>
      </c>
      <c r="I38" s="32"/>
      <c r="J38" s="32"/>
      <c r="K38" s="32"/>
      <c r="L38" s="32"/>
      <c r="M38" s="32"/>
      <c r="N38" s="32"/>
      <c r="O38" s="50" t="s">
        <v>49</v>
      </c>
      <c r="P38" s="32"/>
      <c r="Q38" s="32"/>
      <c r="R38" s="32"/>
      <c r="S38" s="32"/>
      <c r="T38" s="32"/>
      <c r="U38" s="32"/>
    </row>
  </sheetData>
  <mergeCells count="80">
    <mergeCell ref="T15:U16"/>
    <mergeCell ref="T17:U18"/>
    <mergeCell ref="T19:U20"/>
    <mergeCell ref="T21:U22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T13:U14"/>
    <mergeCell ref="A15:D20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L15:M16"/>
    <mergeCell ref="L17:M18"/>
    <mergeCell ref="R15:S16"/>
    <mergeCell ref="L23:M24"/>
    <mergeCell ref="H19:I20"/>
    <mergeCell ref="J19:K20"/>
    <mergeCell ref="N19:O20"/>
    <mergeCell ref="N23:O24"/>
    <mergeCell ref="L19:M20"/>
    <mergeCell ref="L21:M22"/>
    <mergeCell ref="H21:I22"/>
    <mergeCell ref="J21:K22"/>
    <mergeCell ref="N21:O22"/>
    <mergeCell ref="P23:Q24"/>
    <mergeCell ref="R23:S24"/>
    <mergeCell ref="T23:U24"/>
    <mergeCell ref="A25:D26"/>
    <mergeCell ref="E25:G26"/>
    <mergeCell ref="H25:I26"/>
    <mergeCell ref="J25:K26"/>
    <mergeCell ref="L25:M26"/>
    <mergeCell ref="N25:O26"/>
    <mergeCell ref="P25:Q26"/>
    <mergeCell ref="R25:S26"/>
    <mergeCell ref="T25:U26"/>
    <mergeCell ref="A23:D24"/>
    <mergeCell ref="E23:G24"/>
    <mergeCell ref="H23:I24"/>
    <mergeCell ref="J23:K24"/>
    <mergeCell ref="A27:U27"/>
    <mergeCell ref="A28:U29"/>
    <mergeCell ref="A30:U30"/>
    <mergeCell ref="A31:U32"/>
    <mergeCell ref="A33:U34"/>
    <mergeCell ref="A35:U35"/>
    <mergeCell ref="A36:U37"/>
    <mergeCell ref="A38:G38"/>
    <mergeCell ref="H38:N38"/>
    <mergeCell ref="O38:U38"/>
    <mergeCell ref="A1:G10"/>
    <mergeCell ref="R17:S18"/>
    <mergeCell ref="R19:S20"/>
    <mergeCell ref="R21:S22"/>
    <mergeCell ref="P19:Q20"/>
    <mergeCell ref="P21:Q22"/>
    <mergeCell ref="A21:D22"/>
    <mergeCell ref="E21:G22"/>
    <mergeCell ref="J13:K14"/>
    <mergeCell ref="L13:M14"/>
    <mergeCell ref="N13:O14"/>
    <mergeCell ref="P13:Q14"/>
    <mergeCell ref="R13:S1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topLeftCell="A12" workbookViewId="0">
      <selection activeCell="J8" sqref="J8"/>
    </sheetView>
  </sheetViews>
  <sheetFormatPr defaultRowHeight="12.75" customHeight="1"/>
  <cols>
    <col min="1" max="1" width="20.140625" bestFit="1" customWidth="1"/>
    <col min="2" max="2" width="12.140625" customWidth="1"/>
    <col min="3" max="3" width="7.42578125" bestFit="1" customWidth="1"/>
    <col min="4" max="4" width="10" bestFit="1" customWidth="1"/>
    <col min="5" max="5" width="7.42578125" bestFit="1" customWidth="1"/>
    <col min="6" max="6" width="10" bestFit="1" customWidth="1"/>
    <col min="7" max="7" width="7.42578125" bestFit="1" customWidth="1"/>
    <col min="8" max="8" width="10" bestFit="1" customWidth="1"/>
    <col min="9" max="9" width="7.42578125" bestFit="1" customWidth="1"/>
    <col min="10" max="10" width="10" bestFit="1" customWidth="1"/>
    <col min="11" max="11" width="7.42578125" bestFit="1" customWidth="1"/>
    <col min="12" max="12" width="10" bestFit="1" customWidth="1"/>
    <col min="13" max="13" width="7.42578125" bestFit="1" customWidth="1"/>
  </cols>
  <sheetData>
    <row r="1" spans="1:13" ht="23.25" customHeight="1">
      <c r="A1" s="32"/>
      <c r="B1" s="32"/>
      <c r="C1" s="32"/>
      <c r="D1" s="32"/>
      <c r="E1" s="32"/>
      <c r="F1" s="32"/>
      <c r="G1" s="32"/>
      <c r="H1" s="6" t="s">
        <v>50</v>
      </c>
    </row>
    <row r="2" spans="1:13" ht="12.75" customHeight="1">
      <c r="A2" s="32"/>
      <c r="B2" s="32"/>
      <c r="C2" s="32"/>
      <c r="D2" s="32"/>
      <c r="E2" s="32"/>
      <c r="F2" s="32"/>
      <c r="G2" s="32"/>
    </row>
    <row r="3" spans="1:13" s="28" customFormat="1" ht="12.75" customHeight="1">
      <c r="A3" s="32"/>
      <c r="B3" s="32"/>
      <c r="C3" s="32"/>
      <c r="D3" s="32"/>
      <c r="E3" s="32"/>
      <c r="F3" s="32"/>
      <c r="G3" s="32"/>
    </row>
    <row r="4" spans="1:13" s="28" customFormat="1" ht="12.75" customHeight="1">
      <c r="A4" s="32"/>
      <c r="B4" s="32"/>
      <c r="C4" s="32"/>
      <c r="D4" s="32"/>
      <c r="E4" s="32"/>
      <c r="F4" s="32"/>
      <c r="G4" s="32"/>
    </row>
    <row r="5" spans="1:13" s="28" customFormat="1" ht="12.75" customHeight="1">
      <c r="A5" s="32"/>
      <c r="B5" s="32"/>
      <c r="C5" s="32"/>
      <c r="D5" s="32"/>
      <c r="E5" s="32"/>
      <c r="F5" s="32"/>
      <c r="G5" s="32"/>
    </row>
    <row r="6" spans="1:13" s="28" customFormat="1" ht="12.75" customHeight="1">
      <c r="A6" s="32"/>
      <c r="B6" s="32"/>
      <c r="C6" s="32"/>
      <c r="D6" s="32"/>
      <c r="E6" s="32"/>
      <c r="F6" s="32"/>
      <c r="G6" s="32"/>
    </row>
    <row r="7" spans="1:13" s="28" customFormat="1" ht="12.75" customHeight="1">
      <c r="A7" s="32"/>
      <c r="B7" s="32"/>
      <c r="C7" s="32"/>
      <c r="D7" s="32"/>
      <c r="E7" s="32"/>
      <c r="F7" s="32"/>
      <c r="G7" s="32"/>
    </row>
    <row r="8" spans="1:13" s="28" customFormat="1" ht="12.75" customHeight="1">
      <c r="A8" s="32"/>
      <c r="B8" s="32"/>
      <c r="C8" s="32"/>
      <c r="D8" s="32"/>
      <c r="E8" s="32"/>
      <c r="F8" s="32"/>
      <c r="G8" s="32"/>
    </row>
    <row r="9" spans="1:13" s="28" customFormat="1" ht="12.75" customHeight="1">
      <c r="A9" s="32"/>
      <c r="B9" s="32"/>
      <c r="C9" s="32"/>
      <c r="D9" s="32"/>
      <c r="E9" s="32"/>
      <c r="F9" s="32"/>
      <c r="G9" s="32"/>
    </row>
    <row r="10" spans="1:13" s="28" customFormat="1" ht="12.75" customHeight="1">
      <c r="A10" s="32"/>
      <c r="B10" s="32"/>
      <c r="C10" s="32"/>
      <c r="D10" s="32"/>
      <c r="E10" s="32"/>
      <c r="F10" s="32"/>
      <c r="G10" s="32"/>
    </row>
    <row r="11" spans="1:13">
      <c r="A11" s="67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18.75" customHeight="1">
      <c r="A12" s="76" t="s">
        <v>51</v>
      </c>
      <c r="B12" s="68" t="s">
        <v>26</v>
      </c>
      <c r="C12" s="69"/>
      <c r="D12" s="68" t="s">
        <v>27</v>
      </c>
      <c r="E12" s="69"/>
      <c r="F12" s="68" t="s">
        <v>52</v>
      </c>
      <c r="G12" s="69"/>
      <c r="H12" s="68" t="s">
        <v>29</v>
      </c>
      <c r="I12" s="69"/>
      <c r="J12" s="68" t="s">
        <v>30</v>
      </c>
      <c r="K12" s="69"/>
      <c r="L12" s="68" t="s">
        <v>53</v>
      </c>
      <c r="M12" s="69"/>
    </row>
    <row r="13" spans="1:13">
      <c r="A13" s="32"/>
      <c r="B13" s="13" t="s">
        <v>54</v>
      </c>
      <c r="C13" s="13" t="s">
        <v>55</v>
      </c>
      <c r="D13" s="13" t="s">
        <v>54</v>
      </c>
      <c r="E13" s="13" t="s">
        <v>55</v>
      </c>
      <c r="F13" s="13" t="s">
        <v>54</v>
      </c>
      <c r="G13" s="13" t="s">
        <v>55</v>
      </c>
      <c r="H13" s="13" t="s">
        <v>54</v>
      </c>
      <c r="I13" s="13" t="s">
        <v>55</v>
      </c>
      <c r="J13" s="13" t="s">
        <v>54</v>
      </c>
      <c r="K13" s="13" t="s">
        <v>55</v>
      </c>
      <c r="L13" s="13" t="s">
        <v>54</v>
      </c>
      <c r="M13" s="13" t="s">
        <v>55</v>
      </c>
    </row>
    <row r="14" spans="1:13">
      <c r="A14" s="11" t="s">
        <v>56</v>
      </c>
      <c r="B14" s="16">
        <v>6286</v>
      </c>
      <c r="C14" s="17">
        <v>7.0311600000000002E-2</v>
      </c>
      <c r="D14" s="16">
        <v>566</v>
      </c>
      <c r="E14" s="17">
        <v>0.2722463</v>
      </c>
      <c r="F14" s="16">
        <v>8397</v>
      </c>
      <c r="G14" s="17">
        <v>6.7717200000000005E-2</v>
      </c>
      <c r="H14" s="16">
        <v>2897</v>
      </c>
      <c r="I14" s="17">
        <v>0.51493069999999996</v>
      </c>
      <c r="J14" s="16">
        <v>2681</v>
      </c>
      <c r="K14" s="17">
        <v>0.95443219999999995</v>
      </c>
      <c r="L14" s="16">
        <v>8323</v>
      </c>
      <c r="M14" s="17">
        <v>7.4413499999999994E-2</v>
      </c>
    </row>
    <row r="15" spans="1:13">
      <c r="A15" s="12" t="s">
        <v>57</v>
      </c>
      <c r="B15" s="16">
        <v>5729</v>
      </c>
      <c r="C15" s="17">
        <v>6.4081299999999994E-2</v>
      </c>
      <c r="D15" s="16">
        <v>368</v>
      </c>
      <c r="E15" s="17">
        <v>0.1770082</v>
      </c>
      <c r="F15" s="16">
        <v>7785</v>
      </c>
      <c r="G15" s="17">
        <v>6.2781799999999999E-2</v>
      </c>
      <c r="H15" s="16">
        <v>2728</v>
      </c>
      <c r="I15" s="17">
        <v>0.48489159999999998</v>
      </c>
      <c r="J15" s="16">
        <v>126</v>
      </c>
      <c r="K15" s="17">
        <v>4.4855800000000001E-2</v>
      </c>
      <c r="L15" s="16">
        <v>7733</v>
      </c>
      <c r="M15" s="17">
        <v>6.9138500000000006E-2</v>
      </c>
    </row>
    <row r="16" spans="1:13">
      <c r="A16" s="12" t="s">
        <v>58</v>
      </c>
      <c r="B16" s="16">
        <v>5071</v>
      </c>
      <c r="C16" s="17">
        <v>5.6721300000000002E-2</v>
      </c>
      <c r="D16" s="16">
        <v>270</v>
      </c>
      <c r="E16" s="17">
        <v>0.12987009999999999</v>
      </c>
      <c r="F16" s="16">
        <v>6578</v>
      </c>
      <c r="G16" s="17">
        <v>5.3047999999999998E-2</v>
      </c>
      <c r="H16" s="15"/>
      <c r="I16" s="15"/>
      <c r="J16" s="16">
        <v>2</v>
      </c>
      <c r="K16" s="17">
        <v>7.1199999999999996E-4</v>
      </c>
      <c r="L16" s="16">
        <v>6579</v>
      </c>
      <c r="M16" s="17">
        <v>5.8820900000000002E-2</v>
      </c>
    </row>
    <row r="17" spans="1:13">
      <c r="A17" s="12" t="s">
        <v>59</v>
      </c>
      <c r="B17" s="16">
        <v>4160</v>
      </c>
      <c r="C17" s="17">
        <v>4.6531400000000001E-2</v>
      </c>
      <c r="D17" s="16">
        <v>265</v>
      </c>
      <c r="E17" s="17">
        <v>0.1274651</v>
      </c>
      <c r="F17" s="16">
        <v>6277</v>
      </c>
      <c r="G17" s="17">
        <v>5.0620600000000002E-2</v>
      </c>
      <c r="H17" s="15"/>
      <c r="I17" s="15"/>
      <c r="J17" s="15"/>
      <c r="K17" s="15"/>
      <c r="L17" s="16">
        <v>6310</v>
      </c>
      <c r="M17" s="17">
        <v>5.6415899999999998E-2</v>
      </c>
    </row>
    <row r="18" spans="1:13">
      <c r="A18" s="12" t="s">
        <v>60</v>
      </c>
      <c r="B18" s="16">
        <v>5356</v>
      </c>
      <c r="C18" s="17">
        <v>5.9909200000000003E-2</v>
      </c>
      <c r="D18" s="16">
        <v>268</v>
      </c>
      <c r="E18" s="17">
        <v>0.1289081</v>
      </c>
      <c r="F18" s="16">
        <v>7555</v>
      </c>
      <c r="G18" s="17">
        <v>6.0926899999999999E-2</v>
      </c>
      <c r="H18" s="15"/>
      <c r="I18" s="15"/>
      <c r="J18" s="15"/>
      <c r="K18" s="15"/>
      <c r="L18" s="16">
        <v>7693</v>
      </c>
      <c r="M18" s="17">
        <v>6.8780800000000003E-2</v>
      </c>
    </row>
    <row r="19" spans="1:13">
      <c r="A19" s="12" t="s">
        <v>61</v>
      </c>
      <c r="B19" s="16">
        <v>5790</v>
      </c>
      <c r="C19" s="17">
        <v>6.4763699999999993E-2</v>
      </c>
      <c r="D19" s="16">
        <v>175</v>
      </c>
      <c r="E19" s="17">
        <v>8.4175100000000003E-2</v>
      </c>
      <c r="F19" s="16">
        <v>8372</v>
      </c>
      <c r="G19" s="17">
        <v>6.7515599999999995E-2</v>
      </c>
      <c r="H19" s="15"/>
      <c r="I19" s="15"/>
      <c r="J19" s="15"/>
      <c r="K19" s="15"/>
      <c r="L19" s="16">
        <v>8555</v>
      </c>
      <c r="M19" s="17">
        <v>7.6487700000000006E-2</v>
      </c>
    </row>
    <row r="20" spans="1:13">
      <c r="A20" s="12" t="s">
        <v>62</v>
      </c>
      <c r="B20" s="16">
        <v>6251</v>
      </c>
      <c r="C20" s="17">
        <v>6.9920099999999999E-2</v>
      </c>
      <c r="D20" s="16">
        <v>139</v>
      </c>
      <c r="E20" s="17">
        <v>6.6859100000000005E-2</v>
      </c>
      <c r="F20" s="16">
        <v>8355</v>
      </c>
      <c r="G20" s="17">
        <v>6.7378499999999994E-2</v>
      </c>
      <c r="H20" s="16">
        <v>1</v>
      </c>
      <c r="I20" s="17">
        <v>1.7770000000000001E-4</v>
      </c>
      <c r="J20" s="15"/>
      <c r="K20" s="15"/>
      <c r="L20" s="16">
        <v>8555</v>
      </c>
      <c r="M20" s="17">
        <v>7.6487700000000006E-2</v>
      </c>
    </row>
    <row r="21" spans="1:13">
      <c r="A21" s="12" t="s">
        <v>63</v>
      </c>
      <c r="B21" s="16">
        <v>5881</v>
      </c>
      <c r="C21" s="17">
        <v>6.5781500000000007E-2</v>
      </c>
      <c r="D21" s="16">
        <v>28</v>
      </c>
      <c r="E21" s="17">
        <v>1.3468000000000001E-2</v>
      </c>
      <c r="F21" s="16">
        <v>8491</v>
      </c>
      <c r="G21" s="17">
        <v>6.8475300000000003E-2</v>
      </c>
      <c r="H21" s="15"/>
      <c r="I21" s="15"/>
      <c r="J21" s="15"/>
      <c r="K21" s="15"/>
      <c r="L21" s="16">
        <v>8716</v>
      </c>
      <c r="M21" s="17">
        <v>7.7927200000000002E-2</v>
      </c>
    </row>
    <row r="22" spans="1:13">
      <c r="A22" s="12" t="s">
        <v>64</v>
      </c>
      <c r="B22" s="16">
        <v>5417</v>
      </c>
      <c r="C22" s="17">
        <v>6.05915E-2</v>
      </c>
      <c r="D22" s="15"/>
      <c r="E22" s="15"/>
      <c r="F22" s="16">
        <v>8248</v>
      </c>
      <c r="G22" s="17">
        <v>6.6515599999999994E-2</v>
      </c>
      <c r="H22" s="15"/>
      <c r="I22" s="15"/>
      <c r="J22" s="15"/>
      <c r="K22" s="15"/>
      <c r="L22" s="16">
        <v>8320</v>
      </c>
      <c r="M22" s="17">
        <v>7.43867E-2</v>
      </c>
    </row>
    <row r="23" spans="1:13">
      <c r="A23" s="12" t="s">
        <v>65</v>
      </c>
      <c r="B23" s="16">
        <v>4636</v>
      </c>
      <c r="C23" s="17">
        <v>5.1855699999999998E-2</v>
      </c>
      <c r="D23" s="15"/>
      <c r="E23" s="15"/>
      <c r="F23" s="16">
        <v>6925</v>
      </c>
      <c r="G23" s="17">
        <v>5.5846300000000001E-2</v>
      </c>
      <c r="H23" s="15"/>
      <c r="I23" s="15"/>
      <c r="J23" s="15"/>
      <c r="K23" s="15"/>
      <c r="L23" s="16">
        <v>6708</v>
      </c>
      <c r="M23" s="17">
        <v>5.9974300000000001E-2</v>
      </c>
    </row>
    <row r="24" spans="1:13">
      <c r="A24" s="12" t="s">
        <v>66</v>
      </c>
      <c r="B24" s="16">
        <v>4638</v>
      </c>
      <c r="C24" s="17">
        <v>5.1878000000000001E-2</v>
      </c>
      <c r="D24" s="15"/>
      <c r="E24" s="15"/>
      <c r="F24" s="16">
        <v>6552</v>
      </c>
      <c r="G24" s="17">
        <v>5.2838299999999998E-2</v>
      </c>
      <c r="H24" s="15"/>
      <c r="I24" s="15"/>
      <c r="J24" s="15"/>
      <c r="K24" s="15"/>
      <c r="L24" s="16">
        <v>6732</v>
      </c>
      <c r="M24" s="17">
        <v>6.0188800000000001E-2</v>
      </c>
    </row>
    <row r="25" spans="1:13">
      <c r="A25" s="12" t="s">
        <v>67</v>
      </c>
      <c r="B25" s="16">
        <v>4908</v>
      </c>
      <c r="C25" s="17">
        <v>5.4898099999999998E-2</v>
      </c>
      <c r="D25" s="15"/>
      <c r="E25" s="15"/>
      <c r="F25" s="16">
        <v>7526</v>
      </c>
      <c r="G25" s="17">
        <v>6.06931E-2</v>
      </c>
      <c r="H25" s="15"/>
      <c r="I25" s="15"/>
      <c r="J25" s="15"/>
      <c r="K25" s="15"/>
      <c r="L25" s="16">
        <v>7653</v>
      </c>
      <c r="M25" s="17">
        <v>6.8423200000000003E-2</v>
      </c>
    </row>
    <row r="26" spans="1:13">
      <c r="A26" s="12" t="s">
        <v>68</v>
      </c>
      <c r="B26" s="16">
        <v>5537</v>
      </c>
      <c r="C26" s="17">
        <v>6.1933700000000001E-2</v>
      </c>
      <c r="D26" s="15"/>
      <c r="E26" s="15"/>
      <c r="F26" s="16">
        <v>7562</v>
      </c>
      <c r="G26" s="17">
        <v>6.09834E-2</v>
      </c>
      <c r="H26" s="15"/>
      <c r="I26" s="15"/>
      <c r="J26" s="15"/>
      <c r="K26" s="15"/>
      <c r="L26" s="16">
        <v>7551</v>
      </c>
      <c r="M26" s="17">
        <v>6.7511299999999996E-2</v>
      </c>
    </row>
    <row r="27" spans="1:13">
      <c r="A27" s="12" t="s">
        <v>69</v>
      </c>
      <c r="B27" s="16">
        <v>6698</v>
      </c>
      <c r="C27" s="17">
        <v>7.492E-2</v>
      </c>
      <c r="D27" s="15"/>
      <c r="E27" s="15"/>
      <c r="F27" s="16">
        <v>7892</v>
      </c>
      <c r="G27" s="17">
        <v>6.3644599999999996E-2</v>
      </c>
      <c r="H27" s="15"/>
      <c r="I27" s="15"/>
      <c r="J27" s="15"/>
      <c r="K27" s="15"/>
      <c r="L27" s="16">
        <v>7752</v>
      </c>
      <c r="M27" s="17">
        <v>6.9308300000000003E-2</v>
      </c>
    </row>
    <row r="28" spans="1:13">
      <c r="A28" s="12" t="s">
        <v>70</v>
      </c>
      <c r="B28" s="16">
        <v>6168</v>
      </c>
      <c r="C28" s="17">
        <v>6.8991700000000003E-2</v>
      </c>
      <c r="D28" s="15"/>
      <c r="E28" s="15"/>
      <c r="F28" s="16">
        <v>7645</v>
      </c>
      <c r="G28" s="17">
        <v>6.1652699999999998E-2</v>
      </c>
      <c r="H28" s="15"/>
      <c r="I28" s="15"/>
      <c r="J28" s="15"/>
      <c r="K28" s="15"/>
      <c r="L28" s="16">
        <v>4668</v>
      </c>
      <c r="M28" s="17">
        <v>4.17352E-2</v>
      </c>
    </row>
    <row r="29" spans="1:13">
      <c r="A29" s="12" t="s">
        <v>71</v>
      </c>
      <c r="B29" s="16">
        <v>5530</v>
      </c>
      <c r="C29" s="17">
        <v>6.1855399999999998E-2</v>
      </c>
      <c r="D29" s="15"/>
      <c r="E29" s="15"/>
      <c r="F29" s="16">
        <v>6052</v>
      </c>
      <c r="G29" s="17">
        <v>4.8806099999999998E-2</v>
      </c>
      <c r="H29" s="15"/>
      <c r="I29" s="15"/>
      <c r="J29" s="15"/>
      <c r="K29" s="15"/>
      <c r="L29" s="15"/>
      <c r="M29" s="15"/>
    </row>
    <row r="30" spans="1:13">
      <c r="A30" s="12" t="s">
        <v>72</v>
      </c>
      <c r="B30" s="16">
        <v>1346</v>
      </c>
      <c r="C30" s="17">
        <v>1.5055600000000001E-2</v>
      </c>
      <c r="D30" s="15"/>
      <c r="E30" s="15"/>
      <c r="F30" s="16">
        <v>3789</v>
      </c>
      <c r="G30" s="17">
        <v>3.0556199999999999E-2</v>
      </c>
      <c r="H30" s="15"/>
      <c r="I30" s="15"/>
      <c r="J30" s="15"/>
      <c r="K30" s="15"/>
      <c r="L30" s="15"/>
      <c r="M30" s="15"/>
    </row>
    <row r="31" spans="1:13">
      <c r="A31" s="18" t="s">
        <v>32</v>
      </c>
      <c r="B31" s="19">
        <v>89402</v>
      </c>
      <c r="C31" s="20">
        <v>0.99999979999999999</v>
      </c>
      <c r="D31" s="19">
        <v>2079</v>
      </c>
      <c r="E31" s="20">
        <v>1</v>
      </c>
      <c r="F31" s="19">
        <v>124001</v>
      </c>
      <c r="G31" s="20">
        <v>1.0000001999999999</v>
      </c>
      <c r="H31" s="19">
        <v>5626</v>
      </c>
      <c r="I31" s="20">
        <v>1</v>
      </c>
      <c r="J31" s="19">
        <v>2809</v>
      </c>
      <c r="K31" s="20">
        <v>1</v>
      </c>
      <c r="L31" s="19">
        <v>111848</v>
      </c>
      <c r="M31" s="20">
        <v>1</v>
      </c>
    </row>
    <row r="32" spans="1:13">
      <c r="A32" s="48" t="s">
        <v>73</v>
      </c>
      <c r="B32" s="32"/>
      <c r="C32" s="32"/>
      <c r="D32" s="32"/>
      <c r="E32" s="32"/>
      <c r="F32" s="49" t="s">
        <v>74</v>
      </c>
      <c r="G32" s="32"/>
      <c r="H32" s="32"/>
      <c r="I32" s="32"/>
      <c r="J32" s="50" t="s">
        <v>75</v>
      </c>
      <c r="K32" s="32"/>
      <c r="L32" s="32"/>
      <c r="M32" s="32"/>
    </row>
  </sheetData>
  <mergeCells count="12">
    <mergeCell ref="A1:G10"/>
    <mergeCell ref="A32:E32"/>
    <mergeCell ref="F32:I32"/>
    <mergeCell ref="J32:M32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topLeftCell="A6" zoomScaleNormal="100" workbookViewId="0">
      <selection activeCell="P11" sqref="P11"/>
    </sheetView>
  </sheetViews>
  <sheetFormatPr defaultRowHeight="12.75" customHeight="1"/>
  <cols>
    <col min="1" max="1" width="19.42578125" customWidth="1"/>
    <col min="2" max="2" width="8.140625" customWidth="1"/>
    <col min="3" max="3" width="7.140625" bestFit="1" customWidth="1"/>
    <col min="4" max="4" width="8.140625" customWidth="1"/>
    <col min="5" max="5" width="7.140625" bestFit="1" customWidth="1"/>
    <col min="6" max="6" width="8.140625" customWidth="1"/>
    <col min="7" max="7" width="7.140625" customWidth="1"/>
    <col min="8" max="8" width="10" bestFit="1" customWidth="1"/>
    <col min="9" max="9" width="7.42578125" bestFit="1" customWidth="1"/>
    <col min="10" max="10" width="10" bestFit="1" customWidth="1"/>
    <col min="11" max="11" width="7.42578125" bestFit="1" customWidth="1"/>
    <col min="12" max="12" width="10" bestFit="1" customWidth="1"/>
    <col min="13" max="13" width="7.42578125" bestFit="1" customWidth="1"/>
  </cols>
  <sheetData>
    <row r="1" spans="1:13" ht="23.25" customHeight="1">
      <c r="A1" s="32"/>
      <c r="H1" s="6" t="s">
        <v>76</v>
      </c>
      <c r="I1" s="6" t="s">
        <v>77</v>
      </c>
      <c r="J1" s="6" t="s">
        <v>78</v>
      </c>
    </row>
    <row r="2" spans="1:13" ht="12.75" customHeight="1">
      <c r="A2" s="32"/>
    </row>
    <row r="3" spans="1:13" s="28" customFormat="1" ht="12.75" customHeight="1"/>
    <row r="4" spans="1:13" s="28" customFormat="1" ht="12.75" customHeight="1"/>
    <row r="5" spans="1:13" s="28" customFormat="1" ht="12.75" customHeight="1"/>
    <row r="6" spans="1:13" s="28" customFormat="1" ht="12.75" customHeight="1"/>
    <row r="7" spans="1:13" s="28" customFormat="1" ht="12.75" customHeight="1"/>
    <row r="8" spans="1:13" s="28" customFormat="1" ht="12.75" customHeight="1"/>
    <row r="9" spans="1:13" s="28" customFormat="1" ht="12.75" customHeight="1"/>
    <row r="10" spans="1:13" s="28" customFormat="1" ht="12.75" customHeight="1"/>
    <row r="11" spans="1:13" ht="13.5" thickBot="1">
      <c r="A11" s="67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 ht="18.75" customHeight="1">
      <c r="A12" s="76" t="s">
        <v>79</v>
      </c>
      <c r="B12" s="68" t="s">
        <v>26</v>
      </c>
      <c r="C12" s="69"/>
      <c r="D12" s="68" t="s">
        <v>27</v>
      </c>
      <c r="E12" s="69"/>
      <c r="F12" s="70" t="s">
        <v>80</v>
      </c>
      <c r="G12" s="69"/>
      <c r="H12" s="68" t="s">
        <v>29</v>
      </c>
      <c r="I12" s="69"/>
      <c r="J12" s="68" t="s">
        <v>30</v>
      </c>
      <c r="K12" s="69"/>
      <c r="L12" s="70" t="s">
        <v>81</v>
      </c>
      <c r="M12" s="69"/>
    </row>
    <row r="13" spans="1:13" ht="13.5" thickBot="1">
      <c r="A13" s="32"/>
      <c r="B13" s="13" t="s">
        <v>82</v>
      </c>
      <c r="C13" s="13" t="s">
        <v>55</v>
      </c>
      <c r="D13" s="13" t="s">
        <v>82</v>
      </c>
      <c r="E13" s="13" t="s">
        <v>55</v>
      </c>
      <c r="F13" s="13" t="s">
        <v>82</v>
      </c>
      <c r="G13" s="13" t="s">
        <v>55</v>
      </c>
      <c r="H13" s="13" t="s">
        <v>82</v>
      </c>
      <c r="I13" s="13" t="s">
        <v>55</v>
      </c>
      <c r="J13" s="13" t="s">
        <v>82</v>
      </c>
      <c r="K13" s="13" t="s">
        <v>55</v>
      </c>
      <c r="L13" s="13" t="s">
        <v>82</v>
      </c>
      <c r="M13" s="13" t="s">
        <v>55</v>
      </c>
    </row>
    <row r="14" spans="1:13" ht="13.5" thickBot="1">
      <c r="A14" s="11" t="s">
        <v>15</v>
      </c>
      <c r="B14" s="16">
        <v>72</v>
      </c>
      <c r="C14" s="17">
        <v>0.18461540000000001</v>
      </c>
      <c r="D14" s="16">
        <v>2</v>
      </c>
      <c r="E14" s="17">
        <v>3.3333300000000003E-2</v>
      </c>
      <c r="F14" s="16">
        <v>202</v>
      </c>
      <c r="G14" s="17">
        <v>0.3720073664825046</v>
      </c>
      <c r="H14" s="16">
        <v>195</v>
      </c>
      <c r="I14" s="17">
        <v>8.6898400000000001E-2</v>
      </c>
      <c r="J14" s="16">
        <v>1221</v>
      </c>
      <c r="K14" s="17">
        <v>8.4073499999999995E-2</v>
      </c>
      <c r="L14" s="16">
        <v>113</v>
      </c>
      <c r="M14" s="17">
        <v>0.10263396911898275</v>
      </c>
    </row>
    <row r="15" spans="1:13" ht="13.5" thickBot="1">
      <c r="A15" s="12" t="s">
        <v>16</v>
      </c>
      <c r="B15" s="16">
        <v>9</v>
      </c>
      <c r="C15" s="17">
        <v>2.3076900000000001E-2</v>
      </c>
      <c r="D15" s="16">
        <v>2</v>
      </c>
      <c r="E15" s="17">
        <v>3.3333300000000003E-2</v>
      </c>
      <c r="F15" s="16">
        <v>26</v>
      </c>
      <c r="G15" s="17">
        <v>4.7882136279926338E-2</v>
      </c>
      <c r="H15" s="16">
        <v>33</v>
      </c>
      <c r="I15" s="17">
        <v>1.4705899999999999E-2</v>
      </c>
      <c r="J15" s="16">
        <v>635</v>
      </c>
      <c r="K15" s="17">
        <v>4.3723699999999997E-2</v>
      </c>
      <c r="L15" s="16">
        <v>49</v>
      </c>
      <c r="M15" s="17">
        <v>4.4504995458673931E-2</v>
      </c>
    </row>
    <row r="16" spans="1:13" ht="13.5" thickBot="1">
      <c r="A16" s="12" t="s">
        <v>17</v>
      </c>
      <c r="B16" s="16">
        <v>75</v>
      </c>
      <c r="C16" s="17">
        <v>0.1923077</v>
      </c>
      <c r="D16" s="16">
        <v>15</v>
      </c>
      <c r="E16" s="17">
        <v>0.25</v>
      </c>
      <c r="F16" s="16">
        <v>187</v>
      </c>
      <c r="G16" s="17">
        <v>0.34438305709023942</v>
      </c>
      <c r="H16" s="16">
        <v>321</v>
      </c>
      <c r="I16" s="17">
        <v>0.14304810000000001</v>
      </c>
      <c r="J16" s="16">
        <v>1097</v>
      </c>
      <c r="K16" s="17">
        <v>7.5535400000000003E-2</v>
      </c>
      <c r="L16" s="16">
        <v>453</v>
      </c>
      <c r="M16" s="17">
        <v>0.41144414168937332</v>
      </c>
    </row>
    <row r="17" spans="1:13" ht="13.5" thickBot="1">
      <c r="A17" s="12" t="s">
        <v>18</v>
      </c>
      <c r="B17" s="16">
        <v>17</v>
      </c>
      <c r="C17" s="17">
        <v>4.3589700000000002E-2</v>
      </c>
      <c r="D17" s="21" t="s">
        <v>83</v>
      </c>
      <c r="E17" s="15"/>
      <c r="F17" s="16">
        <v>27</v>
      </c>
      <c r="G17" s="17">
        <v>4.9723756906077346E-2</v>
      </c>
      <c r="H17" s="16">
        <v>460</v>
      </c>
      <c r="I17" s="17">
        <v>0.20499110000000001</v>
      </c>
      <c r="J17" s="16">
        <v>1849</v>
      </c>
      <c r="K17" s="17">
        <v>0.12731529999999999</v>
      </c>
      <c r="L17" s="16">
        <v>65</v>
      </c>
      <c r="M17" s="17">
        <v>5.9037238873751133E-2</v>
      </c>
    </row>
    <row r="18" spans="1:13" ht="13.5" thickBot="1">
      <c r="A18" s="12" t="s">
        <v>19</v>
      </c>
      <c r="B18" s="16">
        <v>189</v>
      </c>
      <c r="C18" s="17">
        <v>0.48461539999999997</v>
      </c>
      <c r="D18" s="16">
        <v>34</v>
      </c>
      <c r="E18" s="17">
        <v>0.56666669999999997</v>
      </c>
      <c r="F18" s="16">
        <v>0</v>
      </c>
      <c r="G18" s="17"/>
      <c r="H18" s="16">
        <v>1017</v>
      </c>
      <c r="I18" s="17">
        <v>0.45320860000000002</v>
      </c>
      <c r="J18" s="16">
        <v>6189</v>
      </c>
      <c r="K18" s="17">
        <v>0.42615160000000002</v>
      </c>
      <c r="L18" s="16">
        <v>162</v>
      </c>
      <c r="M18" s="17">
        <v>0.14713896457765668</v>
      </c>
    </row>
    <row r="19" spans="1:13" ht="13.5" thickBot="1">
      <c r="A19" s="12" t="s">
        <v>20</v>
      </c>
      <c r="B19" s="21" t="s">
        <v>83</v>
      </c>
      <c r="C19" s="15"/>
      <c r="D19" s="21" t="s">
        <v>83</v>
      </c>
      <c r="E19" s="15"/>
      <c r="F19" s="16">
        <v>71</v>
      </c>
      <c r="G19" s="17">
        <v>0.13075506445672191</v>
      </c>
      <c r="H19" s="16">
        <v>31</v>
      </c>
      <c r="I19" s="17">
        <v>1.38146E-2</v>
      </c>
      <c r="J19" s="16">
        <v>95</v>
      </c>
      <c r="K19" s="17">
        <v>6.5412999999999999E-3</v>
      </c>
      <c r="L19" s="16">
        <v>200</v>
      </c>
      <c r="M19" s="17">
        <v>0.18165304268846502</v>
      </c>
    </row>
    <row r="20" spans="1:13" ht="13.5" thickBot="1">
      <c r="A20" s="12" t="s">
        <v>21</v>
      </c>
      <c r="B20" s="16">
        <v>27</v>
      </c>
      <c r="C20" s="17">
        <v>6.9230799999999995E-2</v>
      </c>
      <c r="D20" s="16">
        <v>7</v>
      </c>
      <c r="E20" s="17">
        <v>0.1166667</v>
      </c>
      <c r="F20" s="16">
        <v>1</v>
      </c>
      <c r="G20" s="17">
        <v>1.841620626151013E-3</v>
      </c>
      <c r="H20" s="16">
        <v>183</v>
      </c>
      <c r="I20" s="17">
        <v>8.1550800000000007E-2</v>
      </c>
      <c r="J20" s="16">
        <v>3082</v>
      </c>
      <c r="K20" s="17">
        <v>0.21221509999999999</v>
      </c>
      <c r="L20" s="16">
        <v>0</v>
      </c>
      <c r="M20" s="17">
        <v>0</v>
      </c>
    </row>
    <row r="21" spans="1:13" ht="13.5" thickBot="1">
      <c r="A21" s="12" t="s">
        <v>22</v>
      </c>
      <c r="B21" s="16">
        <v>1</v>
      </c>
      <c r="C21" s="17">
        <v>2.5641000000000001E-3</v>
      </c>
      <c r="D21" s="21" t="s">
        <v>83</v>
      </c>
      <c r="E21" s="15"/>
      <c r="F21" s="16">
        <v>0</v>
      </c>
      <c r="G21" s="17"/>
      <c r="H21" s="16">
        <v>4</v>
      </c>
      <c r="I21" s="17">
        <v>1.7825E-3</v>
      </c>
      <c r="J21" s="16">
        <v>355</v>
      </c>
      <c r="K21" s="17">
        <v>2.4444E-2</v>
      </c>
      <c r="L21" s="16">
        <v>0</v>
      </c>
      <c r="M21" s="17">
        <v>0</v>
      </c>
    </row>
    <row r="22" spans="1:13" ht="13.5" thickBot="1">
      <c r="A22" s="12" t="s">
        <v>23</v>
      </c>
      <c r="B22" s="21" t="s">
        <v>83</v>
      </c>
      <c r="C22" s="15"/>
      <c r="D22" s="21" t="s">
        <v>83</v>
      </c>
      <c r="E22" s="15"/>
      <c r="F22" s="16">
        <v>29</v>
      </c>
      <c r="G22" s="17">
        <v>5.3406998158379376E-2</v>
      </c>
      <c r="H22" s="21" t="s">
        <v>83</v>
      </c>
      <c r="I22" s="15"/>
      <c r="J22" s="21" t="s">
        <v>83</v>
      </c>
      <c r="K22" s="15"/>
      <c r="L22" s="16">
        <v>59</v>
      </c>
      <c r="M22" s="17">
        <v>5.3587647593097185E-2</v>
      </c>
    </row>
    <row r="23" spans="1:13" ht="13.5" thickBot="1">
      <c r="A23" s="18" t="s">
        <v>32</v>
      </c>
      <c r="B23" s="19">
        <v>390</v>
      </c>
      <c r="C23" s="20">
        <v>1</v>
      </c>
      <c r="D23" s="19">
        <v>60</v>
      </c>
      <c r="E23" s="20">
        <v>1</v>
      </c>
      <c r="F23" s="19">
        <v>543</v>
      </c>
      <c r="G23" s="20">
        <v>0.99999999999999989</v>
      </c>
      <c r="H23" s="19">
        <v>2244</v>
      </c>
      <c r="I23" s="20">
        <v>1</v>
      </c>
      <c r="J23" s="19">
        <v>14523</v>
      </c>
      <c r="K23" s="20">
        <v>1</v>
      </c>
      <c r="L23" s="19">
        <v>1101</v>
      </c>
      <c r="M23" s="20">
        <v>1</v>
      </c>
    </row>
    <row r="24" spans="1:13" ht="12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13">
      <c r="A25" s="77" t="s">
        <v>84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13">
      <c r="A26" s="78" t="s">
        <v>85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12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>
      <c r="A28" s="48" t="s">
        <v>86</v>
      </c>
      <c r="B28" s="32"/>
      <c r="C28" s="32"/>
      <c r="D28" s="32"/>
      <c r="E28" s="32"/>
      <c r="F28" s="49" t="s">
        <v>87</v>
      </c>
      <c r="G28" s="32"/>
      <c r="H28" s="32"/>
      <c r="I28" s="32"/>
      <c r="J28" s="50" t="s">
        <v>88</v>
      </c>
      <c r="K28" s="32"/>
      <c r="L28" s="32"/>
      <c r="M28" s="32"/>
    </row>
  </sheetData>
  <mergeCells count="16">
    <mergeCell ref="A1:A2"/>
    <mergeCell ref="A11:M11"/>
    <mergeCell ref="A12:A13"/>
    <mergeCell ref="B12:C12"/>
    <mergeCell ref="D12:E12"/>
    <mergeCell ref="F12:G12"/>
    <mergeCell ref="H12:I12"/>
    <mergeCell ref="J12:K12"/>
    <mergeCell ref="L12:M12"/>
    <mergeCell ref="A24:M24"/>
    <mergeCell ref="A25:M25"/>
    <mergeCell ref="A26:M26"/>
    <mergeCell ref="A27:M27"/>
    <mergeCell ref="A28:E28"/>
    <mergeCell ref="F28:I28"/>
    <mergeCell ref="J28:M28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39" workbookViewId="0">
      <selection activeCell="M7" sqref="M7"/>
    </sheetView>
  </sheetViews>
  <sheetFormatPr defaultRowHeight="12.75" customHeight="1"/>
  <cols>
    <col min="1" max="1" width="22.140625" customWidth="1"/>
    <col min="2" max="2" width="7.85546875" customWidth="1"/>
    <col min="3" max="6" width="11.140625" customWidth="1"/>
    <col min="7" max="7" width="12.85546875" customWidth="1"/>
    <col min="8" max="8" width="7.42578125" bestFit="1" customWidth="1"/>
    <col min="9" max="9" width="10" bestFit="1" customWidth="1"/>
    <col min="10" max="10" width="7.42578125" bestFit="1" customWidth="1"/>
    <col min="11" max="11" width="10" bestFit="1" customWidth="1"/>
    <col min="12" max="12" width="7.42578125" bestFit="1" customWidth="1"/>
    <col min="13" max="13" width="10" bestFit="1" customWidth="1"/>
    <col min="14" max="14" width="7.42578125" bestFit="1" customWidth="1"/>
    <col min="15" max="15" width="10" bestFit="1" customWidth="1"/>
    <col min="16" max="16" width="7.42578125" bestFit="1" customWidth="1"/>
    <col min="17" max="17" width="10" bestFit="1" customWidth="1"/>
    <col min="18" max="18" width="7.42578125" bestFit="1" customWidth="1"/>
  </cols>
  <sheetData>
    <row r="1" spans="1:18" ht="23.25" customHeight="1">
      <c r="A1" s="32"/>
      <c r="B1" s="32"/>
      <c r="C1" s="32"/>
      <c r="D1" s="32"/>
      <c r="E1" s="32"/>
      <c r="F1" s="32"/>
      <c r="G1" s="32"/>
      <c r="H1" s="6" t="s">
        <v>76</v>
      </c>
      <c r="I1" s="6" t="s">
        <v>77</v>
      </c>
      <c r="J1" s="6" t="s">
        <v>89</v>
      </c>
    </row>
    <row r="2" spans="1:18" ht="12.75" customHeight="1">
      <c r="A2" s="32"/>
      <c r="B2" s="32"/>
      <c r="C2" s="32"/>
      <c r="D2" s="32"/>
      <c r="E2" s="32"/>
      <c r="F2" s="32"/>
      <c r="G2" s="32"/>
    </row>
    <row r="3" spans="1:18" s="28" customFormat="1" ht="12.75" customHeight="1">
      <c r="A3" s="32"/>
      <c r="B3" s="32"/>
      <c r="C3" s="32"/>
      <c r="D3" s="32"/>
      <c r="E3" s="32"/>
      <c r="F3" s="32"/>
      <c r="G3" s="32"/>
    </row>
    <row r="4" spans="1:18" s="28" customFormat="1" ht="12.75" customHeight="1">
      <c r="A4" s="32"/>
      <c r="B4" s="32"/>
      <c r="C4" s="32"/>
      <c r="D4" s="32"/>
      <c r="E4" s="32"/>
      <c r="F4" s="32"/>
      <c r="G4" s="32"/>
    </row>
    <row r="5" spans="1:18" s="28" customFormat="1" ht="12.75" customHeight="1">
      <c r="A5" s="32"/>
      <c r="B5" s="32"/>
      <c r="C5" s="32"/>
      <c r="D5" s="32"/>
      <c r="E5" s="32"/>
      <c r="F5" s="32"/>
      <c r="G5" s="32"/>
    </row>
    <row r="6" spans="1:18" s="28" customFormat="1" ht="12.75" customHeight="1">
      <c r="A6" s="32"/>
      <c r="B6" s="32"/>
      <c r="C6" s="32"/>
      <c r="D6" s="32"/>
      <c r="E6" s="32"/>
      <c r="F6" s="32"/>
      <c r="G6" s="32"/>
    </row>
    <row r="7" spans="1:18" s="28" customFormat="1" ht="12.75" customHeight="1">
      <c r="A7" s="32"/>
      <c r="B7" s="32"/>
      <c r="C7" s="32"/>
      <c r="D7" s="32"/>
      <c r="E7" s="32"/>
      <c r="F7" s="32"/>
      <c r="G7" s="32"/>
    </row>
    <row r="8" spans="1:18" s="28" customFormat="1" ht="12.75" customHeight="1">
      <c r="A8" s="32"/>
      <c r="B8" s="32"/>
      <c r="C8" s="32"/>
      <c r="D8" s="32"/>
      <c r="E8" s="32"/>
      <c r="F8" s="32"/>
      <c r="G8" s="32"/>
    </row>
    <row r="9" spans="1:18" s="28" customFormat="1" ht="12.75" customHeight="1">
      <c r="A9" s="32"/>
      <c r="B9" s="32"/>
      <c r="C9" s="32"/>
      <c r="D9" s="32"/>
      <c r="E9" s="32"/>
      <c r="F9" s="32"/>
      <c r="G9" s="32"/>
    </row>
    <row r="10" spans="1:18" s="28" customFormat="1" ht="12.75" customHeight="1">
      <c r="A10" s="32"/>
      <c r="B10" s="32"/>
      <c r="C10" s="32"/>
      <c r="D10" s="32"/>
      <c r="E10" s="32"/>
      <c r="F10" s="32"/>
      <c r="G10" s="32"/>
    </row>
    <row r="11" spans="1:18" ht="13.5" thickBot="1">
      <c r="A11" s="67" t="s">
        <v>4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 ht="18.75" customHeight="1">
      <c r="A12" s="76" t="s">
        <v>90</v>
      </c>
      <c r="B12" s="32"/>
      <c r="C12" s="32"/>
      <c r="D12" s="32"/>
      <c r="E12" s="32"/>
      <c r="F12" s="32"/>
      <c r="G12" s="68" t="s">
        <v>26</v>
      </c>
      <c r="H12" s="69"/>
      <c r="I12" s="68" t="s">
        <v>27</v>
      </c>
      <c r="J12" s="69"/>
      <c r="K12" s="70" t="s">
        <v>91</v>
      </c>
      <c r="L12" s="69"/>
      <c r="M12" s="68" t="s">
        <v>29</v>
      </c>
      <c r="N12" s="69"/>
      <c r="O12" s="68" t="s">
        <v>30</v>
      </c>
      <c r="P12" s="69"/>
      <c r="Q12" s="70" t="s">
        <v>92</v>
      </c>
      <c r="R12" s="69"/>
    </row>
    <row r="13" spans="1:18" ht="13.5" thickBot="1">
      <c r="A13" s="32"/>
      <c r="B13" s="32"/>
      <c r="C13" s="32"/>
      <c r="D13" s="32"/>
      <c r="E13" s="32"/>
      <c r="F13" s="32"/>
      <c r="G13" s="13" t="s">
        <v>82</v>
      </c>
      <c r="H13" s="13" t="s">
        <v>55</v>
      </c>
      <c r="I13" s="13" t="s">
        <v>82</v>
      </c>
      <c r="J13" s="13" t="s">
        <v>55</v>
      </c>
      <c r="K13" s="13" t="s">
        <v>82</v>
      </c>
      <c r="L13" s="13" t="s">
        <v>55</v>
      </c>
      <c r="M13" s="13" t="s">
        <v>82</v>
      </c>
      <c r="N13" s="13" t="s">
        <v>55</v>
      </c>
      <c r="O13" s="13" t="s">
        <v>82</v>
      </c>
      <c r="P13" s="13" t="s">
        <v>55</v>
      </c>
      <c r="Q13" s="13" t="s">
        <v>82</v>
      </c>
      <c r="R13" s="13" t="s">
        <v>55</v>
      </c>
    </row>
    <row r="14" spans="1:18" ht="13.5" thickBot="1">
      <c r="A14" s="22" t="s">
        <v>15</v>
      </c>
      <c r="B14" s="14"/>
      <c r="C14" s="85" t="s">
        <v>93</v>
      </c>
      <c r="D14" s="86"/>
      <c r="E14" s="86"/>
      <c r="F14" s="69"/>
      <c r="G14" s="23">
        <v>72</v>
      </c>
      <c r="H14" s="24">
        <v>0.18461540000000001</v>
      </c>
      <c r="I14" s="23">
        <v>2</v>
      </c>
      <c r="J14" s="24">
        <v>3.3333300000000003E-2</v>
      </c>
      <c r="K14" s="23">
        <v>202</v>
      </c>
      <c r="L14" s="24">
        <v>0.3720073664825046</v>
      </c>
      <c r="M14" s="23">
        <v>195</v>
      </c>
      <c r="N14" s="24">
        <v>8.6898400000000001E-2</v>
      </c>
      <c r="O14" s="23">
        <v>1221</v>
      </c>
      <c r="P14" s="24">
        <v>8.4073499999999995E-2</v>
      </c>
      <c r="Q14" s="23">
        <v>202</v>
      </c>
      <c r="R14" s="24">
        <v>0.3720073664825046</v>
      </c>
    </row>
    <row r="15" spans="1:18" ht="13.5" thickBot="1">
      <c r="A15" s="25" t="s">
        <v>16</v>
      </c>
      <c r="B15" s="26" t="s">
        <v>94</v>
      </c>
      <c r="C15" s="84" t="s">
        <v>95</v>
      </c>
      <c r="D15" s="61"/>
      <c r="E15" s="61"/>
      <c r="F15" s="44"/>
      <c r="G15" s="23">
        <v>9</v>
      </c>
      <c r="H15" s="24">
        <v>2.3076900000000001E-2</v>
      </c>
      <c r="I15" s="23">
        <v>2</v>
      </c>
      <c r="J15" s="24">
        <v>3.3333300000000003E-2</v>
      </c>
      <c r="K15" s="23">
        <v>26</v>
      </c>
      <c r="L15" s="24">
        <v>4.7882136279926338E-2</v>
      </c>
      <c r="M15" s="23">
        <v>33</v>
      </c>
      <c r="N15" s="24">
        <v>1.4705899999999999E-2</v>
      </c>
      <c r="O15" s="23">
        <v>635</v>
      </c>
      <c r="P15" s="24">
        <v>4.3723699999999997E-2</v>
      </c>
      <c r="Q15" s="23">
        <v>26</v>
      </c>
      <c r="R15" s="24">
        <v>4.7882136279926338E-2</v>
      </c>
    </row>
    <row r="16" spans="1:18" ht="13.5" thickBot="1">
      <c r="A16" s="81" t="s">
        <v>17</v>
      </c>
      <c r="B16" s="26" t="s">
        <v>96</v>
      </c>
      <c r="C16" s="84" t="s">
        <v>97</v>
      </c>
      <c r="D16" s="61"/>
      <c r="E16" s="61"/>
      <c r="F16" s="44"/>
      <c r="G16" s="27" t="s">
        <v>83</v>
      </c>
      <c r="H16" s="15"/>
      <c r="I16" s="27" t="s">
        <v>83</v>
      </c>
      <c r="J16" s="15"/>
      <c r="K16" s="23">
        <v>49</v>
      </c>
      <c r="L16" s="24">
        <v>9.0239410681399637E-2</v>
      </c>
      <c r="M16" s="23">
        <v>4</v>
      </c>
      <c r="N16" s="24">
        <v>1.7825E-3</v>
      </c>
      <c r="O16" s="27" t="s">
        <v>83</v>
      </c>
      <c r="P16" s="15"/>
      <c r="Q16" s="23">
        <v>49</v>
      </c>
      <c r="R16" s="24">
        <v>9.0239410681399637E-2</v>
      </c>
    </row>
    <row r="17" spans="1:18" ht="13.5" thickBot="1">
      <c r="A17" s="82"/>
      <c r="B17" s="26" t="s">
        <v>98</v>
      </c>
      <c r="C17" s="84" t="s">
        <v>99</v>
      </c>
      <c r="D17" s="61"/>
      <c r="E17" s="61"/>
      <c r="F17" s="44"/>
      <c r="G17" s="23">
        <v>14</v>
      </c>
      <c r="H17" s="24">
        <v>3.5897400000000003E-2</v>
      </c>
      <c r="I17" s="27" t="s">
        <v>83</v>
      </c>
      <c r="J17" s="15"/>
      <c r="K17" s="23">
        <v>0</v>
      </c>
      <c r="L17" s="24"/>
      <c r="M17" s="23">
        <v>8</v>
      </c>
      <c r="N17" s="24">
        <v>3.5650999999999999E-3</v>
      </c>
      <c r="O17" s="23">
        <v>18</v>
      </c>
      <c r="P17" s="24">
        <v>1.2394000000000001E-3</v>
      </c>
      <c r="Q17" s="23">
        <v>0</v>
      </c>
      <c r="R17" s="24"/>
    </row>
    <row r="18" spans="1:18" ht="13.5" thickBot="1">
      <c r="A18" s="82"/>
      <c r="B18" s="26" t="s">
        <v>100</v>
      </c>
      <c r="C18" s="84" t="s">
        <v>101</v>
      </c>
      <c r="D18" s="61"/>
      <c r="E18" s="61"/>
      <c r="F18" s="44"/>
      <c r="G18" s="27" t="s">
        <v>83</v>
      </c>
      <c r="H18" s="15"/>
      <c r="I18" s="27" t="s">
        <v>83</v>
      </c>
      <c r="J18" s="15"/>
      <c r="K18" s="23">
        <v>8</v>
      </c>
      <c r="L18" s="24">
        <v>1.4732965009208104E-2</v>
      </c>
      <c r="M18" s="23">
        <v>1</v>
      </c>
      <c r="N18" s="24">
        <v>4.4559999999999999E-4</v>
      </c>
      <c r="O18" s="23">
        <v>433</v>
      </c>
      <c r="P18" s="24">
        <v>2.9814799999999999E-2</v>
      </c>
      <c r="Q18" s="23">
        <v>8</v>
      </c>
      <c r="R18" s="24">
        <v>1.4732965009208104E-2</v>
      </c>
    </row>
    <row r="19" spans="1:18" ht="13.5" thickBot="1">
      <c r="A19" s="82"/>
      <c r="B19" s="26" t="s">
        <v>102</v>
      </c>
      <c r="C19" s="84" t="s">
        <v>103</v>
      </c>
      <c r="D19" s="61"/>
      <c r="E19" s="61"/>
      <c r="F19" s="44"/>
      <c r="G19" s="23">
        <v>6</v>
      </c>
      <c r="H19" s="24">
        <v>1.53846E-2</v>
      </c>
      <c r="I19" s="27" t="s">
        <v>83</v>
      </c>
      <c r="J19" s="15"/>
      <c r="K19" s="23">
        <v>0</v>
      </c>
      <c r="L19" s="24"/>
      <c r="M19" s="27" t="s">
        <v>83</v>
      </c>
      <c r="N19" s="15"/>
      <c r="O19" s="27" t="s">
        <v>83</v>
      </c>
      <c r="P19" s="15"/>
      <c r="Q19" s="23">
        <v>0</v>
      </c>
      <c r="R19" s="24"/>
    </row>
    <row r="20" spans="1:18" ht="13.5" thickBot="1">
      <c r="A20" s="82"/>
      <c r="B20" s="26" t="s">
        <v>104</v>
      </c>
      <c r="C20" s="84" t="s">
        <v>105</v>
      </c>
      <c r="D20" s="61"/>
      <c r="E20" s="61"/>
      <c r="F20" s="44"/>
      <c r="G20" s="23">
        <v>2</v>
      </c>
      <c r="H20" s="24">
        <v>5.1282000000000003E-3</v>
      </c>
      <c r="I20" s="27" t="s">
        <v>83</v>
      </c>
      <c r="J20" s="15"/>
      <c r="K20" s="23">
        <v>0</v>
      </c>
      <c r="L20" s="24"/>
      <c r="M20" s="23">
        <v>1</v>
      </c>
      <c r="N20" s="24">
        <v>4.4559999999999999E-4</v>
      </c>
      <c r="O20" s="27" t="s">
        <v>83</v>
      </c>
      <c r="P20" s="15"/>
      <c r="Q20" s="23">
        <v>0</v>
      </c>
      <c r="R20" s="24"/>
    </row>
    <row r="21" spans="1:18" ht="13.5" thickBot="1">
      <c r="A21" s="82"/>
      <c r="B21" s="26" t="s">
        <v>106</v>
      </c>
      <c r="C21" s="84" t="s">
        <v>107</v>
      </c>
      <c r="D21" s="61"/>
      <c r="E21" s="61"/>
      <c r="F21" s="44"/>
      <c r="G21" s="23">
        <v>13</v>
      </c>
      <c r="H21" s="24">
        <v>3.3333300000000003E-2</v>
      </c>
      <c r="I21" s="23">
        <v>1</v>
      </c>
      <c r="J21" s="24">
        <v>1.66667E-2</v>
      </c>
      <c r="K21" s="23">
        <v>16</v>
      </c>
      <c r="L21" s="24">
        <v>2.9465930018416207E-2</v>
      </c>
      <c r="M21" s="27" t="s">
        <v>83</v>
      </c>
      <c r="N21" s="15"/>
      <c r="O21" s="27" t="s">
        <v>83</v>
      </c>
      <c r="P21" s="15"/>
      <c r="Q21" s="23">
        <v>16</v>
      </c>
      <c r="R21" s="24">
        <v>2.9465930018416207E-2</v>
      </c>
    </row>
    <row r="22" spans="1:18" ht="13.5" thickBot="1">
      <c r="A22" s="82"/>
      <c r="B22" s="26" t="s">
        <v>108</v>
      </c>
      <c r="C22" s="84" t="s">
        <v>109</v>
      </c>
      <c r="D22" s="61"/>
      <c r="E22" s="61"/>
      <c r="F22" s="44"/>
      <c r="G22" s="23">
        <v>1</v>
      </c>
      <c r="H22" s="24">
        <v>2.5641000000000001E-3</v>
      </c>
      <c r="I22" s="27" t="s">
        <v>83</v>
      </c>
      <c r="J22" s="15"/>
      <c r="K22" s="23">
        <v>0</v>
      </c>
      <c r="L22" s="24"/>
      <c r="M22" s="23">
        <v>15</v>
      </c>
      <c r="N22" s="24">
        <v>6.6845000000000003E-3</v>
      </c>
      <c r="O22" s="23">
        <v>24</v>
      </c>
      <c r="P22" s="24">
        <v>1.6525999999999999E-3</v>
      </c>
      <c r="Q22" s="23">
        <v>0</v>
      </c>
      <c r="R22" s="24"/>
    </row>
    <row r="23" spans="1:18" ht="13.5" thickBot="1">
      <c r="A23" s="82"/>
      <c r="B23" s="26" t="s">
        <v>110</v>
      </c>
      <c r="C23" s="84" t="s">
        <v>111</v>
      </c>
      <c r="D23" s="61"/>
      <c r="E23" s="61"/>
      <c r="F23" s="44"/>
      <c r="G23" s="23">
        <v>32</v>
      </c>
      <c r="H23" s="24">
        <v>8.2051299999999994E-2</v>
      </c>
      <c r="I23" s="23">
        <v>14</v>
      </c>
      <c r="J23" s="24">
        <v>0.23333329999999999</v>
      </c>
      <c r="K23" s="23">
        <v>109</v>
      </c>
      <c r="L23" s="24">
        <v>0.20073664825046039</v>
      </c>
      <c r="M23" s="23">
        <v>292</v>
      </c>
      <c r="N23" s="24">
        <v>0.13012480000000001</v>
      </c>
      <c r="O23" s="23">
        <v>621</v>
      </c>
      <c r="P23" s="24">
        <v>4.2759800000000001E-2</v>
      </c>
      <c r="Q23" s="23">
        <v>109</v>
      </c>
      <c r="R23" s="24">
        <v>0.20073664825046039</v>
      </c>
    </row>
    <row r="24" spans="1:18" ht="13.5" thickBot="1">
      <c r="A24" s="83"/>
      <c r="B24" s="26" t="s">
        <v>112</v>
      </c>
      <c r="C24" s="84" t="s">
        <v>113</v>
      </c>
      <c r="D24" s="61"/>
      <c r="E24" s="61"/>
      <c r="F24" s="44"/>
      <c r="G24" s="23">
        <v>7</v>
      </c>
      <c r="H24" s="24">
        <v>1.7948700000000001E-2</v>
      </c>
      <c r="I24" s="27" t="s">
        <v>83</v>
      </c>
      <c r="J24" s="15"/>
      <c r="K24" s="23">
        <v>5</v>
      </c>
      <c r="L24" s="24">
        <v>9.2081031307550652E-3</v>
      </c>
      <c r="M24" s="27" t="s">
        <v>83</v>
      </c>
      <c r="N24" s="15"/>
      <c r="O24" s="23">
        <v>1</v>
      </c>
      <c r="P24" s="24">
        <v>6.8899999999999994E-5</v>
      </c>
      <c r="Q24" s="23">
        <v>5</v>
      </c>
      <c r="R24" s="24">
        <v>9.2081031307550652E-3</v>
      </c>
    </row>
    <row r="25" spans="1:18" ht="13.5" thickBot="1">
      <c r="A25" s="81" t="s">
        <v>18</v>
      </c>
      <c r="B25" s="26" t="s">
        <v>114</v>
      </c>
      <c r="C25" s="84" t="s">
        <v>115</v>
      </c>
      <c r="D25" s="61"/>
      <c r="E25" s="61"/>
      <c r="F25" s="44"/>
      <c r="G25" s="27" t="s">
        <v>83</v>
      </c>
      <c r="H25" s="15"/>
      <c r="I25" s="27" t="s">
        <v>83</v>
      </c>
      <c r="J25" s="15"/>
      <c r="K25" s="23">
        <v>0</v>
      </c>
      <c r="L25" s="24"/>
      <c r="M25" s="27" t="s">
        <v>83</v>
      </c>
      <c r="N25" s="15"/>
      <c r="O25" s="23">
        <v>6</v>
      </c>
      <c r="P25" s="24">
        <v>4.1310000000000001E-4</v>
      </c>
      <c r="Q25" s="23">
        <v>0</v>
      </c>
      <c r="R25" s="24"/>
    </row>
    <row r="26" spans="1:18" ht="13.5" thickBot="1">
      <c r="A26" s="82"/>
      <c r="B26" s="26" t="s">
        <v>116</v>
      </c>
      <c r="C26" s="84" t="s">
        <v>117</v>
      </c>
      <c r="D26" s="61"/>
      <c r="E26" s="61"/>
      <c r="F26" s="44"/>
      <c r="G26" s="27" t="s">
        <v>83</v>
      </c>
      <c r="H26" s="15"/>
      <c r="I26" s="27" t="s">
        <v>83</v>
      </c>
      <c r="J26" s="15"/>
      <c r="K26" s="23">
        <v>0</v>
      </c>
      <c r="L26" s="24"/>
      <c r="M26" s="23">
        <v>248</v>
      </c>
      <c r="N26" s="24">
        <v>0.1105169</v>
      </c>
      <c r="O26" s="23">
        <v>418</v>
      </c>
      <c r="P26" s="24">
        <v>2.8781899999999999E-2</v>
      </c>
      <c r="Q26" s="23">
        <v>0</v>
      </c>
      <c r="R26" s="24"/>
    </row>
    <row r="27" spans="1:18" ht="13.5" thickBot="1">
      <c r="A27" s="82"/>
      <c r="B27" s="26" t="s">
        <v>118</v>
      </c>
      <c r="C27" s="84" t="s">
        <v>119</v>
      </c>
      <c r="D27" s="61"/>
      <c r="E27" s="61"/>
      <c r="F27" s="44"/>
      <c r="G27" s="27" t="s">
        <v>83</v>
      </c>
      <c r="H27" s="15"/>
      <c r="I27" s="27" t="s">
        <v>83</v>
      </c>
      <c r="J27" s="15"/>
      <c r="K27" s="23">
        <v>0</v>
      </c>
      <c r="L27" s="24"/>
      <c r="M27" s="23">
        <v>14</v>
      </c>
      <c r="N27" s="24">
        <v>6.2389000000000003E-3</v>
      </c>
      <c r="O27" s="23">
        <v>211</v>
      </c>
      <c r="P27" s="24">
        <v>1.45287E-2</v>
      </c>
      <c r="Q27" s="23">
        <v>0</v>
      </c>
      <c r="R27" s="24"/>
    </row>
    <row r="28" spans="1:18" ht="13.5" thickBot="1">
      <c r="A28" s="82"/>
      <c r="B28" s="26" t="s">
        <v>120</v>
      </c>
      <c r="C28" s="84" t="s">
        <v>121</v>
      </c>
      <c r="D28" s="61"/>
      <c r="E28" s="61"/>
      <c r="F28" s="44"/>
      <c r="G28" s="23">
        <v>1</v>
      </c>
      <c r="H28" s="24">
        <v>2.5641000000000001E-3</v>
      </c>
      <c r="I28" s="27" t="s">
        <v>83</v>
      </c>
      <c r="J28" s="15"/>
      <c r="K28" s="23">
        <v>5</v>
      </c>
      <c r="L28" s="24">
        <v>9.2081031307550652E-3</v>
      </c>
      <c r="M28" s="23">
        <v>6</v>
      </c>
      <c r="N28" s="24">
        <v>2.6738E-3</v>
      </c>
      <c r="O28" s="23">
        <v>986</v>
      </c>
      <c r="P28" s="24">
        <v>6.7892300000000003E-2</v>
      </c>
      <c r="Q28" s="23">
        <v>5</v>
      </c>
      <c r="R28" s="24">
        <v>9.2081031307550652E-3</v>
      </c>
    </row>
    <row r="29" spans="1:18" ht="13.5" thickBot="1">
      <c r="A29" s="82"/>
      <c r="B29" s="26" t="s">
        <v>122</v>
      </c>
      <c r="C29" s="84" t="s">
        <v>123</v>
      </c>
      <c r="D29" s="61"/>
      <c r="E29" s="61"/>
      <c r="F29" s="44"/>
      <c r="G29" s="23">
        <v>1</v>
      </c>
      <c r="H29" s="24">
        <v>2.5641000000000001E-3</v>
      </c>
      <c r="I29" s="27" t="s">
        <v>83</v>
      </c>
      <c r="J29" s="15"/>
      <c r="K29" s="23">
        <v>16</v>
      </c>
      <c r="L29" s="24">
        <v>2.9465930018416207E-2</v>
      </c>
      <c r="M29" s="27" t="s">
        <v>83</v>
      </c>
      <c r="N29" s="15"/>
      <c r="O29" s="27" t="s">
        <v>83</v>
      </c>
      <c r="P29" s="15"/>
      <c r="Q29" s="23">
        <v>16</v>
      </c>
      <c r="R29" s="24">
        <v>2.9465930018416207E-2</v>
      </c>
    </row>
    <row r="30" spans="1:18" ht="13.5" thickBot="1">
      <c r="A30" s="82"/>
      <c r="B30" s="26" t="s">
        <v>124</v>
      </c>
      <c r="C30" s="84" t="s">
        <v>125</v>
      </c>
      <c r="D30" s="61"/>
      <c r="E30" s="61"/>
      <c r="F30" s="44"/>
      <c r="G30" s="27" t="s">
        <v>83</v>
      </c>
      <c r="H30" s="15"/>
      <c r="I30" s="27" t="s">
        <v>83</v>
      </c>
      <c r="J30" s="15"/>
      <c r="K30" s="23">
        <v>0</v>
      </c>
      <c r="L30" s="24"/>
      <c r="M30" s="23">
        <v>1</v>
      </c>
      <c r="N30" s="24">
        <v>4.4559999999999999E-4</v>
      </c>
      <c r="O30" s="23">
        <v>43</v>
      </c>
      <c r="P30" s="24">
        <v>2.9608E-3</v>
      </c>
      <c r="Q30" s="23">
        <v>0</v>
      </c>
      <c r="R30" s="24"/>
    </row>
    <row r="31" spans="1:18" ht="13.5" thickBot="1">
      <c r="A31" s="82"/>
      <c r="B31" s="26" t="s">
        <v>126</v>
      </c>
      <c r="C31" s="84" t="s">
        <v>127</v>
      </c>
      <c r="D31" s="61"/>
      <c r="E31" s="61"/>
      <c r="F31" s="44"/>
      <c r="G31" s="27" t="s">
        <v>83</v>
      </c>
      <c r="H31" s="15"/>
      <c r="I31" s="27" t="s">
        <v>83</v>
      </c>
      <c r="J31" s="15"/>
      <c r="K31" s="23">
        <v>0</v>
      </c>
      <c r="L31" s="24"/>
      <c r="M31" s="23">
        <v>6</v>
      </c>
      <c r="N31" s="24">
        <v>2.6738E-3</v>
      </c>
      <c r="O31" s="27" t="s">
        <v>83</v>
      </c>
      <c r="P31" s="15"/>
      <c r="Q31" s="23">
        <v>0</v>
      </c>
      <c r="R31" s="24"/>
    </row>
    <row r="32" spans="1:18" ht="13.5" thickBot="1">
      <c r="A32" s="82"/>
      <c r="B32" s="26" t="s">
        <v>128</v>
      </c>
      <c r="C32" s="84" t="s">
        <v>129</v>
      </c>
      <c r="D32" s="61"/>
      <c r="E32" s="61"/>
      <c r="F32" s="44"/>
      <c r="G32" s="23">
        <v>3</v>
      </c>
      <c r="H32" s="24">
        <v>7.6923E-3</v>
      </c>
      <c r="I32" s="27" t="s">
        <v>83</v>
      </c>
      <c r="J32" s="15"/>
      <c r="K32" s="23">
        <v>6</v>
      </c>
      <c r="L32" s="24">
        <v>1.1049723756906077E-2</v>
      </c>
      <c r="M32" s="23">
        <v>31</v>
      </c>
      <c r="N32" s="24">
        <v>1.38146E-2</v>
      </c>
      <c r="O32" s="23">
        <v>29</v>
      </c>
      <c r="P32" s="24">
        <v>1.9968E-3</v>
      </c>
      <c r="Q32" s="23">
        <v>6</v>
      </c>
      <c r="R32" s="24">
        <v>1.1049723756906077E-2</v>
      </c>
    </row>
    <row r="33" spans="1:18" ht="13.5" thickBot="1">
      <c r="A33" s="82"/>
      <c r="B33" s="26" t="s">
        <v>130</v>
      </c>
      <c r="C33" s="84" t="s">
        <v>131</v>
      </c>
      <c r="D33" s="61"/>
      <c r="E33" s="61"/>
      <c r="F33" s="44"/>
      <c r="G33" s="23">
        <v>1</v>
      </c>
      <c r="H33" s="24">
        <v>2.5641000000000001E-3</v>
      </c>
      <c r="I33" s="27" t="s">
        <v>83</v>
      </c>
      <c r="J33" s="15"/>
      <c r="K33" s="23">
        <v>0</v>
      </c>
      <c r="L33" s="24"/>
      <c r="M33" s="23">
        <v>1</v>
      </c>
      <c r="N33" s="24">
        <v>4.4559999999999999E-4</v>
      </c>
      <c r="O33" s="23">
        <v>33</v>
      </c>
      <c r="P33" s="24">
        <v>2.2723000000000001E-3</v>
      </c>
      <c r="Q33" s="23">
        <v>0</v>
      </c>
      <c r="R33" s="24"/>
    </row>
    <row r="34" spans="1:18" ht="13.5" thickBot="1">
      <c r="A34" s="82"/>
      <c r="B34" s="26" t="s">
        <v>132</v>
      </c>
      <c r="C34" s="84" t="s">
        <v>133</v>
      </c>
      <c r="D34" s="61"/>
      <c r="E34" s="61"/>
      <c r="F34" s="44"/>
      <c r="G34" s="27" t="s">
        <v>83</v>
      </c>
      <c r="H34" s="15"/>
      <c r="I34" s="27" t="s">
        <v>83</v>
      </c>
      <c r="J34" s="15"/>
      <c r="K34" s="23">
        <v>0</v>
      </c>
      <c r="L34" s="24"/>
      <c r="M34" s="27" t="s">
        <v>83</v>
      </c>
      <c r="N34" s="15"/>
      <c r="O34" s="23">
        <v>7</v>
      </c>
      <c r="P34" s="24">
        <v>4.8200000000000001E-4</v>
      </c>
      <c r="Q34" s="23">
        <v>0</v>
      </c>
      <c r="R34" s="24"/>
    </row>
    <row r="35" spans="1:18" ht="13.5" thickBot="1">
      <c r="A35" s="82"/>
      <c r="B35" s="26" t="s">
        <v>134</v>
      </c>
      <c r="C35" s="84" t="s">
        <v>135</v>
      </c>
      <c r="D35" s="61"/>
      <c r="E35" s="61"/>
      <c r="F35" s="44"/>
      <c r="G35" s="23">
        <v>11</v>
      </c>
      <c r="H35" s="24">
        <v>2.82051E-2</v>
      </c>
      <c r="I35" s="27" t="s">
        <v>83</v>
      </c>
      <c r="J35" s="15"/>
      <c r="K35" s="23">
        <v>0</v>
      </c>
      <c r="L35" s="24"/>
      <c r="M35" s="23">
        <v>153</v>
      </c>
      <c r="N35" s="24">
        <v>6.8181800000000001E-2</v>
      </c>
      <c r="O35" s="23">
        <v>116</v>
      </c>
      <c r="P35" s="24">
        <v>7.9872999999999993E-3</v>
      </c>
      <c r="Q35" s="23">
        <v>0</v>
      </c>
      <c r="R35" s="24"/>
    </row>
    <row r="36" spans="1:18" ht="13.5" thickBot="1">
      <c r="A36" s="83"/>
      <c r="B36" s="26" t="s">
        <v>136</v>
      </c>
      <c r="C36" s="84" t="s">
        <v>137</v>
      </c>
      <c r="D36" s="61"/>
      <c r="E36" s="61"/>
      <c r="F36" s="44"/>
      <c r="G36" s="27" t="s">
        <v>83</v>
      </c>
      <c r="H36" s="15"/>
      <c r="I36" s="27" t="s">
        <v>83</v>
      </c>
      <c r="J36" s="15"/>
      <c r="K36" s="23">
        <v>0</v>
      </c>
      <c r="L36" s="24"/>
      <c r="M36" s="27" t="s">
        <v>83</v>
      </c>
      <c r="N36" s="15"/>
      <c r="O36" s="27" t="s">
        <v>83</v>
      </c>
      <c r="P36" s="15"/>
      <c r="Q36" s="23">
        <v>0</v>
      </c>
      <c r="R36" s="24"/>
    </row>
    <row r="37" spans="1:18" ht="13.5" thickBot="1">
      <c r="A37" s="25" t="s">
        <v>19</v>
      </c>
      <c r="B37" s="26" t="s">
        <v>138</v>
      </c>
      <c r="C37" s="84" t="s">
        <v>139</v>
      </c>
      <c r="D37" s="61"/>
      <c r="E37" s="61"/>
      <c r="F37" s="44"/>
      <c r="G37" s="23">
        <v>189</v>
      </c>
      <c r="H37" s="24">
        <v>0.48461539999999997</v>
      </c>
      <c r="I37" s="23">
        <v>34</v>
      </c>
      <c r="J37" s="24">
        <v>0.56666669999999997</v>
      </c>
      <c r="K37" s="23">
        <v>0</v>
      </c>
      <c r="L37" s="24"/>
      <c r="M37" s="23">
        <v>1017</v>
      </c>
      <c r="N37" s="24">
        <v>0.45320860000000002</v>
      </c>
      <c r="O37" s="23">
        <v>6189</v>
      </c>
      <c r="P37" s="24">
        <v>0.42615160000000002</v>
      </c>
      <c r="Q37" s="23">
        <v>0</v>
      </c>
      <c r="R37" s="24"/>
    </row>
    <row r="38" spans="1:18" ht="13.5" thickBot="1">
      <c r="A38" s="81" t="s">
        <v>20</v>
      </c>
      <c r="B38" s="26" t="s">
        <v>140</v>
      </c>
      <c r="C38" s="84" t="s">
        <v>141</v>
      </c>
      <c r="D38" s="61"/>
      <c r="E38" s="61"/>
      <c r="F38" s="44"/>
      <c r="G38" s="27" t="s">
        <v>83</v>
      </c>
      <c r="H38" s="15"/>
      <c r="I38" s="27" t="s">
        <v>83</v>
      </c>
      <c r="J38" s="15"/>
      <c r="K38" s="23">
        <v>71</v>
      </c>
      <c r="L38" s="24">
        <v>0.13075506445672191</v>
      </c>
      <c r="M38" s="27" t="s">
        <v>83</v>
      </c>
      <c r="N38" s="15"/>
      <c r="O38" s="27" t="s">
        <v>83</v>
      </c>
      <c r="P38" s="15"/>
      <c r="Q38" s="23">
        <v>71</v>
      </c>
      <c r="R38" s="24">
        <v>0.13075506445672191</v>
      </c>
    </row>
    <row r="39" spans="1:18" ht="13.5" thickBot="1">
      <c r="A39" s="82"/>
      <c r="B39" s="26" t="s">
        <v>142</v>
      </c>
      <c r="C39" s="84" t="s">
        <v>143</v>
      </c>
      <c r="D39" s="61"/>
      <c r="E39" s="61"/>
      <c r="F39" s="44"/>
      <c r="G39" s="27" t="s">
        <v>83</v>
      </c>
      <c r="H39" s="15"/>
      <c r="I39" s="27" t="s">
        <v>83</v>
      </c>
      <c r="J39" s="15"/>
      <c r="K39" s="23">
        <v>0</v>
      </c>
      <c r="L39" s="24"/>
      <c r="M39" s="23">
        <v>31</v>
      </c>
      <c r="N39" s="24">
        <v>1.38146E-2</v>
      </c>
      <c r="O39" s="23">
        <v>10</v>
      </c>
      <c r="P39" s="24">
        <v>6.8860000000000004E-4</v>
      </c>
      <c r="Q39" s="23">
        <v>0</v>
      </c>
      <c r="R39" s="24"/>
    </row>
    <row r="40" spans="1:18" ht="13.5" thickBot="1">
      <c r="A40" s="83"/>
      <c r="B40" s="26" t="s">
        <v>144</v>
      </c>
      <c r="C40" s="84" t="s">
        <v>145</v>
      </c>
      <c r="D40" s="61"/>
      <c r="E40" s="61"/>
      <c r="F40" s="44"/>
      <c r="G40" s="27" t="s">
        <v>83</v>
      </c>
      <c r="H40" s="15"/>
      <c r="I40" s="27" t="s">
        <v>83</v>
      </c>
      <c r="J40" s="15"/>
      <c r="K40" s="23">
        <v>0</v>
      </c>
      <c r="L40" s="24"/>
      <c r="M40" s="27" t="s">
        <v>83</v>
      </c>
      <c r="N40" s="15"/>
      <c r="O40" s="23">
        <v>85</v>
      </c>
      <c r="P40" s="24">
        <v>5.8528E-3</v>
      </c>
      <c r="Q40" s="23">
        <v>0</v>
      </c>
      <c r="R40" s="24"/>
    </row>
    <row r="41" spans="1:18" ht="13.5" thickBot="1">
      <c r="A41" s="81" t="s">
        <v>21</v>
      </c>
      <c r="B41" s="26" t="s">
        <v>146</v>
      </c>
      <c r="C41" s="84" t="s">
        <v>147</v>
      </c>
      <c r="D41" s="61"/>
      <c r="E41" s="61"/>
      <c r="F41" s="44"/>
      <c r="G41" s="23">
        <v>27</v>
      </c>
      <c r="H41" s="24">
        <v>6.9230799999999995E-2</v>
      </c>
      <c r="I41" s="23">
        <v>5</v>
      </c>
      <c r="J41" s="24">
        <v>8.3333299999999999E-2</v>
      </c>
      <c r="K41" s="23">
        <v>0</v>
      </c>
      <c r="L41" s="24"/>
      <c r="M41" s="23">
        <v>183</v>
      </c>
      <c r="N41" s="24">
        <v>8.1550800000000007E-2</v>
      </c>
      <c r="O41" s="23">
        <v>2849</v>
      </c>
      <c r="P41" s="24">
        <v>0.1961716</v>
      </c>
      <c r="Q41" s="23">
        <v>0</v>
      </c>
      <c r="R41" s="24"/>
    </row>
    <row r="42" spans="1:18" ht="13.5" thickBot="1">
      <c r="A42" s="82"/>
      <c r="B42" s="26" t="s">
        <v>148</v>
      </c>
      <c r="C42" s="84" t="s">
        <v>149</v>
      </c>
      <c r="D42" s="61"/>
      <c r="E42" s="61"/>
      <c r="F42" s="44"/>
      <c r="G42" s="27" t="s">
        <v>83</v>
      </c>
      <c r="H42" s="15"/>
      <c r="I42" s="27" t="s">
        <v>83</v>
      </c>
      <c r="J42" s="15"/>
      <c r="K42" s="23">
        <v>1</v>
      </c>
      <c r="L42" s="24">
        <v>1.841620626151013E-3</v>
      </c>
      <c r="M42" s="27" t="s">
        <v>83</v>
      </c>
      <c r="N42" s="15"/>
      <c r="O42" s="23">
        <v>129</v>
      </c>
      <c r="P42" s="24">
        <v>8.8824999999999998E-3</v>
      </c>
      <c r="Q42" s="23">
        <v>1</v>
      </c>
      <c r="R42" s="24">
        <v>1.841620626151013E-3</v>
      </c>
    </row>
    <row r="43" spans="1:18" ht="13.5" thickBot="1">
      <c r="A43" s="82"/>
      <c r="B43" s="26" t="s">
        <v>150</v>
      </c>
      <c r="C43" s="84" t="s">
        <v>151</v>
      </c>
      <c r="D43" s="61"/>
      <c r="E43" s="61"/>
      <c r="F43" s="44"/>
      <c r="G43" s="27" t="s">
        <v>83</v>
      </c>
      <c r="H43" s="15"/>
      <c r="I43" s="23">
        <v>2</v>
      </c>
      <c r="J43" s="24">
        <v>3.3333300000000003E-2</v>
      </c>
      <c r="K43" s="23">
        <v>0</v>
      </c>
      <c r="L43" s="24"/>
      <c r="M43" s="27" t="s">
        <v>83</v>
      </c>
      <c r="N43" s="15"/>
      <c r="O43" s="27" t="s">
        <v>83</v>
      </c>
      <c r="P43" s="15"/>
      <c r="Q43" s="23">
        <v>0</v>
      </c>
      <c r="R43" s="24"/>
    </row>
    <row r="44" spans="1:18" ht="13.5" thickBot="1">
      <c r="A44" s="83"/>
      <c r="B44" s="26" t="s">
        <v>152</v>
      </c>
      <c r="C44" s="84" t="s">
        <v>153</v>
      </c>
      <c r="D44" s="61"/>
      <c r="E44" s="61"/>
      <c r="F44" s="44"/>
      <c r="G44" s="27" t="s">
        <v>83</v>
      </c>
      <c r="H44" s="15"/>
      <c r="I44" s="27" t="s">
        <v>83</v>
      </c>
      <c r="J44" s="15"/>
      <c r="K44" s="23">
        <v>0</v>
      </c>
      <c r="L44" s="24"/>
      <c r="M44" s="27" t="s">
        <v>83</v>
      </c>
      <c r="N44" s="15"/>
      <c r="O44" s="23">
        <v>104</v>
      </c>
      <c r="P44" s="24">
        <v>7.1611000000000001E-3</v>
      </c>
      <c r="Q44" s="23">
        <v>0</v>
      </c>
      <c r="R44" s="24"/>
    </row>
    <row r="45" spans="1:18" ht="13.5" thickBot="1">
      <c r="A45" s="81" t="s">
        <v>22</v>
      </c>
      <c r="B45" s="26" t="s">
        <v>154</v>
      </c>
      <c r="C45" s="84" t="s">
        <v>155</v>
      </c>
      <c r="D45" s="61"/>
      <c r="E45" s="61"/>
      <c r="F45" s="44"/>
      <c r="G45" s="27" t="s">
        <v>83</v>
      </c>
      <c r="H45" s="15"/>
      <c r="I45" s="27" t="s">
        <v>83</v>
      </c>
      <c r="J45" s="15"/>
      <c r="K45" s="23">
        <v>0</v>
      </c>
      <c r="L45" s="24"/>
      <c r="M45" s="27" t="s">
        <v>83</v>
      </c>
      <c r="N45" s="15"/>
      <c r="O45" s="23">
        <v>13</v>
      </c>
      <c r="P45" s="24">
        <v>8.9510000000000002E-4</v>
      </c>
      <c r="Q45" s="23">
        <v>0</v>
      </c>
      <c r="R45" s="24"/>
    </row>
    <row r="46" spans="1:18" ht="13.5" thickBot="1">
      <c r="A46" s="82"/>
      <c r="B46" s="26" t="s">
        <v>156</v>
      </c>
      <c r="C46" s="84" t="s">
        <v>22</v>
      </c>
      <c r="D46" s="61"/>
      <c r="E46" s="61"/>
      <c r="F46" s="44"/>
      <c r="G46" s="23">
        <v>1</v>
      </c>
      <c r="H46" s="24">
        <v>2.5641000000000001E-3</v>
      </c>
      <c r="I46" s="27" t="s">
        <v>83</v>
      </c>
      <c r="J46" s="15"/>
      <c r="K46" s="23">
        <v>0</v>
      </c>
      <c r="L46" s="24"/>
      <c r="M46" s="23">
        <v>4</v>
      </c>
      <c r="N46" s="24">
        <v>1.7825E-3</v>
      </c>
      <c r="O46" s="23">
        <v>83</v>
      </c>
      <c r="P46" s="24">
        <v>5.7150999999999999E-3</v>
      </c>
      <c r="Q46" s="23">
        <v>0</v>
      </c>
      <c r="R46" s="24"/>
    </row>
    <row r="47" spans="1:18" ht="13.5" thickBot="1">
      <c r="A47" s="83"/>
      <c r="B47" s="26" t="s">
        <v>157</v>
      </c>
      <c r="C47" s="84" t="s">
        <v>158</v>
      </c>
      <c r="D47" s="61"/>
      <c r="E47" s="61"/>
      <c r="F47" s="44"/>
      <c r="G47" s="27" t="s">
        <v>83</v>
      </c>
      <c r="H47" s="15"/>
      <c r="I47" s="27" t="s">
        <v>83</v>
      </c>
      <c r="J47" s="15"/>
      <c r="K47" s="23">
        <v>0</v>
      </c>
      <c r="L47" s="24"/>
      <c r="M47" s="27" t="s">
        <v>83</v>
      </c>
      <c r="N47" s="15"/>
      <c r="O47" s="23">
        <v>259</v>
      </c>
      <c r="P47" s="24">
        <v>1.78338E-2</v>
      </c>
      <c r="Q47" s="23">
        <v>0</v>
      </c>
      <c r="R47" s="24"/>
    </row>
    <row r="48" spans="1:18" ht="13.5" thickBot="1">
      <c r="A48" s="81" t="s">
        <v>23</v>
      </c>
      <c r="B48" s="26" t="s">
        <v>159</v>
      </c>
      <c r="C48" s="84" t="s">
        <v>160</v>
      </c>
      <c r="D48" s="61"/>
      <c r="E48" s="61"/>
      <c r="F48" s="44"/>
      <c r="G48" s="27" t="s">
        <v>83</v>
      </c>
      <c r="H48" s="15"/>
      <c r="I48" s="27" t="s">
        <v>83</v>
      </c>
      <c r="J48" s="15"/>
      <c r="K48" s="23">
        <v>2</v>
      </c>
      <c r="L48" s="24">
        <v>3.6832412523020259E-3</v>
      </c>
      <c r="M48" s="27" t="s">
        <v>83</v>
      </c>
      <c r="N48" s="15"/>
      <c r="O48" s="27" t="s">
        <v>83</v>
      </c>
      <c r="P48" s="15"/>
      <c r="Q48" s="23">
        <v>2</v>
      </c>
      <c r="R48" s="24">
        <v>3.6832412523020259E-3</v>
      </c>
    </row>
    <row r="49" spans="1:18" ht="13.5" thickBot="1">
      <c r="A49" s="82"/>
      <c r="B49" s="26" t="s">
        <v>161</v>
      </c>
      <c r="C49" s="84" t="s">
        <v>162</v>
      </c>
      <c r="D49" s="61"/>
      <c r="E49" s="61"/>
      <c r="F49" s="44"/>
      <c r="G49" s="27" t="s">
        <v>83</v>
      </c>
      <c r="H49" s="15"/>
      <c r="I49" s="27" t="s">
        <v>83</v>
      </c>
      <c r="J49" s="15"/>
      <c r="K49" s="23">
        <v>22</v>
      </c>
      <c r="L49" s="24">
        <v>4.0515653775322284E-2</v>
      </c>
      <c r="M49" s="27" t="s">
        <v>83</v>
      </c>
      <c r="N49" s="15"/>
      <c r="O49" s="27" t="s">
        <v>83</v>
      </c>
      <c r="P49" s="15"/>
      <c r="Q49" s="23">
        <v>22</v>
      </c>
      <c r="R49" s="24">
        <v>4.0515653775322284E-2</v>
      </c>
    </row>
    <row r="50" spans="1:18" ht="13.5" thickBot="1">
      <c r="A50" s="82"/>
      <c r="B50" s="26" t="s">
        <v>163</v>
      </c>
      <c r="C50" s="84" t="s">
        <v>164</v>
      </c>
      <c r="D50" s="61"/>
      <c r="E50" s="61"/>
      <c r="F50" s="44"/>
      <c r="G50" s="27" t="s">
        <v>83</v>
      </c>
      <c r="H50" s="15"/>
      <c r="I50" s="27" t="s">
        <v>83</v>
      </c>
      <c r="J50" s="15"/>
      <c r="K50" s="23">
        <v>5</v>
      </c>
      <c r="L50" s="24">
        <v>9.2081031307550652E-3</v>
      </c>
      <c r="M50" s="27" t="s">
        <v>83</v>
      </c>
      <c r="N50" s="15"/>
      <c r="O50" s="27" t="s">
        <v>83</v>
      </c>
      <c r="P50" s="15"/>
      <c r="Q50" s="23">
        <v>5</v>
      </c>
      <c r="R50" s="24">
        <v>9.2081031307550652E-3</v>
      </c>
    </row>
    <row r="51" spans="1:18" ht="13.5" thickBot="1">
      <c r="A51" s="82"/>
      <c r="B51" s="26" t="s">
        <v>165</v>
      </c>
      <c r="C51" s="84" t="s">
        <v>166</v>
      </c>
      <c r="D51" s="61"/>
      <c r="E51" s="61"/>
      <c r="F51" s="44"/>
      <c r="G51" s="27" t="s">
        <v>83</v>
      </c>
      <c r="H51" s="15"/>
      <c r="I51" s="27" t="s">
        <v>83</v>
      </c>
      <c r="J51" s="15"/>
      <c r="K51" s="23"/>
      <c r="L51" s="24"/>
      <c r="M51" s="27" t="s">
        <v>83</v>
      </c>
      <c r="N51" s="15"/>
      <c r="O51" s="27" t="s">
        <v>83</v>
      </c>
      <c r="P51" s="15"/>
      <c r="Q51" s="23"/>
      <c r="R51" s="24"/>
    </row>
    <row r="52" spans="1:18" ht="13.5" thickBot="1">
      <c r="A52" s="83"/>
      <c r="B52" s="26" t="s">
        <v>167</v>
      </c>
      <c r="C52" s="84" t="s">
        <v>168</v>
      </c>
      <c r="D52" s="61"/>
      <c r="E52" s="61"/>
      <c r="F52" s="44"/>
      <c r="G52" s="27" t="s">
        <v>83</v>
      </c>
      <c r="H52" s="15"/>
      <c r="I52" s="27" t="s">
        <v>83</v>
      </c>
      <c r="J52" s="15"/>
      <c r="K52" s="23"/>
      <c r="L52" s="24"/>
      <c r="M52" s="27" t="s">
        <v>83</v>
      </c>
      <c r="N52" s="15"/>
      <c r="O52" s="27" t="s">
        <v>83</v>
      </c>
      <c r="P52" s="15"/>
      <c r="Q52" s="23"/>
      <c r="R52" s="24"/>
    </row>
    <row r="53" spans="1:18" ht="12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</row>
    <row r="54" spans="1:18">
      <c r="A54" s="79" t="s">
        <v>169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</row>
    <row r="55" spans="1:18">
      <c r="A55" s="80" t="s">
        <v>170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 ht="12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>
      <c r="A57" s="78" t="s">
        <v>171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</row>
    <row r="58" spans="1:18">
      <c r="A58" s="48" t="s">
        <v>86</v>
      </c>
      <c r="B58" s="32"/>
      <c r="C58" s="32"/>
      <c r="D58" s="32"/>
      <c r="E58" s="32"/>
      <c r="F58" s="32"/>
      <c r="G58" s="49" t="s">
        <v>172</v>
      </c>
      <c r="H58" s="32"/>
      <c r="I58" s="32"/>
      <c r="J58" s="32"/>
      <c r="K58" s="32"/>
      <c r="L58" s="32"/>
      <c r="M58" s="50" t="s">
        <v>173</v>
      </c>
      <c r="N58" s="32"/>
      <c r="O58" s="32"/>
      <c r="P58" s="32"/>
      <c r="Q58" s="32"/>
      <c r="R58" s="32"/>
    </row>
  </sheetData>
  <mergeCells count="61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45:A47"/>
    <mergeCell ref="C45:F45"/>
    <mergeCell ref="C46:F46"/>
    <mergeCell ref="C47:F47"/>
    <mergeCell ref="A48:A52"/>
    <mergeCell ref="C48:F48"/>
    <mergeCell ref="C49:F49"/>
    <mergeCell ref="C50:F50"/>
    <mergeCell ref="C51:F51"/>
    <mergeCell ref="C52:F52"/>
    <mergeCell ref="A53:R53"/>
    <mergeCell ref="A54:R54"/>
    <mergeCell ref="A55:R56"/>
    <mergeCell ref="A57:R57"/>
    <mergeCell ref="A58:F58"/>
    <mergeCell ref="G58:L58"/>
    <mergeCell ref="M58:R58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2024-06-20T19:43:33Z</dcterms:created>
  <dcterms:modified xsi:type="dcterms:W3CDTF">2024-06-25T19:12:06Z</dcterms:modified>
</cp:coreProperties>
</file>