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DDD_Team\IL Times and Dispositions Report\"/>
    </mc:Choice>
  </mc:AlternateContent>
  <xr:revisionPtr revIDLastSave="0" documentId="8_{5A2FC9EA-D2F5-4501-8E09-BFBFD93BD598}" xr6:coauthVersionLast="47" xr6:coauthVersionMax="47" xr10:uidLastSave="{00000000-0000-0000-0000-000000000000}"/>
  <bookViews>
    <workbookView xWindow="28680" yWindow="-60" windowWidth="29040" windowHeight="15840" tabRatio="815" xr2:uid="{F09F63AB-2082-4CC9-8B61-DDF119B5A364}"/>
  </bookViews>
  <sheets>
    <sheet name="Cover Page_1" sheetId="1" r:id="rId1"/>
    <sheet name="Table of Contents Page_2" sheetId="2" r:id="rId2"/>
    <sheet name="IL Releases Summary_3" sheetId="4" r:id="rId3"/>
    <sheet name="Time on Interest List_4" sheetId="3" r:id="rId4"/>
    <sheet name="Closure Overview_5" sheetId="5" r:id="rId5"/>
    <sheet name="Closure Details_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I15" i="4"/>
  <c r="I16" i="4"/>
  <c r="I17" i="4"/>
  <c r="I18" i="4"/>
  <c r="I19" i="4"/>
  <c r="I13" i="4"/>
</calcChain>
</file>

<file path=xl/sharedStrings.xml><?xml version="1.0" encoding="utf-8"?>
<sst xmlns="http://schemas.openxmlformats.org/spreadsheetml/2006/main" count="387" uniqueCount="166">
  <si>
    <t>Interest List Data</t>
  </si>
  <si>
    <t>with Times and Dispositions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</si>
  <si>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</si>
  <si>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</si>
  <si>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</si>
  <si>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</si>
  <si>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</si>
  <si>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</si>
  <si>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</si>
  <si>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</si>
  <si>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</si>
  <si>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</si>
  <si>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</si>
  <si>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</si>
  <si>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</si>
  <si>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</si>
  <si>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</si>
  <si>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</si>
  <si>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</si>
  <si>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</si>
  <si>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Page i</t>
  </si>
  <si>
    <t>CLASS</t>
  </si>
  <si>
    <t>DBMD</t>
  </si>
  <si>
    <r>
      <t>HCS</t>
    </r>
    <r>
      <rPr>
        <vertAlign val="superscript"/>
        <sz val="10"/>
        <color theme="1"/>
        <rFont val="Arial"/>
        <family val="2"/>
      </rPr>
      <t>1</t>
    </r>
  </si>
  <si>
    <t>MDCP</t>
  </si>
  <si>
    <t>STAR+</t>
  </si>
  <si>
    <r>
      <t>TXHML</t>
    </r>
    <r>
      <rPr>
        <vertAlign val="superscript"/>
        <sz val="10"/>
        <color theme="1"/>
        <rFont val="Arial"/>
        <family val="2"/>
      </rPr>
      <t>1</t>
    </r>
  </si>
  <si>
    <t>TOTALS</t>
  </si>
  <si>
    <r>
      <t xml:space="preserve">Released/Removed from Interest List </t>
    </r>
    <r>
      <rPr>
        <b/>
        <vertAlign val="superscript"/>
        <sz val="10"/>
        <color theme="1"/>
        <rFont val="Arial"/>
        <family val="2"/>
      </rPr>
      <t>2</t>
    </r>
  </si>
  <si>
    <r>
      <t>Enrolled</t>
    </r>
    <r>
      <rPr>
        <i/>
        <vertAlign val="superscript"/>
        <sz val="10"/>
        <color theme="1"/>
        <rFont val="Arial"/>
        <family val="2"/>
      </rPr>
      <t xml:space="preserve"> 4</t>
    </r>
  </si>
  <si>
    <r>
      <t xml:space="preserve">Denied/Declined/Withdrawn </t>
    </r>
    <r>
      <rPr>
        <i/>
        <vertAlign val="superscript"/>
        <sz val="10"/>
        <color theme="1"/>
        <rFont val="Arial"/>
        <family val="2"/>
      </rPr>
      <t>4</t>
    </r>
  </si>
  <si>
    <t>Pipeline</t>
  </si>
  <si>
    <r>
      <t xml:space="preserve">Total Releases This Biennium </t>
    </r>
    <r>
      <rPr>
        <b/>
        <vertAlign val="superscript"/>
        <sz val="10"/>
        <color theme="1"/>
        <rFont val="Arial"/>
        <family val="2"/>
      </rPr>
      <t>3</t>
    </r>
  </si>
  <si>
    <t>New Requests</t>
  </si>
  <si>
    <t>2. Released/Removed counts include individuals already in the pipeline as of August 31, 2021, excluding MFP.</t>
  </si>
  <si>
    <t xml:space="preserve">3. An individual may be counted more than once in the Enrolled and Denied/Declined/Withdrawn categories, but only once in Total Releases. Therefore, </t>
  </si>
  <si>
    <t>Release/Removal counts may be higher than the total count of released individuals.</t>
  </si>
  <si>
    <t>4. These totals count unique individuals with close codes in this category, who also had a release date (except HCS and TxHmL, see note 1).</t>
  </si>
  <si>
    <t>HCS</t>
  </si>
  <si>
    <t>TXHML</t>
  </si>
  <si>
    <t>Years on List</t>
  </si>
  <si>
    <t>Individuals</t>
  </si>
  <si>
    <t>Percent</t>
  </si>
  <si>
    <t>Totals</t>
  </si>
  <si>
    <r>
      <t>HCS</t>
    </r>
    <r>
      <rPr>
        <b/>
        <vertAlign val="superscript"/>
        <sz val="10"/>
        <color theme="1"/>
        <rFont val="Arial"/>
        <family val="2"/>
      </rPr>
      <t>†</t>
    </r>
  </si>
  <si>
    <r>
      <t>TXHML</t>
    </r>
    <r>
      <rPr>
        <b/>
        <vertAlign val="superscript"/>
        <sz val="10"/>
        <color theme="1"/>
        <rFont val="Arial"/>
        <family val="2"/>
      </rPr>
      <t>†</t>
    </r>
  </si>
  <si>
    <t>Categories:</t>
  </si>
  <si>
    <t>Closures*</t>
  </si>
  <si>
    <t>0</t>
  </si>
  <si>
    <t>* An individual may have more than one closure; counts represent total closures.</t>
  </si>
  <si>
    <r>
      <t>HCS</t>
    </r>
    <r>
      <rPr>
        <b/>
        <vertAlign val="superscript"/>
        <sz val="10"/>
        <color theme="1"/>
        <rFont val="Arial"/>
        <family val="2"/>
      </rPr>
      <t>‡</t>
    </r>
  </si>
  <si>
    <r>
      <t>TXHML</t>
    </r>
    <r>
      <rPr>
        <b/>
        <vertAlign val="superscript"/>
        <sz val="10"/>
        <color theme="1"/>
        <rFont val="Arial"/>
        <family val="2"/>
      </rPr>
      <t>‡</t>
    </r>
  </si>
  <si>
    <t>Close Reasons by Category</t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</si>
  <si>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</si>
  <si>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</si>
  <si>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</si>
  <si>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</si>
  <si>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</si>
  <si>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</si>
  <si>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</si>
  <si>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</si>
  <si>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</si>
  <si>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</si>
  <si>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</si>
  <si>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</si>
  <si>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</si>
  <si>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</si>
  <si>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</si>
  <si>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</si>
  <si>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</si>
  <si>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</si>
  <si>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</si>
  <si>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</si>
  <si>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</si>
  <si>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</si>
  <si>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</si>
  <si>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</si>
  <si>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</si>
  <si>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</si>
  <si>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</si>
  <si>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</si>
  <si>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</si>
  <si>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</si>
  <si>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</si>
  <si>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</si>
  <si>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</si>
  <si>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543</t>
  </si>
  <si>
    <t>Ineligible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</si>
  <si>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</si>
  <si>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</si>
  <si>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</si>
  <si>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</si>
  <si>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</si>
  <si>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</si>
  <si>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</si>
  <si>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</si>
  <si>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</si>
  <si>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</si>
  <si>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</si>
  <si>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</si>
  <si>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</si>
  <si>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</si>
  <si>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</si>
  <si>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</si>
  <si>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</si>
  <si>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</si>
  <si>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</si>
  <si>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</si>
  <si>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422</t>
  </si>
  <si>
    <t>Voluntary Withdrawal</t>
  </si>
  <si>
    <t>542</t>
  </si>
  <si>
    <t>Withdrew To Bottom</t>
  </si>
  <si>
    <t>545</t>
  </si>
  <si>
    <t>Person refused due to MERP provisions</t>
  </si>
  <si>
    <t>573</t>
  </si>
  <si>
    <t>Waiver Offered and Refused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</si>
  <si>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</si>
  <si>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</si>
  <si>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</si>
  <si>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</si>
  <si>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</si>
  <si>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</si>
  <si>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</si>
  <si>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 xml:space="preserve">† "Enrolled" counts individuals with close reason codes 419, 606 &amp; 607: Certified to Enter Program, Client Receiving the Service and Client Certified to Receive Waiver Services. 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</si>
  <si>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</si>
  <si>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</si>
  <si>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</si>
  <si>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</si>
  <si>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</si>
  <si>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</si>
  <si>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</si>
  <si>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</si>
  <si>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</si>
  <si>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</si>
  <si>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</si>
  <si>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</si>
  <si>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</si>
  <si>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</si>
  <si>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</si>
  <si>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</si>
  <si>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</si>
  <si>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Not Categorized</t>
  </si>
  <si>
    <t>646</t>
  </si>
  <si>
    <t>647</t>
  </si>
  <si>
    <t>658</t>
  </si>
  <si>
    <t>659</t>
  </si>
  <si>
    <t>660</t>
  </si>
  <si>
    <t>Requested Removal from Interest List</t>
  </si>
  <si>
    <t>Transfer to Another Region List within this Program</t>
  </si>
  <si>
    <t>Needs met through SSLC waiver services</t>
  </si>
  <si>
    <t>Needs met through ICF/ID</t>
  </si>
  <si>
    <t>Needs met through nursing facility</t>
  </si>
  <si>
    <t>Interest List Counts by Years</t>
  </si>
  <si>
    <t xml:space="preserve">1. HCS and TxHmL counts for Released/Removed and Total Releases are derived from CSIL data (effective May 2022) and provided by Local Authority </t>
  </si>
  <si>
    <t>staff; previous source for data was CARE.</t>
  </si>
  <si>
    <t>Entered Nursing Facility</t>
  </si>
  <si>
    <t>655</t>
  </si>
  <si>
    <t>Report Generated on:  10/5/2023</t>
  </si>
  <si>
    <t>As of September 30, 2023</t>
  </si>
  <si>
    <r>
      <t xml:space="preserve">The total of Current Interest List Counts in the above table is a duplicated count. The unduplicated count across all six Interest Lists is: </t>
    </r>
    <r>
      <rPr>
        <b/>
        <sz val="10"/>
        <rFont val="Arial"/>
        <family val="2"/>
      </rPr>
      <t>166,990</t>
    </r>
  </si>
  <si>
    <t>† HCS and TxHmL closure counts provided by Local Authority staff, data source: CARE.</t>
  </si>
  <si>
    <t>‡ HCS and TxHmL closure counts provided by Local Authority staff, data source: CARE.</t>
  </si>
  <si>
    <t>for FY 24–25 to date, through September 30, 2023</t>
  </si>
  <si>
    <t>As of August 31, 2023</t>
  </si>
  <si>
    <t>Since September 1, 2023</t>
  </si>
  <si>
    <t>FY 24-25 Interest List 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</si>
</sst>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%"/>
    <numFmt numFmtId="165" formatCode="#,##0%"/>
    <numFmt numFmtId="166" formatCode="0.0%"/>
  </numFmts>
  <fonts count="33" x14ac:knownFonts="1">
    <font>
      <sz val="12"/>
      <color theme="1"/>
      <name val="Verdana"/>
      <family val="2"/>
    </font>
    <font>
      <sz val="20"/>
      <color theme="1"/>
      <name val="Verdana"/>
      <family val="2"/>
    </font>
    <font>
      <i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rgb="FF454545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b/>
      <i/>
      <sz val="10"/>
      <color rgb="FF444444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i/>
      <sz val="8"/>
      <color rgb="FF222222"/>
      <name val="Arial"/>
      <family val="2"/>
    </font>
    <font>
      <b/>
      <sz val="10"/>
      <color rgb="FF222222"/>
      <name val="Arial"/>
      <family val="2"/>
    </font>
    <font>
      <b/>
      <i/>
      <sz val="9"/>
      <color rgb="FF333333"/>
      <name val="Arial"/>
      <family val="2"/>
    </font>
    <font>
      <b/>
      <sz val="12"/>
      <color theme="1"/>
      <name val="Verdana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7E5E5"/>
      </patternFill>
    </fill>
    <fill>
      <patternFill patternType="solid">
        <fgColor rgb="FFDEE6F2"/>
      </patternFill>
    </fill>
    <fill>
      <patternFill patternType="solid">
        <fgColor rgb="FF5F91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medium">
        <color theme="0" tint="-0.14996795556505021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6795556505021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medium">
        <color theme="0" tint="-0.14996795556505021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96795556505021"/>
      </bottom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96795556505021"/>
      </bottom>
      <diagonal/>
    </border>
    <border>
      <left style="medium">
        <color theme="0" tint="-0.14981536301767021"/>
      </left>
      <right/>
      <top style="medium">
        <color theme="0" tint="-0.14978484450819421"/>
      </top>
      <bottom style="medium">
        <color theme="0" tint="-0.14996795556505021"/>
      </bottom>
      <diagonal/>
    </border>
    <border>
      <left/>
      <right style="medium">
        <color theme="0" tint="-0.14978484450819421"/>
      </right>
      <top style="medium">
        <color theme="0" tint="-0.14978484450819421"/>
      </top>
      <bottom style="medium">
        <color theme="0" tint="-0.1499679555650502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5" fillId="3" borderId="2" xfId="0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3" xfId="0" applyNumberFormat="1" applyFont="1" applyBorder="1" applyAlignment="1">
      <alignment horizontal="right" vertical="top"/>
    </xf>
    <xf numFmtId="164" fontId="10" fillId="0" borderId="3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Continuous" vertical="top"/>
    </xf>
    <xf numFmtId="3" fontId="11" fillId="4" borderId="4" xfId="0" applyNumberFormat="1" applyFont="1" applyFill="1" applyBorder="1" applyAlignment="1">
      <alignment horizontal="right" vertical="top"/>
    </xf>
    <xf numFmtId="165" fontId="12" fillId="4" borderId="4" xfId="0" applyNumberFormat="1" applyFont="1" applyFill="1" applyBorder="1" applyAlignment="1">
      <alignment horizontal="right" vertical="top"/>
    </xf>
    <xf numFmtId="0" fontId="13" fillId="5" borderId="5" xfId="0" applyFont="1" applyFill="1" applyBorder="1" applyAlignment="1">
      <alignment vertical="top"/>
    </xf>
    <xf numFmtId="0" fontId="14" fillId="0" borderId="0" xfId="0" applyFont="1"/>
    <xf numFmtId="0" fontId="17" fillId="0" borderId="0" xfId="0" applyFont="1"/>
    <xf numFmtId="0" fontId="17" fillId="6" borderId="6" xfId="0" applyFont="1" applyFill="1" applyBorder="1"/>
    <xf numFmtId="0" fontId="3" fillId="7" borderId="6" xfId="0" applyFont="1" applyFill="1" applyBorder="1"/>
    <xf numFmtId="0" fontId="17" fillId="7" borderId="6" xfId="0" applyFont="1" applyFill="1" applyBorder="1"/>
    <xf numFmtId="0" fontId="19" fillId="7" borderId="6" xfId="0" applyFont="1" applyFill="1" applyBorder="1"/>
    <xf numFmtId="0" fontId="4" fillId="7" borderId="6" xfId="0" applyFont="1" applyFill="1" applyBorder="1"/>
    <xf numFmtId="3" fontId="4" fillId="0" borderId="6" xfId="0" applyNumberFormat="1" applyFont="1" applyBorder="1"/>
    <xf numFmtId="3" fontId="19" fillId="7" borderId="6" xfId="0" applyNumberFormat="1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20" fillId="0" borderId="0" xfId="0" applyFont="1"/>
    <xf numFmtId="0" fontId="14" fillId="0" borderId="0" xfId="0" applyFont="1" applyAlignment="1">
      <alignment horizontal="right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3" fillId="7" borderId="13" xfId="0" applyFont="1" applyFill="1" applyBorder="1" applyAlignment="1">
      <alignment horizontal="centerContinuous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17" xfId="0" applyFont="1" applyFill="1" applyBorder="1" applyAlignment="1">
      <alignment horizontal="centerContinuous"/>
    </xf>
    <xf numFmtId="0" fontId="3" fillId="7" borderId="18" xfId="0" applyFont="1" applyFill="1" applyBorder="1" applyAlignment="1">
      <alignment horizontal="centerContinuous"/>
    </xf>
    <xf numFmtId="0" fontId="3" fillId="7" borderId="19" xfId="0" applyFont="1" applyFill="1" applyBorder="1" applyAlignment="1">
      <alignment horizontal="centerContinuous"/>
    </xf>
    <xf numFmtId="0" fontId="3" fillId="7" borderId="20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Continuous"/>
    </xf>
    <xf numFmtId="0" fontId="21" fillId="0" borderId="0" xfId="0" applyFont="1"/>
    <xf numFmtId="0" fontId="22" fillId="3" borderId="2" xfId="0" applyFont="1" applyFill="1" applyBorder="1" applyAlignment="1">
      <alignment vertical="top"/>
    </xf>
    <xf numFmtId="0" fontId="22" fillId="3" borderId="22" xfId="0" applyFont="1" applyFill="1" applyBorder="1" applyAlignment="1">
      <alignment vertical="top"/>
    </xf>
    <xf numFmtId="0" fontId="24" fillId="3" borderId="2" xfId="0" applyFont="1" applyFill="1" applyBorder="1" applyAlignment="1">
      <alignment horizontal="center" vertical="top"/>
    </xf>
    <xf numFmtId="0" fontId="25" fillId="3" borderId="2" xfId="0" applyFont="1" applyFill="1" applyBorder="1" applyAlignment="1">
      <alignment horizontal="centerContinuous"/>
    </xf>
    <xf numFmtId="0" fontId="26" fillId="3" borderId="2" xfId="0" applyFont="1" applyFill="1" applyBorder="1" applyAlignment="1">
      <alignment vertical="top"/>
    </xf>
    <xf numFmtId="0" fontId="0" fillId="3" borderId="2" xfId="0" applyFill="1" applyBorder="1"/>
    <xf numFmtId="0" fontId="19" fillId="5" borderId="5" xfId="0" applyFont="1" applyFill="1" applyBorder="1" applyAlignment="1">
      <alignment vertical="top"/>
    </xf>
    <xf numFmtId="0" fontId="2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8" fillId="0" borderId="3" xfId="0" applyFont="1" applyBorder="1"/>
    <xf numFmtId="0" fontId="4" fillId="0" borderId="3" xfId="0" applyFont="1" applyBorder="1"/>
    <xf numFmtId="0" fontId="14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right"/>
    </xf>
    <xf numFmtId="0" fontId="17" fillId="8" borderId="6" xfId="0" applyFont="1" applyFill="1" applyBorder="1"/>
    <xf numFmtId="0" fontId="4" fillId="0" borderId="0" xfId="0" applyFont="1" applyFill="1"/>
    <xf numFmtId="0" fontId="0" fillId="0" borderId="3" xfId="0" applyBorder="1"/>
    <xf numFmtId="0" fontId="9" fillId="0" borderId="3" xfId="0" applyFont="1" applyBorder="1" applyAlignment="1">
      <alignment horizontal="right" vertical="top"/>
    </xf>
    <xf numFmtId="3" fontId="4" fillId="4" borderId="4" xfId="0" applyNumberFormat="1" applyFont="1" applyFill="1" applyBorder="1"/>
    <xf numFmtId="9" fontId="4" fillId="4" borderId="4" xfId="0" applyNumberFormat="1" applyFont="1" applyFill="1" applyBorder="1"/>
    <xf numFmtId="0" fontId="31" fillId="0" borderId="3" xfId="0" applyFont="1" applyBorder="1" applyAlignment="1">
      <alignment horizontal="right" vertical="top"/>
    </xf>
    <xf numFmtId="3" fontId="31" fillId="0" borderId="3" xfId="0" applyNumberFormat="1" applyFont="1" applyBorder="1" applyAlignment="1">
      <alignment horizontal="right" vertical="top"/>
    </xf>
    <xf numFmtId="164" fontId="32" fillId="0" borderId="3" xfId="0" applyNumberFormat="1" applyFont="1" applyBorder="1" applyAlignment="1">
      <alignment horizontal="right" vertical="top"/>
    </xf>
    <xf numFmtId="166" fontId="29" fillId="0" borderId="3" xfId="0" applyNumberFormat="1" applyFont="1" applyBorder="1"/>
    <xf numFmtId="3" fontId="28" fillId="0" borderId="3" xfId="0" applyNumberFormat="1" applyFont="1" applyFill="1" applyBorder="1" applyAlignment="1">
      <alignment horizontal="right" vertical="top"/>
    </xf>
    <xf numFmtId="164" fontId="29" fillId="0" borderId="3" xfId="0" applyNumberFormat="1" applyFont="1" applyFill="1" applyBorder="1" applyAlignment="1">
      <alignment horizontal="right" vertical="top"/>
    </xf>
    <xf numFmtId="0" fontId="28" fillId="0" borderId="3" xfId="0" applyFont="1" applyFill="1" applyBorder="1" applyAlignment="1">
      <alignment horizontal="right" vertical="top"/>
    </xf>
    <xf numFmtId="0" fontId="28" fillId="0" borderId="3" xfId="0" applyFont="1" applyFill="1" applyBorder="1"/>
    <xf numFmtId="166" fontId="29" fillId="0" borderId="3" xfId="0" applyNumberFormat="1" applyFont="1" applyFill="1" applyBorder="1"/>
    <xf numFmtId="3" fontId="31" fillId="0" borderId="3" xfId="0" applyNumberFormat="1" applyFont="1" applyFill="1" applyBorder="1" applyAlignment="1">
      <alignment horizontal="right" vertical="top"/>
    </xf>
    <xf numFmtId="164" fontId="32" fillId="0" borderId="3" xfId="0" applyNumberFormat="1" applyFont="1" applyFill="1" applyBorder="1" applyAlignment="1">
      <alignment horizontal="right" vertical="top"/>
    </xf>
    <xf numFmtId="0" fontId="31" fillId="0" borderId="3" xfId="0" applyFont="1" applyFill="1" applyBorder="1" applyAlignment="1">
      <alignment horizontal="right" vertical="top"/>
    </xf>
    <xf numFmtId="0" fontId="22" fillId="8" borderId="2" xfId="0" applyFont="1" applyFill="1" applyBorder="1" applyAlignment="1">
      <alignment vertical="top"/>
    </xf>
    <xf numFmtId="0" fontId="0" fillId="8" borderId="24" xfId="0" applyFill="1" applyBorder="1"/>
    <xf numFmtId="0" fontId="22" fillId="8" borderId="2" xfId="0" quotePrefix="1" applyFont="1" applyFill="1" applyBorder="1" applyAlignment="1">
      <alignment vertical="top"/>
    </xf>
    <xf numFmtId="0" fontId="22" fillId="8" borderId="22" xfId="0" applyFont="1" applyFill="1" applyBorder="1" applyAlignment="1">
      <alignment vertical="top"/>
    </xf>
    <xf numFmtId="0" fontId="26" fillId="8" borderId="2" xfId="0" applyFont="1" applyFill="1" applyBorder="1" applyAlignment="1">
      <alignment vertical="top"/>
    </xf>
    <xf numFmtId="166" fontId="17" fillId="0" borderId="3" xfId="0" applyNumberFormat="1" applyFont="1" applyBorder="1"/>
    <xf numFmtId="0" fontId="26" fillId="8" borderId="2" xfId="0" applyFont="1" applyFill="1" applyBorder="1" applyAlignment="1">
      <alignment vertical="top"/>
    </xf>
    <xf numFmtId="0" fontId="0" fillId="8" borderId="23" xfId="0" applyFill="1" applyBorder="1"/>
    <xf numFmtId="0" fontId="0" fillId="8" borderId="24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5C1AF5-15AB-4B7B-9354-BB1D928D0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647700</xdr:colOff>
      <xdr:row>11</xdr:row>
      <xdr:rowOff>127908</xdr:rowOff>
    </xdr:to>
    <xdr:pic>
      <xdr:nvPicPr>
        <xdr:cNvPr id="2" name="Picture 1" descr="Texas HHS Logo.">
          <a:extLst>
            <a:ext uri="{FF2B5EF4-FFF2-40B4-BE49-F238E27FC236}">
              <a16:creationId xmlns:a16="http://schemas.microsoft.com/office/drawing/2014/main" id="{4D5672AE-01C6-40A3-8E35-A05CBFBA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1500" cy="2223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610BC9E3-69D8-4BC2-B222-3F5420700E9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08A4E39-F5BA-4910-877A-3A03FAC272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BBED47D-1D2C-4A21-8F1C-7ADFC64077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5172B903-D7D1-44F1-8957-B4EA0B1DBF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287D8CC3-BB24-4284-ADEE-6E65617A81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2C7-BBFD-42D9-A5A8-0A4E1F82743E}">
  <sheetPr>
    <pageSetUpPr fitToPage="1"/>
  </sheetPr>
  <dimension ref="I13:J15"/>
  <sheetViews>
    <sheetView tabSelected="1" zoomScaleNormal="100" workbookViewId="0">
      <selection activeCell="B17" sqref="B17"/>
    </sheetView>
  </sheetViews>
  <sheetFormatPr defaultRowHeight="15" x14ac:dyDescent="0.2"/>
  <sheetData>
    <row r="13" spans="9:10" ht="24.75" x14ac:dyDescent="0.3">
      <c r="J13" s="1" t="s">
        <v>0</v>
      </c>
    </row>
    <row r="14" spans="9:10" ht="24.75" x14ac:dyDescent="0.3">
      <c r="J14" s="1" t="s">
        <v>1</v>
      </c>
    </row>
    <row r="15" spans="9:10" ht="19.5" x14ac:dyDescent="0.25">
      <c r="I15" s="55"/>
      <c r="J15" s="56" t="s">
        <v>162</v>
      </c>
    </row>
  </sheetData>
  <printOptions horizontalCentered="1" vertic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13E-ABDF-4784-81A9-66E95C5C256F}">
  <dimension ref="A1:C27"/>
  <sheetViews>
    <sheetView zoomScaleNormal="100" workbookViewId="0">
      <selection activeCell="B27" sqref="B27"/>
    </sheetView>
  </sheetViews>
  <sheetFormatPr defaultRowHeight="15" x14ac:dyDescent="0.2"/>
  <cols>
    <col min="1" max="1" width="32.19921875" bestFit="1" customWidth="1"/>
    <col min="2" max="2" width="46.796875" customWidth="1"/>
    <col min="3" max="3" width="5.69921875" customWidth="1"/>
  </cols>
  <sheetData>
    <row r="1" spans="1:3" x14ac:dyDescent="0.2">
      <c r="A1" s="4"/>
      <c r="B1" s="4"/>
      <c r="C1" s="4"/>
    </row>
    <row r="2" spans="1:3" x14ac:dyDescent="0.2">
      <c r="A2" s="4"/>
      <c r="B2" s="4"/>
      <c r="C2" s="4"/>
    </row>
    <row r="3" spans="1:3" x14ac:dyDescent="0.2">
      <c r="A3" s="4"/>
      <c r="B3" s="4"/>
      <c r="C3" s="4"/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ht="15.75" x14ac:dyDescent="0.25">
      <c r="A10" s="27" t="s">
        <v>2</v>
      </c>
      <c r="B10" s="2" t="s">
        <v>3</v>
      </c>
      <c r="C10" s="15">
        <v>1</v>
      </c>
    </row>
    <row r="11" spans="1:3" x14ac:dyDescent="0.2">
      <c r="A11" s="15" t="s">
        <v>4</v>
      </c>
      <c r="B11" s="2" t="s">
        <v>3</v>
      </c>
      <c r="C11" s="15">
        <v>1</v>
      </c>
    </row>
    <row r="12" spans="1:3" x14ac:dyDescent="0.2">
      <c r="A12" s="15" t="s">
        <v>5</v>
      </c>
      <c r="B12" s="2" t="s">
        <v>3</v>
      </c>
      <c r="C12" s="15">
        <v>1</v>
      </c>
    </row>
    <row r="13" spans="1:3" x14ac:dyDescent="0.2">
      <c r="A13" s="15" t="s">
        <v>6</v>
      </c>
      <c r="B13" s="2" t="s">
        <v>3</v>
      </c>
      <c r="C13" s="15">
        <v>1</v>
      </c>
    </row>
    <row r="14" spans="1:3" x14ac:dyDescent="0.2">
      <c r="A14" s="15" t="s">
        <v>7</v>
      </c>
      <c r="B14" s="2" t="s">
        <v>3</v>
      </c>
      <c r="C14" s="15">
        <v>1</v>
      </c>
    </row>
    <row r="15" spans="1:3" x14ac:dyDescent="0.2">
      <c r="A15" s="15" t="s">
        <v>8</v>
      </c>
      <c r="B15" s="2" t="s">
        <v>3</v>
      </c>
      <c r="C15" s="15">
        <v>1</v>
      </c>
    </row>
    <row r="16" spans="1:3" ht="15.75" x14ac:dyDescent="0.25">
      <c r="A16" s="27" t="s">
        <v>9</v>
      </c>
      <c r="B16" s="2" t="s">
        <v>3</v>
      </c>
      <c r="C16" s="15">
        <v>2</v>
      </c>
    </row>
    <row r="17" spans="1:3" ht="15.75" x14ac:dyDescent="0.25">
      <c r="A17" s="27" t="s">
        <v>10</v>
      </c>
      <c r="B17" s="2" t="s">
        <v>3</v>
      </c>
      <c r="C17" s="15">
        <v>3</v>
      </c>
    </row>
    <row r="18" spans="1:3" ht="15.75" x14ac:dyDescent="0.25">
      <c r="A18" s="27" t="s">
        <v>11</v>
      </c>
      <c r="B18" s="2" t="s">
        <v>3</v>
      </c>
      <c r="C18" s="15">
        <v>4</v>
      </c>
    </row>
    <row r="19" spans="1:3" x14ac:dyDescent="0.2">
      <c r="A19" s="15" t="s">
        <v>12</v>
      </c>
      <c r="B19" s="2" t="s">
        <v>3</v>
      </c>
      <c r="C19" s="15">
        <v>4</v>
      </c>
    </row>
    <row r="20" spans="1:3" x14ac:dyDescent="0.2">
      <c r="A20" s="15" t="s">
        <v>13</v>
      </c>
      <c r="B20" s="2" t="s">
        <v>3</v>
      </c>
      <c r="C20" s="15">
        <v>4</v>
      </c>
    </row>
    <row r="21" spans="1:3" x14ac:dyDescent="0.2">
      <c r="A21" s="15" t="s">
        <v>14</v>
      </c>
      <c r="B21" s="2" t="s">
        <v>3</v>
      </c>
      <c r="C21" s="15">
        <v>4</v>
      </c>
    </row>
    <row r="22" spans="1:3" x14ac:dyDescent="0.2">
      <c r="A22" s="15" t="s">
        <v>15</v>
      </c>
      <c r="B22" s="2" t="s">
        <v>3</v>
      </c>
      <c r="C22" s="15">
        <v>4</v>
      </c>
    </row>
    <row r="23" spans="1:3" x14ac:dyDescent="0.2">
      <c r="A23" s="15" t="s">
        <v>16</v>
      </c>
      <c r="B23" s="2" t="s">
        <v>3</v>
      </c>
      <c r="C23" s="15">
        <v>4</v>
      </c>
    </row>
    <row r="24" spans="1:3" x14ac:dyDescent="0.2">
      <c r="A24" s="15" t="s">
        <v>17</v>
      </c>
      <c r="B24" s="2" t="s">
        <v>3</v>
      </c>
      <c r="C24" s="15">
        <v>4</v>
      </c>
    </row>
    <row r="25" spans="1:3" x14ac:dyDescent="0.2">
      <c r="A25" s="15" t="s">
        <v>18</v>
      </c>
      <c r="B25" s="2" t="s">
        <v>3</v>
      </c>
      <c r="C25" s="15">
        <v>4</v>
      </c>
    </row>
    <row r="26" spans="1:3" x14ac:dyDescent="0.2">
      <c r="A26" s="15" t="s">
        <v>19</v>
      </c>
      <c r="B26" s="2" t="s">
        <v>3</v>
      </c>
      <c r="C26" s="15">
        <v>4</v>
      </c>
    </row>
    <row r="27" spans="1:3" x14ac:dyDescent="0.2">
      <c r="A27" s="15"/>
      <c r="B27" s="54" t="s">
        <v>157</v>
      </c>
      <c r="C27" s="28" t="s">
        <v>20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AE1-C96A-4BF6-B87C-780DC007659B}">
  <sheetPr>
    <pageSetUpPr fitToPage="1"/>
  </sheetPr>
  <dimension ref="A1:I27"/>
  <sheetViews>
    <sheetView zoomScaleNormal="100" workbookViewId="0">
      <selection activeCell="B31" sqref="B31"/>
    </sheetView>
  </sheetViews>
  <sheetFormatPr defaultColWidth="8.796875" defaultRowHeight="12.75" x14ac:dyDescent="0.2"/>
  <cols>
    <col min="1" max="1" width="25.19921875" style="3" bestFit="1" customWidth="1"/>
    <col min="2" max="2" width="17.5" style="3" bestFit="1" customWidth="1"/>
    <col min="3" max="5" width="6.3984375" style="3" customWidth="1"/>
    <col min="6" max="6" width="5.69921875" style="3" customWidth="1"/>
    <col min="7" max="7" width="6.3984375" style="3" customWidth="1"/>
    <col min="8" max="8" width="6" style="3" customWidth="1"/>
    <col min="9" max="9" width="7" style="3" customWidth="1"/>
    <col min="10" max="16384" width="8.796875" style="3"/>
  </cols>
  <sheetData>
    <row r="1" spans="1:9" ht="15" x14ac:dyDescent="0.2">
      <c r="A1" s="49" t="s">
        <v>2</v>
      </c>
      <c r="B1" s="50"/>
      <c r="C1" s="50"/>
      <c r="D1" s="50"/>
      <c r="E1" s="50"/>
      <c r="F1" s="50"/>
      <c r="G1" s="50"/>
      <c r="H1" s="50"/>
      <c r="I1" s="50"/>
    </row>
    <row r="11" spans="1:9" ht="13.5" thickBot="1" x14ac:dyDescent="0.25"/>
    <row r="12" spans="1:9" ht="15" thickBot="1" x14ac:dyDescent="0.25">
      <c r="C12" s="21" t="s">
        <v>21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26</v>
      </c>
      <c r="I12" s="14" t="s">
        <v>27</v>
      </c>
    </row>
    <row r="13" spans="1:9" ht="13.5" thickBot="1" x14ac:dyDescent="0.25">
      <c r="A13" s="18" t="s">
        <v>4</v>
      </c>
      <c r="B13" s="17" t="s">
        <v>163</v>
      </c>
      <c r="C13" s="22">
        <v>81759</v>
      </c>
      <c r="D13" s="22">
        <v>1709</v>
      </c>
      <c r="E13" s="22">
        <v>117132</v>
      </c>
      <c r="F13" s="22">
        <v>6879</v>
      </c>
      <c r="G13" s="22">
        <v>6358</v>
      </c>
      <c r="H13" s="22">
        <v>106068</v>
      </c>
      <c r="I13" s="12">
        <f>SUM(C13:H13)</f>
        <v>319905</v>
      </c>
    </row>
    <row r="14" spans="1:9" ht="15" customHeight="1" thickBot="1" x14ac:dyDescent="0.25">
      <c r="A14" s="24" t="s">
        <v>28</v>
      </c>
      <c r="B14" s="19" t="s">
        <v>29</v>
      </c>
      <c r="C14" s="22">
        <v>8</v>
      </c>
      <c r="D14" s="22">
        <v>0</v>
      </c>
      <c r="E14" s="22">
        <v>41</v>
      </c>
      <c r="F14" s="22">
        <v>2</v>
      </c>
      <c r="G14" s="22">
        <v>151</v>
      </c>
      <c r="H14" s="22">
        <v>10</v>
      </c>
      <c r="I14" s="12">
        <f t="shared" ref="I14:I19" si="0">SUM(C14:H14)</f>
        <v>212</v>
      </c>
    </row>
    <row r="15" spans="1:9" ht="15" customHeight="1" thickBot="1" x14ac:dyDescent="0.25">
      <c r="A15" s="25"/>
      <c r="B15" s="19" t="s">
        <v>30</v>
      </c>
      <c r="C15" s="22">
        <v>8</v>
      </c>
      <c r="D15" s="22">
        <v>1</v>
      </c>
      <c r="E15" s="22">
        <v>6</v>
      </c>
      <c r="F15" s="22">
        <v>4</v>
      </c>
      <c r="G15" s="22">
        <v>726</v>
      </c>
      <c r="H15" s="22">
        <v>22</v>
      </c>
      <c r="I15" s="12">
        <f t="shared" si="0"/>
        <v>767</v>
      </c>
    </row>
    <row r="16" spans="1:9" ht="13.5" customHeight="1" thickBot="1" x14ac:dyDescent="0.25">
      <c r="A16" s="26"/>
      <c r="B16" s="19" t="s">
        <v>31</v>
      </c>
      <c r="C16" s="22">
        <v>524</v>
      </c>
      <c r="D16" s="22">
        <v>38</v>
      </c>
      <c r="E16" s="22">
        <v>129</v>
      </c>
      <c r="F16" s="22">
        <v>65</v>
      </c>
      <c r="G16" s="22">
        <v>1822</v>
      </c>
      <c r="H16" s="22">
        <v>150</v>
      </c>
      <c r="I16" s="12">
        <f t="shared" si="0"/>
        <v>2728</v>
      </c>
    </row>
    <row r="17" spans="1:9" ht="15" customHeight="1" thickBot="1" x14ac:dyDescent="0.25">
      <c r="A17" s="18" t="s">
        <v>32</v>
      </c>
      <c r="B17" s="20" t="s">
        <v>164</v>
      </c>
      <c r="C17" s="23">
        <v>547</v>
      </c>
      <c r="D17" s="23">
        <v>39</v>
      </c>
      <c r="E17" s="23">
        <v>0</v>
      </c>
      <c r="F17" s="23">
        <v>77</v>
      </c>
      <c r="G17" s="23">
        <v>3869</v>
      </c>
      <c r="H17" s="23">
        <v>0</v>
      </c>
      <c r="I17" s="23">
        <f t="shared" si="0"/>
        <v>4532</v>
      </c>
    </row>
    <row r="18" spans="1:9" ht="13.5" thickBot="1" x14ac:dyDescent="0.25">
      <c r="A18" s="18" t="s">
        <v>7</v>
      </c>
      <c r="B18" s="19" t="s">
        <v>33</v>
      </c>
      <c r="C18" s="22">
        <v>141</v>
      </c>
      <c r="D18" s="22">
        <v>26</v>
      </c>
      <c r="E18" s="22">
        <v>191</v>
      </c>
      <c r="F18" s="22">
        <v>108</v>
      </c>
      <c r="G18" s="22">
        <v>1112</v>
      </c>
      <c r="H18" s="22">
        <v>188</v>
      </c>
      <c r="I18" s="12">
        <f t="shared" si="0"/>
        <v>1766</v>
      </c>
    </row>
    <row r="19" spans="1:9" ht="13.5" thickBot="1" x14ac:dyDescent="0.25">
      <c r="A19" s="18" t="s">
        <v>8</v>
      </c>
      <c r="B19" s="57" t="s">
        <v>158</v>
      </c>
      <c r="C19" s="22">
        <v>81943</v>
      </c>
      <c r="D19" s="22">
        <v>1732</v>
      </c>
      <c r="E19" s="22">
        <v>117371</v>
      </c>
      <c r="F19" s="22">
        <v>6976</v>
      </c>
      <c r="G19" s="22">
        <v>7813</v>
      </c>
      <c r="H19" s="22">
        <v>106290</v>
      </c>
      <c r="I19" s="12">
        <f t="shared" si="0"/>
        <v>322125</v>
      </c>
    </row>
    <row r="21" spans="1:9" x14ac:dyDescent="0.2">
      <c r="A21" s="3" t="s">
        <v>153</v>
      </c>
    </row>
    <row r="22" spans="1:9" x14ac:dyDescent="0.2">
      <c r="A22" s="3" t="s">
        <v>154</v>
      </c>
    </row>
    <row r="23" spans="1:9" x14ac:dyDescent="0.2">
      <c r="A23" s="3" t="s">
        <v>34</v>
      </c>
    </row>
    <row r="24" spans="1:9" x14ac:dyDescent="0.2">
      <c r="A24" s="3" t="s">
        <v>35</v>
      </c>
    </row>
    <row r="25" spans="1:9" x14ac:dyDescent="0.2">
      <c r="A25" s="3" t="s">
        <v>36</v>
      </c>
    </row>
    <row r="26" spans="1:9" x14ac:dyDescent="0.2">
      <c r="A26" s="3" t="s">
        <v>37</v>
      </c>
    </row>
    <row r="27" spans="1:9" ht="19.5" customHeight="1" x14ac:dyDescent="0.2">
      <c r="A27" s="3" t="s">
        <v>159</v>
      </c>
      <c r="H27" s="58"/>
      <c r="I27" s="58"/>
    </row>
  </sheetData>
  <printOptions horizontalCentered="1"/>
  <pageMargins left="0.7" right="0.7" top="0.75" bottom="0.75" header="0.3" footer="0.3"/>
  <pageSetup scale="94" orientation="landscape" r:id="rId1"/>
  <headerFooter>
    <oddFooter>&amp;L&amp;10Data Source:  CSIL (and CARE, see, note 1)&amp;C&amp;10Report Generated on:  11/5/22&amp;RPage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825-CABF-4EAB-AE47-59F96B35DA15}">
  <dimension ref="A1:M30"/>
  <sheetViews>
    <sheetView zoomScaleNormal="100" workbookViewId="0">
      <selection activeCell="F34" sqref="F34"/>
    </sheetView>
  </sheetViews>
  <sheetFormatPr defaultRowHeight="15" x14ac:dyDescent="0.2"/>
  <cols>
    <col min="1" max="1" width="11.69921875" customWidth="1"/>
    <col min="2" max="2" width="7.59765625" bestFit="1" customWidth="1"/>
    <col min="3" max="3" width="5.59765625" bestFit="1" customWidth="1"/>
    <col min="4" max="4" width="7.59765625" bestFit="1" customWidth="1"/>
    <col min="5" max="5" width="5.59765625" bestFit="1" customWidth="1"/>
    <col min="6" max="6" width="7.59765625" bestFit="1" customWidth="1"/>
    <col min="7" max="7" width="5.59765625" bestFit="1" customWidth="1"/>
    <col min="8" max="8" width="7.59765625" bestFit="1" customWidth="1"/>
    <col min="9" max="9" width="5.59765625" bestFit="1" customWidth="1"/>
    <col min="10" max="10" width="7.59765625" bestFit="1" customWidth="1"/>
    <col min="11" max="11" width="5.59765625" bestFit="1" customWidth="1"/>
    <col min="12" max="12" width="7.59765625" bestFit="1" customWidth="1"/>
    <col min="13" max="13" width="4.09765625" bestFit="1" customWidth="1"/>
  </cols>
  <sheetData>
    <row r="1" spans="1:13" x14ac:dyDescent="0.2">
      <c r="A1" s="49" t="s">
        <v>152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10" spans="1:13" ht="15.75" thickBot="1" x14ac:dyDescent="0.25"/>
    <row r="11" spans="1:13" s="6" customFormat="1" ht="13.5" thickBot="1" x14ac:dyDescent="0.25">
      <c r="B11" s="11" t="s">
        <v>21</v>
      </c>
      <c r="C11" s="11"/>
      <c r="D11" s="11" t="s">
        <v>22</v>
      </c>
      <c r="E11" s="11"/>
      <c r="F11" s="11" t="s">
        <v>38</v>
      </c>
      <c r="G11" s="11"/>
      <c r="H11" s="11" t="s">
        <v>24</v>
      </c>
      <c r="I11" s="11"/>
      <c r="J11" s="11" t="s">
        <v>25</v>
      </c>
      <c r="K11" s="11"/>
      <c r="L11" s="11" t="s">
        <v>39</v>
      </c>
      <c r="M11" s="11"/>
    </row>
    <row r="12" spans="1:13" s="8" customFormat="1" ht="13.5" thickBot="1" x14ac:dyDescent="0.2">
      <c r="A12" s="7" t="s">
        <v>40</v>
      </c>
      <c r="B12" s="5" t="s">
        <v>41</v>
      </c>
      <c r="C12" s="5" t="s">
        <v>42</v>
      </c>
      <c r="D12" s="5" t="s">
        <v>41</v>
      </c>
      <c r="E12" s="5" t="s">
        <v>42</v>
      </c>
      <c r="F12" s="5" t="s">
        <v>41</v>
      </c>
      <c r="G12" s="5" t="s">
        <v>42</v>
      </c>
      <c r="H12" s="5" t="s">
        <v>41</v>
      </c>
      <c r="I12" s="5" t="s">
        <v>42</v>
      </c>
      <c r="J12" s="5" t="s">
        <v>41</v>
      </c>
      <c r="K12" s="5" t="s">
        <v>42</v>
      </c>
      <c r="L12" s="5" t="s">
        <v>41</v>
      </c>
      <c r="M12" s="5"/>
    </row>
    <row r="13" spans="1:13" ht="15.75" thickBot="1" x14ac:dyDescent="0.25">
      <c r="A13" s="5" t="s">
        <v>124</v>
      </c>
      <c r="B13" s="9">
        <v>2864</v>
      </c>
      <c r="C13" s="10">
        <v>3.4949000000000001E-2</v>
      </c>
      <c r="D13" s="9">
        <v>361</v>
      </c>
      <c r="E13" s="10">
        <v>0.20842959999999999</v>
      </c>
      <c r="F13" s="9">
        <v>6856</v>
      </c>
      <c r="G13" s="10">
        <v>5.8413100000000003E-2</v>
      </c>
      <c r="H13" s="9">
        <v>2276</v>
      </c>
      <c r="I13" s="10">
        <v>0.32626149999999998</v>
      </c>
      <c r="J13" s="9">
        <v>7607</v>
      </c>
      <c r="K13" s="10">
        <v>0.97363370000000005</v>
      </c>
      <c r="L13" s="9">
        <v>6863</v>
      </c>
      <c r="M13" s="10">
        <v>6.4568600000000004E-2</v>
      </c>
    </row>
    <row r="14" spans="1:13" ht="15.75" thickBot="1" x14ac:dyDescent="0.25">
      <c r="A14" s="5" t="s">
        <v>125</v>
      </c>
      <c r="B14" s="9">
        <v>4495</v>
      </c>
      <c r="C14" s="10">
        <v>5.4851900000000002E-2</v>
      </c>
      <c r="D14" s="9">
        <v>300</v>
      </c>
      <c r="E14" s="10">
        <v>0.17321020000000001</v>
      </c>
      <c r="F14" s="9">
        <v>5710</v>
      </c>
      <c r="G14" s="10">
        <v>4.8649199999999997E-2</v>
      </c>
      <c r="H14" s="9">
        <v>2744</v>
      </c>
      <c r="I14" s="10">
        <v>0.39334859999999999</v>
      </c>
      <c r="J14" s="9">
        <v>175</v>
      </c>
      <c r="K14" s="10">
        <v>2.2398600000000001E-2</v>
      </c>
      <c r="L14" s="9">
        <v>5724</v>
      </c>
      <c r="M14" s="10">
        <v>5.3852700000000003E-2</v>
      </c>
    </row>
    <row r="15" spans="1:13" ht="15.75" thickBot="1" x14ac:dyDescent="0.25">
      <c r="A15" s="5" t="s">
        <v>126</v>
      </c>
      <c r="B15" s="9">
        <v>4568</v>
      </c>
      <c r="C15" s="10">
        <v>5.5742699999999999E-2</v>
      </c>
      <c r="D15" s="9">
        <v>243</v>
      </c>
      <c r="E15" s="10">
        <v>0.14030020000000001</v>
      </c>
      <c r="F15" s="9">
        <v>6265</v>
      </c>
      <c r="G15" s="10">
        <v>5.3377800000000003E-2</v>
      </c>
      <c r="H15" s="9">
        <v>1887</v>
      </c>
      <c r="I15" s="10">
        <v>0.27049889999999999</v>
      </c>
      <c r="J15" s="9">
        <v>12</v>
      </c>
      <c r="K15" s="10">
        <v>1.5359E-3</v>
      </c>
      <c r="L15" s="9">
        <v>6264</v>
      </c>
      <c r="M15" s="10">
        <v>5.8933100000000002E-2</v>
      </c>
    </row>
    <row r="16" spans="1:13" ht="15.75" thickBot="1" x14ac:dyDescent="0.25">
      <c r="A16" s="5" t="s">
        <v>127</v>
      </c>
      <c r="B16" s="9">
        <v>4550</v>
      </c>
      <c r="C16" s="10">
        <v>5.5523000000000003E-2</v>
      </c>
      <c r="D16" s="9">
        <v>284</v>
      </c>
      <c r="E16" s="10">
        <v>0.16397229999999999</v>
      </c>
      <c r="F16" s="9">
        <v>6919</v>
      </c>
      <c r="G16" s="10">
        <v>5.8949799999999997E-2</v>
      </c>
      <c r="H16" s="9">
        <v>67</v>
      </c>
      <c r="I16" s="10">
        <v>9.6044000000000008E-3</v>
      </c>
      <c r="J16" s="59"/>
      <c r="K16" s="59"/>
      <c r="L16" s="9">
        <v>7005</v>
      </c>
      <c r="M16" s="10">
        <v>6.5904599999999994E-2</v>
      </c>
    </row>
    <row r="17" spans="1:13" ht="15.75" thickBot="1" x14ac:dyDescent="0.25">
      <c r="A17" s="5" t="s">
        <v>128</v>
      </c>
      <c r="B17" s="9">
        <v>6034</v>
      </c>
      <c r="C17" s="10">
        <v>7.3632100000000006E-2</v>
      </c>
      <c r="D17" s="9">
        <v>205</v>
      </c>
      <c r="E17" s="10">
        <v>0.1183603</v>
      </c>
      <c r="F17" s="9">
        <v>8395</v>
      </c>
      <c r="G17" s="10">
        <v>7.15253E-2</v>
      </c>
      <c r="H17" s="59"/>
      <c r="I17" s="59"/>
      <c r="J17" s="9">
        <v>11</v>
      </c>
      <c r="K17" s="10">
        <v>1.4078999999999999E-3</v>
      </c>
      <c r="L17" s="9">
        <v>8562</v>
      </c>
      <c r="M17" s="10">
        <v>8.0553200000000005E-2</v>
      </c>
    </row>
    <row r="18" spans="1:13" ht="15.75" thickBot="1" x14ac:dyDescent="0.25">
      <c r="A18" s="5" t="s">
        <v>129</v>
      </c>
      <c r="B18" s="9">
        <v>5967</v>
      </c>
      <c r="C18" s="10">
        <v>7.2814500000000004E-2</v>
      </c>
      <c r="D18" s="9">
        <v>151</v>
      </c>
      <c r="E18" s="10">
        <v>8.7182399999999993E-2</v>
      </c>
      <c r="F18" s="9">
        <v>8455</v>
      </c>
      <c r="G18" s="10">
        <v>7.2036500000000003E-2</v>
      </c>
      <c r="H18" s="9">
        <v>2</v>
      </c>
      <c r="I18" s="10">
        <v>2.8669999999999998E-4</v>
      </c>
      <c r="J18" s="59"/>
      <c r="K18" s="59"/>
      <c r="L18" s="9">
        <v>8639</v>
      </c>
      <c r="M18" s="10">
        <v>8.1277600000000005E-2</v>
      </c>
    </row>
    <row r="19" spans="1:13" ht="15.75" thickBot="1" x14ac:dyDescent="0.25">
      <c r="A19" s="5" t="s">
        <v>130</v>
      </c>
      <c r="B19" s="9">
        <v>6089</v>
      </c>
      <c r="C19" s="10">
        <v>7.43032E-2</v>
      </c>
      <c r="D19" s="9">
        <v>132</v>
      </c>
      <c r="E19" s="10">
        <v>7.6212500000000002E-2</v>
      </c>
      <c r="F19" s="9">
        <v>8414</v>
      </c>
      <c r="G19" s="10">
        <v>7.1687200000000006E-2</v>
      </c>
      <c r="H19" s="59"/>
      <c r="I19" s="59"/>
      <c r="J19" s="59"/>
      <c r="K19" s="59"/>
      <c r="L19" s="9">
        <v>8615</v>
      </c>
      <c r="M19" s="10">
        <v>8.1051799999999993E-2</v>
      </c>
    </row>
    <row r="20" spans="1:13" ht="15.75" thickBot="1" x14ac:dyDescent="0.25">
      <c r="A20" s="5" t="s">
        <v>131</v>
      </c>
      <c r="B20" s="9">
        <v>5606</v>
      </c>
      <c r="C20" s="10">
        <v>6.8409200000000003E-2</v>
      </c>
      <c r="D20" s="9">
        <v>55</v>
      </c>
      <c r="E20" s="10">
        <v>3.1755199999999997E-2</v>
      </c>
      <c r="F20" s="9">
        <v>8426</v>
      </c>
      <c r="G20" s="10">
        <v>7.1789500000000006E-2</v>
      </c>
      <c r="H20" s="59"/>
      <c r="I20" s="59"/>
      <c r="J20" s="9">
        <v>8</v>
      </c>
      <c r="K20" s="10">
        <v>1.0238999999999999E-3</v>
      </c>
      <c r="L20" s="9">
        <v>8589</v>
      </c>
      <c r="M20" s="10">
        <v>8.0807199999999996E-2</v>
      </c>
    </row>
    <row r="21" spans="1:13" ht="15.75" thickBot="1" x14ac:dyDescent="0.25">
      <c r="A21" s="5" t="s">
        <v>132</v>
      </c>
      <c r="B21" s="9">
        <v>4749</v>
      </c>
      <c r="C21" s="10">
        <v>5.79514E-2</v>
      </c>
      <c r="D21" s="59"/>
      <c r="E21" s="59"/>
      <c r="F21" s="9">
        <v>7423</v>
      </c>
      <c r="G21" s="10">
        <v>6.3243900000000006E-2</v>
      </c>
      <c r="H21" s="59"/>
      <c r="I21" s="59"/>
      <c r="J21" s="59"/>
      <c r="K21" s="59"/>
      <c r="L21" s="9">
        <v>7098</v>
      </c>
      <c r="M21" s="10">
        <v>6.6779599999999995E-2</v>
      </c>
    </row>
    <row r="22" spans="1:13" ht="15.75" thickBot="1" x14ac:dyDescent="0.25">
      <c r="A22" s="5" t="s">
        <v>133</v>
      </c>
      <c r="B22" s="9">
        <v>4608</v>
      </c>
      <c r="C22" s="10">
        <v>5.6230799999999997E-2</v>
      </c>
      <c r="D22" s="59"/>
      <c r="E22" s="59"/>
      <c r="F22" s="9">
        <v>6645</v>
      </c>
      <c r="G22" s="10">
        <v>5.66153E-2</v>
      </c>
      <c r="H22" s="59"/>
      <c r="I22" s="59"/>
      <c r="J22" s="59"/>
      <c r="K22" s="59"/>
      <c r="L22" s="9">
        <v>6803</v>
      </c>
      <c r="M22" s="10">
        <v>6.4004099999999994E-2</v>
      </c>
    </row>
    <row r="23" spans="1:13" ht="15.75" thickBot="1" x14ac:dyDescent="0.25">
      <c r="A23" s="5" t="s">
        <v>134</v>
      </c>
      <c r="B23" s="9">
        <v>4850</v>
      </c>
      <c r="C23" s="10">
        <v>5.9183899999999998E-2</v>
      </c>
      <c r="D23" s="59"/>
      <c r="E23" s="59"/>
      <c r="F23" s="9">
        <v>7071</v>
      </c>
      <c r="G23" s="10">
        <v>6.0244899999999997E-2</v>
      </c>
      <c r="H23" s="59"/>
      <c r="I23" s="59"/>
      <c r="J23" s="59"/>
      <c r="K23" s="59"/>
      <c r="L23" s="9">
        <v>7233</v>
      </c>
      <c r="M23" s="10">
        <v>6.8049700000000005E-2</v>
      </c>
    </row>
    <row r="24" spans="1:13" ht="15.75" thickBot="1" x14ac:dyDescent="0.25">
      <c r="A24" s="5" t="s">
        <v>135</v>
      </c>
      <c r="B24" s="9">
        <v>5207</v>
      </c>
      <c r="C24" s="10">
        <v>6.3540299999999994E-2</v>
      </c>
      <c r="D24" s="9">
        <v>1</v>
      </c>
      <c r="E24" s="10">
        <v>5.7740000000000005E-4</v>
      </c>
      <c r="F24" s="9">
        <v>7721</v>
      </c>
      <c r="G24" s="10">
        <v>6.5782900000000005E-2</v>
      </c>
      <c r="H24" s="59"/>
      <c r="I24" s="59"/>
      <c r="J24" s="59"/>
      <c r="K24" s="59"/>
      <c r="L24" s="9">
        <v>7716</v>
      </c>
      <c r="M24" s="10">
        <v>7.25938E-2</v>
      </c>
    </row>
    <row r="25" spans="1:13" ht="15.75" thickBot="1" x14ac:dyDescent="0.25">
      <c r="A25" s="5" t="s">
        <v>136</v>
      </c>
      <c r="B25" s="9">
        <v>6365</v>
      </c>
      <c r="C25" s="10">
        <v>7.7671199999999996E-2</v>
      </c>
      <c r="D25" s="59"/>
      <c r="E25" s="59"/>
      <c r="F25" s="9">
        <v>7681</v>
      </c>
      <c r="G25" s="10">
        <v>6.5442100000000003E-2</v>
      </c>
      <c r="H25" s="59"/>
      <c r="I25" s="59"/>
      <c r="J25" s="59"/>
      <c r="K25" s="59"/>
      <c r="L25" s="9">
        <v>7599</v>
      </c>
      <c r="M25" s="10">
        <v>7.1493100000000004E-2</v>
      </c>
    </row>
    <row r="26" spans="1:13" ht="15.75" thickBot="1" x14ac:dyDescent="0.25">
      <c r="A26" s="5" t="s">
        <v>137</v>
      </c>
      <c r="B26" s="9">
        <v>6467</v>
      </c>
      <c r="C26" s="10">
        <v>7.8915899999999997E-2</v>
      </c>
      <c r="D26" s="59"/>
      <c r="E26" s="59"/>
      <c r="F26" s="9">
        <v>7969</v>
      </c>
      <c r="G26" s="10">
        <v>6.7895800000000006E-2</v>
      </c>
      <c r="H26" s="59"/>
      <c r="I26" s="59"/>
      <c r="J26" s="59"/>
      <c r="K26" s="59"/>
      <c r="L26" s="9">
        <v>7675</v>
      </c>
      <c r="M26" s="10">
        <v>7.2208099999999997E-2</v>
      </c>
    </row>
    <row r="27" spans="1:13" ht="15.75" thickBot="1" x14ac:dyDescent="0.25">
      <c r="A27" s="5" t="s">
        <v>138</v>
      </c>
      <c r="B27" s="9">
        <v>5722</v>
      </c>
      <c r="C27" s="10">
        <v>6.9824800000000006E-2</v>
      </c>
      <c r="D27" s="59"/>
      <c r="E27" s="59"/>
      <c r="F27" s="9">
        <v>6786</v>
      </c>
      <c r="G27" s="10">
        <v>5.7816699999999999E-2</v>
      </c>
      <c r="H27" s="59"/>
      <c r="I27" s="59"/>
      <c r="J27" s="59"/>
      <c r="K27" s="59"/>
      <c r="L27" s="9">
        <v>1904</v>
      </c>
      <c r="M27" s="10">
        <v>1.79133E-2</v>
      </c>
    </row>
    <row r="28" spans="1:13" ht="15.75" thickBot="1" x14ac:dyDescent="0.25">
      <c r="A28" s="5" t="s">
        <v>139</v>
      </c>
      <c r="B28" s="9">
        <v>3800</v>
      </c>
      <c r="C28" s="10">
        <v>4.63709E-2</v>
      </c>
      <c r="D28" s="59"/>
      <c r="E28" s="59"/>
      <c r="F28" s="9">
        <v>5372</v>
      </c>
      <c r="G28" s="10">
        <v>4.5769400000000002E-2</v>
      </c>
      <c r="H28" s="59"/>
      <c r="I28" s="59"/>
      <c r="J28" s="59"/>
      <c r="K28" s="59"/>
      <c r="L28" s="9">
        <v>1</v>
      </c>
      <c r="M28" s="10">
        <v>9.3999999999999998E-6</v>
      </c>
    </row>
    <row r="29" spans="1:13" ht="15.75" thickBot="1" x14ac:dyDescent="0.25">
      <c r="A29" s="5" t="s">
        <v>140</v>
      </c>
      <c r="B29" s="9">
        <v>7</v>
      </c>
      <c r="C29" s="10">
        <v>8.5400000000000002E-5</v>
      </c>
      <c r="D29" s="59"/>
      <c r="E29" s="59"/>
      <c r="F29" s="9">
        <v>1263</v>
      </c>
      <c r="G29" s="10">
        <v>1.0760799999999999E-2</v>
      </c>
      <c r="H29" s="59"/>
      <c r="I29" s="59"/>
      <c r="J29" s="59"/>
      <c r="K29" s="59"/>
      <c r="L29" s="59"/>
      <c r="M29" s="59"/>
    </row>
    <row r="30" spans="1:13" ht="15.75" thickBot="1" x14ac:dyDescent="0.25">
      <c r="A30" s="14" t="s">
        <v>43</v>
      </c>
      <c r="B30" s="12">
        <v>81948</v>
      </c>
      <c r="C30" s="13">
        <v>1.0000001999999999</v>
      </c>
      <c r="D30" s="12">
        <v>1732</v>
      </c>
      <c r="E30" s="13">
        <v>1.0000001000000001</v>
      </c>
      <c r="F30" s="12">
        <v>117371</v>
      </c>
      <c r="G30" s="13">
        <v>1.0000001999999999</v>
      </c>
      <c r="H30" s="12">
        <v>6976</v>
      </c>
      <c r="I30" s="13">
        <v>1.0000001000000001</v>
      </c>
      <c r="J30" s="12">
        <v>7813</v>
      </c>
      <c r="K30" s="13">
        <v>1</v>
      </c>
      <c r="L30" s="12">
        <v>106290</v>
      </c>
      <c r="M30" s="13">
        <v>0.99999990000000005</v>
      </c>
    </row>
  </sheetData>
  <pageMargins left="0.7" right="0.7" top="0.75" bottom="0.75" header="0.3" footer="0.3"/>
  <pageSetup orientation="landscape" r:id="rId1"/>
  <headerFooter>
    <oddFooter>&amp;L&amp;"Arial,Regular"&amp;10Data Source: CSIL&amp;C&amp;"Arial,Regular"&amp;10Report Generated on: 11/5/22&amp;R&amp;"Arial,Regular"&amp;10Page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BF-526D-4172-A3DE-42767A6A337A}">
  <dimension ref="A1:M26"/>
  <sheetViews>
    <sheetView zoomScaleNormal="100" workbookViewId="0">
      <selection activeCell="Q14" sqref="Q14"/>
    </sheetView>
  </sheetViews>
  <sheetFormatPr defaultColWidth="8.796875" defaultRowHeight="12.75" x14ac:dyDescent="0.2"/>
  <cols>
    <col min="1" max="1" width="8.796875" style="3"/>
    <col min="2" max="13" width="6.3984375" style="3" customWidth="1"/>
    <col min="14" max="16384" width="8.796875" style="3"/>
  </cols>
  <sheetData>
    <row r="1" spans="1:13" ht="15" x14ac:dyDescent="0.2">
      <c r="A1" s="49" t="s">
        <v>165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11" spans="1:13" ht="13.5" thickBot="1" x14ac:dyDescent="0.25"/>
    <row r="12" spans="1:13" ht="15" thickBot="1" x14ac:dyDescent="0.25">
      <c r="B12" s="29" t="s">
        <v>21</v>
      </c>
      <c r="C12" s="30"/>
      <c r="D12" s="31" t="s">
        <v>22</v>
      </c>
      <c r="E12" s="32"/>
      <c r="F12" s="33" t="s">
        <v>44</v>
      </c>
      <c r="G12" s="34"/>
      <c r="H12" s="35" t="s">
        <v>24</v>
      </c>
      <c r="I12" s="36"/>
      <c r="J12" s="37" t="s">
        <v>25</v>
      </c>
      <c r="K12" s="38"/>
      <c r="L12" s="39" t="s">
        <v>45</v>
      </c>
      <c r="M12" s="40"/>
    </row>
    <row r="13" spans="1:13" ht="16.5" thickBot="1" x14ac:dyDescent="0.3">
      <c r="A13" s="27" t="s">
        <v>46</v>
      </c>
      <c r="B13" s="19" t="s">
        <v>47</v>
      </c>
      <c r="C13" s="19" t="s">
        <v>42</v>
      </c>
      <c r="D13" s="19" t="s">
        <v>47</v>
      </c>
      <c r="E13" s="19" t="s">
        <v>42</v>
      </c>
      <c r="F13" s="19" t="s">
        <v>47</v>
      </c>
      <c r="G13" s="19" t="s">
        <v>42</v>
      </c>
      <c r="H13" s="19" t="s">
        <v>47</v>
      </c>
      <c r="I13" s="19" t="s">
        <v>42</v>
      </c>
      <c r="J13" s="19" t="s">
        <v>47</v>
      </c>
      <c r="K13" s="19" t="s">
        <v>42</v>
      </c>
      <c r="L13" s="19" t="s">
        <v>47</v>
      </c>
      <c r="M13" s="19" t="s">
        <v>42</v>
      </c>
    </row>
    <row r="14" spans="1:13" ht="13.5" thickBot="1" x14ac:dyDescent="0.25">
      <c r="A14" s="5" t="s">
        <v>12</v>
      </c>
      <c r="B14" s="9">
        <v>8</v>
      </c>
      <c r="C14" s="10">
        <v>0.5</v>
      </c>
      <c r="D14" s="60" t="s">
        <v>48</v>
      </c>
      <c r="E14" s="80">
        <v>0</v>
      </c>
      <c r="F14" s="53">
        <v>41</v>
      </c>
      <c r="G14" s="80">
        <v>0.87234042553191493</v>
      </c>
      <c r="H14" s="9">
        <v>3</v>
      </c>
      <c r="I14" s="10">
        <v>0.42857139999999999</v>
      </c>
      <c r="J14" s="9">
        <v>162</v>
      </c>
      <c r="K14" s="10">
        <v>0.18141099999999999</v>
      </c>
      <c r="L14" s="53">
        <v>10</v>
      </c>
      <c r="M14" s="80">
        <v>0.3125</v>
      </c>
    </row>
    <row r="15" spans="1:13" ht="13.5" thickBot="1" x14ac:dyDescent="0.25">
      <c r="A15" s="5" t="s">
        <v>13</v>
      </c>
      <c r="B15" s="9">
        <v>1</v>
      </c>
      <c r="C15" s="10">
        <v>6.25E-2</v>
      </c>
      <c r="D15" s="60" t="s">
        <v>48</v>
      </c>
      <c r="E15" s="80">
        <v>0</v>
      </c>
      <c r="F15" s="53">
        <v>0</v>
      </c>
      <c r="G15" s="80">
        <v>0</v>
      </c>
      <c r="H15" s="60" t="s">
        <v>48</v>
      </c>
      <c r="I15" s="80">
        <v>0</v>
      </c>
      <c r="J15" s="9">
        <v>8</v>
      </c>
      <c r="K15" s="10">
        <v>8.9586000000000006E-3</v>
      </c>
      <c r="L15" s="53">
        <v>0</v>
      </c>
      <c r="M15" s="80">
        <v>0</v>
      </c>
    </row>
    <row r="16" spans="1:13" ht="13.5" thickBot="1" x14ac:dyDescent="0.25">
      <c r="A16" s="5" t="s">
        <v>14</v>
      </c>
      <c r="B16" s="9">
        <v>3</v>
      </c>
      <c r="C16" s="10">
        <v>0.1875</v>
      </c>
      <c r="D16" s="60" t="s">
        <v>48</v>
      </c>
      <c r="E16" s="80">
        <v>0</v>
      </c>
      <c r="F16" s="53">
        <v>3</v>
      </c>
      <c r="G16" s="80">
        <v>6.3829787234042548E-2</v>
      </c>
      <c r="H16" s="60" t="s">
        <v>48</v>
      </c>
      <c r="I16" s="80">
        <v>0</v>
      </c>
      <c r="J16" s="9">
        <v>63</v>
      </c>
      <c r="K16" s="10">
        <v>7.0548700000000006E-2</v>
      </c>
      <c r="L16" s="53">
        <v>4</v>
      </c>
      <c r="M16" s="80">
        <v>0.125</v>
      </c>
    </row>
    <row r="17" spans="1:13" ht="13.5" thickBot="1" x14ac:dyDescent="0.25">
      <c r="A17" s="5" t="s">
        <v>15</v>
      </c>
      <c r="B17" s="60" t="s">
        <v>48</v>
      </c>
      <c r="C17" s="80">
        <v>0</v>
      </c>
      <c r="D17" s="60" t="s">
        <v>48</v>
      </c>
      <c r="E17" s="80">
        <v>0</v>
      </c>
      <c r="F17" s="53">
        <v>2</v>
      </c>
      <c r="G17" s="80">
        <v>4.2553191489361701E-2</v>
      </c>
      <c r="H17" s="9">
        <v>4</v>
      </c>
      <c r="I17" s="10">
        <v>0.57142859999999995</v>
      </c>
      <c r="J17" s="9">
        <v>467</v>
      </c>
      <c r="K17" s="10">
        <v>0.52295630000000004</v>
      </c>
      <c r="L17" s="53">
        <v>12</v>
      </c>
      <c r="M17" s="80">
        <v>0.375</v>
      </c>
    </row>
    <row r="18" spans="1:13" ht="13.5" thickBot="1" x14ac:dyDescent="0.25">
      <c r="A18" s="5" t="s">
        <v>16</v>
      </c>
      <c r="B18" s="9">
        <v>3</v>
      </c>
      <c r="C18" s="10">
        <v>0.1875</v>
      </c>
      <c r="D18" s="9">
        <v>1</v>
      </c>
      <c r="E18" s="10">
        <v>1</v>
      </c>
      <c r="F18" s="53">
        <v>0</v>
      </c>
      <c r="G18" s="80">
        <v>0</v>
      </c>
      <c r="H18" s="60" t="s">
        <v>48</v>
      </c>
      <c r="I18" s="80">
        <v>0</v>
      </c>
      <c r="J18" s="9">
        <v>127</v>
      </c>
      <c r="K18" s="10">
        <v>0.14221719999999999</v>
      </c>
      <c r="L18" s="53">
        <v>1</v>
      </c>
      <c r="M18" s="80">
        <v>3.125E-2</v>
      </c>
    </row>
    <row r="19" spans="1:13" ht="13.5" thickBot="1" x14ac:dyDescent="0.25">
      <c r="A19" s="5" t="s">
        <v>17</v>
      </c>
      <c r="B19" s="60" t="s">
        <v>48</v>
      </c>
      <c r="C19" s="80">
        <v>0</v>
      </c>
      <c r="D19" s="60" t="s">
        <v>48</v>
      </c>
      <c r="E19" s="80">
        <v>0</v>
      </c>
      <c r="F19" s="53">
        <v>0</v>
      </c>
      <c r="G19" s="80">
        <v>0</v>
      </c>
      <c r="H19" s="60" t="s">
        <v>48</v>
      </c>
      <c r="I19" s="80">
        <v>0</v>
      </c>
      <c r="J19" s="9">
        <v>24</v>
      </c>
      <c r="K19" s="10">
        <v>2.6875699999999999E-2</v>
      </c>
      <c r="L19" s="53">
        <v>5</v>
      </c>
      <c r="M19" s="80">
        <v>0.15625</v>
      </c>
    </row>
    <row r="20" spans="1:13" ht="13.5" thickBot="1" x14ac:dyDescent="0.25">
      <c r="A20" s="5" t="s">
        <v>18</v>
      </c>
      <c r="B20" s="9">
        <v>1</v>
      </c>
      <c r="C20" s="10">
        <v>6.25E-2</v>
      </c>
      <c r="D20" s="60" t="s">
        <v>48</v>
      </c>
      <c r="E20" s="80">
        <v>0</v>
      </c>
      <c r="F20" s="53">
        <v>0</v>
      </c>
      <c r="G20" s="80">
        <v>0</v>
      </c>
      <c r="H20" s="60" t="s">
        <v>48</v>
      </c>
      <c r="I20" s="80">
        <v>0</v>
      </c>
      <c r="J20" s="9">
        <v>30</v>
      </c>
      <c r="K20" s="10">
        <v>3.3594600000000002E-2</v>
      </c>
      <c r="L20" s="53">
        <v>0</v>
      </c>
      <c r="M20" s="80">
        <v>0</v>
      </c>
    </row>
    <row r="21" spans="1:13" ht="13.5" thickBot="1" x14ac:dyDescent="0.25">
      <c r="A21" s="5" t="s">
        <v>19</v>
      </c>
      <c r="B21" s="60" t="s">
        <v>48</v>
      </c>
      <c r="C21" s="80">
        <v>0</v>
      </c>
      <c r="D21" s="60" t="s">
        <v>48</v>
      </c>
      <c r="E21" s="80">
        <v>0</v>
      </c>
      <c r="F21" s="53">
        <v>0</v>
      </c>
      <c r="G21" s="80">
        <v>0</v>
      </c>
      <c r="H21" s="60" t="s">
        <v>48</v>
      </c>
      <c r="I21" s="80">
        <v>0</v>
      </c>
      <c r="J21" s="9">
        <v>12</v>
      </c>
      <c r="K21" s="10">
        <v>1.34378E-2</v>
      </c>
      <c r="L21" s="53">
        <v>0</v>
      </c>
      <c r="M21" s="80">
        <v>0</v>
      </c>
    </row>
    <row r="22" spans="1:13" ht="13.5" thickBot="1" x14ac:dyDescent="0.25">
      <c r="A22" s="5" t="s">
        <v>141</v>
      </c>
      <c r="B22" s="60" t="s">
        <v>48</v>
      </c>
      <c r="C22" s="80">
        <v>0</v>
      </c>
      <c r="D22" s="60" t="s">
        <v>48</v>
      </c>
      <c r="E22" s="80">
        <v>0</v>
      </c>
      <c r="F22" s="53">
        <v>1</v>
      </c>
      <c r="G22" s="80">
        <v>2.1276595744680851E-2</v>
      </c>
      <c r="H22" s="60" t="s">
        <v>48</v>
      </c>
      <c r="I22" s="80">
        <v>0</v>
      </c>
      <c r="J22" s="60" t="s">
        <v>48</v>
      </c>
      <c r="K22" s="80">
        <v>0</v>
      </c>
      <c r="L22" s="53">
        <v>0</v>
      </c>
      <c r="M22" s="80">
        <v>0</v>
      </c>
    </row>
    <row r="23" spans="1:13" ht="13.5" thickBot="1" x14ac:dyDescent="0.25">
      <c r="A23" s="48" t="s">
        <v>43</v>
      </c>
      <c r="B23" s="12">
        <v>16</v>
      </c>
      <c r="C23" s="13">
        <v>1</v>
      </c>
      <c r="D23" s="12">
        <v>1</v>
      </c>
      <c r="E23" s="13">
        <v>1</v>
      </c>
      <c r="F23" s="61">
        <v>47</v>
      </c>
      <c r="G23" s="62">
        <v>1</v>
      </c>
      <c r="H23" s="12">
        <v>7</v>
      </c>
      <c r="I23" s="13">
        <v>1</v>
      </c>
      <c r="J23" s="12">
        <v>893</v>
      </c>
      <c r="K23" s="13">
        <v>1</v>
      </c>
      <c r="L23" s="61">
        <v>32</v>
      </c>
      <c r="M23" s="62">
        <v>1</v>
      </c>
    </row>
    <row r="25" spans="1:13" x14ac:dyDescent="0.2">
      <c r="A25" s="16" t="s">
        <v>49</v>
      </c>
    </row>
    <row r="26" spans="1:13" x14ac:dyDescent="0.2">
      <c r="A26" s="16" t="s">
        <v>160</v>
      </c>
      <c r="H26" s="58"/>
    </row>
  </sheetData>
  <pageMargins left="0.7" right="0.7" top="0.75" bottom="0.75" header="0.3" footer="0.3"/>
  <pageSetup orientation="landscape" r:id="rId1"/>
  <headerFoot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631-269E-40CB-B522-1AFCEF27CE76}">
  <sheetPr>
    <pageSetUpPr fitToPage="1"/>
  </sheetPr>
  <dimension ref="A1:O59"/>
  <sheetViews>
    <sheetView zoomScaleNormal="100" workbookViewId="0">
      <selection activeCell="Q7" sqref="Q7"/>
    </sheetView>
  </sheetViews>
  <sheetFormatPr defaultColWidth="8.796875" defaultRowHeight="12.75" x14ac:dyDescent="0.2"/>
  <cols>
    <col min="1" max="1" width="10.19921875" style="3" customWidth="1"/>
    <col min="2" max="2" width="3" style="3" customWidth="1"/>
    <col min="3" max="3" width="25.5" style="3" bestFit="1" customWidth="1"/>
    <col min="4" max="4" width="6.09765625" style="3" bestFit="1" customWidth="1"/>
    <col min="5" max="5" width="5" style="3" bestFit="1" customWidth="1"/>
    <col min="6" max="6" width="6.09765625" style="3" bestFit="1" customWidth="1"/>
    <col min="7" max="7" width="5.296875" style="3" bestFit="1" customWidth="1"/>
    <col min="8" max="8" width="6.09765625" style="3" bestFit="1" customWidth="1"/>
    <col min="9" max="9" width="5.296875" style="3" bestFit="1" customWidth="1"/>
    <col min="10" max="10" width="6.09765625" style="3" bestFit="1" customWidth="1"/>
    <col min="11" max="11" width="5" style="3" bestFit="1" customWidth="1"/>
    <col min="12" max="12" width="6.09765625" style="3" bestFit="1" customWidth="1"/>
    <col min="13" max="13" width="5" style="3" bestFit="1" customWidth="1"/>
    <col min="14" max="14" width="6.09765625" style="3" bestFit="1" customWidth="1"/>
    <col min="15" max="15" width="6.296875" style="3" bestFit="1" customWidth="1"/>
    <col min="16" max="16384" width="8.796875" style="3"/>
  </cols>
  <sheetData>
    <row r="1" spans="1:15" ht="15" x14ac:dyDescent="0.2">
      <c r="A1" s="49" t="s">
        <v>165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11" spans="1:15" ht="13.5" thickBot="1" x14ac:dyDescent="0.25"/>
    <row r="12" spans="1:15" ht="15" thickBot="1" x14ac:dyDescent="0.25">
      <c r="D12" s="45" t="s">
        <v>21</v>
      </c>
      <c r="E12" s="45"/>
      <c r="F12" s="45" t="s">
        <v>22</v>
      </c>
      <c r="G12" s="45"/>
      <c r="H12" s="45" t="s">
        <v>50</v>
      </c>
      <c r="I12" s="45"/>
      <c r="J12" s="45" t="s">
        <v>24</v>
      </c>
      <c r="K12" s="45"/>
      <c r="L12" s="45" t="s">
        <v>25</v>
      </c>
      <c r="M12" s="45"/>
      <c r="N12" s="45" t="s">
        <v>51</v>
      </c>
      <c r="O12" s="45"/>
    </row>
    <row r="13" spans="1:15" ht="15.75" thickBot="1" x14ac:dyDescent="0.25">
      <c r="A13" s="41" t="s">
        <v>52</v>
      </c>
      <c r="D13" s="44" t="s">
        <v>47</v>
      </c>
      <c r="E13" s="44" t="s">
        <v>42</v>
      </c>
      <c r="F13" s="44" t="s">
        <v>47</v>
      </c>
      <c r="G13" s="44" t="s">
        <v>42</v>
      </c>
      <c r="H13" s="44" t="s">
        <v>47</v>
      </c>
      <c r="I13" s="44" t="s">
        <v>42</v>
      </c>
      <c r="J13" s="44" t="s">
        <v>47</v>
      </c>
      <c r="K13" s="44" t="s">
        <v>42</v>
      </c>
      <c r="L13" s="44" t="s">
        <v>47</v>
      </c>
      <c r="M13" s="44" t="s">
        <v>42</v>
      </c>
      <c r="N13" s="44" t="s">
        <v>47</v>
      </c>
      <c r="O13" s="44" t="s">
        <v>42</v>
      </c>
    </row>
    <row r="14" spans="1:15" ht="15.75" thickBot="1" x14ac:dyDescent="0.25">
      <c r="A14" s="46" t="s">
        <v>12</v>
      </c>
      <c r="B14" s="47"/>
      <c r="C14" s="43" t="s">
        <v>53</v>
      </c>
      <c r="D14" s="64">
        <v>8</v>
      </c>
      <c r="E14" s="65">
        <v>0.5</v>
      </c>
      <c r="F14" s="63" t="s">
        <v>48</v>
      </c>
      <c r="G14" s="66">
        <v>0</v>
      </c>
      <c r="H14" s="52">
        <v>41</v>
      </c>
      <c r="I14" s="66">
        <v>0</v>
      </c>
      <c r="J14" s="64">
        <v>3</v>
      </c>
      <c r="K14" s="65">
        <v>0.42857139999999999</v>
      </c>
      <c r="L14" s="64">
        <v>162</v>
      </c>
      <c r="M14" s="65">
        <v>0.18141099999999999</v>
      </c>
      <c r="N14" s="52">
        <v>10</v>
      </c>
      <c r="O14" s="66">
        <v>0.45400000000000001</v>
      </c>
    </row>
    <row r="15" spans="1:15" ht="13.5" thickBot="1" x14ac:dyDescent="0.25">
      <c r="A15" s="46" t="s">
        <v>13</v>
      </c>
      <c r="B15" s="42" t="s">
        <v>54</v>
      </c>
      <c r="C15" s="42" t="s">
        <v>55</v>
      </c>
      <c r="D15" s="64">
        <v>1</v>
      </c>
      <c r="E15" s="65">
        <v>6.25E-2</v>
      </c>
      <c r="F15" s="63" t="s">
        <v>48</v>
      </c>
      <c r="G15" s="66">
        <v>0</v>
      </c>
      <c r="H15" s="52">
        <v>0</v>
      </c>
      <c r="I15" s="66">
        <v>0</v>
      </c>
      <c r="J15" s="63" t="s">
        <v>48</v>
      </c>
      <c r="K15" s="66">
        <v>0</v>
      </c>
      <c r="L15" s="64">
        <v>8</v>
      </c>
      <c r="M15" s="65">
        <v>8.9586000000000006E-3</v>
      </c>
      <c r="N15" s="52">
        <v>0</v>
      </c>
      <c r="O15" s="66">
        <v>0</v>
      </c>
    </row>
    <row r="16" spans="1:15" ht="13.5" thickBot="1" x14ac:dyDescent="0.25">
      <c r="A16" s="81" t="s">
        <v>14</v>
      </c>
      <c r="B16" s="75" t="s">
        <v>56</v>
      </c>
      <c r="C16" s="75" t="s">
        <v>57</v>
      </c>
      <c r="D16" s="63" t="s">
        <v>48</v>
      </c>
      <c r="E16" s="66">
        <v>0</v>
      </c>
      <c r="F16" s="63" t="s">
        <v>48</v>
      </c>
      <c r="G16" s="66">
        <v>0</v>
      </c>
      <c r="H16" s="52">
        <v>0</v>
      </c>
      <c r="I16" s="66">
        <v>0</v>
      </c>
      <c r="J16" s="63" t="s">
        <v>48</v>
      </c>
      <c r="K16" s="66">
        <v>0</v>
      </c>
      <c r="L16" s="63" t="s">
        <v>48</v>
      </c>
      <c r="M16" s="66">
        <v>0</v>
      </c>
      <c r="N16" s="52">
        <v>1</v>
      </c>
      <c r="O16" s="66">
        <v>4.5499999999999999E-2</v>
      </c>
    </row>
    <row r="17" spans="1:15" ht="13.5" thickBot="1" x14ac:dyDescent="0.25">
      <c r="A17" s="82"/>
      <c r="B17" s="75" t="s">
        <v>58</v>
      </c>
      <c r="C17" s="75" t="s">
        <v>59</v>
      </c>
      <c r="D17" s="64">
        <v>1</v>
      </c>
      <c r="E17" s="65">
        <v>6.25E-2</v>
      </c>
      <c r="F17" s="63" t="s">
        <v>48</v>
      </c>
      <c r="G17" s="66">
        <v>0</v>
      </c>
      <c r="H17" s="52">
        <v>0</v>
      </c>
      <c r="I17" s="66">
        <v>0</v>
      </c>
      <c r="J17" s="63" t="s">
        <v>48</v>
      </c>
      <c r="K17" s="66">
        <v>0</v>
      </c>
      <c r="L17" s="63" t="s">
        <v>48</v>
      </c>
      <c r="M17" s="66">
        <v>0</v>
      </c>
      <c r="N17" s="52">
        <v>0</v>
      </c>
      <c r="O17" s="66">
        <v>0</v>
      </c>
    </row>
    <row r="18" spans="1:15" ht="13.5" thickBot="1" x14ac:dyDescent="0.25">
      <c r="A18" s="82"/>
      <c r="B18" s="75" t="s">
        <v>60</v>
      </c>
      <c r="C18" s="75" t="s">
        <v>61</v>
      </c>
      <c r="D18" s="63" t="s">
        <v>48</v>
      </c>
      <c r="E18" s="66">
        <v>0</v>
      </c>
      <c r="F18" s="63" t="s">
        <v>48</v>
      </c>
      <c r="G18" s="66">
        <v>0</v>
      </c>
      <c r="H18" s="52">
        <v>0</v>
      </c>
      <c r="I18" s="66">
        <v>0</v>
      </c>
      <c r="J18" s="63" t="s">
        <v>48</v>
      </c>
      <c r="K18" s="66">
        <v>0</v>
      </c>
      <c r="L18" s="64">
        <v>28</v>
      </c>
      <c r="M18" s="65">
        <v>3.1355000000000001E-2</v>
      </c>
      <c r="N18" s="52">
        <v>0</v>
      </c>
      <c r="O18" s="66">
        <v>0</v>
      </c>
    </row>
    <row r="19" spans="1:15" ht="13.5" thickBot="1" x14ac:dyDescent="0.25">
      <c r="A19" s="82"/>
      <c r="B19" s="75" t="s">
        <v>62</v>
      </c>
      <c r="C19" s="75" t="s">
        <v>63</v>
      </c>
      <c r="D19" s="64">
        <v>1</v>
      </c>
      <c r="E19" s="65">
        <v>6.25E-2</v>
      </c>
      <c r="F19" s="63" t="s">
        <v>48</v>
      </c>
      <c r="G19" s="66">
        <v>0</v>
      </c>
      <c r="H19" s="52">
        <v>0</v>
      </c>
      <c r="I19" s="66">
        <v>0</v>
      </c>
      <c r="J19" s="63" t="s">
        <v>48</v>
      </c>
      <c r="K19" s="66">
        <v>0</v>
      </c>
      <c r="L19" s="63" t="s">
        <v>48</v>
      </c>
      <c r="M19" s="66">
        <v>0</v>
      </c>
      <c r="N19" s="52">
        <v>0</v>
      </c>
      <c r="O19" s="66">
        <v>0</v>
      </c>
    </row>
    <row r="20" spans="1:15" s="58" customFormat="1" ht="13.5" thickBot="1" x14ac:dyDescent="0.25">
      <c r="A20" s="82"/>
      <c r="B20" s="75" t="s">
        <v>64</v>
      </c>
      <c r="C20" s="75" t="s">
        <v>65</v>
      </c>
      <c r="D20" s="67">
        <v>0</v>
      </c>
      <c r="E20" s="71">
        <v>0</v>
      </c>
      <c r="F20" s="69" t="s">
        <v>48</v>
      </c>
      <c r="G20" s="71">
        <v>0</v>
      </c>
      <c r="H20" s="70">
        <v>0</v>
      </c>
      <c r="I20" s="71">
        <v>0</v>
      </c>
      <c r="J20" s="67">
        <v>0</v>
      </c>
      <c r="K20" s="68">
        <v>1.5129999999999999E-4</v>
      </c>
      <c r="L20" s="67">
        <v>0</v>
      </c>
      <c r="M20" s="68">
        <v>2.1800000000000001E-5</v>
      </c>
      <c r="N20" s="70">
        <v>0</v>
      </c>
      <c r="O20" s="71">
        <v>0</v>
      </c>
    </row>
    <row r="21" spans="1:15" s="58" customFormat="1" ht="13.5" thickBot="1" x14ac:dyDescent="0.25">
      <c r="A21" s="82"/>
      <c r="B21" s="75" t="s">
        <v>66</v>
      </c>
      <c r="C21" s="75" t="s">
        <v>67</v>
      </c>
      <c r="D21" s="72">
        <v>1</v>
      </c>
      <c r="E21" s="73">
        <v>6.25E-2</v>
      </c>
      <c r="F21" s="74" t="s">
        <v>48</v>
      </c>
      <c r="G21" s="71">
        <v>0</v>
      </c>
      <c r="H21" s="70">
        <v>1</v>
      </c>
      <c r="I21" s="71">
        <v>2.1299999999999999E-2</v>
      </c>
      <c r="J21" s="74" t="s">
        <v>48</v>
      </c>
      <c r="K21" s="71">
        <v>0</v>
      </c>
      <c r="L21" s="74" t="s">
        <v>48</v>
      </c>
      <c r="M21" s="71">
        <v>0</v>
      </c>
      <c r="N21" s="70">
        <v>1</v>
      </c>
      <c r="O21" s="71">
        <v>4.5499999999999999E-2</v>
      </c>
    </row>
    <row r="22" spans="1:15" s="58" customFormat="1" ht="13.5" thickBot="1" x14ac:dyDescent="0.25">
      <c r="A22" s="82"/>
      <c r="B22" s="75" t="s">
        <v>68</v>
      </c>
      <c r="C22" s="75" t="s">
        <v>69</v>
      </c>
      <c r="D22" s="67">
        <v>0</v>
      </c>
      <c r="E22" s="71">
        <v>0</v>
      </c>
      <c r="F22" s="69" t="s">
        <v>48</v>
      </c>
      <c r="G22" s="71">
        <v>0</v>
      </c>
      <c r="H22" s="70">
        <v>0</v>
      </c>
      <c r="I22" s="71">
        <v>0</v>
      </c>
      <c r="J22" s="67">
        <v>0</v>
      </c>
      <c r="K22" s="71">
        <v>0</v>
      </c>
      <c r="L22" s="67">
        <v>0</v>
      </c>
      <c r="M22" s="71">
        <v>0</v>
      </c>
      <c r="N22" s="70">
        <v>0</v>
      </c>
      <c r="O22" s="71">
        <v>0</v>
      </c>
    </row>
    <row r="23" spans="1:15" s="58" customFormat="1" ht="13.5" thickBot="1" x14ac:dyDescent="0.25">
      <c r="A23" s="82"/>
      <c r="B23" s="75" t="s">
        <v>70</v>
      </c>
      <c r="C23" s="75" t="s">
        <v>71</v>
      </c>
      <c r="D23" s="74" t="s">
        <v>48</v>
      </c>
      <c r="E23" s="71">
        <v>0</v>
      </c>
      <c r="F23" s="74" t="s">
        <v>48</v>
      </c>
      <c r="G23" s="71">
        <v>0</v>
      </c>
      <c r="H23" s="70">
        <v>2</v>
      </c>
      <c r="I23" s="71">
        <v>4.2599999999999999E-2</v>
      </c>
      <c r="J23" s="74" t="s">
        <v>48</v>
      </c>
      <c r="K23" s="71">
        <v>0</v>
      </c>
      <c r="L23" s="72">
        <v>35</v>
      </c>
      <c r="M23" s="73">
        <v>3.9193699999999998E-2</v>
      </c>
      <c r="N23" s="70">
        <v>2</v>
      </c>
      <c r="O23" s="71">
        <v>9.0899999999999995E-2</v>
      </c>
    </row>
    <row r="24" spans="1:15" s="58" customFormat="1" ht="13.5" thickBot="1" x14ac:dyDescent="0.25">
      <c r="A24" s="83"/>
      <c r="B24" s="75" t="s">
        <v>72</v>
      </c>
      <c r="C24" s="75" t="s">
        <v>73</v>
      </c>
      <c r="D24" s="67">
        <v>0</v>
      </c>
      <c r="E24" s="71">
        <v>0</v>
      </c>
      <c r="F24" s="67">
        <v>0</v>
      </c>
      <c r="G24" s="71">
        <v>0</v>
      </c>
      <c r="H24" s="70">
        <v>0</v>
      </c>
      <c r="I24" s="71">
        <v>0</v>
      </c>
      <c r="J24" s="67">
        <v>0</v>
      </c>
      <c r="K24" s="68">
        <v>3.0259999999999998E-4</v>
      </c>
      <c r="L24" s="67">
        <v>0</v>
      </c>
      <c r="M24" s="68">
        <v>4.3600000000000003E-5</v>
      </c>
      <c r="N24" s="70">
        <v>0</v>
      </c>
      <c r="O24" s="71">
        <v>0</v>
      </c>
    </row>
    <row r="25" spans="1:15" s="58" customFormat="1" ht="13.5" thickBot="1" x14ac:dyDescent="0.25">
      <c r="A25" s="81" t="s">
        <v>15</v>
      </c>
      <c r="B25" s="75" t="s">
        <v>74</v>
      </c>
      <c r="C25" s="75" t="s">
        <v>75</v>
      </c>
      <c r="D25" s="69" t="s">
        <v>48</v>
      </c>
      <c r="E25" s="71">
        <v>0</v>
      </c>
      <c r="F25" s="69" t="s">
        <v>48</v>
      </c>
      <c r="G25" s="71">
        <v>0</v>
      </c>
      <c r="H25" s="70">
        <v>0</v>
      </c>
      <c r="I25" s="71">
        <v>0</v>
      </c>
      <c r="J25" s="69" t="s">
        <v>48</v>
      </c>
      <c r="K25" s="68">
        <v>3.0259999999999998E-4</v>
      </c>
      <c r="L25" s="67">
        <v>0</v>
      </c>
      <c r="M25" s="68">
        <v>1.961E-4</v>
      </c>
      <c r="N25" s="70">
        <v>0</v>
      </c>
      <c r="O25" s="71">
        <v>0</v>
      </c>
    </row>
    <row r="26" spans="1:15" s="58" customFormat="1" ht="13.5" thickBot="1" x14ac:dyDescent="0.25">
      <c r="A26" s="82"/>
      <c r="B26" s="75" t="s">
        <v>76</v>
      </c>
      <c r="C26" s="75" t="s">
        <v>77</v>
      </c>
      <c r="D26" s="74" t="s">
        <v>48</v>
      </c>
      <c r="E26" s="71">
        <v>0</v>
      </c>
      <c r="F26" s="74" t="s">
        <v>48</v>
      </c>
      <c r="G26" s="71">
        <v>0</v>
      </c>
      <c r="H26" s="70">
        <v>0</v>
      </c>
      <c r="I26" s="71">
        <v>0</v>
      </c>
      <c r="J26" s="72">
        <v>2</v>
      </c>
      <c r="K26" s="73">
        <v>0.28571429999999998</v>
      </c>
      <c r="L26" s="72">
        <v>111</v>
      </c>
      <c r="M26" s="73">
        <v>0.1243001</v>
      </c>
      <c r="N26" s="70">
        <v>0</v>
      </c>
      <c r="O26" s="71">
        <v>0</v>
      </c>
    </row>
    <row r="27" spans="1:15" s="58" customFormat="1" ht="13.5" thickBot="1" x14ac:dyDescent="0.25">
      <c r="A27" s="82"/>
      <c r="B27" s="75" t="s">
        <v>78</v>
      </c>
      <c r="C27" s="75" t="s">
        <v>79</v>
      </c>
      <c r="D27" s="74" t="s">
        <v>48</v>
      </c>
      <c r="E27" s="71">
        <v>0</v>
      </c>
      <c r="F27" s="74" t="s">
        <v>48</v>
      </c>
      <c r="G27" s="71">
        <v>0</v>
      </c>
      <c r="H27" s="70">
        <v>0</v>
      </c>
      <c r="I27" s="71">
        <v>0</v>
      </c>
      <c r="J27" s="74" t="s">
        <v>48</v>
      </c>
      <c r="K27" s="71">
        <v>0</v>
      </c>
      <c r="L27" s="72">
        <v>30</v>
      </c>
      <c r="M27" s="73">
        <v>3.3594600000000002E-2</v>
      </c>
      <c r="N27" s="70">
        <v>0</v>
      </c>
      <c r="O27" s="71">
        <v>0</v>
      </c>
    </row>
    <row r="28" spans="1:15" s="58" customFormat="1" ht="13.5" thickBot="1" x14ac:dyDescent="0.25">
      <c r="A28" s="82"/>
      <c r="B28" s="75" t="s">
        <v>80</v>
      </c>
      <c r="C28" s="75" t="s">
        <v>81</v>
      </c>
      <c r="D28" s="74" t="s">
        <v>48</v>
      </c>
      <c r="E28" s="71">
        <v>0</v>
      </c>
      <c r="F28" s="74" t="s">
        <v>48</v>
      </c>
      <c r="G28" s="71">
        <v>0</v>
      </c>
      <c r="H28" s="70">
        <v>0</v>
      </c>
      <c r="I28" s="71">
        <v>0</v>
      </c>
      <c r="J28" s="72">
        <v>1</v>
      </c>
      <c r="K28" s="73">
        <v>0.14285709999999999</v>
      </c>
      <c r="L28" s="72">
        <v>302</v>
      </c>
      <c r="M28" s="73">
        <v>0.33818589999999998</v>
      </c>
      <c r="N28" s="70">
        <v>5</v>
      </c>
      <c r="O28" s="71">
        <v>0.2273</v>
      </c>
    </row>
    <row r="29" spans="1:15" s="58" customFormat="1" ht="13.5" thickBot="1" x14ac:dyDescent="0.25">
      <c r="A29" s="82"/>
      <c r="B29" s="75" t="s">
        <v>82</v>
      </c>
      <c r="C29" s="75" t="s">
        <v>83</v>
      </c>
      <c r="D29" s="74" t="s">
        <v>48</v>
      </c>
      <c r="E29" s="71">
        <v>0</v>
      </c>
      <c r="F29" s="74" t="s">
        <v>48</v>
      </c>
      <c r="G29" s="71">
        <v>0</v>
      </c>
      <c r="H29" s="70">
        <v>1</v>
      </c>
      <c r="I29" s="71">
        <v>2.1299999999999999E-2</v>
      </c>
      <c r="J29" s="74" t="s">
        <v>48</v>
      </c>
      <c r="K29" s="71">
        <v>0</v>
      </c>
      <c r="L29" s="74" t="s">
        <v>48</v>
      </c>
      <c r="M29" s="71">
        <v>0</v>
      </c>
      <c r="N29" s="70">
        <v>3</v>
      </c>
      <c r="O29" s="71">
        <v>0.13639999999999999</v>
      </c>
    </row>
    <row r="30" spans="1:15" s="58" customFormat="1" ht="13.5" thickBot="1" x14ac:dyDescent="0.25">
      <c r="A30" s="82"/>
      <c r="B30" s="75" t="s">
        <v>84</v>
      </c>
      <c r="C30" s="75" t="s">
        <v>85</v>
      </c>
      <c r="D30" s="69" t="s">
        <v>48</v>
      </c>
      <c r="E30" s="71">
        <v>0</v>
      </c>
      <c r="F30" s="69" t="s">
        <v>48</v>
      </c>
      <c r="G30" s="71">
        <v>0</v>
      </c>
      <c r="H30" s="70">
        <v>0</v>
      </c>
      <c r="I30" s="71">
        <v>0</v>
      </c>
      <c r="J30" s="67">
        <v>0</v>
      </c>
      <c r="K30" s="71">
        <v>0</v>
      </c>
      <c r="L30" s="67">
        <v>0</v>
      </c>
      <c r="M30" s="68">
        <v>2.396E-4</v>
      </c>
      <c r="N30" s="70">
        <v>0</v>
      </c>
      <c r="O30" s="71">
        <v>0</v>
      </c>
    </row>
    <row r="31" spans="1:15" s="58" customFormat="1" ht="13.5" thickBot="1" x14ac:dyDescent="0.25">
      <c r="A31" s="82"/>
      <c r="B31" s="75" t="s">
        <v>86</v>
      </c>
      <c r="C31" s="75" t="s">
        <v>87</v>
      </c>
      <c r="D31" s="69" t="s">
        <v>48</v>
      </c>
      <c r="E31" s="71">
        <v>0</v>
      </c>
      <c r="F31" s="69" t="s">
        <v>48</v>
      </c>
      <c r="G31" s="71">
        <v>0</v>
      </c>
      <c r="H31" s="70">
        <v>0</v>
      </c>
      <c r="I31" s="71">
        <v>0</v>
      </c>
      <c r="J31" s="69" t="s">
        <v>48</v>
      </c>
      <c r="K31" s="71">
        <v>0</v>
      </c>
      <c r="L31" s="69" t="s">
        <v>48</v>
      </c>
      <c r="M31" s="71">
        <v>0</v>
      </c>
      <c r="N31" s="70">
        <v>0</v>
      </c>
      <c r="O31" s="71">
        <v>0</v>
      </c>
    </row>
    <row r="32" spans="1:15" s="58" customFormat="1" ht="13.5" thickBot="1" x14ac:dyDescent="0.25">
      <c r="A32" s="82"/>
      <c r="B32" s="75" t="s">
        <v>88</v>
      </c>
      <c r="C32" s="75" t="s">
        <v>89</v>
      </c>
      <c r="D32" s="69" t="s">
        <v>48</v>
      </c>
      <c r="E32" s="71">
        <v>0</v>
      </c>
      <c r="F32" s="69" t="s">
        <v>48</v>
      </c>
      <c r="G32" s="71">
        <v>0</v>
      </c>
      <c r="H32" s="70">
        <v>0</v>
      </c>
      <c r="I32" s="71">
        <v>0</v>
      </c>
      <c r="J32" s="67">
        <v>0</v>
      </c>
      <c r="K32" s="71">
        <v>0</v>
      </c>
      <c r="L32" s="69" t="s">
        <v>48</v>
      </c>
      <c r="M32" s="71">
        <v>0</v>
      </c>
      <c r="N32" s="70">
        <v>0</v>
      </c>
      <c r="O32" s="71">
        <v>0</v>
      </c>
    </row>
    <row r="33" spans="1:15" s="58" customFormat="1" ht="13.5" thickBot="1" x14ac:dyDescent="0.25">
      <c r="A33" s="82"/>
      <c r="B33" s="75" t="s">
        <v>90</v>
      </c>
      <c r="C33" s="75" t="s">
        <v>91</v>
      </c>
      <c r="D33" s="74" t="s">
        <v>48</v>
      </c>
      <c r="E33" s="71">
        <v>0</v>
      </c>
      <c r="F33" s="74" t="s">
        <v>48</v>
      </c>
      <c r="G33" s="71">
        <v>0</v>
      </c>
      <c r="H33" s="70">
        <v>0</v>
      </c>
      <c r="I33" s="71">
        <v>0</v>
      </c>
      <c r="J33" s="72">
        <v>1</v>
      </c>
      <c r="K33" s="73">
        <v>0.14285709999999999</v>
      </c>
      <c r="L33" s="72">
        <v>1</v>
      </c>
      <c r="M33" s="73">
        <v>1.1198E-3</v>
      </c>
      <c r="N33" s="70">
        <v>0</v>
      </c>
      <c r="O33" s="71">
        <v>0</v>
      </c>
    </row>
    <row r="34" spans="1:15" s="58" customFormat="1" ht="13.5" thickBot="1" x14ac:dyDescent="0.25">
      <c r="A34" s="82"/>
      <c r="B34" s="75" t="s">
        <v>92</v>
      </c>
      <c r="C34" s="75" t="s">
        <v>93</v>
      </c>
      <c r="D34" s="74" t="s">
        <v>48</v>
      </c>
      <c r="E34" s="71">
        <v>0</v>
      </c>
      <c r="F34" s="74" t="s">
        <v>48</v>
      </c>
      <c r="G34" s="71">
        <v>0</v>
      </c>
      <c r="H34" s="70">
        <v>0</v>
      </c>
      <c r="I34" s="71">
        <v>0</v>
      </c>
      <c r="J34" s="74" t="s">
        <v>48</v>
      </c>
      <c r="K34" s="71">
        <v>0</v>
      </c>
      <c r="L34" s="72">
        <v>1</v>
      </c>
      <c r="M34" s="73">
        <v>1.1198E-3</v>
      </c>
      <c r="N34" s="70">
        <v>0</v>
      </c>
      <c r="O34" s="71">
        <v>0</v>
      </c>
    </row>
    <row r="35" spans="1:15" s="58" customFormat="1" ht="13.5" thickBot="1" x14ac:dyDescent="0.25">
      <c r="A35" s="82"/>
      <c r="B35" s="75" t="s">
        <v>94</v>
      </c>
      <c r="C35" s="75" t="s">
        <v>95</v>
      </c>
      <c r="D35" s="67">
        <v>0</v>
      </c>
      <c r="E35" s="71">
        <v>0</v>
      </c>
      <c r="F35" s="69" t="s">
        <v>48</v>
      </c>
      <c r="G35" s="71">
        <v>0</v>
      </c>
      <c r="H35" s="70">
        <v>0</v>
      </c>
      <c r="I35" s="71">
        <v>0</v>
      </c>
      <c r="J35" s="69" t="s">
        <v>48</v>
      </c>
      <c r="K35" s="71">
        <v>0</v>
      </c>
      <c r="L35" s="69" t="s">
        <v>48</v>
      </c>
      <c r="M35" s="71">
        <v>0</v>
      </c>
      <c r="N35" s="70">
        <v>0</v>
      </c>
      <c r="O35" s="71">
        <v>0</v>
      </c>
    </row>
    <row r="36" spans="1:15" s="58" customFormat="1" ht="13.5" thickBot="1" x14ac:dyDescent="0.25">
      <c r="A36" s="82"/>
      <c r="B36" s="75" t="s">
        <v>96</v>
      </c>
      <c r="C36" s="75" t="s">
        <v>97</v>
      </c>
      <c r="D36" s="74" t="s">
        <v>48</v>
      </c>
      <c r="E36" s="71">
        <v>0</v>
      </c>
      <c r="F36" s="74" t="s">
        <v>48</v>
      </c>
      <c r="G36" s="71">
        <v>0</v>
      </c>
      <c r="H36" s="70">
        <v>0</v>
      </c>
      <c r="I36" s="71">
        <v>0</v>
      </c>
      <c r="J36" s="74" t="s">
        <v>48</v>
      </c>
      <c r="K36" s="71">
        <v>0</v>
      </c>
      <c r="L36" s="72">
        <v>1</v>
      </c>
      <c r="M36" s="73">
        <v>1.1198E-3</v>
      </c>
      <c r="N36" s="70">
        <v>0</v>
      </c>
      <c r="O36" s="71">
        <v>0</v>
      </c>
    </row>
    <row r="37" spans="1:15" s="58" customFormat="1" ht="13.5" thickBot="1" x14ac:dyDescent="0.25">
      <c r="A37" s="82"/>
      <c r="B37" s="75" t="s">
        <v>98</v>
      </c>
      <c r="C37" s="75" t="s">
        <v>99</v>
      </c>
      <c r="D37" s="74" t="s">
        <v>48</v>
      </c>
      <c r="E37" s="71">
        <v>0</v>
      </c>
      <c r="F37" s="74" t="s">
        <v>48</v>
      </c>
      <c r="G37" s="71">
        <v>0</v>
      </c>
      <c r="H37" s="70">
        <v>1</v>
      </c>
      <c r="I37" s="71">
        <v>2.1299999999999999E-2</v>
      </c>
      <c r="J37" s="74" t="s">
        <v>48</v>
      </c>
      <c r="K37" s="71">
        <v>0</v>
      </c>
      <c r="L37" s="72">
        <v>21</v>
      </c>
      <c r="M37" s="73">
        <v>2.3516200000000001E-2</v>
      </c>
      <c r="N37" s="70">
        <v>4</v>
      </c>
      <c r="O37" s="71">
        <v>0.18179999999999999</v>
      </c>
    </row>
    <row r="38" spans="1:15" s="58" customFormat="1" ht="13.15" customHeight="1" thickBot="1" x14ac:dyDescent="0.25">
      <c r="A38" s="76"/>
      <c r="B38" s="77" t="s">
        <v>156</v>
      </c>
      <c r="C38" s="78" t="s">
        <v>155</v>
      </c>
      <c r="D38" s="69" t="s">
        <v>48</v>
      </c>
      <c r="E38" s="71">
        <v>0</v>
      </c>
      <c r="F38" s="69" t="s">
        <v>48</v>
      </c>
      <c r="G38" s="71">
        <v>0</v>
      </c>
      <c r="H38" s="70">
        <v>0</v>
      </c>
      <c r="I38" s="71">
        <v>0</v>
      </c>
      <c r="J38" s="69" t="s">
        <v>48</v>
      </c>
      <c r="K38" s="71">
        <v>0</v>
      </c>
      <c r="L38" s="69" t="s">
        <v>48</v>
      </c>
      <c r="M38" s="71">
        <v>0</v>
      </c>
      <c r="N38" s="70">
        <v>0</v>
      </c>
      <c r="O38" s="71">
        <v>0</v>
      </c>
    </row>
    <row r="39" spans="1:15" s="58" customFormat="1" ht="13.5" thickBot="1" x14ac:dyDescent="0.25">
      <c r="A39" s="79" t="s">
        <v>16</v>
      </c>
      <c r="B39" s="75" t="s">
        <v>100</v>
      </c>
      <c r="C39" s="75" t="s">
        <v>101</v>
      </c>
      <c r="D39" s="72">
        <v>3</v>
      </c>
      <c r="E39" s="73">
        <v>0.1875</v>
      </c>
      <c r="F39" s="72">
        <v>1</v>
      </c>
      <c r="G39" s="73">
        <v>1</v>
      </c>
      <c r="H39" s="70">
        <v>0</v>
      </c>
      <c r="I39" s="71">
        <v>0</v>
      </c>
      <c r="J39" s="74" t="s">
        <v>48</v>
      </c>
      <c r="K39" s="71">
        <v>0</v>
      </c>
      <c r="L39" s="72">
        <v>127</v>
      </c>
      <c r="M39" s="73">
        <v>0.14221719999999999</v>
      </c>
      <c r="N39" s="70">
        <v>1</v>
      </c>
      <c r="O39" s="71">
        <v>4.5499999999999999E-2</v>
      </c>
    </row>
    <row r="40" spans="1:15" s="58" customFormat="1" ht="13.5" thickBot="1" x14ac:dyDescent="0.25">
      <c r="A40" s="81" t="s">
        <v>17</v>
      </c>
      <c r="B40" s="75" t="s">
        <v>102</v>
      </c>
      <c r="C40" s="75" t="s">
        <v>103</v>
      </c>
      <c r="D40" s="74" t="s">
        <v>48</v>
      </c>
      <c r="E40" s="71">
        <v>0</v>
      </c>
      <c r="F40" s="74" t="s">
        <v>48</v>
      </c>
      <c r="G40" s="71">
        <v>0</v>
      </c>
      <c r="H40" s="70">
        <v>0</v>
      </c>
      <c r="I40" s="71">
        <v>0</v>
      </c>
      <c r="J40" s="74" t="s">
        <v>48</v>
      </c>
      <c r="K40" s="71">
        <v>0</v>
      </c>
      <c r="L40" s="74" t="s">
        <v>48</v>
      </c>
      <c r="M40" s="71">
        <v>0</v>
      </c>
      <c r="N40" s="70">
        <v>5</v>
      </c>
      <c r="O40" s="71">
        <v>0.2273</v>
      </c>
    </row>
    <row r="41" spans="1:15" s="58" customFormat="1" ht="13.5" thickBot="1" x14ac:dyDescent="0.25">
      <c r="A41" s="82"/>
      <c r="B41" s="75" t="s">
        <v>104</v>
      </c>
      <c r="C41" s="75" t="s">
        <v>105</v>
      </c>
      <c r="D41" s="67">
        <v>0</v>
      </c>
      <c r="E41" s="71">
        <v>0</v>
      </c>
      <c r="F41" s="69" t="s">
        <v>48</v>
      </c>
      <c r="G41" s="71">
        <v>0</v>
      </c>
      <c r="H41" s="70">
        <v>0</v>
      </c>
      <c r="I41" s="71">
        <v>0</v>
      </c>
      <c r="J41" s="67">
        <v>0</v>
      </c>
      <c r="K41" s="68">
        <v>3.0259999999999998E-4</v>
      </c>
      <c r="L41" s="67">
        <v>0</v>
      </c>
      <c r="M41" s="71">
        <v>0</v>
      </c>
      <c r="N41" s="70">
        <v>0</v>
      </c>
      <c r="O41" s="71">
        <v>0</v>
      </c>
    </row>
    <row r="42" spans="1:15" s="58" customFormat="1" ht="13.5" thickBot="1" x14ac:dyDescent="0.25">
      <c r="A42" s="83"/>
      <c r="B42" s="75" t="s">
        <v>106</v>
      </c>
      <c r="C42" s="75" t="s">
        <v>107</v>
      </c>
      <c r="D42" s="74" t="s">
        <v>48</v>
      </c>
      <c r="E42" s="71">
        <v>0</v>
      </c>
      <c r="F42" s="74" t="s">
        <v>48</v>
      </c>
      <c r="G42" s="71">
        <v>0</v>
      </c>
      <c r="H42" s="70">
        <v>0</v>
      </c>
      <c r="I42" s="71">
        <v>0</v>
      </c>
      <c r="J42" s="74" t="s">
        <v>48</v>
      </c>
      <c r="K42" s="71">
        <v>0</v>
      </c>
      <c r="L42" s="72">
        <v>24</v>
      </c>
      <c r="M42" s="73">
        <v>2.6875699999999999E-2</v>
      </c>
      <c r="N42" s="70">
        <v>0</v>
      </c>
      <c r="O42" s="71">
        <v>0</v>
      </c>
    </row>
    <row r="43" spans="1:15" s="58" customFormat="1" ht="13.5" thickBot="1" x14ac:dyDescent="0.25">
      <c r="A43" s="81" t="s">
        <v>18</v>
      </c>
      <c r="B43" s="75" t="s">
        <v>108</v>
      </c>
      <c r="C43" s="75" t="s">
        <v>109</v>
      </c>
      <c r="D43" s="69" t="s">
        <v>48</v>
      </c>
      <c r="E43" s="71">
        <v>0</v>
      </c>
      <c r="F43" s="69" t="s">
        <v>48</v>
      </c>
      <c r="G43" s="71">
        <v>0</v>
      </c>
      <c r="H43" s="70">
        <v>0</v>
      </c>
      <c r="I43" s="71">
        <v>0</v>
      </c>
      <c r="J43" s="69" t="s">
        <v>48</v>
      </c>
      <c r="K43" s="71">
        <v>0</v>
      </c>
      <c r="L43" s="69" t="s">
        <v>48</v>
      </c>
      <c r="M43" s="71">
        <v>0</v>
      </c>
      <c r="N43" s="70">
        <v>0</v>
      </c>
      <c r="O43" s="71">
        <v>0</v>
      </c>
    </row>
    <row r="44" spans="1:15" s="58" customFormat="1" ht="13.5" thickBot="1" x14ac:dyDescent="0.25">
      <c r="A44" s="82"/>
      <c r="B44" s="75" t="s">
        <v>110</v>
      </c>
      <c r="C44" s="75" t="s">
        <v>111</v>
      </c>
      <c r="D44" s="72">
        <v>1</v>
      </c>
      <c r="E44" s="73">
        <v>6.25E-2</v>
      </c>
      <c r="F44" s="74" t="s">
        <v>48</v>
      </c>
      <c r="G44" s="71">
        <v>0</v>
      </c>
      <c r="H44" s="70">
        <v>0</v>
      </c>
      <c r="I44" s="71">
        <v>0</v>
      </c>
      <c r="J44" s="74" t="s">
        <v>48</v>
      </c>
      <c r="K44" s="71">
        <v>0</v>
      </c>
      <c r="L44" s="72">
        <v>15</v>
      </c>
      <c r="M44" s="73">
        <v>1.6797300000000001E-2</v>
      </c>
      <c r="N44" s="70">
        <v>0</v>
      </c>
      <c r="O44" s="71">
        <v>0</v>
      </c>
    </row>
    <row r="45" spans="1:15" s="58" customFormat="1" ht="13.5" thickBot="1" x14ac:dyDescent="0.25">
      <c r="A45" s="82"/>
      <c r="B45" s="75" t="s">
        <v>112</v>
      </c>
      <c r="C45" s="75" t="s">
        <v>113</v>
      </c>
      <c r="D45" s="74" t="s">
        <v>48</v>
      </c>
      <c r="E45" s="71">
        <v>0</v>
      </c>
      <c r="F45" s="74" t="s">
        <v>48</v>
      </c>
      <c r="G45" s="71">
        <v>0</v>
      </c>
      <c r="H45" s="70">
        <v>0</v>
      </c>
      <c r="I45" s="71">
        <v>0</v>
      </c>
      <c r="J45" s="74" t="s">
        <v>48</v>
      </c>
      <c r="K45" s="71">
        <v>0</v>
      </c>
      <c r="L45" s="72">
        <v>2</v>
      </c>
      <c r="M45" s="73">
        <v>2.2396E-3</v>
      </c>
      <c r="N45" s="70">
        <v>0</v>
      </c>
      <c r="O45" s="71">
        <v>0</v>
      </c>
    </row>
    <row r="46" spans="1:15" s="58" customFormat="1" ht="13.5" thickBot="1" x14ac:dyDescent="0.25">
      <c r="A46" s="82"/>
      <c r="B46" s="75" t="s">
        <v>114</v>
      </c>
      <c r="C46" s="75" t="s">
        <v>115</v>
      </c>
      <c r="D46" s="69" t="s">
        <v>48</v>
      </c>
      <c r="E46" s="71">
        <v>0</v>
      </c>
      <c r="F46" s="69" t="s">
        <v>48</v>
      </c>
      <c r="G46" s="71">
        <v>0</v>
      </c>
      <c r="H46" s="70">
        <v>0</v>
      </c>
      <c r="I46" s="71">
        <v>0</v>
      </c>
      <c r="J46" s="69" t="s">
        <v>48</v>
      </c>
      <c r="K46" s="71">
        <v>0</v>
      </c>
      <c r="L46" s="69" t="s">
        <v>48</v>
      </c>
      <c r="M46" s="71">
        <v>0</v>
      </c>
      <c r="N46" s="70">
        <v>0</v>
      </c>
      <c r="O46" s="71">
        <v>0</v>
      </c>
    </row>
    <row r="47" spans="1:15" s="58" customFormat="1" ht="13.5" thickBot="1" x14ac:dyDescent="0.25">
      <c r="A47" s="82"/>
      <c r="B47" s="75" t="s">
        <v>142</v>
      </c>
      <c r="C47" s="75" t="s">
        <v>147</v>
      </c>
      <c r="D47" s="74" t="s">
        <v>48</v>
      </c>
      <c r="E47" s="71">
        <v>0</v>
      </c>
      <c r="F47" s="74" t="s">
        <v>48</v>
      </c>
      <c r="G47" s="71">
        <v>0</v>
      </c>
      <c r="H47" s="70">
        <v>0</v>
      </c>
      <c r="I47" s="71">
        <v>0</v>
      </c>
      <c r="J47" s="74" t="s">
        <v>48</v>
      </c>
      <c r="K47" s="71">
        <v>0</v>
      </c>
      <c r="L47" s="74" t="s">
        <v>48</v>
      </c>
      <c r="M47" s="71">
        <v>0</v>
      </c>
      <c r="N47" s="70">
        <v>0</v>
      </c>
      <c r="O47" s="71">
        <v>0</v>
      </c>
    </row>
    <row r="48" spans="1:15" s="58" customFormat="1" ht="13.5" thickBot="1" x14ac:dyDescent="0.25">
      <c r="A48" s="83"/>
      <c r="B48" s="75" t="s">
        <v>116</v>
      </c>
      <c r="C48" s="75" t="s">
        <v>117</v>
      </c>
      <c r="D48" s="74" t="s">
        <v>48</v>
      </c>
      <c r="E48" s="71">
        <v>0</v>
      </c>
      <c r="F48" s="74" t="s">
        <v>48</v>
      </c>
      <c r="G48" s="71">
        <v>0</v>
      </c>
      <c r="H48" s="70">
        <v>0</v>
      </c>
      <c r="I48" s="71">
        <v>0</v>
      </c>
      <c r="J48" s="74" t="s">
        <v>48</v>
      </c>
      <c r="K48" s="71">
        <v>0</v>
      </c>
      <c r="L48" s="72">
        <v>13</v>
      </c>
      <c r="M48" s="73">
        <v>1.45577E-2</v>
      </c>
      <c r="N48" s="70">
        <v>0</v>
      </c>
      <c r="O48" s="71">
        <v>0</v>
      </c>
    </row>
    <row r="49" spans="1:15" s="58" customFormat="1" ht="13.5" thickBot="1" x14ac:dyDescent="0.25">
      <c r="A49" s="81" t="s">
        <v>19</v>
      </c>
      <c r="B49" s="75" t="s">
        <v>118</v>
      </c>
      <c r="C49" s="75" t="s">
        <v>119</v>
      </c>
      <c r="D49" s="69" t="s">
        <v>48</v>
      </c>
      <c r="E49" s="71">
        <v>0</v>
      </c>
      <c r="F49" s="69" t="s">
        <v>48</v>
      </c>
      <c r="G49" s="71">
        <v>0</v>
      </c>
      <c r="H49" s="70">
        <v>0</v>
      </c>
      <c r="I49" s="71">
        <v>0</v>
      </c>
      <c r="J49" s="67">
        <v>0</v>
      </c>
      <c r="K49" s="68">
        <v>3.0259999999999998E-4</v>
      </c>
      <c r="L49" s="67">
        <v>0</v>
      </c>
      <c r="M49" s="68">
        <v>3.4860000000000002E-4</v>
      </c>
      <c r="N49" s="70">
        <v>0</v>
      </c>
      <c r="O49" s="71">
        <v>0</v>
      </c>
    </row>
    <row r="50" spans="1:15" s="58" customFormat="1" ht="13.5" thickBot="1" x14ac:dyDescent="0.25">
      <c r="A50" s="82"/>
      <c r="B50" s="75" t="s">
        <v>120</v>
      </c>
      <c r="C50" s="75" t="s">
        <v>19</v>
      </c>
      <c r="D50" s="74" t="s">
        <v>48</v>
      </c>
      <c r="E50" s="71">
        <v>0</v>
      </c>
      <c r="F50" s="74" t="s">
        <v>48</v>
      </c>
      <c r="G50" s="71">
        <v>0</v>
      </c>
      <c r="H50" s="70">
        <v>0</v>
      </c>
      <c r="I50" s="71">
        <v>0</v>
      </c>
      <c r="J50" s="74" t="s">
        <v>48</v>
      </c>
      <c r="K50" s="71">
        <v>0</v>
      </c>
      <c r="L50" s="72">
        <v>10</v>
      </c>
      <c r="M50" s="73">
        <v>1.11982E-2</v>
      </c>
      <c r="N50" s="70">
        <v>0</v>
      </c>
      <c r="O50" s="71">
        <v>0</v>
      </c>
    </row>
    <row r="51" spans="1:15" s="58" customFormat="1" ht="13.5" thickBot="1" x14ac:dyDescent="0.25">
      <c r="A51" s="82"/>
      <c r="B51" s="75" t="s">
        <v>121</v>
      </c>
      <c r="C51" s="75" t="s">
        <v>122</v>
      </c>
      <c r="D51" s="74" t="s">
        <v>48</v>
      </c>
      <c r="E51" s="71">
        <v>0</v>
      </c>
      <c r="F51" s="74" t="s">
        <v>48</v>
      </c>
      <c r="G51" s="71">
        <v>0</v>
      </c>
      <c r="H51" s="70">
        <v>0</v>
      </c>
      <c r="I51" s="71">
        <v>0</v>
      </c>
      <c r="J51" s="74" t="s">
        <v>48</v>
      </c>
      <c r="K51" s="71">
        <v>0</v>
      </c>
      <c r="L51" s="72">
        <v>2</v>
      </c>
      <c r="M51" s="73">
        <v>2.2396E-3</v>
      </c>
      <c r="N51" s="70">
        <v>0</v>
      </c>
      <c r="O51" s="71">
        <v>0</v>
      </c>
    </row>
    <row r="52" spans="1:15" s="58" customFormat="1" ht="13.5" thickBot="1" x14ac:dyDescent="0.25">
      <c r="A52" s="83"/>
      <c r="B52" s="75" t="s">
        <v>143</v>
      </c>
      <c r="C52" s="75" t="s">
        <v>148</v>
      </c>
      <c r="D52" s="69" t="s">
        <v>48</v>
      </c>
      <c r="E52" s="71">
        <v>0</v>
      </c>
      <c r="F52" s="69" t="s">
        <v>48</v>
      </c>
      <c r="G52" s="71">
        <v>0</v>
      </c>
      <c r="H52" s="70">
        <v>0</v>
      </c>
      <c r="I52" s="71">
        <v>0</v>
      </c>
      <c r="J52" s="69" t="s">
        <v>48</v>
      </c>
      <c r="K52" s="71">
        <v>0</v>
      </c>
      <c r="L52" s="67">
        <v>0</v>
      </c>
      <c r="M52" s="68">
        <v>6.5400000000000004E-5</v>
      </c>
      <c r="N52" s="70">
        <v>0</v>
      </c>
      <c r="O52" s="71">
        <v>0</v>
      </c>
    </row>
    <row r="53" spans="1:15" ht="13.5" thickBot="1" x14ac:dyDescent="0.25">
      <c r="A53" s="81" t="s">
        <v>141</v>
      </c>
      <c r="B53" s="75" t="s">
        <v>144</v>
      </c>
      <c r="C53" s="75" t="s">
        <v>149</v>
      </c>
      <c r="D53" s="63" t="s">
        <v>48</v>
      </c>
      <c r="E53" s="66">
        <v>0</v>
      </c>
      <c r="F53" s="63" t="s">
        <v>48</v>
      </c>
      <c r="G53" s="66">
        <v>0</v>
      </c>
      <c r="H53" s="52">
        <v>0</v>
      </c>
      <c r="I53" s="66">
        <v>0</v>
      </c>
      <c r="J53" s="63" t="s">
        <v>48</v>
      </c>
      <c r="K53" s="66">
        <v>0</v>
      </c>
      <c r="L53" s="63" t="s">
        <v>48</v>
      </c>
      <c r="M53" s="66">
        <v>0</v>
      </c>
      <c r="N53" s="52">
        <v>0</v>
      </c>
      <c r="O53" s="66">
        <v>0</v>
      </c>
    </row>
    <row r="54" spans="1:15" ht="13.5" thickBot="1" x14ac:dyDescent="0.25">
      <c r="A54" s="82"/>
      <c r="B54" s="75" t="s">
        <v>145</v>
      </c>
      <c r="C54" s="75" t="s">
        <v>150</v>
      </c>
      <c r="D54" s="63" t="s">
        <v>48</v>
      </c>
      <c r="E54" s="66">
        <v>0</v>
      </c>
      <c r="F54" s="63" t="s">
        <v>48</v>
      </c>
      <c r="G54" s="66">
        <v>0</v>
      </c>
      <c r="H54" s="52">
        <v>1</v>
      </c>
      <c r="I54" s="66">
        <v>2.1299999999999999E-2</v>
      </c>
      <c r="J54" s="63" t="s">
        <v>48</v>
      </c>
      <c r="K54" s="66">
        <v>0</v>
      </c>
      <c r="L54" s="63" t="s">
        <v>48</v>
      </c>
      <c r="M54" s="66">
        <v>0</v>
      </c>
      <c r="N54" s="52">
        <v>0</v>
      </c>
      <c r="O54" s="66">
        <v>0</v>
      </c>
    </row>
    <row r="55" spans="1:15" ht="13.5" thickBot="1" x14ac:dyDescent="0.25">
      <c r="A55" s="83"/>
      <c r="B55" s="75" t="s">
        <v>146</v>
      </c>
      <c r="C55" s="75" t="s">
        <v>151</v>
      </c>
      <c r="D55" s="63" t="s">
        <v>48</v>
      </c>
      <c r="E55" s="66">
        <v>0</v>
      </c>
      <c r="F55" s="63" t="s">
        <v>48</v>
      </c>
      <c r="G55" s="66">
        <v>0</v>
      </c>
      <c r="H55" s="52">
        <v>0</v>
      </c>
      <c r="I55" s="66">
        <v>0</v>
      </c>
      <c r="J55" s="63" t="s">
        <v>48</v>
      </c>
      <c r="K55" s="66">
        <v>0</v>
      </c>
      <c r="L55" s="63" t="s">
        <v>48</v>
      </c>
      <c r="M55" s="66">
        <v>0</v>
      </c>
      <c r="N55" s="52">
        <v>0</v>
      </c>
      <c r="O55" s="66">
        <v>0</v>
      </c>
    </row>
    <row r="57" spans="1:15" x14ac:dyDescent="0.2">
      <c r="A57" s="3" t="s">
        <v>49</v>
      </c>
    </row>
    <row r="58" spans="1:15" x14ac:dyDescent="0.2">
      <c r="A58" s="3" t="s">
        <v>123</v>
      </c>
    </row>
    <row r="59" spans="1:15" x14ac:dyDescent="0.2">
      <c r="A59" s="3" t="s">
        <v>161</v>
      </c>
      <c r="E59" s="58"/>
      <c r="F59" s="58"/>
    </row>
  </sheetData>
  <mergeCells count="6">
    <mergeCell ref="A53:A55"/>
    <mergeCell ref="A16:A24"/>
    <mergeCell ref="A25:A37"/>
    <mergeCell ref="A40:A42"/>
    <mergeCell ref="A43:A48"/>
    <mergeCell ref="A49:A52"/>
  </mergeCells>
  <pageMargins left="0.7" right="0.7" top="0.75" bottom="0.75" header="0.3" footer="0.3"/>
  <pageSetup scale="86" fitToHeight="0" orientation="landscape" r:id="rId1"/>
  <headerFooter>
    <oddHeader>&amp;C&amp;"Verdana,Bold"FY 22-23 Interest List Closures</oddHead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FA9F6B875C941B0D7998B3F6FF5DD" ma:contentTypeVersion="9" ma:contentTypeDescription="Create a new document." ma:contentTypeScope="" ma:versionID="6bc0d043fcec42670f106e9dd94faedb">
  <xsd:schema xmlns:xsd="http://www.w3.org/2001/XMLSchema" xmlns:xs="http://www.w3.org/2001/XMLSchema" xmlns:p="http://schemas.microsoft.com/office/2006/metadata/properties" xmlns:ns2="b6d8ffac-0972-40c3-9b20-9449b1d9cea9" targetNamespace="http://schemas.microsoft.com/office/2006/metadata/properties" ma:root="true" ma:fieldsID="4f4bad242df9e5c14027458124506e3e" ns2:_="">
    <xsd:import namespace="b6d8ffac-0972-40c3-9b20-9449b1d9c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8ffac-0972-40c3-9b20-9449b1d9c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568B0-3A62-4043-93FE-BE6EE94EC1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DC709E-ED3E-4984-A493-E704D63E7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8ffac-0972-40c3-9b20-9449b1d9c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50EC6B-E640-416C-BC93-324CDE667F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Hood,Geoffrey (HHSC)</dc:creator>
  <cp:keywords/>
  <dc:description/>
  <cp:lastModifiedBy>McDonald,Ross (HHSC)</cp:lastModifiedBy>
  <cp:revision/>
  <cp:lastPrinted>2022-12-16T19:10:52Z</cp:lastPrinted>
  <dcterms:created xsi:type="dcterms:W3CDTF">2022-05-17T19:42:22Z</dcterms:created>
  <dcterms:modified xsi:type="dcterms:W3CDTF">2023-10-27T15:05:39Z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0x010100921FA9F6B875C941B0D7998B3F6FF5DD</vt:lpwstr>
  </property>
</Properties>
</file>