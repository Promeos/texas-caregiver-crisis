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00B0A49C-71D1-42A4-875D-BC9CAC0FE4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Details'!$A$25</definedName>
    <definedName name="TOC_14">'Closure Details'!$A$34</definedName>
    <definedName name="TOC_15">'Closure Details'!$A$35</definedName>
    <definedName name="TOC_16">'Closure Details'!$A$38</definedName>
    <definedName name="TOC_17">'Closure Details'!$A$42</definedName>
    <definedName name="TOC_18">'Closure Details'!$A$44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3" l="1"/>
  <c r="T21" i="3"/>
  <c r="T19" i="3"/>
  <c r="T17" i="3"/>
  <c r="T15" i="3"/>
</calcChain>
</file>

<file path=xl/sharedStrings.xml><?xml version="1.0" encoding="utf-8"?>
<sst xmlns="http://schemas.openxmlformats.org/spreadsheetml/2006/main" count="335" uniqueCount="156">
  <si>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</si>
  <si>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</si>
  <si>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26–27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December 31,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</si>
  <si>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</si>
  <si>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</si>
  <si>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</si>
  <si>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</si>
  <si>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</si>
  <si>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</si>
  <si>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</si>
  <si>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</si>
  <si>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</si>
  <si>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</si>
  <si>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</si>
  <si>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</si>
  <si>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</si>
  <si>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</si>
  <si>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</si>
  <si>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</si>
  <si>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</si>
  <si>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</si>
  <si>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</si>
  <si>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</si>
  <si>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</si>
  <si>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1/5/26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</si>
  <si>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</si>
  <si>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</si>
  <si>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</si>
  <si>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</si>
  <si>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</si>
  <si>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</si>
  <si>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</si>
  <si>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</si>
  <si>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2025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</si>
  <si>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</si>
  <si>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</si>
  <si>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</si>
  <si>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</si>
  <si>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</si>
  <si>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</si>
  <si>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2025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</si>
  <si>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</si>
  <si>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December 31, 2025</t>
    </r>
  </si>
  <si>
    <t>1. HCS and TxHmL counts for Released/Removed and Total Releases are derived from CSIL data (effective May 2022) and provided by Local Authority staff; previous source for data was CARE.</t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</si>
  <si>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2025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</si>
  <si>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</si>
  <si>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</si>
  <si>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196,635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</si>
  <si>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</si>
  <si>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</si>
  <si>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</si>
  <si>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</si>
  <si>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</si>
  <si>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</si>
  <si>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</si>
  <si>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</si>
  <si>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</si>
  <si>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</si>
  <si>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</si>
  <si>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</si>
  <si>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</si>
  <si>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</si>
  <si>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</si>
  <si>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</si>
  <si>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</si>
  <si>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</si>
  <si>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</si>
  <si>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</si>
  <si>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</si>
  <si>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</si>
  <si>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</si>
  <si>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</si>
  <si>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</si>
  <si>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</si>
  <si>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</si>
  <si>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</si>
  <si>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</si>
  <si>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</si>
  <si>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</si>
  <si>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</si>
  <si>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</si>
  <si>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</si>
  <si>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</si>
  <si>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</si>
  <si>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</si>
  <si>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</si>
  <si>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</si>
  <si>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</si>
  <si>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</si>
  <si>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</si>
  <si>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</si>
  <si>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</si>
  <si>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</si>
  <si>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</si>
  <si>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</si>
  <si>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</si>
  <si>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</si>
  <si>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</si>
  <si>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</si>
  <si>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</si>
  <si>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</si>
  <si>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</si>
  <si>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</si>
  <si>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</si>
  <si>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</si>
  <si>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</si>
  <si>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</si>
  <si>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</si>
  <si>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</si>
  <si>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</si>
  <si>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</si>
  <si>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</si>
  <si>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</si>
  <si>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</si>
  <si>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</si>
  <si>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</si>
  <si>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</si>
  <si>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</si>
  <si>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</si>
  <si>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</si>
  <si>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</si>
  <si>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</si>
  <si>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</si>
  <si>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</si>
  <si>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</si>
  <si>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</si>
  <si>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</si>
  <si>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</si>
  <si>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</si>
  <si>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</si>
  <si>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</si>
  <si>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</si>
  <si>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</si>
  <si>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</si>
  <si>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</si>
  <si>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534</t>
  </si>
  <si>
    <t>623</t>
  </si>
  <si>
    <t>Opened in Error</t>
  </si>
  <si>
    <t>658</t>
  </si>
  <si>
    <t>Needs met through SSLC</t>
  </si>
  <si>
    <t>659</t>
  </si>
  <si>
    <t>Needs met through ICF/IID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</si>
  <si>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</si>
  <si>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</si>
  <si>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</si>
  <si>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</si>
  <si>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</si>
  <si>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</si>
  <si>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</si>
  <si>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</si>
  <si>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</si>
  <si>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</si>
  <si>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</si>
  <si>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26–27 Interest List Closures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</si>
  <si>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</si>
  <si>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26–27 Interest List Closure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</si>
</sst>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8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4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5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4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3" fontId="13" fillId="5" borderId="23" xfId="0" applyNumberFormat="1" applyFont="1" applyFill="1" applyBorder="1" applyAlignment="1">
      <alignment horizontal="right"/>
    </xf>
    <xf numFmtId="3" fontId="0" fillId="5" borderId="20" xfId="0" applyNumberFormat="1" applyFill="1" applyBorder="1"/>
    <xf numFmtId="3" fontId="0" fillId="5" borderId="21" xfId="0" applyNumberFormat="1" applyFill="1" applyBorder="1"/>
    <xf numFmtId="3" fontId="0" fillId="5" borderId="22" xfId="0" applyNumberFormat="1" applyFill="1" applyBorder="1"/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3" borderId="24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5" fillId="3" borderId="13" xfId="0" applyFont="1" applyFill="1" applyBorder="1"/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3" borderId="24" xfId="0" applyFont="1" applyFill="1" applyBorder="1" applyAlignment="1">
      <alignment horizontal="left" vertical="top"/>
    </xf>
    <xf numFmtId="0" fontId="0" fillId="3" borderId="24" xfId="0" applyFill="1" applyBorder="1"/>
    <xf numFmtId="0" fontId="24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80" zoomScaleNormal="80" workbookViewId="0">
      <selection activeCell="A14" sqref="A14"/>
    </sheetView>
  </sheetViews>
  <sheetFormatPr defaultRowHeight="12.75" customHeight="1"/>
  <cols>
    <col min="1" max="1" width="120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8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90" zoomScaleNormal="90" workbookViewId="0">
      <selection activeCell="A47" sqref="A47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29"/>
      <c r="B1" s="29"/>
      <c r="C1" s="9" t="s">
        <v>3</v>
      </c>
    </row>
    <row r="2" spans="1:3" ht="12.5">
      <c r="A2" s="30"/>
      <c r="B2" s="30"/>
      <c r="C2" s="8"/>
    </row>
    <row r="3" spans="1:3" ht="12.5">
      <c r="A3" s="30"/>
      <c r="B3" s="30"/>
      <c r="C3" s="8"/>
    </row>
    <row r="4" spans="1:3" ht="12.5">
      <c r="A4" s="30"/>
      <c r="B4" s="30"/>
      <c r="C4" s="8"/>
    </row>
    <row r="5" spans="1:3" ht="12.5">
      <c r="A5" s="30"/>
      <c r="B5" s="30"/>
      <c r="C5" s="8"/>
    </row>
    <row r="6" spans="1:3" ht="12.5">
      <c r="A6" s="30"/>
      <c r="B6" s="30"/>
      <c r="C6" s="8"/>
    </row>
    <row r="7" spans="1:3" ht="12.5">
      <c r="A7" s="30"/>
      <c r="B7" s="30"/>
      <c r="C7" s="8"/>
    </row>
    <row r="8" spans="1:3" ht="12.5">
      <c r="A8" s="30"/>
      <c r="B8" s="30"/>
      <c r="C8" s="8"/>
    </row>
    <row r="9" spans="1:3" ht="12.5">
      <c r="A9" s="30"/>
      <c r="B9" s="30"/>
      <c r="C9" s="8"/>
    </row>
    <row r="10" spans="1:3" ht="12.5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H3" sqref="H3"/>
    </sheetView>
  </sheetViews>
  <sheetFormatPr defaultRowHeight="12.75" customHeight="1"/>
  <cols>
    <col min="1" max="4" width="12.453125" bestFit="1" customWidth="1"/>
    <col min="5" max="7" width="10.1796875" bestFit="1" customWidth="1"/>
    <col min="8" max="11" width="5.7265625" customWidth="1"/>
    <col min="12" max="13" width="5.7265625" bestFit="1" customWidth="1"/>
    <col min="14" max="17" width="5.7265625" customWidth="1"/>
    <col min="18" max="19" width="5.7265625" bestFit="1" customWidth="1"/>
    <col min="20" max="21" width="5.7265625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">
      <c r="H12" s="62" t="s">
        <v>26</v>
      </c>
      <c r="I12" s="63"/>
      <c r="J12" s="62" t="s">
        <v>27</v>
      </c>
      <c r="K12" s="63"/>
      <c r="L12" s="64" t="s">
        <v>28</v>
      </c>
      <c r="M12" s="63"/>
      <c r="N12" s="62" t="s">
        <v>29</v>
      </c>
      <c r="O12" s="63"/>
      <c r="P12" s="62" t="s">
        <v>30</v>
      </c>
      <c r="Q12" s="63"/>
      <c r="R12" s="64" t="s">
        <v>31</v>
      </c>
      <c r="S12" s="63"/>
      <c r="T12" s="65" t="s">
        <v>32</v>
      </c>
      <c r="U12" s="66"/>
    </row>
    <row r="13" spans="1:21" ht="12.5">
      <c r="A13" s="57" t="s">
        <v>7</v>
      </c>
      <c r="B13" s="58"/>
      <c r="C13" s="58"/>
      <c r="D13" s="59"/>
      <c r="E13" s="60" t="s">
        <v>33</v>
      </c>
      <c r="F13" s="58"/>
      <c r="G13" s="59"/>
      <c r="H13" s="36">
        <v>96209</v>
      </c>
      <c r="I13" s="37"/>
      <c r="J13" s="36">
        <v>2324</v>
      </c>
      <c r="K13" s="37"/>
      <c r="L13" s="36">
        <v>128100</v>
      </c>
      <c r="M13" s="37"/>
      <c r="N13" s="36">
        <v>7872</v>
      </c>
      <c r="O13" s="37"/>
      <c r="P13" s="36">
        <v>15686</v>
      </c>
      <c r="Q13" s="37"/>
      <c r="R13" s="36">
        <v>116543</v>
      </c>
      <c r="S13" s="37"/>
      <c r="T13" s="32">
        <v>366734</v>
      </c>
      <c r="U13" s="33"/>
    </row>
    <row r="14" spans="1:21" ht="13" thickBot="1">
      <c r="A14" s="43"/>
      <c r="B14" s="51"/>
      <c r="C14" s="51"/>
      <c r="D14" s="44"/>
      <c r="E14" s="43"/>
      <c r="F14" s="51"/>
      <c r="G14" s="44"/>
      <c r="H14" s="38"/>
      <c r="I14" s="39"/>
      <c r="J14" s="38"/>
      <c r="K14" s="39"/>
      <c r="L14" s="38"/>
      <c r="M14" s="39"/>
      <c r="N14" s="38"/>
      <c r="O14" s="39"/>
      <c r="P14" s="38"/>
      <c r="Q14" s="39"/>
      <c r="R14" s="38"/>
      <c r="S14" s="39"/>
      <c r="T14" s="34"/>
      <c r="U14" s="35"/>
    </row>
    <row r="15" spans="1:21" ht="13" thickBot="1">
      <c r="A15" s="55" t="s">
        <v>34</v>
      </c>
      <c r="B15" s="50"/>
      <c r="C15" s="50"/>
      <c r="D15" s="42"/>
      <c r="E15" s="52" t="s">
        <v>35</v>
      </c>
      <c r="F15" s="50"/>
      <c r="G15" s="42"/>
      <c r="H15" s="36">
        <v>79</v>
      </c>
      <c r="I15" s="37"/>
      <c r="J15" s="36">
        <v>21</v>
      </c>
      <c r="K15" s="37"/>
      <c r="L15" s="36">
        <v>297</v>
      </c>
      <c r="M15" s="37"/>
      <c r="N15" s="36">
        <v>167</v>
      </c>
      <c r="O15" s="37"/>
      <c r="P15" s="36">
        <v>435</v>
      </c>
      <c r="Q15" s="37"/>
      <c r="R15" s="36">
        <v>181</v>
      </c>
      <c r="S15" s="37"/>
      <c r="T15" s="32">
        <f>SUM(H15:S16)</f>
        <v>1180</v>
      </c>
      <c r="U15" s="33"/>
    </row>
    <row r="16" spans="1:21" ht="13" thickBot="1">
      <c r="A16" s="56"/>
      <c r="B16" s="50"/>
      <c r="C16" s="50"/>
      <c r="D16" s="42"/>
      <c r="E16" s="43"/>
      <c r="F16" s="51"/>
      <c r="G16" s="44"/>
      <c r="H16" s="38"/>
      <c r="I16" s="39"/>
      <c r="J16" s="38"/>
      <c r="K16" s="39"/>
      <c r="L16" s="38"/>
      <c r="M16" s="39"/>
      <c r="N16" s="38"/>
      <c r="O16" s="39"/>
      <c r="P16" s="38"/>
      <c r="Q16" s="39"/>
      <c r="R16" s="38"/>
      <c r="S16" s="39"/>
      <c r="T16" s="34"/>
      <c r="U16" s="35"/>
    </row>
    <row r="17" spans="1:21" ht="13" thickBot="1">
      <c r="A17" s="56"/>
      <c r="B17" s="50"/>
      <c r="C17" s="50"/>
      <c r="D17" s="42"/>
      <c r="E17" s="52" t="s">
        <v>36</v>
      </c>
      <c r="F17" s="50"/>
      <c r="G17" s="42"/>
      <c r="H17" s="36">
        <v>995</v>
      </c>
      <c r="I17" s="37"/>
      <c r="J17" s="36">
        <v>26</v>
      </c>
      <c r="K17" s="37"/>
      <c r="L17" s="36">
        <v>177</v>
      </c>
      <c r="M17" s="37"/>
      <c r="N17" s="36">
        <v>826</v>
      </c>
      <c r="O17" s="37"/>
      <c r="P17" s="36">
        <v>3707</v>
      </c>
      <c r="Q17" s="37"/>
      <c r="R17" s="36">
        <v>442</v>
      </c>
      <c r="S17" s="37"/>
      <c r="T17" s="32">
        <f>SUM(H17:S18)</f>
        <v>6173</v>
      </c>
      <c r="U17" s="33"/>
    </row>
    <row r="18" spans="1:21" ht="13" thickBot="1">
      <c r="A18" s="56"/>
      <c r="B18" s="50"/>
      <c r="C18" s="50"/>
      <c r="D18" s="42"/>
      <c r="E18" s="43"/>
      <c r="F18" s="51"/>
      <c r="G18" s="44"/>
      <c r="H18" s="38"/>
      <c r="I18" s="39"/>
      <c r="J18" s="38"/>
      <c r="K18" s="39"/>
      <c r="L18" s="38"/>
      <c r="M18" s="39"/>
      <c r="N18" s="38"/>
      <c r="O18" s="39"/>
      <c r="P18" s="38"/>
      <c r="Q18" s="39"/>
      <c r="R18" s="38"/>
      <c r="S18" s="39"/>
      <c r="T18" s="34"/>
      <c r="U18" s="35"/>
    </row>
    <row r="19" spans="1:21" ht="13" thickBot="1">
      <c r="A19" s="56"/>
      <c r="B19" s="50"/>
      <c r="C19" s="50"/>
      <c r="D19" s="42"/>
      <c r="E19" s="53" t="s">
        <v>37</v>
      </c>
      <c r="F19" s="50"/>
      <c r="G19" s="42"/>
      <c r="H19" s="36">
        <v>1477</v>
      </c>
      <c r="I19" s="37"/>
      <c r="J19" s="36">
        <v>157</v>
      </c>
      <c r="K19" s="37"/>
      <c r="L19" s="36">
        <v>299</v>
      </c>
      <c r="M19" s="37"/>
      <c r="N19" s="36">
        <v>1065</v>
      </c>
      <c r="O19" s="37"/>
      <c r="P19" s="36">
        <v>5562</v>
      </c>
      <c r="Q19" s="37"/>
      <c r="R19" s="36">
        <v>1785</v>
      </c>
      <c r="S19" s="37"/>
      <c r="T19" s="32">
        <f>SUM(H19:S20)</f>
        <v>10345</v>
      </c>
      <c r="U19" s="33"/>
    </row>
    <row r="20" spans="1:21" ht="13" thickBot="1">
      <c r="A20" s="56"/>
      <c r="B20" s="50"/>
      <c r="C20" s="50"/>
      <c r="D20" s="42"/>
      <c r="E20" s="43"/>
      <c r="F20" s="51"/>
      <c r="G20" s="44"/>
      <c r="H20" s="38"/>
      <c r="I20" s="39"/>
      <c r="J20" s="38"/>
      <c r="K20" s="39"/>
      <c r="L20" s="38"/>
      <c r="M20" s="39"/>
      <c r="N20" s="38"/>
      <c r="O20" s="39"/>
      <c r="P20" s="38"/>
      <c r="Q20" s="39"/>
      <c r="R20" s="38"/>
      <c r="S20" s="39"/>
      <c r="T20" s="34"/>
      <c r="U20" s="35"/>
    </row>
    <row r="21" spans="1:21" ht="13" thickBot="1">
      <c r="A21" s="56"/>
      <c r="B21" s="50"/>
      <c r="C21" s="50"/>
      <c r="D21" s="42"/>
      <c r="E21" s="53" t="s">
        <v>23</v>
      </c>
      <c r="F21" s="50"/>
      <c r="G21" s="42"/>
      <c r="H21" s="36">
        <v>1</v>
      </c>
      <c r="I21" s="37"/>
      <c r="J21" s="40" t="s">
        <v>38</v>
      </c>
      <c r="K21" s="37"/>
      <c r="L21" s="40">
        <v>14</v>
      </c>
      <c r="M21" s="37"/>
      <c r="N21" s="36">
        <v>3</v>
      </c>
      <c r="O21" s="37"/>
      <c r="P21" s="36">
        <v>1</v>
      </c>
      <c r="Q21" s="37"/>
      <c r="R21" s="40">
        <v>34</v>
      </c>
      <c r="S21" s="37"/>
      <c r="T21" s="32">
        <f>SUM(H21:S22)</f>
        <v>53</v>
      </c>
      <c r="U21" s="33"/>
    </row>
    <row r="22" spans="1:21" ht="13" thickBot="1">
      <c r="A22" s="43"/>
      <c r="B22" s="51"/>
      <c r="C22" s="51"/>
      <c r="D22" s="44"/>
      <c r="E22" s="43"/>
      <c r="F22" s="51"/>
      <c r="G22" s="44"/>
      <c r="H22" s="38"/>
      <c r="I22" s="39"/>
      <c r="J22" s="38"/>
      <c r="K22" s="39"/>
      <c r="L22" s="38"/>
      <c r="M22" s="39"/>
      <c r="N22" s="38"/>
      <c r="O22" s="39"/>
      <c r="P22" s="38"/>
      <c r="Q22" s="39"/>
      <c r="R22" s="38"/>
      <c r="S22" s="39"/>
      <c r="T22" s="34"/>
      <c r="U22" s="35"/>
    </row>
    <row r="23" spans="1:21" ht="13" thickBot="1">
      <c r="A23" s="54" t="s">
        <v>39</v>
      </c>
      <c r="B23" s="50"/>
      <c r="C23" s="50"/>
      <c r="D23" s="42"/>
      <c r="E23" s="54" t="s">
        <v>40</v>
      </c>
      <c r="F23" s="50"/>
      <c r="G23" s="42"/>
      <c r="H23" s="41">
        <v>2556</v>
      </c>
      <c r="I23" s="42"/>
      <c r="J23" s="41">
        <v>205</v>
      </c>
      <c r="K23" s="42"/>
      <c r="L23" s="41">
        <v>284</v>
      </c>
      <c r="M23" s="42"/>
      <c r="N23" s="41">
        <v>2078</v>
      </c>
      <c r="O23" s="42"/>
      <c r="P23" s="41">
        <v>9724</v>
      </c>
      <c r="Q23" s="42"/>
      <c r="R23" s="41">
        <v>2000</v>
      </c>
      <c r="S23" s="42"/>
      <c r="T23" s="32">
        <f>SUM(H23:S24)</f>
        <v>16847</v>
      </c>
      <c r="U23" s="33"/>
    </row>
    <row r="24" spans="1:21" ht="13" thickBot="1">
      <c r="A24" s="43"/>
      <c r="B24" s="51"/>
      <c r="C24" s="51"/>
      <c r="D24" s="44"/>
      <c r="E24" s="43"/>
      <c r="F24" s="51"/>
      <c r="G24" s="44"/>
      <c r="H24" s="43"/>
      <c r="I24" s="44"/>
      <c r="J24" s="43"/>
      <c r="K24" s="44"/>
      <c r="L24" s="43"/>
      <c r="M24" s="44"/>
      <c r="N24" s="43"/>
      <c r="O24" s="44"/>
      <c r="P24" s="43"/>
      <c r="Q24" s="44"/>
      <c r="R24" s="43"/>
      <c r="S24" s="44"/>
      <c r="T24" s="34"/>
      <c r="U24" s="35"/>
    </row>
    <row r="25" spans="1:21" ht="13" thickBot="1">
      <c r="A25" s="49" t="s">
        <v>10</v>
      </c>
      <c r="B25" s="50"/>
      <c r="C25" s="50"/>
      <c r="D25" s="42"/>
      <c r="E25" s="53" t="s">
        <v>41</v>
      </c>
      <c r="F25" s="50"/>
      <c r="G25" s="42"/>
      <c r="H25" s="36">
        <v>2494</v>
      </c>
      <c r="I25" s="37"/>
      <c r="J25" s="36">
        <v>131</v>
      </c>
      <c r="K25" s="37"/>
      <c r="L25" s="36">
        <v>2613</v>
      </c>
      <c r="M25" s="37"/>
      <c r="N25" s="36">
        <v>1240</v>
      </c>
      <c r="O25" s="37"/>
      <c r="P25" s="36">
        <v>9142</v>
      </c>
      <c r="Q25" s="37"/>
      <c r="R25" s="36">
        <v>2487</v>
      </c>
      <c r="S25" s="37"/>
      <c r="T25" s="32">
        <v>18107</v>
      </c>
      <c r="U25" s="33"/>
    </row>
    <row r="26" spans="1:21" ht="12.5">
      <c r="A26" s="43"/>
      <c r="B26" s="51"/>
      <c r="C26" s="51"/>
      <c r="D26" s="44"/>
      <c r="E26" s="43"/>
      <c r="F26" s="51"/>
      <c r="G26" s="44"/>
      <c r="H26" s="38"/>
      <c r="I26" s="39"/>
      <c r="J26" s="38"/>
      <c r="K26" s="39"/>
      <c r="L26" s="38"/>
      <c r="M26" s="39"/>
      <c r="N26" s="38"/>
      <c r="O26" s="39"/>
      <c r="P26" s="38"/>
      <c r="Q26" s="39"/>
      <c r="R26" s="38"/>
      <c r="S26" s="39"/>
      <c r="T26" s="34"/>
      <c r="U26" s="35"/>
    </row>
    <row r="27" spans="1:21" ht="12.5">
      <c r="A27" s="49" t="s">
        <v>11</v>
      </c>
      <c r="B27" s="50"/>
      <c r="C27" s="50"/>
      <c r="D27" s="42"/>
      <c r="E27" s="52" t="s">
        <v>42</v>
      </c>
      <c r="F27" s="50"/>
      <c r="G27" s="42"/>
      <c r="H27" s="36">
        <v>96447</v>
      </c>
      <c r="I27" s="37"/>
      <c r="J27" s="36">
        <v>2400</v>
      </c>
      <c r="K27" s="37"/>
      <c r="L27" s="36">
        <v>130279</v>
      </c>
      <c r="M27" s="37"/>
      <c r="N27" s="36">
        <v>6946</v>
      </c>
      <c r="O27" s="37"/>
      <c r="P27" s="36">
        <v>15850</v>
      </c>
      <c r="Q27" s="37"/>
      <c r="R27" s="36">
        <v>117178</v>
      </c>
      <c r="S27" s="37"/>
      <c r="T27" s="32">
        <v>369100</v>
      </c>
      <c r="U27" s="33"/>
    </row>
    <row r="28" spans="1:21" ht="12.5">
      <c r="A28" s="43"/>
      <c r="B28" s="51"/>
      <c r="C28" s="51"/>
      <c r="D28" s="44"/>
      <c r="E28" s="43"/>
      <c r="F28" s="51"/>
      <c r="G28" s="44"/>
      <c r="H28" s="38"/>
      <c r="I28" s="39"/>
      <c r="J28" s="38"/>
      <c r="K28" s="39"/>
      <c r="L28" s="38"/>
      <c r="M28" s="39"/>
      <c r="N28" s="38"/>
      <c r="O28" s="39"/>
      <c r="P28" s="38"/>
      <c r="Q28" s="39"/>
      <c r="R28" s="38"/>
      <c r="S28" s="39"/>
      <c r="T28" s="34"/>
      <c r="U28" s="35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46" t="s">
        <v>43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1:21" ht="12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spans="1:21" ht="13">
      <c r="A32" s="47" t="s">
        <v>44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spans="1:21" ht="12.75" customHeight="1">
      <c r="A33" s="48" t="s">
        <v>45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 spans="1:21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ht="12.75" customHeight="1">
      <c r="A35" s="48" t="s">
        <v>46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 spans="1:21" ht="12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2.5">
      <c r="A38" s="45" t="s">
        <v>47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37:U37"/>
    <mergeCell ref="A38:U39"/>
    <mergeCell ref="A29:U29"/>
    <mergeCell ref="A30:U31"/>
    <mergeCell ref="A32:U32"/>
    <mergeCell ref="A33:U34"/>
    <mergeCell ref="A35:U36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T23:U24"/>
    <mergeCell ref="T21:U22"/>
    <mergeCell ref="T19:U20"/>
    <mergeCell ref="T17:U18"/>
    <mergeCell ref="T15:U16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I2" sqref="I2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48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49</v>
      </c>
      <c r="B12" s="62" t="s">
        <v>26</v>
      </c>
      <c r="C12" s="63"/>
      <c r="D12" s="62" t="s">
        <v>27</v>
      </c>
      <c r="E12" s="63"/>
      <c r="F12" s="62" t="s">
        <v>50</v>
      </c>
      <c r="G12" s="63"/>
      <c r="H12" s="62" t="s">
        <v>29</v>
      </c>
      <c r="I12" s="63"/>
      <c r="J12" s="62" t="s">
        <v>30</v>
      </c>
      <c r="K12" s="63"/>
      <c r="L12" s="62" t="s">
        <v>51</v>
      </c>
      <c r="M12" s="63"/>
    </row>
    <row r="13" spans="1:13" ht="12.5">
      <c r="A13" s="28"/>
      <c r="B13" s="13" t="s">
        <v>52</v>
      </c>
      <c r="C13" s="13" t="s">
        <v>53</v>
      </c>
      <c r="D13" s="13" t="s">
        <v>52</v>
      </c>
      <c r="E13" s="13" t="s">
        <v>53</v>
      </c>
      <c r="F13" s="13" t="s">
        <v>52</v>
      </c>
      <c r="G13" s="13" t="s">
        <v>53</v>
      </c>
      <c r="H13" s="13" t="s">
        <v>52</v>
      </c>
      <c r="I13" s="13" t="s">
        <v>53</v>
      </c>
      <c r="J13" s="13" t="s">
        <v>52</v>
      </c>
      <c r="K13" s="13" t="s">
        <v>53</v>
      </c>
      <c r="L13" s="13" t="s">
        <v>52</v>
      </c>
      <c r="M13" s="13" t="s">
        <v>53</v>
      </c>
    </row>
    <row r="14" spans="1:13" ht="13">
      <c r="A14" s="11" t="s">
        <v>54</v>
      </c>
      <c r="B14" s="16">
        <v>7574</v>
      </c>
      <c r="C14" s="17">
        <v>7.8530199999999994E-2</v>
      </c>
      <c r="D14" s="16">
        <v>633</v>
      </c>
      <c r="E14" s="17">
        <v>0.26374999999999998</v>
      </c>
      <c r="F14" s="16">
        <v>8406</v>
      </c>
      <c r="G14" s="17">
        <v>6.45231E-2</v>
      </c>
      <c r="H14" s="16">
        <v>3583</v>
      </c>
      <c r="I14" s="17">
        <v>0.51583650000000003</v>
      </c>
      <c r="J14" s="16">
        <v>15844</v>
      </c>
      <c r="K14" s="17">
        <v>0.99962150000000005</v>
      </c>
      <c r="L14" s="16">
        <v>8256</v>
      </c>
      <c r="M14" s="17">
        <v>7.0456900000000003E-2</v>
      </c>
    </row>
    <row r="15" spans="1:13" ht="13">
      <c r="A15" s="12" t="s">
        <v>55</v>
      </c>
      <c r="B15" s="16">
        <v>6813</v>
      </c>
      <c r="C15" s="17">
        <v>7.0639800000000003E-2</v>
      </c>
      <c r="D15" s="16">
        <v>649</v>
      </c>
      <c r="E15" s="17">
        <v>0.27041670000000001</v>
      </c>
      <c r="F15" s="16">
        <v>8586</v>
      </c>
      <c r="G15" s="17">
        <v>6.5904699999999997E-2</v>
      </c>
      <c r="H15" s="16">
        <v>3361</v>
      </c>
      <c r="I15" s="17">
        <v>0.48387560000000002</v>
      </c>
      <c r="J15" s="16">
        <v>6</v>
      </c>
      <c r="K15" s="17">
        <v>3.7849999999999998E-4</v>
      </c>
      <c r="L15" s="16">
        <v>8532</v>
      </c>
      <c r="M15" s="17">
        <v>7.2812299999999996E-2</v>
      </c>
    </row>
    <row r="16" spans="1:13" ht="13">
      <c r="A16" s="12" t="s">
        <v>56</v>
      </c>
      <c r="B16" s="16">
        <v>5886</v>
      </c>
      <c r="C16" s="17">
        <v>6.1028300000000001E-2</v>
      </c>
      <c r="D16" s="16">
        <v>460</v>
      </c>
      <c r="E16" s="17">
        <v>0.1916667</v>
      </c>
      <c r="F16" s="16">
        <v>8053</v>
      </c>
      <c r="G16" s="17">
        <v>6.18135E-2</v>
      </c>
      <c r="H16" s="16">
        <v>1</v>
      </c>
      <c r="I16" s="17">
        <v>1.44E-4</v>
      </c>
      <c r="J16" s="15"/>
      <c r="K16" s="15"/>
      <c r="L16" s="16">
        <v>8073</v>
      </c>
      <c r="M16" s="17">
        <v>6.8895200000000004E-2</v>
      </c>
    </row>
    <row r="17" spans="1:13" ht="13">
      <c r="A17" s="12" t="s">
        <v>57</v>
      </c>
      <c r="B17" s="16">
        <v>5290</v>
      </c>
      <c r="C17" s="17">
        <v>5.4848800000000003E-2</v>
      </c>
      <c r="D17" s="16">
        <v>328</v>
      </c>
      <c r="E17" s="17">
        <v>0.1366667</v>
      </c>
      <c r="F17" s="16">
        <v>7282</v>
      </c>
      <c r="G17" s="17">
        <v>5.5895399999999998E-2</v>
      </c>
      <c r="H17" s="15"/>
      <c r="I17" s="15"/>
      <c r="J17" s="15"/>
      <c r="K17" s="15"/>
      <c r="L17" s="16">
        <v>7263</v>
      </c>
      <c r="M17" s="17">
        <v>6.1982599999999999E-2</v>
      </c>
    </row>
    <row r="18" spans="1:13" ht="13">
      <c r="A18" s="12" t="s">
        <v>58</v>
      </c>
      <c r="B18" s="16">
        <v>4771</v>
      </c>
      <c r="C18" s="17">
        <v>4.94676E-2</v>
      </c>
      <c r="D18" s="16">
        <v>230</v>
      </c>
      <c r="E18" s="17">
        <v>9.5833299999999996E-2</v>
      </c>
      <c r="F18" s="16">
        <v>6197</v>
      </c>
      <c r="G18" s="17">
        <v>4.7567100000000001E-2</v>
      </c>
      <c r="H18" s="15"/>
      <c r="I18" s="15"/>
      <c r="J18" s="15"/>
      <c r="K18" s="15"/>
      <c r="L18" s="16">
        <v>6223</v>
      </c>
      <c r="M18" s="17">
        <v>5.31072E-2</v>
      </c>
    </row>
    <row r="19" spans="1:13" ht="13">
      <c r="A19" s="12" t="s">
        <v>59</v>
      </c>
      <c r="B19" s="16">
        <v>4074</v>
      </c>
      <c r="C19" s="17">
        <v>4.2240800000000002E-2</v>
      </c>
      <c r="D19" s="16">
        <v>100</v>
      </c>
      <c r="E19" s="17">
        <v>4.1666700000000001E-2</v>
      </c>
      <c r="F19" s="16">
        <v>6297</v>
      </c>
      <c r="G19" s="17">
        <v>4.8334700000000001E-2</v>
      </c>
      <c r="H19" s="15"/>
      <c r="I19" s="15"/>
      <c r="J19" s="15"/>
      <c r="K19" s="15"/>
      <c r="L19" s="16">
        <v>6410</v>
      </c>
      <c r="M19" s="17">
        <v>5.4703099999999998E-2</v>
      </c>
    </row>
    <row r="20" spans="1:13" ht="13">
      <c r="A20" s="12" t="s">
        <v>60</v>
      </c>
      <c r="B20" s="16">
        <v>6128</v>
      </c>
      <c r="C20" s="17">
        <v>6.3537499999999997E-2</v>
      </c>
      <c r="D20" s="15"/>
      <c r="E20" s="15"/>
      <c r="F20" s="16">
        <v>8281</v>
      </c>
      <c r="G20" s="17">
        <v>6.3563599999999998E-2</v>
      </c>
      <c r="H20" s="15"/>
      <c r="I20" s="15"/>
      <c r="J20" s="15"/>
      <c r="K20" s="15"/>
      <c r="L20" s="16">
        <v>8465</v>
      </c>
      <c r="M20" s="17">
        <v>7.2240499999999999E-2</v>
      </c>
    </row>
    <row r="21" spans="1:13" ht="13">
      <c r="A21" s="12" t="s">
        <v>61</v>
      </c>
      <c r="B21" s="16">
        <v>5835</v>
      </c>
      <c r="C21" s="17">
        <v>6.0499499999999998E-2</v>
      </c>
      <c r="D21" s="15"/>
      <c r="E21" s="15"/>
      <c r="F21" s="16">
        <v>8078</v>
      </c>
      <c r="G21" s="17">
        <v>6.2005400000000002E-2</v>
      </c>
      <c r="H21" s="16">
        <v>1</v>
      </c>
      <c r="I21" s="17">
        <v>1.44E-4</v>
      </c>
      <c r="J21" s="15"/>
      <c r="K21" s="15"/>
      <c r="L21" s="16">
        <v>8280</v>
      </c>
      <c r="M21" s="17">
        <v>7.0661699999999994E-2</v>
      </c>
    </row>
    <row r="22" spans="1:13" ht="13">
      <c r="A22" s="12" t="s">
        <v>62</v>
      </c>
      <c r="B22" s="16">
        <v>6168</v>
      </c>
      <c r="C22" s="17">
        <v>6.3952200000000001E-2</v>
      </c>
      <c r="D22" s="15"/>
      <c r="E22" s="15"/>
      <c r="F22" s="16">
        <v>8222</v>
      </c>
      <c r="G22" s="17">
        <v>6.3110700000000006E-2</v>
      </c>
      <c r="H22" s="15"/>
      <c r="I22" s="15"/>
      <c r="J22" s="15"/>
      <c r="K22" s="15"/>
      <c r="L22" s="16">
        <v>8461</v>
      </c>
      <c r="M22" s="17">
        <v>7.2206400000000004E-2</v>
      </c>
    </row>
    <row r="23" spans="1:13" ht="13">
      <c r="A23" s="12" t="s">
        <v>63</v>
      </c>
      <c r="B23" s="16">
        <v>5567</v>
      </c>
      <c r="C23" s="17">
        <v>5.7720800000000003E-2</v>
      </c>
      <c r="D23" s="15"/>
      <c r="E23" s="15"/>
      <c r="F23" s="16">
        <v>8441</v>
      </c>
      <c r="G23" s="17">
        <v>6.4791699999999994E-2</v>
      </c>
      <c r="H23" s="15"/>
      <c r="I23" s="15"/>
      <c r="J23" s="15"/>
      <c r="K23" s="15"/>
      <c r="L23" s="16">
        <v>8656</v>
      </c>
      <c r="M23" s="17">
        <v>7.3870500000000006E-2</v>
      </c>
    </row>
    <row r="24" spans="1:13" ht="13">
      <c r="A24" s="12" t="s">
        <v>64</v>
      </c>
      <c r="B24" s="16">
        <v>5019</v>
      </c>
      <c r="C24" s="17">
        <v>5.2038899999999999E-2</v>
      </c>
      <c r="D24" s="15"/>
      <c r="E24" s="15"/>
      <c r="F24" s="16">
        <v>7405</v>
      </c>
      <c r="G24" s="17">
        <v>5.6839599999999997E-2</v>
      </c>
      <c r="H24" s="15"/>
      <c r="I24" s="15"/>
      <c r="J24" s="15"/>
      <c r="K24" s="15"/>
      <c r="L24" s="16">
        <v>7229</v>
      </c>
      <c r="M24" s="17">
        <v>6.1692499999999997E-2</v>
      </c>
    </row>
    <row r="25" spans="1:13" ht="13">
      <c r="A25" s="12" t="s">
        <v>65</v>
      </c>
      <c r="B25" s="16">
        <v>4604</v>
      </c>
      <c r="C25" s="17">
        <v>4.7736099999999997E-2</v>
      </c>
      <c r="D25" s="15"/>
      <c r="E25" s="15"/>
      <c r="F25" s="16">
        <v>6551</v>
      </c>
      <c r="G25" s="17">
        <v>5.02844E-2</v>
      </c>
      <c r="H25" s="15"/>
      <c r="I25" s="15"/>
      <c r="J25" s="15"/>
      <c r="K25" s="15"/>
      <c r="L25" s="16">
        <v>6598</v>
      </c>
      <c r="M25" s="17">
        <v>5.6307500000000003E-2</v>
      </c>
    </row>
    <row r="26" spans="1:13" ht="13">
      <c r="A26" s="12" t="s">
        <v>66</v>
      </c>
      <c r="B26" s="16">
        <v>4696</v>
      </c>
      <c r="C26" s="17">
        <v>4.8689999999999997E-2</v>
      </c>
      <c r="D26" s="15"/>
      <c r="E26" s="15"/>
      <c r="F26" s="16">
        <v>6618</v>
      </c>
      <c r="G26" s="17">
        <v>5.0798700000000002E-2</v>
      </c>
      <c r="H26" s="15"/>
      <c r="I26" s="15"/>
      <c r="J26" s="15"/>
      <c r="K26" s="15"/>
      <c r="L26" s="16">
        <v>6797</v>
      </c>
      <c r="M26" s="17">
        <v>5.8005800000000003E-2</v>
      </c>
    </row>
    <row r="27" spans="1:13" ht="13">
      <c r="A27" s="12" t="s">
        <v>67</v>
      </c>
      <c r="B27" s="16">
        <v>5107</v>
      </c>
      <c r="C27" s="17">
        <v>5.2951400000000003E-2</v>
      </c>
      <c r="D27" s="15"/>
      <c r="E27" s="15"/>
      <c r="F27" s="16">
        <v>7530</v>
      </c>
      <c r="G27" s="17">
        <v>5.7799000000000003E-2</v>
      </c>
      <c r="H27" s="15"/>
      <c r="I27" s="15"/>
      <c r="J27" s="15"/>
      <c r="K27" s="15"/>
      <c r="L27" s="16">
        <v>7608</v>
      </c>
      <c r="M27" s="17">
        <v>6.4926899999999996E-2</v>
      </c>
    </row>
    <row r="28" spans="1:13" ht="13">
      <c r="A28" s="12" t="s">
        <v>68</v>
      </c>
      <c r="B28" s="16">
        <v>5897</v>
      </c>
      <c r="C28" s="17">
        <v>6.11424E-2</v>
      </c>
      <c r="D28" s="15"/>
      <c r="E28" s="15"/>
      <c r="F28" s="16">
        <v>7409</v>
      </c>
      <c r="G28" s="17">
        <v>5.6870299999999999E-2</v>
      </c>
      <c r="H28" s="15"/>
      <c r="I28" s="15"/>
      <c r="J28" s="15"/>
      <c r="K28" s="15"/>
      <c r="L28" s="16">
        <v>7393</v>
      </c>
      <c r="M28" s="17">
        <v>6.3091999999999995E-2</v>
      </c>
    </row>
    <row r="29" spans="1:13" ht="13">
      <c r="A29" s="12" t="s">
        <v>69</v>
      </c>
      <c r="B29" s="16">
        <v>6670</v>
      </c>
      <c r="C29" s="17">
        <v>6.9157200000000002E-2</v>
      </c>
      <c r="D29" s="15"/>
      <c r="E29" s="15"/>
      <c r="F29" s="16">
        <v>7732</v>
      </c>
      <c r="G29" s="17">
        <v>5.9349499999999999E-2</v>
      </c>
      <c r="H29" s="15"/>
      <c r="I29" s="15"/>
      <c r="J29" s="15"/>
      <c r="K29" s="15"/>
      <c r="L29" s="16">
        <v>2934</v>
      </c>
      <c r="M29" s="17">
        <v>2.50388E-2</v>
      </c>
    </row>
    <row r="30" spans="1:13" ht="13">
      <c r="A30" s="12" t="s">
        <v>70</v>
      </c>
      <c r="B30" s="16">
        <v>5773</v>
      </c>
      <c r="C30" s="17">
        <v>5.9856699999999999E-2</v>
      </c>
      <c r="D30" s="15"/>
      <c r="E30" s="15"/>
      <c r="F30" s="16">
        <v>6826</v>
      </c>
      <c r="G30" s="17">
        <v>5.2395200000000003E-2</v>
      </c>
      <c r="H30" s="15"/>
      <c r="I30" s="15"/>
      <c r="J30" s="15"/>
      <c r="K30" s="15"/>
      <c r="L30" s="15"/>
      <c r="M30" s="15"/>
    </row>
    <row r="31" spans="1:13" ht="13">
      <c r="A31" s="12" t="s">
        <v>71</v>
      </c>
      <c r="B31" s="16">
        <v>575</v>
      </c>
      <c r="C31" s="17">
        <v>5.9617999999999997E-3</v>
      </c>
      <c r="D31" s="15"/>
      <c r="E31" s="15"/>
      <c r="F31" s="16">
        <v>2365</v>
      </c>
      <c r="G31" s="17">
        <v>1.8153300000000001E-2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96447</v>
      </c>
      <c r="C32" s="20">
        <v>1</v>
      </c>
      <c r="D32" s="19">
        <v>2400</v>
      </c>
      <c r="E32" s="20">
        <v>1.0000001000000001</v>
      </c>
      <c r="F32" s="19">
        <v>130279</v>
      </c>
      <c r="G32" s="20">
        <v>0.99999990000000005</v>
      </c>
      <c r="H32" s="19">
        <v>6946</v>
      </c>
      <c r="I32" s="20">
        <v>1.0000001000000001</v>
      </c>
      <c r="J32" s="19">
        <v>15850</v>
      </c>
      <c r="K32" s="20">
        <v>1</v>
      </c>
      <c r="L32" s="19">
        <v>117178</v>
      </c>
      <c r="M32" s="20">
        <v>0.99999990000000005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workbookViewId="0">
      <selection activeCell="R15" sqref="R15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153</v>
      </c>
      <c r="I1" s="6"/>
      <c r="J1" s="6"/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72</v>
      </c>
      <c r="B12" s="62" t="s">
        <v>26</v>
      </c>
      <c r="C12" s="63"/>
      <c r="D12" s="62" t="s">
        <v>27</v>
      </c>
      <c r="E12" s="63"/>
      <c r="F12" s="64" t="s">
        <v>73</v>
      </c>
      <c r="G12" s="63"/>
      <c r="H12" s="62" t="s">
        <v>29</v>
      </c>
      <c r="I12" s="63"/>
      <c r="J12" s="62" t="s">
        <v>30</v>
      </c>
      <c r="K12" s="63"/>
      <c r="L12" s="64" t="s">
        <v>74</v>
      </c>
      <c r="M12" s="63"/>
    </row>
    <row r="13" spans="1:13" ht="12.5">
      <c r="A13" s="28"/>
      <c r="B13" s="13" t="s">
        <v>75</v>
      </c>
      <c r="C13" s="13" t="s">
        <v>53</v>
      </c>
      <c r="D13" s="13" t="s">
        <v>75</v>
      </c>
      <c r="E13" s="13" t="s">
        <v>53</v>
      </c>
      <c r="F13" s="13" t="s">
        <v>75</v>
      </c>
      <c r="G13" s="13" t="s">
        <v>53</v>
      </c>
      <c r="H13" s="13" t="s">
        <v>75</v>
      </c>
      <c r="I13" s="13" t="s">
        <v>53</v>
      </c>
      <c r="J13" s="13" t="s">
        <v>75</v>
      </c>
      <c r="K13" s="13" t="s">
        <v>53</v>
      </c>
      <c r="L13" s="13" t="s">
        <v>75</v>
      </c>
      <c r="M13" s="13" t="s">
        <v>53</v>
      </c>
    </row>
    <row r="14" spans="1:13" ht="13">
      <c r="A14" s="11" t="s">
        <v>15</v>
      </c>
      <c r="B14" s="16">
        <v>79</v>
      </c>
      <c r="C14" s="17">
        <v>7.3556800000000006E-2</v>
      </c>
      <c r="D14" s="16">
        <v>21</v>
      </c>
      <c r="E14" s="17">
        <v>0.4468085</v>
      </c>
      <c r="F14" s="16">
        <v>297</v>
      </c>
      <c r="G14" s="17">
        <v>0.60860655737704916</v>
      </c>
      <c r="H14" s="16">
        <v>168</v>
      </c>
      <c r="I14" s="17">
        <v>0.16833670000000001</v>
      </c>
      <c r="J14" s="16">
        <v>489</v>
      </c>
      <c r="K14" s="17">
        <v>0.1164009</v>
      </c>
      <c r="L14" s="16">
        <v>181</v>
      </c>
      <c r="M14" s="17">
        <v>0.27549467275494671</v>
      </c>
    </row>
    <row r="15" spans="1:13" ht="13">
      <c r="A15" s="12" t="s">
        <v>16</v>
      </c>
      <c r="B15" s="16">
        <v>45</v>
      </c>
      <c r="C15" s="17">
        <v>4.1899400000000003E-2</v>
      </c>
      <c r="D15" s="21" t="s">
        <v>38</v>
      </c>
      <c r="E15" s="15"/>
      <c r="F15" s="16">
        <v>5</v>
      </c>
      <c r="G15" s="17">
        <v>1.0245901639344262E-2</v>
      </c>
      <c r="H15" s="16">
        <v>21</v>
      </c>
      <c r="I15" s="17">
        <v>2.1042100000000001E-2</v>
      </c>
      <c r="J15" s="16">
        <v>146</v>
      </c>
      <c r="K15" s="17">
        <v>3.4753600000000003E-2</v>
      </c>
      <c r="L15" s="16">
        <v>10</v>
      </c>
      <c r="M15" s="17">
        <v>1.5220700152207001E-2</v>
      </c>
    </row>
    <row r="16" spans="1:13" ht="13">
      <c r="A16" s="12" t="s">
        <v>17</v>
      </c>
      <c r="B16" s="16">
        <v>154</v>
      </c>
      <c r="C16" s="17">
        <v>0.14338919999999999</v>
      </c>
      <c r="D16" s="16">
        <v>6</v>
      </c>
      <c r="E16" s="17">
        <v>0.12765960000000001</v>
      </c>
      <c r="F16" s="16">
        <v>64</v>
      </c>
      <c r="G16" s="17">
        <v>0.13114754098360656</v>
      </c>
      <c r="H16" s="16">
        <v>162</v>
      </c>
      <c r="I16" s="17">
        <v>0.16232460000000001</v>
      </c>
      <c r="J16" s="16">
        <v>437</v>
      </c>
      <c r="K16" s="17">
        <v>0.1040229</v>
      </c>
      <c r="L16" s="16">
        <v>236</v>
      </c>
      <c r="M16" s="17">
        <v>0.35920852359208522</v>
      </c>
    </row>
    <row r="17" spans="1:13" ht="13">
      <c r="A17" s="12" t="s">
        <v>18</v>
      </c>
      <c r="B17" s="16">
        <v>44</v>
      </c>
      <c r="C17" s="17">
        <v>4.0968299999999999E-2</v>
      </c>
      <c r="D17" s="21" t="s">
        <v>38</v>
      </c>
      <c r="E17" s="15"/>
      <c r="F17" s="16">
        <v>44</v>
      </c>
      <c r="G17" s="17">
        <v>9.0163934426229511E-2</v>
      </c>
      <c r="H17" s="16">
        <v>122</v>
      </c>
      <c r="I17" s="17">
        <v>0.12224450000000001</v>
      </c>
      <c r="J17" s="16">
        <v>388</v>
      </c>
      <c r="K17" s="17">
        <v>9.2358999999999997E-2</v>
      </c>
      <c r="L17" s="16">
        <v>66</v>
      </c>
      <c r="M17" s="17">
        <v>0.1004566210045662</v>
      </c>
    </row>
    <row r="18" spans="1:13" ht="13">
      <c r="A18" s="12" t="s">
        <v>19</v>
      </c>
      <c r="B18" s="16">
        <v>637</v>
      </c>
      <c r="C18" s="17">
        <v>0.59310989999999997</v>
      </c>
      <c r="D18" s="16">
        <v>16</v>
      </c>
      <c r="E18" s="17">
        <v>0.34042549999999999</v>
      </c>
      <c r="F18" s="16">
        <v>31</v>
      </c>
      <c r="G18" s="17">
        <v>6.3524590163934427E-2</v>
      </c>
      <c r="H18" s="16">
        <v>306</v>
      </c>
      <c r="I18" s="17">
        <v>0.30661319999999997</v>
      </c>
      <c r="J18" s="16">
        <v>1803</v>
      </c>
      <c r="K18" s="17">
        <v>0.4291835</v>
      </c>
      <c r="L18" s="16">
        <v>54</v>
      </c>
      <c r="M18" s="17">
        <v>8.2191780821917804E-2</v>
      </c>
    </row>
    <row r="19" spans="1:13" ht="13">
      <c r="A19" s="12" t="s">
        <v>20</v>
      </c>
      <c r="B19" s="16">
        <v>19</v>
      </c>
      <c r="C19" s="17">
        <v>1.7690899999999999E-2</v>
      </c>
      <c r="D19" s="16">
        <v>2</v>
      </c>
      <c r="E19" s="17">
        <v>4.2553199999999999E-2</v>
      </c>
      <c r="F19" s="16">
        <v>33</v>
      </c>
      <c r="G19" s="17">
        <v>6.7622950819672137E-2</v>
      </c>
      <c r="H19" s="21" t="s">
        <v>38</v>
      </c>
      <c r="I19" s="15"/>
      <c r="J19" s="16">
        <v>24</v>
      </c>
      <c r="K19" s="17">
        <v>5.7128999999999999E-3</v>
      </c>
      <c r="L19" s="16">
        <v>76</v>
      </c>
      <c r="M19" s="17">
        <v>0.11567732115677321</v>
      </c>
    </row>
    <row r="20" spans="1:13" ht="13">
      <c r="A20" s="12" t="s">
        <v>21</v>
      </c>
      <c r="B20" s="16">
        <v>94</v>
      </c>
      <c r="C20" s="17">
        <v>8.7523299999999998E-2</v>
      </c>
      <c r="D20" s="16">
        <v>2</v>
      </c>
      <c r="E20" s="17">
        <v>4.2553199999999999E-2</v>
      </c>
      <c r="F20" s="16">
        <v>0</v>
      </c>
      <c r="G20" s="17">
        <v>0</v>
      </c>
      <c r="H20" s="16">
        <v>215</v>
      </c>
      <c r="I20" s="17">
        <v>0.21543090000000001</v>
      </c>
      <c r="J20" s="16">
        <v>898</v>
      </c>
      <c r="K20" s="17">
        <v>0.21375859999999999</v>
      </c>
      <c r="L20" s="16">
        <v>0</v>
      </c>
      <c r="M20" s="17">
        <v>0</v>
      </c>
    </row>
    <row r="21" spans="1:13" ht="13">
      <c r="A21" s="12" t="s">
        <v>22</v>
      </c>
      <c r="B21" s="16">
        <v>1</v>
      </c>
      <c r="C21" s="17">
        <v>9.3110000000000003E-4</v>
      </c>
      <c r="D21" s="21" t="s">
        <v>38</v>
      </c>
      <c r="E21" s="15"/>
      <c r="F21" s="16">
        <v>0</v>
      </c>
      <c r="G21" s="17">
        <v>0</v>
      </c>
      <c r="H21" s="16">
        <v>1</v>
      </c>
      <c r="I21" s="17">
        <v>1.0020000000000001E-3</v>
      </c>
      <c r="J21" s="16">
        <v>15</v>
      </c>
      <c r="K21" s="17">
        <v>3.5706000000000002E-3</v>
      </c>
      <c r="L21" s="16">
        <v>0</v>
      </c>
      <c r="M21" s="17">
        <v>0</v>
      </c>
    </row>
    <row r="22" spans="1:13" ht="13">
      <c r="A22" s="12" t="s">
        <v>23</v>
      </c>
      <c r="B22" s="16">
        <v>1</v>
      </c>
      <c r="C22" s="17">
        <v>9.3110000000000003E-4</v>
      </c>
      <c r="D22" s="21" t="s">
        <v>38</v>
      </c>
      <c r="E22" s="15"/>
      <c r="F22" s="16">
        <v>14</v>
      </c>
      <c r="G22" s="17">
        <v>2.8688524590163935E-2</v>
      </c>
      <c r="H22" s="16">
        <v>3</v>
      </c>
      <c r="I22" s="17">
        <v>3.006E-3</v>
      </c>
      <c r="J22" s="16">
        <v>1</v>
      </c>
      <c r="K22" s="17">
        <v>2.3800000000000001E-4</v>
      </c>
      <c r="L22" s="16">
        <v>34</v>
      </c>
      <c r="M22" s="17">
        <v>5.1750380517503802E-2</v>
      </c>
    </row>
    <row r="23" spans="1:13" ht="13">
      <c r="A23" s="18" t="s">
        <v>32</v>
      </c>
      <c r="B23" s="19">
        <v>1074</v>
      </c>
      <c r="C23" s="20">
        <v>1</v>
      </c>
      <c r="D23" s="19">
        <v>47</v>
      </c>
      <c r="E23" s="20">
        <v>1</v>
      </c>
      <c r="F23" s="19">
        <v>488</v>
      </c>
      <c r="G23" s="20">
        <v>1</v>
      </c>
      <c r="H23" s="19">
        <v>998</v>
      </c>
      <c r="I23" s="20">
        <v>1</v>
      </c>
      <c r="J23" s="19">
        <v>4201</v>
      </c>
      <c r="K23" s="20">
        <v>1</v>
      </c>
      <c r="L23" s="19">
        <v>657</v>
      </c>
      <c r="M23" s="20">
        <v>0.99999999999999989</v>
      </c>
    </row>
    <row r="24" spans="1:13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3">
      <c r="A25" s="68" t="s">
        <v>76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3">
      <c r="A26" s="69" t="s">
        <v>152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</sheetData>
  <mergeCells count="12">
    <mergeCell ref="A24:M24"/>
    <mergeCell ref="A25:M25"/>
    <mergeCell ref="A26:M26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4"/>
  <sheetViews>
    <sheetView zoomScaleNormal="100" workbookViewId="0">
      <selection sqref="A1:G10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18" width="8.1796875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155</v>
      </c>
      <c r="I1" s="6"/>
      <c r="J1" s="6"/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67" t="s">
        <v>77</v>
      </c>
      <c r="B12" s="28"/>
      <c r="C12" s="28"/>
      <c r="D12" s="28"/>
      <c r="E12" s="28"/>
      <c r="F12" s="28"/>
      <c r="G12" s="62" t="s">
        <v>26</v>
      </c>
      <c r="H12" s="63"/>
      <c r="I12" s="62" t="s">
        <v>27</v>
      </c>
      <c r="J12" s="63"/>
      <c r="K12" s="64" t="s">
        <v>78</v>
      </c>
      <c r="L12" s="63"/>
      <c r="M12" s="62" t="s">
        <v>29</v>
      </c>
      <c r="N12" s="63"/>
      <c r="O12" s="62" t="s">
        <v>30</v>
      </c>
      <c r="P12" s="63"/>
      <c r="Q12" s="64" t="s">
        <v>79</v>
      </c>
      <c r="R12" s="63"/>
    </row>
    <row r="13" spans="1:18" ht="12.5">
      <c r="A13" s="28"/>
      <c r="B13" s="28"/>
      <c r="C13" s="28"/>
      <c r="D13" s="28"/>
      <c r="E13" s="28"/>
      <c r="F13" s="28"/>
      <c r="G13" s="13" t="s">
        <v>75</v>
      </c>
      <c r="H13" s="13" t="s">
        <v>53</v>
      </c>
      <c r="I13" s="13" t="s">
        <v>75</v>
      </c>
      <c r="J13" s="13" t="s">
        <v>53</v>
      </c>
      <c r="K13" s="13" t="s">
        <v>75</v>
      </c>
      <c r="L13" s="13" t="s">
        <v>53</v>
      </c>
      <c r="M13" s="13" t="s">
        <v>75</v>
      </c>
      <c r="N13" s="13" t="s">
        <v>53</v>
      </c>
      <c r="O13" s="13" t="s">
        <v>75</v>
      </c>
      <c r="P13" s="13" t="s">
        <v>53</v>
      </c>
      <c r="Q13" s="13" t="s">
        <v>75</v>
      </c>
      <c r="R13" s="13" t="s">
        <v>53</v>
      </c>
    </row>
    <row r="14" spans="1:18" ht="12.5">
      <c r="A14" s="22" t="s">
        <v>15</v>
      </c>
      <c r="B14" s="14"/>
      <c r="C14" s="76" t="s">
        <v>80</v>
      </c>
      <c r="D14" s="77"/>
      <c r="E14" s="77"/>
      <c r="F14" s="63"/>
      <c r="G14" s="23">
        <v>79</v>
      </c>
      <c r="H14" s="24">
        <v>7.3556800000000006E-2</v>
      </c>
      <c r="I14" s="23">
        <v>21</v>
      </c>
      <c r="J14" s="24">
        <v>0.4468085</v>
      </c>
      <c r="K14" s="23">
        <v>297</v>
      </c>
      <c r="L14" s="24">
        <v>0.60860655737704916</v>
      </c>
      <c r="M14" s="23">
        <v>168</v>
      </c>
      <c r="N14" s="24">
        <v>0.16833670000000001</v>
      </c>
      <c r="O14" s="23">
        <v>489</v>
      </c>
      <c r="P14" s="24">
        <v>0.1164009</v>
      </c>
      <c r="Q14" s="23">
        <v>181</v>
      </c>
      <c r="R14" s="24">
        <v>0.27549467275494671</v>
      </c>
    </row>
    <row r="15" spans="1:18" ht="12.5">
      <c r="A15" s="25" t="s">
        <v>16</v>
      </c>
      <c r="B15" s="26" t="s">
        <v>81</v>
      </c>
      <c r="C15" s="74" t="s">
        <v>82</v>
      </c>
      <c r="D15" s="51"/>
      <c r="E15" s="51"/>
      <c r="F15" s="44"/>
      <c r="G15" s="23">
        <v>45</v>
      </c>
      <c r="H15" s="24">
        <v>4.1899400000000003E-2</v>
      </c>
      <c r="I15" s="27" t="s">
        <v>38</v>
      </c>
      <c r="J15" s="15"/>
      <c r="K15" s="23">
        <v>5</v>
      </c>
      <c r="L15" s="24">
        <v>1.0245901639344262E-2</v>
      </c>
      <c r="M15" s="23">
        <v>21</v>
      </c>
      <c r="N15" s="24">
        <v>2.1042100000000001E-2</v>
      </c>
      <c r="O15" s="23">
        <v>146</v>
      </c>
      <c r="P15" s="24">
        <v>3.4753600000000003E-2</v>
      </c>
      <c r="Q15" s="23">
        <v>10</v>
      </c>
      <c r="R15" s="24">
        <v>1.5220700152207001E-2</v>
      </c>
    </row>
    <row r="16" spans="1:18" ht="12.5">
      <c r="A16" s="72" t="s">
        <v>17</v>
      </c>
      <c r="B16" s="26" t="s">
        <v>83</v>
      </c>
      <c r="C16" s="74" t="s">
        <v>84</v>
      </c>
      <c r="D16" s="51"/>
      <c r="E16" s="51"/>
      <c r="F16" s="44"/>
      <c r="G16" s="27" t="s">
        <v>38</v>
      </c>
      <c r="H16" s="15"/>
      <c r="I16" s="27" t="s">
        <v>38</v>
      </c>
      <c r="J16" s="15"/>
      <c r="K16" s="23">
        <v>13</v>
      </c>
      <c r="L16" s="24">
        <v>2.663934426229508E-2</v>
      </c>
      <c r="M16" s="23">
        <v>1</v>
      </c>
      <c r="N16" s="24">
        <v>1.0020000000000001E-3</v>
      </c>
      <c r="O16" s="23">
        <v>1</v>
      </c>
      <c r="P16" s="24">
        <v>2.3800000000000001E-4</v>
      </c>
      <c r="Q16" s="23">
        <v>28</v>
      </c>
      <c r="R16" s="24">
        <v>4.2617960426179602E-2</v>
      </c>
    </row>
    <row r="17" spans="1:18" ht="12.5">
      <c r="A17" s="75"/>
      <c r="B17" s="26" t="s">
        <v>85</v>
      </c>
      <c r="C17" s="74" t="s">
        <v>86</v>
      </c>
      <c r="D17" s="51"/>
      <c r="E17" s="51"/>
      <c r="F17" s="44"/>
      <c r="G17" s="23">
        <v>65</v>
      </c>
      <c r="H17" s="24">
        <v>6.0521400000000003E-2</v>
      </c>
      <c r="I17" s="27" t="s">
        <v>38</v>
      </c>
      <c r="J17" s="15"/>
      <c r="K17" s="23">
        <v>0</v>
      </c>
      <c r="L17" s="24"/>
      <c r="M17" s="23">
        <v>12</v>
      </c>
      <c r="N17" s="24">
        <v>1.2024E-2</v>
      </c>
      <c r="O17" s="23">
        <v>4</v>
      </c>
      <c r="P17" s="24">
        <v>9.5220000000000005E-4</v>
      </c>
      <c r="Q17" s="23">
        <v>28</v>
      </c>
      <c r="R17" s="24">
        <v>4.2617960426179602E-2</v>
      </c>
    </row>
    <row r="18" spans="1:18" ht="12.5">
      <c r="A18" s="75"/>
      <c r="B18" s="26" t="s">
        <v>87</v>
      </c>
      <c r="C18" s="74" t="s">
        <v>88</v>
      </c>
      <c r="D18" s="51"/>
      <c r="E18" s="51"/>
      <c r="F18" s="44"/>
      <c r="G18" s="23">
        <v>1</v>
      </c>
      <c r="H18" s="24">
        <v>9.3110000000000003E-4</v>
      </c>
      <c r="I18" s="27" t="s">
        <v>38</v>
      </c>
      <c r="J18" s="15"/>
      <c r="K18" s="23">
        <v>3</v>
      </c>
      <c r="L18" s="24">
        <v>6.1475409836065573E-3</v>
      </c>
      <c r="M18" s="27" t="s">
        <v>38</v>
      </c>
      <c r="N18" s="15"/>
      <c r="O18" s="23">
        <v>281</v>
      </c>
      <c r="P18" s="24">
        <v>6.6888799999999998E-2</v>
      </c>
      <c r="Q18" s="23">
        <v>30</v>
      </c>
      <c r="R18" s="24">
        <v>4.5662100456621002E-2</v>
      </c>
    </row>
    <row r="19" spans="1:18" ht="12.5">
      <c r="A19" s="75"/>
      <c r="B19" s="26" t="s">
        <v>89</v>
      </c>
      <c r="C19" s="74" t="s">
        <v>90</v>
      </c>
      <c r="D19" s="51"/>
      <c r="E19" s="51"/>
      <c r="F19" s="44"/>
      <c r="G19" s="23">
        <v>1</v>
      </c>
      <c r="H19" s="24">
        <v>9.3110000000000003E-4</v>
      </c>
      <c r="I19" s="23">
        <v>3</v>
      </c>
      <c r="J19" s="24">
        <v>6.3829800000000006E-2</v>
      </c>
      <c r="K19" s="23">
        <v>0</v>
      </c>
      <c r="L19" s="24"/>
      <c r="M19" s="27" t="s">
        <v>38</v>
      </c>
      <c r="N19" s="15"/>
      <c r="O19" s="27" t="s">
        <v>38</v>
      </c>
      <c r="P19" s="15"/>
      <c r="Q19" s="23">
        <v>5</v>
      </c>
      <c r="R19" s="24">
        <v>7.6103500761035003E-3</v>
      </c>
    </row>
    <row r="20" spans="1:18" ht="12.5">
      <c r="A20" s="75"/>
      <c r="B20" s="26" t="s">
        <v>91</v>
      </c>
      <c r="C20" s="74" t="s">
        <v>92</v>
      </c>
      <c r="D20" s="51"/>
      <c r="E20" s="51"/>
      <c r="F20" s="44"/>
      <c r="G20" s="23">
        <v>1</v>
      </c>
      <c r="H20" s="24">
        <v>9.3110000000000003E-4</v>
      </c>
      <c r="I20" s="27" t="s">
        <v>38</v>
      </c>
      <c r="J20" s="15"/>
      <c r="K20" s="23">
        <v>0</v>
      </c>
      <c r="L20" s="24"/>
      <c r="M20" s="27" t="s">
        <v>38</v>
      </c>
      <c r="N20" s="15"/>
      <c r="O20" s="27" t="s">
        <v>38</v>
      </c>
      <c r="P20" s="15"/>
      <c r="Q20" s="23">
        <v>4</v>
      </c>
      <c r="R20" s="24">
        <v>6.0882800608828003E-3</v>
      </c>
    </row>
    <row r="21" spans="1:18" ht="12.5">
      <c r="A21" s="75"/>
      <c r="B21" s="26" t="s">
        <v>93</v>
      </c>
      <c r="C21" s="74" t="s">
        <v>94</v>
      </c>
      <c r="D21" s="51"/>
      <c r="E21" s="51"/>
      <c r="F21" s="44"/>
      <c r="G21" s="23">
        <v>10</v>
      </c>
      <c r="H21" s="24">
        <v>9.3109999999999998E-3</v>
      </c>
      <c r="I21" s="27" t="s">
        <v>38</v>
      </c>
      <c r="J21" s="15"/>
      <c r="K21" s="23">
        <v>2</v>
      </c>
      <c r="L21" s="24">
        <v>4.0983606557377051E-3</v>
      </c>
      <c r="M21" s="27" t="s">
        <v>38</v>
      </c>
      <c r="N21" s="15"/>
      <c r="O21" s="27" t="s">
        <v>38</v>
      </c>
      <c r="P21" s="15"/>
      <c r="Q21" s="23">
        <v>28</v>
      </c>
      <c r="R21" s="24">
        <v>4.2617960426179602E-2</v>
      </c>
    </row>
    <row r="22" spans="1:18" ht="12.5">
      <c r="A22" s="75"/>
      <c r="B22" s="26" t="s">
        <v>95</v>
      </c>
      <c r="C22" s="74" t="s">
        <v>96</v>
      </c>
      <c r="D22" s="51"/>
      <c r="E22" s="51"/>
      <c r="F22" s="44"/>
      <c r="G22" s="27" t="s">
        <v>38</v>
      </c>
      <c r="H22" s="15"/>
      <c r="I22" s="27" t="s">
        <v>38</v>
      </c>
      <c r="J22" s="15"/>
      <c r="K22" s="23">
        <v>0</v>
      </c>
      <c r="L22" s="24"/>
      <c r="M22" s="23">
        <v>2</v>
      </c>
      <c r="N22" s="24">
        <v>2.0040000000000001E-3</v>
      </c>
      <c r="O22" s="23">
        <v>3</v>
      </c>
      <c r="P22" s="24">
        <v>7.1409999999999996E-4</v>
      </c>
      <c r="Q22" s="23">
        <v>0</v>
      </c>
      <c r="R22" s="24"/>
    </row>
    <row r="23" spans="1:18" ht="12.5">
      <c r="A23" s="75"/>
      <c r="B23" s="26" t="s">
        <v>97</v>
      </c>
      <c r="C23" s="74" t="s">
        <v>98</v>
      </c>
      <c r="D23" s="51"/>
      <c r="E23" s="51"/>
      <c r="F23" s="44"/>
      <c r="G23" s="23">
        <v>69</v>
      </c>
      <c r="H23" s="24">
        <v>6.4245800000000006E-2</v>
      </c>
      <c r="I23" s="23">
        <v>3</v>
      </c>
      <c r="J23" s="24">
        <v>6.3829800000000006E-2</v>
      </c>
      <c r="K23" s="23">
        <v>41</v>
      </c>
      <c r="L23" s="24">
        <v>8.4016393442622947E-2</v>
      </c>
      <c r="M23" s="23">
        <v>147</v>
      </c>
      <c r="N23" s="24">
        <v>0.1472946</v>
      </c>
      <c r="O23" s="23">
        <v>146</v>
      </c>
      <c r="P23" s="24">
        <v>3.4753600000000003E-2</v>
      </c>
      <c r="Q23" s="23">
        <v>113</v>
      </c>
      <c r="R23" s="24">
        <v>0.17199391171993911</v>
      </c>
    </row>
    <row r="24" spans="1:18" ht="12.5">
      <c r="A24" s="73"/>
      <c r="B24" s="26" t="s">
        <v>99</v>
      </c>
      <c r="C24" s="74" t="s">
        <v>100</v>
      </c>
      <c r="D24" s="51"/>
      <c r="E24" s="51"/>
      <c r="F24" s="44"/>
      <c r="G24" s="23">
        <v>7</v>
      </c>
      <c r="H24" s="24">
        <v>6.5177000000000004E-3</v>
      </c>
      <c r="I24" s="27" t="s">
        <v>38</v>
      </c>
      <c r="J24" s="15"/>
      <c r="K24" s="23">
        <v>5</v>
      </c>
      <c r="L24" s="24">
        <v>1.0245901639344262E-2</v>
      </c>
      <c r="M24" s="27" t="s">
        <v>38</v>
      </c>
      <c r="N24" s="15"/>
      <c r="O24" s="23">
        <v>2</v>
      </c>
      <c r="P24" s="24">
        <v>4.7610000000000003E-4</v>
      </c>
      <c r="Q24" s="23">
        <v>0</v>
      </c>
      <c r="R24" s="24"/>
    </row>
    <row r="25" spans="1:18" ht="12.5">
      <c r="A25" s="72" t="s">
        <v>18</v>
      </c>
      <c r="B25" s="26" t="s">
        <v>101</v>
      </c>
      <c r="C25" s="74" t="s">
        <v>102</v>
      </c>
      <c r="D25" s="51"/>
      <c r="E25" s="51"/>
      <c r="F25" s="44"/>
      <c r="G25" s="27" t="s">
        <v>38</v>
      </c>
      <c r="H25" s="15"/>
      <c r="I25" s="27" t="s">
        <v>38</v>
      </c>
      <c r="J25" s="15"/>
      <c r="K25" s="23">
        <v>0</v>
      </c>
      <c r="L25" s="24"/>
      <c r="M25" s="23">
        <v>38</v>
      </c>
      <c r="N25" s="24">
        <v>3.8076199999999998E-2</v>
      </c>
      <c r="O25" s="23">
        <v>84</v>
      </c>
      <c r="P25" s="24">
        <v>1.9995200000000001E-2</v>
      </c>
      <c r="Q25" s="23">
        <v>0</v>
      </c>
      <c r="R25" s="24"/>
    </row>
    <row r="26" spans="1:18" ht="12.5">
      <c r="A26" s="75"/>
      <c r="B26" s="26" t="s">
        <v>103</v>
      </c>
      <c r="C26" s="74" t="s">
        <v>104</v>
      </c>
      <c r="D26" s="51"/>
      <c r="E26" s="51"/>
      <c r="F26" s="44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6</v>
      </c>
      <c r="N26" s="24">
        <v>6.012E-3</v>
      </c>
      <c r="O26" s="23">
        <v>81</v>
      </c>
      <c r="P26" s="24">
        <v>1.9281099999999999E-2</v>
      </c>
      <c r="Q26" s="23">
        <v>0</v>
      </c>
      <c r="R26" s="24"/>
    </row>
    <row r="27" spans="1:18" ht="12.5">
      <c r="A27" s="75"/>
      <c r="B27" s="26" t="s">
        <v>105</v>
      </c>
      <c r="C27" s="74" t="s">
        <v>106</v>
      </c>
      <c r="D27" s="51"/>
      <c r="E27" s="51"/>
      <c r="F27" s="44"/>
      <c r="G27" s="27" t="s">
        <v>38</v>
      </c>
      <c r="H27" s="15"/>
      <c r="I27" s="27" t="s">
        <v>38</v>
      </c>
      <c r="J27" s="15"/>
      <c r="K27" s="23">
        <v>9</v>
      </c>
      <c r="L27" s="24">
        <v>1.8442622950819672E-2</v>
      </c>
      <c r="M27" s="23">
        <v>1</v>
      </c>
      <c r="N27" s="24">
        <v>1.0020000000000001E-3</v>
      </c>
      <c r="O27" s="23">
        <v>200</v>
      </c>
      <c r="P27" s="24">
        <v>4.7607700000000003E-2</v>
      </c>
      <c r="Q27" s="23">
        <v>27</v>
      </c>
      <c r="R27" s="24">
        <v>4.1095890410958902E-2</v>
      </c>
    </row>
    <row r="28" spans="1:18" ht="12.5">
      <c r="A28" s="75"/>
      <c r="B28" s="26" t="s">
        <v>107</v>
      </c>
      <c r="C28" s="74" t="s">
        <v>108</v>
      </c>
      <c r="D28" s="51"/>
      <c r="E28" s="51"/>
      <c r="F28" s="44"/>
      <c r="G28" s="27" t="s">
        <v>38</v>
      </c>
      <c r="H28" s="15"/>
      <c r="I28" s="27" t="s">
        <v>38</v>
      </c>
      <c r="J28" s="15"/>
      <c r="K28" s="23">
        <v>29</v>
      </c>
      <c r="L28" s="24">
        <v>5.9426229508196718E-2</v>
      </c>
      <c r="M28" s="27" t="s">
        <v>38</v>
      </c>
      <c r="N28" s="15"/>
      <c r="O28" s="27" t="s">
        <v>38</v>
      </c>
      <c r="P28" s="15"/>
      <c r="Q28" s="23">
        <v>30</v>
      </c>
      <c r="R28" s="24">
        <v>4.5662100456621002E-2</v>
      </c>
    </row>
    <row r="29" spans="1:18" ht="12.5">
      <c r="A29" s="75"/>
      <c r="B29" s="26" t="s">
        <v>109</v>
      </c>
      <c r="C29" s="74" t="s">
        <v>110</v>
      </c>
      <c r="D29" s="51"/>
      <c r="E29" s="51"/>
      <c r="F29" s="44"/>
      <c r="G29" s="27" t="s">
        <v>38</v>
      </c>
      <c r="H29" s="15"/>
      <c r="I29" s="27" t="s">
        <v>38</v>
      </c>
      <c r="J29" s="15"/>
      <c r="K29" s="23">
        <v>0</v>
      </c>
      <c r="L29" s="24"/>
      <c r="M29" s="23">
        <v>2</v>
      </c>
      <c r="N29" s="24">
        <v>2.0040000000000001E-3</v>
      </c>
      <c r="O29" s="27" t="s">
        <v>38</v>
      </c>
      <c r="P29" s="15"/>
      <c r="Q29" s="23">
        <v>0</v>
      </c>
      <c r="R29" s="24"/>
    </row>
    <row r="30" spans="1:18" ht="12.5">
      <c r="A30" s="75"/>
      <c r="B30" s="26" t="s">
        <v>111</v>
      </c>
      <c r="C30" s="74" t="s">
        <v>112</v>
      </c>
      <c r="D30" s="51"/>
      <c r="E30" s="51"/>
      <c r="F30" s="44"/>
      <c r="G30" s="23">
        <v>35</v>
      </c>
      <c r="H30" s="24">
        <v>3.2588499999999999E-2</v>
      </c>
      <c r="I30" s="27" t="s">
        <v>38</v>
      </c>
      <c r="J30" s="15"/>
      <c r="K30" s="23">
        <v>6</v>
      </c>
      <c r="L30" s="24">
        <v>1.2295081967213115E-2</v>
      </c>
      <c r="M30" s="23">
        <v>21</v>
      </c>
      <c r="N30" s="24">
        <v>2.1042100000000001E-2</v>
      </c>
      <c r="O30" s="23">
        <v>6</v>
      </c>
      <c r="P30" s="24">
        <v>1.4281999999999999E-3</v>
      </c>
      <c r="Q30" s="23">
        <v>9</v>
      </c>
      <c r="R30" s="24">
        <v>1.3698630136986301E-2</v>
      </c>
    </row>
    <row r="31" spans="1:18" ht="12.5">
      <c r="A31" s="75"/>
      <c r="B31" s="26" t="s">
        <v>113</v>
      </c>
      <c r="C31" s="74" t="s">
        <v>114</v>
      </c>
      <c r="D31" s="51"/>
      <c r="E31" s="51"/>
      <c r="F31" s="44"/>
      <c r="G31" s="27" t="s">
        <v>38</v>
      </c>
      <c r="H31" s="15"/>
      <c r="I31" s="27" t="s">
        <v>38</v>
      </c>
      <c r="J31" s="15"/>
      <c r="K31" s="23">
        <v>0</v>
      </c>
      <c r="L31" s="24"/>
      <c r="M31" s="27" t="s">
        <v>38</v>
      </c>
      <c r="N31" s="15"/>
      <c r="O31" s="23">
        <v>5</v>
      </c>
      <c r="P31" s="24">
        <v>1.1902E-3</v>
      </c>
      <c r="Q31" s="23">
        <v>0</v>
      </c>
      <c r="R31" s="24"/>
    </row>
    <row r="32" spans="1:18" ht="12.5">
      <c r="A32" s="75"/>
      <c r="B32" s="26" t="s">
        <v>115</v>
      </c>
      <c r="C32" s="74" t="s">
        <v>116</v>
      </c>
      <c r="D32" s="51"/>
      <c r="E32" s="51"/>
      <c r="F32" s="44"/>
      <c r="G32" s="27" t="s">
        <v>38</v>
      </c>
      <c r="H32" s="15"/>
      <c r="I32" s="27" t="s">
        <v>38</v>
      </c>
      <c r="J32" s="15"/>
      <c r="K32" s="23">
        <v>0</v>
      </c>
      <c r="L32" s="24"/>
      <c r="M32" s="27" t="s">
        <v>38</v>
      </c>
      <c r="N32" s="15"/>
      <c r="O32" s="23">
        <v>1</v>
      </c>
      <c r="P32" s="24">
        <v>2.3800000000000001E-4</v>
      </c>
      <c r="Q32" s="23">
        <v>0</v>
      </c>
      <c r="R32" s="24"/>
    </row>
    <row r="33" spans="1:18" ht="12.5">
      <c r="A33" s="73"/>
      <c r="B33" s="26" t="s">
        <v>117</v>
      </c>
      <c r="C33" s="74" t="s">
        <v>118</v>
      </c>
      <c r="D33" s="51"/>
      <c r="E33" s="51"/>
      <c r="F33" s="44"/>
      <c r="G33" s="23">
        <v>9</v>
      </c>
      <c r="H33" s="24">
        <v>8.3798999999999992E-3</v>
      </c>
      <c r="I33" s="27" t="s">
        <v>38</v>
      </c>
      <c r="J33" s="15"/>
      <c r="K33" s="23">
        <v>0</v>
      </c>
      <c r="L33" s="24"/>
      <c r="M33" s="23">
        <v>54</v>
      </c>
      <c r="N33" s="24">
        <v>5.4108200000000002E-2</v>
      </c>
      <c r="O33" s="23">
        <v>11</v>
      </c>
      <c r="P33" s="24">
        <v>2.6183999999999999E-3</v>
      </c>
      <c r="Q33" s="23">
        <v>0</v>
      </c>
      <c r="R33" s="24"/>
    </row>
    <row r="34" spans="1:18" ht="12.5">
      <c r="A34" s="25" t="s">
        <v>19</v>
      </c>
      <c r="B34" s="26" t="s">
        <v>119</v>
      </c>
      <c r="C34" s="74" t="s">
        <v>120</v>
      </c>
      <c r="D34" s="51"/>
      <c r="E34" s="51"/>
      <c r="F34" s="44"/>
      <c r="G34" s="23">
        <v>637</v>
      </c>
      <c r="H34" s="24">
        <v>0.59310989999999997</v>
      </c>
      <c r="I34" s="23">
        <v>16</v>
      </c>
      <c r="J34" s="24">
        <v>0.34042549999999999</v>
      </c>
      <c r="K34" s="23">
        <v>31</v>
      </c>
      <c r="L34" s="24">
        <v>6.3524590163934427E-2</v>
      </c>
      <c r="M34" s="23">
        <v>306</v>
      </c>
      <c r="N34" s="24">
        <v>0.30661319999999997</v>
      </c>
      <c r="O34" s="23">
        <v>1803</v>
      </c>
      <c r="P34" s="24">
        <v>0.4291835</v>
      </c>
      <c r="Q34" s="23">
        <v>54</v>
      </c>
      <c r="R34" s="24">
        <v>8.2191780821917804E-2</v>
      </c>
    </row>
    <row r="35" spans="1:18" ht="12.5">
      <c r="A35" s="72" t="s">
        <v>20</v>
      </c>
      <c r="B35" s="26" t="s">
        <v>121</v>
      </c>
      <c r="C35" s="74" t="s">
        <v>122</v>
      </c>
      <c r="D35" s="51"/>
      <c r="E35" s="51"/>
      <c r="F35" s="44"/>
      <c r="G35" s="27" t="s">
        <v>38</v>
      </c>
      <c r="H35" s="15"/>
      <c r="I35" s="27" t="s">
        <v>38</v>
      </c>
      <c r="J35" s="15"/>
      <c r="K35" s="23">
        <v>33</v>
      </c>
      <c r="L35" s="24">
        <v>6.7622950819672137E-2</v>
      </c>
      <c r="M35" s="27" t="s">
        <v>38</v>
      </c>
      <c r="N35" s="15"/>
      <c r="O35" s="27" t="s">
        <v>38</v>
      </c>
      <c r="P35" s="15"/>
      <c r="Q35" s="23">
        <v>76</v>
      </c>
      <c r="R35" s="24">
        <v>0.11567732115677321</v>
      </c>
    </row>
    <row r="36" spans="1:18" ht="12.5">
      <c r="A36" s="75"/>
      <c r="B36" s="26" t="s">
        <v>123</v>
      </c>
      <c r="C36" s="74" t="s">
        <v>124</v>
      </c>
      <c r="D36" s="51"/>
      <c r="E36" s="51"/>
      <c r="F36" s="44"/>
      <c r="G36" s="23">
        <v>19</v>
      </c>
      <c r="H36" s="24">
        <v>1.7690899999999999E-2</v>
      </c>
      <c r="I36" s="23">
        <v>2</v>
      </c>
      <c r="J36" s="24">
        <v>4.2553199999999999E-2</v>
      </c>
      <c r="K36" s="23">
        <v>0</v>
      </c>
      <c r="L36" s="24"/>
      <c r="M36" s="27" t="s">
        <v>38</v>
      </c>
      <c r="N36" s="15"/>
      <c r="O36" s="23">
        <v>13</v>
      </c>
      <c r="P36" s="24">
        <v>3.0945E-3</v>
      </c>
      <c r="Q36" s="23">
        <v>0</v>
      </c>
      <c r="R36" s="24"/>
    </row>
    <row r="37" spans="1:18" ht="12.5">
      <c r="A37" s="73"/>
      <c r="B37" s="26" t="s">
        <v>125</v>
      </c>
      <c r="C37" s="74" t="s">
        <v>126</v>
      </c>
      <c r="D37" s="51"/>
      <c r="E37" s="51"/>
      <c r="F37" s="44"/>
      <c r="G37" s="27" t="s">
        <v>38</v>
      </c>
      <c r="H37" s="15"/>
      <c r="I37" s="27" t="s">
        <v>38</v>
      </c>
      <c r="J37" s="15"/>
      <c r="K37" s="23">
        <v>0</v>
      </c>
      <c r="L37" s="24"/>
      <c r="M37" s="27" t="s">
        <v>38</v>
      </c>
      <c r="N37" s="15"/>
      <c r="O37" s="23">
        <v>11</v>
      </c>
      <c r="P37" s="24">
        <v>2.6183999999999999E-3</v>
      </c>
      <c r="Q37" s="23">
        <v>0</v>
      </c>
      <c r="R37" s="24"/>
    </row>
    <row r="38" spans="1:18" ht="12.5">
      <c r="A38" s="72" t="s">
        <v>21</v>
      </c>
      <c r="B38" s="26" t="s">
        <v>127</v>
      </c>
      <c r="C38" s="74" t="s">
        <v>128</v>
      </c>
      <c r="D38" s="51"/>
      <c r="E38" s="51"/>
      <c r="F38" s="44"/>
      <c r="G38" s="23">
        <v>94</v>
      </c>
      <c r="H38" s="24">
        <v>8.7523299999999998E-2</v>
      </c>
      <c r="I38" s="23">
        <v>2</v>
      </c>
      <c r="J38" s="24">
        <v>4.2553199999999999E-2</v>
      </c>
      <c r="K38" s="23">
        <v>0</v>
      </c>
      <c r="L38" s="24"/>
      <c r="M38" s="23">
        <v>215</v>
      </c>
      <c r="N38" s="24">
        <v>0.21543090000000001</v>
      </c>
      <c r="O38" s="23">
        <v>849</v>
      </c>
      <c r="P38" s="24">
        <v>0.20209469999999999</v>
      </c>
      <c r="Q38" s="23">
        <v>0</v>
      </c>
      <c r="R38" s="24"/>
    </row>
    <row r="39" spans="1:18" ht="12.5">
      <c r="A39" s="75"/>
      <c r="B39" s="26" t="s">
        <v>129</v>
      </c>
      <c r="C39" s="74" t="s">
        <v>130</v>
      </c>
      <c r="D39" s="51"/>
      <c r="E39" s="51"/>
      <c r="F39" s="44"/>
      <c r="G39" s="27" t="s">
        <v>38</v>
      </c>
      <c r="H39" s="15"/>
      <c r="I39" s="27" t="s">
        <v>38</v>
      </c>
      <c r="J39" s="15"/>
      <c r="K39" s="23">
        <v>0</v>
      </c>
      <c r="L39" s="24"/>
      <c r="M39" s="27" t="s">
        <v>38</v>
      </c>
      <c r="N39" s="15"/>
      <c r="O39" s="23">
        <v>22</v>
      </c>
      <c r="P39" s="24">
        <v>5.2367999999999998E-3</v>
      </c>
      <c r="Q39" s="23">
        <v>0</v>
      </c>
      <c r="R39" s="24"/>
    </row>
    <row r="40" spans="1:18" ht="12.5">
      <c r="A40" s="75"/>
      <c r="B40" s="26" t="s">
        <v>131</v>
      </c>
      <c r="C40" s="74" t="s">
        <v>132</v>
      </c>
      <c r="D40" s="51"/>
      <c r="E40" s="51"/>
      <c r="F40" s="44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7" t="s">
        <v>38</v>
      </c>
      <c r="P40" s="15"/>
      <c r="Q40" s="23">
        <v>0</v>
      </c>
      <c r="R40" s="24"/>
    </row>
    <row r="41" spans="1:18" ht="12.5">
      <c r="A41" s="73"/>
      <c r="B41" s="26" t="s">
        <v>133</v>
      </c>
      <c r="C41" s="74" t="s">
        <v>134</v>
      </c>
      <c r="D41" s="51"/>
      <c r="E41" s="51"/>
      <c r="F41" s="44"/>
      <c r="G41" s="27" t="s">
        <v>38</v>
      </c>
      <c r="H41" s="15"/>
      <c r="I41" s="27" t="s">
        <v>38</v>
      </c>
      <c r="J41" s="15"/>
      <c r="K41" s="23">
        <v>0</v>
      </c>
      <c r="L41" s="24"/>
      <c r="M41" s="27" t="s">
        <v>38</v>
      </c>
      <c r="N41" s="15"/>
      <c r="O41" s="23">
        <v>27</v>
      </c>
      <c r="P41" s="24">
        <v>6.4270000000000004E-3</v>
      </c>
      <c r="Q41" s="23">
        <v>0</v>
      </c>
      <c r="R41" s="24"/>
    </row>
    <row r="42" spans="1:18" ht="12.5">
      <c r="A42" s="72" t="s">
        <v>22</v>
      </c>
      <c r="B42" s="26" t="s">
        <v>135</v>
      </c>
      <c r="C42" s="74" t="s">
        <v>22</v>
      </c>
      <c r="D42" s="51"/>
      <c r="E42" s="51"/>
      <c r="F42" s="44"/>
      <c r="G42" s="23">
        <v>1</v>
      </c>
      <c r="H42" s="24">
        <v>9.3110000000000003E-4</v>
      </c>
      <c r="I42" s="27" t="s">
        <v>38</v>
      </c>
      <c r="J42" s="15"/>
      <c r="K42" s="23">
        <v>0</v>
      </c>
      <c r="L42" s="24"/>
      <c r="M42" s="23">
        <v>1</v>
      </c>
      <c r="N42" s="24">
        <v>1.0020000000000001E-3</v>
      </c>
      <c r="O42" s="23">
        <v>9</v>
      </c>
      <c r="P42" s="24">
        <v>2.1423000000000002E-3</v>
      </c>
      <c r="Q42" s="23">
        <v>0</v>
      </c>
      <c r="R42" s="24"/>
    </row>
    <row r="43" spans="1:18" ht="12.5">
      <c r="A43" s="73"/>
      <c r="B43" s="26" t="s">
        <v>136</v>
      </c>
      <c r="C43" s="74" t="s">
        <v>137</v>
      </c>
      <c r="D43" s="51"/>
      <c r="E43" s="51"/>
      <c r="F43" s="44"/>
      <c r="G43" s="27" t="s">
        <v>38</v>
      </c>
      <c r="H43" s="15"/>
      <c r="I43" s="27" t="s">
        <v>38</v>
      </c>
      <c r="J43" s="15"/>
      <c r="K43" s="23">
        <v>0</v>
      </c>
      <c r="L43" s="24"/>
      <c r="M43" s="27" t="s">
        <v>38</v>
      </c>
      <c r="N43" s="15"/>
      <c r="O43" s="23">
        <v>6</v>
      </c>
      <c r="P43" s="24">
        <v>1.4281999999999999E-3</v>
      </c>
      <c r="Q43" s="23">
        <v>0</v>
      </c>
      <c r="R43" s="24"/>
    </row>
    <row r="44" spans="1:18" ht="12.5">
      <c r="A44" s="72" t="s">
        <v>23</v>
      </c>
      <c r="B44" s="26" t="s">
        <v>138</v>
      </c>
      <c r="C44" s="74" t="s">
        <v>139</v>
      </c>
      <c r="D44" s="51"/>
      <c r="E44" s="51"/>
      <c r="F44" s="44"/>
      <c r="G44" s="27" t="s">
        <v>38</v>
      </c>
      <c r="H44" s="15"/>
      <c r="I44" s="27" t="s">
        <v>38</v>
      </c>
      <c r="J44" s="15"/>
      <c r="K44" s="23">
        <v>1</v>
      </c>
      <c r="L44" s="24">
        <v>2.0491803278688526E-3</v>
      </c>
      <c r="M44" s="27" t="s">
        <v>38</v>
      </c>
      <c r="N44" s="15"/>
      <c r="O44" s="27" t="s">
        <v>38</v>
      </c>
      <c r="P44" s="15"/>
      <c r="Q44" s="23">
        <v>5</v>
      </c>
      <c r="R44" s="24">
        <v>7.6103500761035003E-3</v>
      </c>
    </row>
    <row r="45" spans="1:18" ht="12.5">
      <c r="A45" s="75"/>
      <c r="B45" s="26" t="s">
        <v>140</v>
      </c>
      <c r="C45" s="74" t="s">
        <v>141</v>
      </c>
      <c r="D45" s="51"/>
      <c r="E45" s="51"/>
      <c r="F45" s="44"/>
      <c r="G45" s="27" t="s">
        <v>38</v>
      </c>
      <c r="H45" s="15"/>
      <c r="I45" s="27" t="s">
        <v>38</v>
      </c>
      <c r="J45" s="15"/>
      <c r="K45" s="23">
        <v>7</v>
      </c>
      <c r="L45" s="24">
        <v>1.4344262295081968E-2</v>
      </c>
      <c r="M45" s="27" t="s">
        <v>38</v>
      </c>
      <c r="N45" s="15"/>
      <c r="O45" s="27" t="s">
        <v>38</v>
      </c>
      <c r="P45" s="15"/>
      <c r="Q45" s="23">
        <v>20</v>
      </c>
      <c r="R45" s="24">
        <v>3.0441400304414001E-2</v>
      </c>
    </row>
    <row r="46" spans="1:18" ht="12.5">
      <c r="A46" s="75"/>
      <c r="B46" s="26" t="s">
        <v>142</v>
      </c>
      <c r="C46" s="74" t="s">
        <v>143</v>
      </c>
      <c r="D46" s="51"/>
      <c r="E46" s="51"/>
      <c r="F46" s="44"/>
      <c r="G46" s="27" t="s">
        <v>38</v>
      </c>
      <c r="H46" s="15"/>
      <c r="I46" s="27" t="s">
        <v>38</v>
      </c>
      <c r="J46" s="15"/>
      <c r="K46" s="23">
        <v>3</v>
      </c>
      <c r="L46" s="24">
        <v>6.1475409836065573E-3</v>
      </c>
      <c r="M46" s="27" t="s">
        <v>38</v>
      </c>
      <c r="N46" s="15"/>
      <c r="O46" s="27" t="s">
        <v>38</v>
      </c>
      <c r="P46" s="15"/>
      <c r="Q46" s="23">
        <v>4</v>
      </c>
      <c r="R46" s="24">
        <v>6.0882800608828003E-3</v>
      </c>
    </row>
    <row r="47" spans="1:18" ht="12.5">
      <c r="A47" s="75"/>
      <c r="B47" s="26" t="s">
        <v>144</v>
      </c>
      <c r="C47" s="74" t="s">
        <v>145</v>
      </c>
      <c r="D47" s="51"/>
      <c r="E47" s="51"/>
      <c r="F47" s="44"/>
      <c r="G47" s="27" t="s">
        <v>38</v>
      </c>
      <c r="H47" s="15"/>
      <c r="I47" s="27" t="s">
        <v>38</v>
      </c>
      <c r="J47" s="15"/>
      <c r="K47" s="23">
        <v>3</v>
      </c>
      <c r="L47" s="24">
        <v>6.1475409836065573E-3</v>
      </c>
      <c r="M47" s="27" t="s">
        <v>38</v>
      </c>
      <c r="N47" s="15"/>
      <c r="O47" s="27" t="s">
        <v>38</v>
      </c>
      <c r="P47" s="15"/>
      <c r="Q47" s="23">
        <v>5</v>
      </c>
      <c r="R47" s="24">
        <v>7.6103500761035003E-3</v>
      </c>
    </row>
    <row r="48" spans="1:18" ht="12.5">
      <c r="A48" s="75"/>
      <c r="B48" s="26" t="s">
        <v>146</v>
      </c>
      <c r="C48" s="74" t="s">
        <v>147</v>
      </c>
      <c r="D48" s="51"/>
      <c r="E48" s="51"/>
      <c r="F48" s="44"/>
      <c r="G48" s="23">
        <v>1</v>
      </c>
      <c r="H48" s="24">
        <v>9.3110000000000003E-4</v>
      </c>
      <c r="I48" s="27" t="s">
        <v>38</v>
      </c>
      <c r="J48" s="15"/>
      <c r="K48" s="23">
        <v>0</v>
      </c>
      <c r="L48" s="24"/>
      <c r="M48" s="27" t="s">
        <v>38</v>
      </c>
      <c r="N48" s="15"/>
      <c r="O48" s="27" t="s">
        <v>38</v>
      </c>
      <c r="P48" s="15"/>
      <c r="Q48" s="23">
        <v>0</v>
      </c>
      <c r="R48" s="24"/>
    </row>
    <row r="49" spans="1:18" ht="12.5">
      <c r="A49" s="73"/>
      <c r="B49" s="26" t="s">
        <v>148</v>
      </c>
      <c r="C49" s="74" t="s">
        <v>149</v>
      </c>
      <c r="D49" s="51"/>
      <c r="E49" s="51"/>
      <c r="F49" s="44"/>
      <c r="G49" s="27" t="s">
        <v>38</v>
      </c>
      <c r="H49" s="15"/>
      <c r="I49" s="27" t="s">
        <v>38</v>
      </c>
      <c r="J49" s="15"/>
      <c r="K49" s="23">
        <v>0</v>
      </c>
      <c r="L49" s="24"/>
      <c r="M49" s="23">
        <v>3</v>
      </c>
      <c r="N49" s="24">
        <v>3.006E-3</v>
      </c>
      <c r="O49" s="23">
        <v>1</v>
      </c>
      <c r="P49" s="24">
        <v>2.3800000000000001E-4</v>
      </c>
      <c r="Q49" s="23">
        <v>0</v>
      </c>
      <c r="R49" s="24"/>
    </row>
    <row r="50" spans="1:18" ht="12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</row>
    <row r="51" spans="1:18" ht="13">
      <c r="A51" s="70" t="s">
        <v>150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</row>
    <row r="52" spans="1:18" ht="12.75" customHeight="1">
      <c r="A52" s="71" t="s">
        <v>151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</row>
    <row r="53" spans="1:18" ht="12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4" spans="1:18" ht="13">
      <c r="A54" s="69" t="s">
        <v>154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</sheetData>
  <mergeCells count="55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3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A35:A37"/>
    <mergeCell ref="C35:F35"/>
    <mergeCell ref="C36:F36"/>
    <mergeCell ref="C37:F37"/>
    <mergeCell ref="A38:A41"/>
    <mergeCell ref="C38:F38"/>
    <mergeCell ref="C39:F39"/>
    <mergeCell ref="C40:F40"/>
    <mergeCell ref="C41:F41"/>
    <mergeCell ref="A50:R50"/>
    <mergeCell ref="A51:R51"/>
    <mergeCell ref="A52:R53"/>
    <mergeCell ref="A54:R54"/>
    <mergeCell ref="A42:A43"/>
    <mergeCell ref="C42:F42"/>
    <mergeCell ref="C43:F43"/>
    <mergeCell ref="A44:A49"/>
    <mergeCell ref="C44:F44"/>
    <mergeCell ref="C45:F45"/>
    <mergeCell ref="C46:F46"/>
    <mergeCell ref="C47:F47"/>
    <mergeCell ref="C48:F48"/>
    <mergeCell ref="C49:F49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2026-01-16T17:25:17Z</dcterms:created>
  <dcterms:modified xsi:type="dcterms:W3CDTF">2026-01-23T13:58:15Z</dcterms:modified>
</cp:coreProperties>
</file>