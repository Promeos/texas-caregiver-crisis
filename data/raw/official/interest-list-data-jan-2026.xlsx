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BF97E2CA-403E-4857-9031-8FCE769CF09E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Cover Page" sheetId="1" r:id="rId1"/>
    <sheet name="Table of Contents Page" sheetId="2" r:id="rId2"/>
    <sheet name="IL Releases Summary" sheetId="3" r:id="rId3"/>
    <sheet name="Time on Interest List" sheetId="4" r:id="rId4"/>
    <sheet name="Closure Overview" sheetId="5" r:id="rId5"/>
    <sheet name="Closure Details" sheetId="6" r:id="rId6"/>
  </sheets>
  <definedNames>
    <definedName name="Return_to_TOC">'Table of Contents Page'!$A$12</definedName>
    <definedName name="TOC_1">'IL Releases Summary'!$A$1</definedName>
    <definedName name="TOC_10">'Closure Details'!$A$14</definedName>
    <definedName name="TOC_11">'Closure Details'!$A$15</definedName>
    <definedName name="TOC_12">'Closure Details'!$A$16</definedName>
    <definedName name="TOC_13">'Closure Details'!$A$25</definedName>
    <definedName name="TOC_14">'Closure Details'!$A$35</definedName>
    <definedName name="TOC_15">'Closure Details'!$A$36</definedName>
    <definedName name="TOC_16">'Closure Details'!$A$39</definedName>
    <definedName name="TOC_17">'Closure Details'!$A$43</definedName>
    <definedName name="TOC_18">'Closure Details'!$A$45</definedName>
    <definedName name="TOC_2">'IL Releases Summary'!$A$13</definedName>
    <definedName name="TOC_3">'IL Releases Summary'!$A$15</definedName>
    <definedName name="TOC_4">'IL Releases Summary'!$A$23</definedName>
    <definedName name="TOC_5">'IL Releases Summary'!$A$25</definedName>
    <definedName name="TOC_6">'IL Releases Summary'!$A$27</definedName>
    <definedName name="TOC_7">'Time on Interest List'!$A$1</definedName>
    <definedName name="TOC_8">'Closure Overview'!$A$1</definedName>
    <definedName name="TOC_9">'Closure Details'!$A$1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3" l="1"/>
  <c r="T19" i="3"/>
  <c r="T21" i="3"/>
  <c r="T23" i="3"/>
  <c r="T15" i="3"/>
</calcChain>
</file>

<file path=xl/sharedStrings.xml><?xml version="1.0" encoding="utf-8"?>
<sst xmlns="http://schemas.openxmlformats.org/spreadsheetml/2006/main" count="339" uniqueCount="159">
  <si>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</si>
  <si>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</si>
  <si>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26–27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January 31, 2026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</si>
  <si>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</si>
  <si>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</si>
  <si>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</si>
  <si>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</si>
  <si>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</si>
  <si>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</si>
  <si>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</si>
  <si>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</si>
  <si>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</si>
  <si>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</si>
  <si>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</si>
  <si>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</si>
  <si>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</si>
  <si>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</si>
  <si>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</si>
  <si>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</si>
  <si>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</si>
  <si>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</si>
  <si>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</si>
  <si>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</si>
  <si>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</si>
  <si>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2/5/26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</si>
  <si>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</si>
  <si>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</si>
  <si>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</si>
  <si>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</si>
  <si>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</si>
  <si>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</si>
  <si>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</si>
  <si>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</si>
  <si>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2025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</si>
  <si>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</si>
  <si>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</si>
  <si>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</si>
  <si>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</si>
  <si>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</si>
  <si>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</si>
  <si>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2025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</si>
  <si>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</si>
  <si>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January 31, 2026</t>
    </r>
  </si>
  <si>
    <t>1. HCS and TxHmL counts for Released/Removed and Total Releases are derived from CSIL data (effective May 2022) and provided by Local Authority staff; previous source for data was CARE.</t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</si>
  <si>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2025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</si>
  <si>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</si>
  <si>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</si>
  <si>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196,495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</si>
  <si>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</si>
  <si>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</si>
  <si>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</si>
  <si>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</si>
  <si>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</si>
  <si>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</si>
  <si>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</si>
  <si>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</si>
  <si>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</si>
  <si>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</si>
  <si>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</si>
  <si>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</si>
  <si>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</si>
  <si>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</si>
  <si>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</si>
  <si>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</si>
  <si>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</si>
  <si>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</si>
  <si>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</si>
  <si>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</si>
  <si>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</si>
  <si>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</si>
  <si>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</si>
  <si>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r>
      <rPr>
        <b/>
        <sz val="10"/>
        <color rgb="FF333333"/>
        <rFont val="Arial"/>
        <family val="2"/>
      </rPr>
      <t>17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18</t>
    </r>
  </si>
  <si>
    <r>
      <rPr>
        <b/>
        <sz val="10"/>
        <color rgb="FF333333"/>
        <rFont val="Arial"/>
        <family val="2"/>
      </rPr>
      <t>18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19</t>
    </r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</si>
  <si>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</si>
  <si>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</si>
  <si>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</si>
  <si>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</si>
  <si>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</si>
  <si>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</si>
  <si>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</si>
  <si>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</si>
  <si>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</si>
  <si>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</si>
  <si>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</si>
  <si>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</si>
  <si>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</si>
  <si>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</si>
  <si>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</si>
  <si>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</si>
  <si>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</si>
  <si>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</si>
  <si>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</si>
  <si>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</si>
  <si>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</si>
  <si>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</si>
  <si>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</si>
  <si>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</si>
  <si>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</si>
  <si>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</si>
  <si>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</si>
  <si>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</si>
  <si>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</si>
  <si>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</si>
  <si>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</si>
  <si>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</si>
  <si>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</si>
  <si>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</si>
  <si>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</si>
  <si>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</si>
  <si>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</si>
  <si>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</si>
  <si>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</si>
  <si>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</si>
  <si>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</si>
  <si>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</si>
  <si>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</si>
  <si>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</si>
  <si>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</si>
  <si>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</si>
  <si>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</si>
  <si>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</si>
  <si>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</si>
  <si>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</si>
  <si>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</si>
  <si>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</si>
  <si>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</si>
  <si>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</si>
  <si>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</si>
  <si>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</si>
  <si>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</si>
  <si>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</si>
  <si>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</si>
  <si>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</si>
  <si>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</si>
  <si>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</si>
  <si>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</si>
  <si>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</si>
  <si>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</si>
  <si>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534</t>
  </si>
  <si>
    <t>623</t>
  </si>
  <si>
    <t>Opened in Error</t>
  </si>
  <si>
    <t>658</t>
  </si>
  <si>
    <t>Needs met through SSLC</t>
  </si>
  <si>
    <t>659</t>
  </si>
  <si>
    <t>Needs met through ICF/IID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</si>
  <si>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</si>
  <si>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</si>
  <si>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</si>
  <si>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</si>
  <si>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</si>
  <si>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</si>
  <si>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</si>
  <si>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</si>
  <si>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</si>
  <si>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</si>
  <si>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</si>
  <si>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26–27 Interest List Closures</t>
  </si>
  <si>
    <t>FY 26–27 Interest List Closure Details</t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</si>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</sst>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30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D5D5D5"/>
      </left>
      <right/>
      <top style="medium">
        <color rgb="FF93B1CD"/>
      </top>
      <bottom/>
      <diagonal/>
    </border>
    <border>
      <left/>
      <right style="medium">
        <color rgb="FFD5D5D5"/>
      </right>
      <top style="medium">
        <color rgb="FF93B1CD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5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6" fontId="13" fillId="5" borderId="23" xfId="0" applyNumberFormat="1" applyFont="1" applyFill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5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3" xfId="0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 applyAlignment="1">
      <alignment horizontal="lef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13" fillId="5" borderId="28" xfId="0" applyNumberFormat="1" applyFont="1" applyFill="1" applyBorder="1" applyAlignment="1">
      <alignment horizontal="right"/>
    </xf>
    <xf numFmtId="164" fontId="13" fillId="5" borderId="29" xfId="0" applyNumberFormat="1" applyFont="1" applyFill="1" applyBorder="1" applyAlignment="1">
      <alignment horizontal="right"/>
    </xf>
    <xf numFmtId="164" fontId="13" fillId="5" borderId="21" xfId="0" applyNumberFormat="1" applyFont="1" applyFill="1" applyBorder="1" applyAlignment="1">
      <alignment horizontal="right"/>
    </xf>
    <xf numFmtId="164" fontId="13" fillId="5" borderId="22" xfId="0" applyNumberFormat="1" applyFont="1" applyFill="1" applyBorder="1" applyAlignment="1">
      <alignment horizontal="right"/>
    </xf>
    <xf numFmtId="0" fontId="8" fillId="3" borderId="13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1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2" fillId="0" borderId="19" xfId="0" applyFont="1" applyBorder="1" applyAlignment="1">
      <alignment horizontal="right"/>
    </xf>
    <xf numFmtId="3" fontId="15" fillId="3" borderId="24" xfId="0" applyNumberFormat="1" applyFont="1" applyFill="1" applyBorder="1"/>
    <xf numFmtId="0" fontId="8" fillId="3" borderId="24" xfId="0" applyFont="1" applyFill="1" applyBorder="1" applyAlignment="1">
      <alignment horizontal="left" vertical="top"/>
    </xf>
    <xf numFmtId="0" fontId="15" fillId="3" borderId="13" xfId="0" applyFont="1" applyFill="1" applyBorder="1"/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4" fillId="3" borderId="24" xfId="0" applyFont="1" applyFill="1" applyBorder="1" applyAlignment="1">
      <alignment horizontal="left" vertical="top"/>
    </xf>
    <xf numFmtId="0" fontId="23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0" fillId="3" borderId="24" xfId="0" applyFill="1" applyBorder="1"/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80" zoomScaleNormal="80" workbookViewId="0">
      <selection activeCell="A14" sqref="A14"/>
    </sheetView>
  </sheetViews>
  <sheetFormatPr defaultRowHeight="12.75" customHeight="1"/>
  <cols>
    <col min="1" max="1" width="117.54296875" bestFit="1" customWidth="1"/>
  </cols>
  <sheetData>
    <row r="2" spans="1:1" ht="12.75" customHeight="1">
      <c r="A2" s="26"/>
    </row>
    <row r="3" spans="1:1" ht="12.75" customHeight="1">
      <c r="A3" s="26"/>
    </row>
    <row r="4" spans="1:1" ht="12.75" customHeight="1">
      <c r="A4" s="26"/>
    </row>
    <row r="5" spans="1:1" ht="12.75" customHeight="1">
      <c r="A5" s="26"/>
    </row>
    <row r="6" spans="1:1" ht="12.75" customHeight="1">
      <c r="A6" s="26"/>
    </row>
    <row r="7" spans="1:1" ht="12.75" customHeight="1">
      <c r="A7" s="26"/>
    </row>
    <row r="8" spans="1:1" ht="12.75" customHeight="1">
      <c r="A8" s="26"/>
    </row>
    <row r="9" spans="1:1" ht="12.75" customHeight="1">
      <c r="A9" s="26"/>
    </row>
    <row r="10" spans="1:1" ht="12.75" customHeight="1">
      <c r="A10" s="26"/>
    </row>
    <row r="11" spans="1:1" ht="12.75" customHeight="1">
      <c r="A11" s="26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80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Normal="100" workbookViewId="0">
      <selection sqref="A1:B10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84.54296875" bestFit="1" customWidth="1"/>
  </cols>
  <sheetData>
    <row r="1" spans="1:3" ht="23.25" customHeight="1">
      <c r="A1" s="27"/>
      <c r="B1" s="27"/>
      <c r="C1" s="9" t="s">
        <v>3</v>
      </c>
    </row>
    <row r="2" spans="1:3" ht="12.5">
      <c r="A2" s="28"/>
      <c r="B2" s="28"/>
      <c r="C2" s="8"/>
    </row>
    <row r="3" spans="1:3" ht="12.5">
      <c r="A3" s="28"/>
      <c r="B3" s="28"/>
      <c r="C3" s="8"/>
    </row>
    <row r="4" spans="1:3" ht="12.5">
      <c r="A4" s="28"/>
      <c r="B4" s="28"/>
      <c r="C4" s="8"/>
    </row>
    <row r="5" spans="1:3" ht="12.5">
      <c r="A5" s="28"/>
      <c r="B5" s="28"/>
      <c r="C5" s="8"/>
    </row>
    <row r="6" spans="1:3" ht="12.5">
      <c r="A6" s="28"/>
      <c r="B6" s="28"/>
      <c r="C6" s="8"/>
    </row>
    <row r="7" spans="1:3" ht="12.5">
      <c r="A7" s="28"/>
      <c r="B7" s="28"/>
      <c r="C7" s="8"/>
    </row>
    <row r="8" spans="1:3" ht="12.5">
      <c r="A8" s="28"/>
      <c r="B8" s="28"/>
      <c r="C8" s="8"/>
    </row>
    <row r="9" spans="1:3" ht="12.5">
      <c r="A9" s="28"/>
      <c r="B9" s="28"/>
      <c r="C9" s="8"/>
    </row>
    <row r="10" spans="1:3" ht="12.5">
      <c r="A10" s="28"/>
      <c r="B10" s="28"/>
      <c r="C10" s="8"/>
    </row>
    <row r="11" spans="1:3" ht="23.25" customHeight="1">
      <c r="A11" s="29" t="s">
        <v>4</v>
      </c>
      <c r="B11" s="28"/>
      <c r="C11" s="28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zoomScaleNormal="100" workbookViewId="0">
      <selection activeCell="I3" sqref="I3"/>
    </sheetView>
  </sheetViews>
  <sheetFormatPr defaultRowHeight="12.75" customHeight="1"/>
  <cols>
    <col min="1" max="4" width="12.453125" bestFit="1" customWidth="1"/>
    <col min="5" max="7" width="10.1796875" bestFit="1" customWidth="1"/>
    <col min="8" max="21" width="5.7265625" customWidth="1"/>
  </cols>
  <sheetData>
    <row r="1" spans="1:21" ht="23.25" customHeight="1">
      <c r="A1" s="26"/>
      <c r="B1" s="26"/>
      <c r="C1" s="26"/>
      <c r="D1" s="26"/>
      <c r="E1" s="26"/>
      <c r="F1" s="26"/>
      <c r="G1" s="26"/>
      <c r="H1" s="6" t="s">
        <v>5</v>
      </c>
    </row>
    <row r="2" spans="1:21" ht="12.75" customHeight="1">
      <c r="A2" s="26"/>
      <c r="B2" s="26"/>
      <c r="C2" s="26"/>
      <c r="D2" s="26"/>
      <c r="E2" s="26"/>
      <c r="F2" s="26"/>
      <c r="G2" s="26"/>
    </row>
    <row r="3" spans="1:21" ht="12.75" customHeight="1">
      <c r="A3" s="26"/>
      <c r="B3" s="26"/>
      <c r="C3" s="26"/>
      <c r="D3" s="26"/>
      <c r="E3" s="26"/>
      <c r="F3" s="26"/>
      <c r="G3" s="26"/>
    </row>
    <row r="4" spans="1:21" ht="12.75" customHeight="1">
      <c r="A4" s="26"/>
      <c r="B4" s="26"/>
      <c r="C4" s="26"/>
      <c r="D4" s="26"/>
      <c r="E4" s="26"/>
      <c r="F4" s="26"/>
      <c r="G4" s="26"/>
    </row>
    <row r="5" spans="1:21" ht="12.75" customHeight="1">
      <c r="A5" s="26"/>
      <c r="B5" s="26"/>
      <c r="C5" s="26"/>
      <c r="D5" s="26"/>
      <c r="E5" s="26"/>
      <c r="F5" s="26"/>
      <c r="G5" s="26"/>
    </row>
    <row r="6" spans="1:21" ht="12.75" customHeight="1">
      <c r="A6" s="26"/>
      <c r="B6" s="26"/>
      <c r="C6" s="26"/>
      <c r="D6" s="26"/>
      <c r="E6" s="26"/>
      <c r="F6" s="26"/>
      <c r="G6" s="26"/>
    </row>
    <row r="7" spans="1:21" ht="12.75" customHeight="1">
      <c r="A7" s="26"/>
      <c r="B7" s="26"/>
      <c r="C7" s="26"/>
      <c r="D7" s="26"/>
      <c r="E7" s="26"/>
      <c r="F7" s="26"/>
      <c r="G7" s="26"/>
    </row>
    <row r="8" spans="1:21" ht="12.75" customHeight="1">
      <c r="A8" s="26"/>
      <c r="B8" s="26"/>
      <c r="C8" s="26"/>
      <c r="D8" s="26"/>
      <c r="E8" s="26"/>
      <c r="F8" s="26"/>
      <c r="G8" s="26"/>
    </row>
    <row r="9" spans="1:21" ht="12.75" customHeight="1">
      <c r="A9" s="26"/>
      <c r="B9" s="26"/>
      <c r="C9" s="26"/>
      <c r="D9" s="26"/>
      <c r="E9" s="26"/>
      <c r="F9" s="26"/>
      <c r="G9" s="26"/>
    </row>
    <row r="10" spans="1:21" ht="12.75" customHeight="1">
      <c r="A10" s="26"/>
      <c r="B10" s="26"/>
      <c r="C10" s="26"/>
      <c r="D10" s="26"/>
      <c r="E10" s="26"/>
      <c r="F10" s="26"/>
      <c r="G10" s="26"/>
    </row>
    <row r="11" spans="1:21" ht="12.5">
      <c r="A11" s="34" t="s">
        <v>4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 ht="13.5" thickBot="1">
      <c r="H12" s="35" t="s">
        <v>26</v>
      </c>
      <c r="I12" s="36"/>
      <c r="J12" s="35" t="s">
        <v>27</v>
      </c>
      <c r="K12" s="36"/>
      <c r="L12" s="37" t="s">
        <v>28</v>
      </c>
      <c r="M12" s="36"/>
      <c r="N12" s="35" t="s">
        <v>29</v>
      </c>
      <c r="O12" s="36"/>
      <c r="P12" s="35" t="s">
        <v>30</v>
      </c>
      <c r="Q12" s="36"/>
      <c r="R12" s="37" t="s">
        <v>31</v>
      </c>
      <c r="S12" s="36"/>
      <c r="T12" s="38" t="s">
        <v>32</v>
      </c>
      <c r="U12" s="39"/>
    </row>
    <row r="13" spans="1:21" ht="13" thickBot="1">
      <c r="A13" s="40" t="s">
        <v>7</v>
      </c>
      <c r="B13" s="41"/>
      <c r="C13" s="41"/>
      <c r="D13" s="42"/>
      <c r="E13" s="46" t="s">
        <v>33</v>
      </c>
      <c r="F13" s="41"/>
      <c r="G13" s="42"/>
      <c r="H13" s="47">
        <v>96209</v>
      </c>
      <c r="I13" s="48"/>
      <c r="J13" s="47">
        <v>2324</v>
      </c>
      <c r="K13" s="48"/>
      <c r="L13" s="47">
        <v>128100</v>
      </c>
      <c r="M13" s="48"/>
      <c r="N13" s="47">
        <v>7872</v>
      </c>
      <c r="O13" s="48"/>
      <c r="P13" s="47">
        <v>15686</v>
      </c>
      <c r="Q13" s="48"/>
      <c r="R13" s="47">
        <v>116543</v>
      </c>
      <c r="S13" s="48"/>
      <c r="T13" s="51">
        <v>366734</v>
      </c>
      <c r="U13" s="52"/>
    </row>
    <row r="14" spans="1:21" ht="13" thickBot="1">
      <c r="A14" s="43"/>
      <c r="B14" s="44"/>
      <c r="C14" s="44"/>
      <c r="D14" s="45"/>
      <c r="E14" s="43"/>
      <c r="F14" s="44"/>
      <c r="G14" s="45"/>
      <c r="H14" s="49"/>
      <c r="I14" s="50"/>
      <c r="J14" s="49"/>
      <c r="K14" s="50"/>
      <c r="L14" s="49"/>
      <c r="M14" s="50"/>
      <c r="N14" s="49"/>
      <c r="O14" s="50"/>
      <c r="P14" s="49"/>
      <c r="Q14" s="50"/>
      <c r="R14" s="49"/>
      <c r="S14" s="50"/>
      <c r="T14" s="53"/>
      <c r="U14" s="54"/>
    </row>
    <row r="15" spans="1:21" ht="13" thickBot="1">
      <c r="A15" s="55" t="s">
        <v>34</v>
      </c>
      <c r="B15" s="56"/>
      <c r="C15" s="56"/>
      <c r="D15" s="57"/>
      <c r="E15" s="59" t="s">
        <v>35</v>
      </c>
      <c r="F15" s="56"/>
      <c r="G15" s="57"/>
      <c r="H15" s="47">
        <v>86</v>
      </c>
      <c r="I15" s="48"/>
      <c r="J15" s="47">
        <v>27</v>
      </c>
      <c r="K15" s="48"/>
      <c r="L15" s="47">
        <v>339</v>
      </c>
      <c r="M15" s="48"/>
      <c r="N15" s="47">
        <v>250</v>
      </c>
      <c r="O15" s="48"/>
      <c r="P15" s="47">
        <v>576</v>
      </c>
      <c r="Q15" s="48"/>
      <c r="R15" s="47">
        <v>214</v>
      </c>
      <c r="S15" s="48"/>
      <c r="T15" s="30">
        <f>SUM(H15:S16)</f>
        <v>1492</v>
      </c>
      <c r="U15" s="31"/>
    </row>
    <row r="16" spans="1:21" ht="13" thickBot="1">
      <c r="A16" s="58"/>
      <c r="B16" s="56"/>
      <c r="C16" s="56"/>
      <c r="D16" s="57"/>
      <c r="E16" s="43"/>
      <c r="F16" s="44"/>
      <c r="G16" s="45"/>
      <c r="H16" s="49"/>
      <c r="I16" s="50"/>
      <c r="J16" s="49"/>
      <c r="K16" s="50"/>
      <c r="L16" s="49"/>
      <c r="M16" s="50"/>
      <c r="N16" s="49"/>
      <c r="O16" s="50"/>
      <c r="P16" s="49"/>
      <c r="Q16" s="50"/>
      <c r="R16" s="49"/>
      <c r="S16" s="50"/>
      <c r="T16" s="32"/>
      <c r="U16" s="33"/>
    </row>
    <row r="17" spans="1:21" ht="13" thickBot="1">
      <c r="A17" s="58"/>
      <c r="B17" s="56"/>
      <c r="C17" s="56"/>
      <c r="D17" s="57"/>
      <c r="E17" s="59" t="s">
        <v>36</v>
      </c>
      <c r="F17" s="56"/>
      <c r="G17" s="57"/>
      <c r="H17" s="47">
        <v>1392</v>
      </c>
      <c r="I17" s="48"/>
      <c r="J17" s="47">
        <v>39</v>
      </c>
      <c r="K17" s="48"/>
      <c r="L17" s="47">
        <v>212</v>
      </c>
      <c r="M17" s="48"/>
      <c r="N17" s="47">
        <v>1227</v>
      </c>
      <c r="O17" s="48"/>
      <c r="P17" s="47">
        <v>5670</v>
      </c>
      <c r="Q17" s="48"/>
      <c r="R17" s="47">
        <v>854</v>
      </c>
      <c r="S17" s="48"/>
      <c r="T17" s="30">
        <f t="shared" ref="T17" si="0">SUM(H17:S18)</f>
        <v>9394</v>
      </c>
      <c r="U17" s="31"/>
    </row>
    <row r="18" spans="1:21" ht="13" thickBot="1">
      <c r="A18" s="58"/>
      <c r="B18" s="56"/>
      <c r="C18" s="56"/>
      <c r="D18" s="57"/>
      <c r="E18" s="43"/>
      <c r="F18" s="44"/>
      <c r="G18" s="45"/>
      <c r="H18" s="49"/>
      <c r="I18" s="50"/>
      <c r="J18" s="49"/>
      <c r="K18" s="50"/>
      <c r="L18" s="49"/>
      <c r="M18" s="50"/>
      <c r="N18" s="49"/>
      <c r="O18" s="50"/>
      <c r="P18" s="49"/>
      <c r="Q18" s="50"/>
      <c r="R18" s="49"/>
      <c r="S18" s="50"/>
      <c r="T18" s="32"/>
      <c r="U18" s="33"/>
    </row>
    <row r="19" spans="1:21" ht="13" thickBot="1">
      <c r="A19" s="58"/>
      <c r="B19" s="56"/>
      <c r="C19" s="56"/>
      <c r="D19" s="57"/>
      <c r="E19" s="60" t="s">
        <v>37</v>
      </c>
      <c r="F19" s="56"/>
      <c r="G19" s="57"/>
      <c r="H19" s="47">
        <v>1596</v>
      </c>
      <c r="I19" s="48"/>
      <c r="J19" s="47">
        <v>138</v>
      </c>
      <c r="K19" s="48"/>
      <c r="L19" s="47">
        <v>220</v>
      </c>
      <c r="M19" s="48"/>
      <c r="N19" s="47">
        <v>1092</v>
      </c>
      <c r="O19" s="48"/>
      <c r="P19" s="47">
        <v>5605</v>
      </c>
      <c r="Q19" s="48"/>
      <c r="R19" s="47">
        <v>1823</v>
      </c>
      <c r="S19" s="48"/>
      <c r="T19" s="30">
        <f t="shared" ref="T19" si="1">SUM(H19:S20)</f>
        <v>10474</v>
      </c>
      <c r="U19" s="31"/>
    </row>
    <row r="20" spans="1:21" ht="13" thickBot="1">
      <c r="A20" s="58"/>
      <c r="B20" s="56"/>
      <c r="C20" s="56"/>
      <c r="D20" s="57"/>
      <c r="E20" s="43"/>
      <c r="F20" s="44"/>
      <c r="G20" s="45"/>
      <c r="H20" s="49"/>
      <c r="I20" s="50"/>
      <c r="J20" s="49"/>
      <c r="K20" s="50"/>
      <c r="L20" s="49"/>
      <c r="M20" s="50"/>
      <c r="N20" s="49"/>
      <c r="O20" s="50"/>
      <c r="P20" s="49"/>
      <c r="Q20" s="50"/>
      <c r="R20" s="49"/>
      <c r="S20" s="50"/>
      <c r="T20" s="32"/>
      <c r="U20" s="33"/>
    </row>
    <row r="21" spans="1:21" ht="13" thickBot="1">
      <c r="A21" s="58"/>
      <c r="B21" s="56"/>
      <c r="C21" s="56"/>
      <c r="D21" s="57"/>
      <c r="E21" s="60" t="s">
        <v>23</v>
      </c>
      <c r="F21" s="56"/>
      <c r="G21" s="57"/>
      <c r="H21" s="47">
        <v>1</v>
      </c>
      <c r="I21" s="48"/>
      <c r="J21" s="61" t="s">
        <v>38</v>
      </c>
      <c r="K21" s="48"/>
      <c r="L21" s="61">
        <v>16</v>
      </c>
      <c r="M21" s="48"/>
      <c r="N21" s="47">
        <v>4</v>
      </c>
      <c r="O21" s="48"/>
      <c r="P21" s="47">
        <v>3</v>
      </c>
      <c r="Q21" s="48"/>
      <c r="R21" s="61">
        <v>49</v>
      </c>
      <c r="S21" s="48"/>
      <c r="T21" s="30">
        <f t="shared" ref="T21" si="2">SUM(H21:S22)</f>
        <v>73</v>
      </c>
      <c r="U21" s="31"/>
    </row>
    <row r="22" spans="1:21" ht="13" thickBot="1">
      <c r="A22" s="43"/>
      <c r="B22" s="44"/>
      <c r="C22" s="44"/>
      <c r="D22" s="45"/>
      <c r="E22" s="43"/>
      <c r="F22" s="44"/>
      <c r="G22" s="45"/>
      <c r="H22" s="49"/>
      <c r="I22" s="50"/>
      <c r="J22" s="49"/>
      <c r="K22" s="50"/>
      <c r="L22" s="49"/>
      <c r="M22" s="50"/>
      <c r="N22" s="49"/>
      <c r="O22" s="50"/>
      <c r="P22" s="49"/>
      <c r="Q22" s="50"/>
      <c r="R22" s="49"/>
      <c r="S22" s="50"/>
      <c r="T22" s="32"/>
      <c r="U22" s="33"/>
    </row>
    <row r="23" spans="1:21" ht="13" thickBot="1">
      <c r="A23" s="64" t="s">
        <v>39</v>
      </c>
      <c r="B23" s="56"/>
      <c r="C23" s="56"/>
      <c r="D23" s="57"/>
      <c r="E23" s="64" t="s">
        <v>40</v>
      </c>
      <c r="F23" s="56"/>
      <c r="G23" s="57"/>
      <c r="H23" s="62">
        <v>3079</v>
      </c>
      <c r="I23" s="57"/>
      <c r="J23" s="62">
        <v>205</v>
      </c>
      <c r="K23" s="57"/>
      <c r="L23" s="62">
        <v>284</v>
      </c>
      <c r="M23" s="57"/>
      <c r="N23" s="62">
        <v>2590</v>
      </c>
      <c r="O23" s="57"/>
      <c r="P23" s="62">
        <v>11879</v>
      </c>
      <c r="Q23" s="57"/>
      <c r="R23" s="62">
        <v>2500</v>
      </c>
      <c r="S23" s="57"/>
      <c r="T23" s="30">
        <f t="shared" ref="T23" si="3">SUM(H23:S24)</f>
        <v>20537</v>
      </c>
      <c r="U23" s="31"/>
    </row>
    <row r="24" spans="1:21" ht="13" thickBot="1">
      <c r="A24" s="43"/>
      <c r="B24" s="44"/>
      <c r="C24" s="44"/>
      <c r="D24" s="45"/>
      <c r="E24" s="43"/>
      <c r="F24" s="44"/>
      <c r="G24" s="45"/>
      <c r="H24" s="43"/>
      <c r="I24" s="45"/>
      <c r="J24" s="43"/>
      <c r="K24" s="45"/>
      <c r="L24" s="43"/>
      <c r="M24" s="45"/>
      <c r="N24" s="43"/>
      <c r="O24" s="45"/>
      <c r="P24" s="43"/>
      <c r="Q24" s="45"/>
      <c r="R24" s="43"/>
      <c r="S24" s="45"/>
      <c r="T24" s="32"/>
      <c r="U24" s="33"/>
    </row>
    <row r="25" spans="1:21" ht="13" thickBot="1">
      <c r="A25" s="63" t="s">
        <v>10</v>
      </c>
      <c r="B25" s="56"/>
      <c r="C25" s="56"/>
      <c r="D25" s="57"/>
      <c r="E25" s="60" t="s">
        <v>41</v>
      </c>
      <c r="F25" s="56"/>
      <c r="G25" s="57"/>
      <c r="H25" s="47">
        <v>3144</v>
      </c>
      <c r="I25" s="48"/>
      <c r="J25" s="47">
        <v>183</v>
      </c>
      <c r="K25" s="48"/>
      <c r="L25" s="47">
        <v>3220</v>
      </c>
      <c r="M25" s="48"/>
      <c r="N25" s="47">
        <v>1652</v>
      </c>
      <c r="O25" s="48"/>
      <c r="P25" s="47">
        <v>10660</v>
      </c>
      <c r="Q25" s="48"/>
      <c r="R25" s="47">
        <v>3050</v>
      </c>
      <c r="S25" s="48"/>
      <c r="T25" s="30">
        <v>21909</v>
      </c>
      <c r="U25" s="31"/>
    </row>
    <row r="26" spans="1:21" ht="12.5">
      <c r="A26" s="43"/>
      <c r="B26" s="44"/>
      <c r="C26" s="44"/>
      <c r="D26" s="45"/>
      <c r="E26" s="43"/>
      <c r="F26" s="44"/>
      <c r="G26" s="45"/>
      <c r="H26" s="49"/>
      <c r="I26" s="50"/>
      <c r="J26" s="49"/>
      <c r="K26" s="50"/>
      <c r="L26" s="49"/>
      <c r="M26" s="50"/>
      <c r="N26" s="49"/>
      <c r="O26" s="50"/>
      <c r="P26" s="49"/>
      <c r="Q26" s="50"/>
      <c r="R26" s="49"/>
      <c r="S26" s="50"/>
      <c r="T26" s="32"/>
      <c r="U26" s="33"/>
    </row>
    <row r="27" spans="1:21" ht="12.5">
      <c r="A27" s="63" t="s">
        <v>11</v>
      </c>
      <c r="B27" s="56"/>
      <c r="C27" s="56"/>
      <c r="D27" s="57"/>
      <c r="E27" s="59" t="s">
        <v>42</v>
      </c>
      <c r="F27" s="56"/>
      <c r="G27" s="57"/>
      <c r="H27" s="47">
        <v>96547</v>
      </c>
      <c r="I27" s="48"/>
      <c r="J27" s="47">
        <v>2447</v>
      </c>
      <c r="K27" s="48"/>
      <c r="L27" s="47">
        <v>130764</v>
      </c>
      <c r="M27" s="48"/>
      <c r="N27" s="47">
        <v>6825</v>
      </c>
      <c r="O27" s="48"/>
      <c r="P27" s="47">
        <v>15144</v>
      </c>
      <c r="Q27" s="48"/>
      <c r="R27" s="47">
        <v>117175</v>
      </c>
      <c r="S27" s="48"/>
      <c r="T27" s="30">
        <v>368902</v>
      </c>
      <c r="U27" s="31"/>
    </row>
    <row r="28" spans="1:21" ht="12.5">
      <c r="A28" s="43"/>
      <c r="B28" s="44"/>
      <c r="C28" s="44"/>
      <c r="D28" s="45"/>
      <c r="E28" s="43"/>
      <c r="F28" s="44"/>
      <c r="G28" s="45"/>
      <c r="H28" s="49"/>
      <c r="I28" s="50"/>
      <c r="J28" s="49"/>
      <c r="K28" s="50"/>
      <c r="L28" s="49"/>
      <c r="M28" s="50"/>
      <c r="N28" s="49"/>
      <c r="O28" s="50"/>
      <c r="P28" s="49"/>
      <c r="Q28" s="50"/>
      <c r="R28" s="49"/>
      <c r="S28" s="50"/>
      <c r="T28" s="32"/>
      <c r="U28" s="33"/>
    </row>
    <row r="29" spans="1:21" ht="12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 spans="1:21" ht="12.75" customHeight="1">
      <c r="A30" s="65" t="s">
        <v>43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</row>
    <row r="31" spans="1:21" ht="12.7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</row>
    <row r="32" spans="1:21" ht="13">
      <c r="A32" s="66" t="s">
        <v>44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</row>
    <row r="33" spans="1:21" ht="12.75" customHeight="1">
      <c r="A33" s="67" t="s">
        <v>45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</row>
    <row r="34" spans="1:21" ht="12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</row>
    <row r="35" spans="1:21" ht="12.75" customHeight="1">
      <c r="A35" s="67" t="s">
        <v>46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</row>
    <row r="36" spans="1:21" ht="12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1:21" ht="12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</row>
    <row r="38" spans="1:21" ht="12.5">
      <c r="A38" s="68" t="s">
        <v>47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</row>
    <row r="39" spans="1:21" ht="12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</row>
  </sheetData>
  <mergeCells count="85">
    <mergeCell ref="A37:U37"/>
    <mergeCell ref="A38:U39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T15:U16"/>
    <mergeCell ref="T17:U18"/>
    <mergeCell ref="T19:U20"/>
    <mergeCell ref="T21:U22"/>
    <mergeCell ref="T23:U24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topLeftCell="A3" zoomScaleNormal="100" workbookViewId="0">
      <selection activeCell="P24" sqref="P24"/>
    </sheetView>
  </sheetViews>
  <sheetFormatPr defaultRowHeight="12.75" customHeight="1"/>
  <cols>
    <col min="1" max="1" width="18.1796875" bestFit="1" customWidth="1"/>
    <col min="2" max="13" width="8.1796875" customWidth="1"/>
  </cols>
  <sheetData>
    <row r="1" spans="1:13" ht="23.25" customHeight="1">
      <c r="A1" s="26"/>
      <c r="B1" s="26"/>
      <c r="C1" s="26"/>
      <c r="D1" s="26"/>
      <c r="E1" s="26"/>
      <c r="F1" s="26"/>
      <c r="G1" s="26"/>
      <c r="H1" s="6" t="s">
        <v>48</v>
      </c>
    </row>
    <row r="2" spans="1:13" ht="12.75" customHeight="1">
      <c r="A2" s="26"/>
      <c r="B2" s="26"/>
      <c r="C2" s="26"/>
      <c r="D2" s="26"/>
      <c r="E2" s="26"/>
      <c r="F2" s="26"/>
      <c r="G2" s="26"/>
    </row>
    <row r="3" spans="1:13" ht="12.75" customHeight="1">
      <c r="A3" s="26"/>
      <c r="B3" s="26"/>
      <c r="C3" s="26"/>
      <c r="D3" s="26"/>
      <c r="E3" s="26"/>
      <c r="F3" s="26"/>
      <c r="G3" s="26"/>
    </row>
    <row r="4" spans="1:13" ht="12.75" customHeight="1">
      <c r="A4" s="26"/>
      <c r="B4" s="26"/>
      <c r="C4" s="26"/>
      <c r="D4" s="26"/>
      <c r="E4" s="26"/>
      <c r="F4" s="26"/>
      <c r="G4" s="26"/>
    </row>
    <row r="5" spans="1:13" ht="12.75" customHeight="1">
      <c r="A5" s="26"/>
      <c r="B5" s="26"/>
      <c r="C5" s="26"/>
      <c r="D5" s="26"/>
      <c r="E5" s="26"/>
      <c r="F5" s="26"/>
      <c r="G5" s="26"/>
    </row>
    <row r="6" spans="1:13" ht="12.75" customHeight="1">
      <c r="A6" s="26"/>
      <c r="B6" s="26"/>
      <c r="C6" s="26"/>
      <c r="D6" s="26"/>
      <c r="E6" s="26"/>
      <c r="F6" s="26"/>
      <c r="G6" s="26"/>
    </row>
    <row r="7" spans="1:13" ht="12.75" customHeight="1">
      <c r="A7" s="26"/>
      <c r="B7" s="26"/>
      <c r="C7" s="26"/>
      <c r="D7" s="26"/>
      <c r="E7" s="26"/>
      <c r="F7" s="26"/>
      <c r="G7" s="26"/>
    </row>
    <row r="8" spans="1:13" ht="12.75" customHeight="1">
      <c r="A8" s="26"/>
      <c r="B8" s="26"/>
      <c r="C8" s="26"/>
      <c r="D8" s="26"/>
      <c r="E8" s="26"/>
      <c r="F8" s="26"/>
      <c r="G8" s="26"/>
    </row>
    <row r="9" spans="1:13" ht="12.75" customHeight="1">
      <c r="A9" s="26"/>
      <c r="B9" s="26"/>
      <c r="C9" s="26"/>
      <c r="D9" s="26"/>
      <c r="E9" s="26"/>
      <c r="F9" s="26"/>
      <c r="G9" s="26"/>
    </row>
    <row r="10" spans="1:13" ht="12.75" customHeight="1">
      <c r="A10" s="26"/>
      <c r="B10" s="26"/>
      <c r="C10" s="26"/>
      <c r="D10" s="26"/>
      <c r="E10" s="26"/>
      <c r="F10" s="26"/>
      <c r="G10" s="26"/>
    </row>
    <row r="11" spans="1:13" ht="12.5">
      <c r="A11" s="34" t="s">
        <v>4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spans="1:13" ht="18.75" customHeight="1">
      <c r="A12" s="69" t="s">
        <v>49</v>
      </c>
      <c r="B12" s="35" t="s">
        <v>26</v>
      </c>
      <c r="C12" s="36"/>
      <c r="D12" s="35" t="s">
        <v>27</v>
      </c>
      <c r="E12" s="36"/>
      <c r="F12" s="35" t="s">
        <v>50</v>
      </c>
      <c r="G12" s="36"/>
      <c r="H12" s="35" t="s">
        <v>29</v>
      </c>
      <c r="I12" s="36"/>
      <c r="J12" s="35" t="s">
        <v>30</v>
      </c>
      <c r="K12" s="36"/>
      <c r="L12" s="35" t="s">
        <v>51</v>
      </c>
      <c r="M12" s="36"/>
    </row>
    <row r="13" spans="1:13" ht="12.5">
      <c r="A13" s="26"/>
      <c r="B13" s="13" t="s">
        <v>52</v>
      </c>
      <c r="C13" s="13" t="s">
        <v>53</v>
      </c>
      <c r="D13" s="13" t="s">
        <v>52</v>
      </c>
      <c r="E13" s="13" t="s">
        <v>53</v>
      </c>
      <c r="F13" s="13" t="s">
        <v>52</v>
      </c>
      <c r="G13" s="13" t="s">
        <v>53</v>
      </c>
      <c r="H13" s="13" t="s">
        <v>52</v>
      </c>
      <c r="I13" s="13" t="s">
        <v>53</v>
      </c>
      <c r="J13" s="13" t="s">
        <v>52</v>
      </c>
      <c r="K13" s="13" t="s">
        <v>53</v>
      </c>
      <c r="L13" s="13" t="s">
        <v>52</v>
      </c>
      <c r="M13" s="13" t="s">
        <v>53</v>
      </c>
    </row>
    <row r="14" spans="1:13" ht="13">
      <c r="A14" s="11" t="s">
        <v>54</v>
      </c>
      <c r="B14" s="16">
        <v>7566</v>
      </c>
      <c r="C14" s="17">
        <v>7.8366000000000005E-2</v>
      </c>
      <c r="D14" s="16">
        <v>611</v>
      </c>
      <c r="E14" s="17">
        <v>0.24969350000000001</v>
      </c>
      <c r="F14" s="16">
        <v>8304</v>
      </c>
      <c r="G14" s="17">
        <v>6.3503699999999996E-2</v>
      </c>
      <c r="H14" s="16">
        <v>3663</v>
      </c>
      <c r="I14" s="17">
        <v>0.53670329999999999</v>
      </c>
      <c r="J14" s="16">
        <v>15144</v>
      </c>
      <c r="K14" s="17">
        <v>1</v>
      </c>
      <c r="L14" s="16">
        <v>8151</v>
      </c>
      <c r="M14" s="17">
        <v>6.9562600000000002E-2</v>
      </c>
    </row>
    <row r="15" spans="1:13" ht="13">
      <c r="A15" s="12" t="s">
        <v>55</v>
      </c>
      <c r="B15" s="16">
        <v>6855</v>
      </c>
      <c r="C15" s="17">
        <v>7.1001700000000001E-2</v>
      </c>
      <c r="D15" s="16">
        <v>662</v>
      </c>
      <c r="E15" s="17">
        <v>0.27053529999999998</v>
      </c>
      <c r="F15" s="16">
        <v>8526</v>
      </c>
      <c r="G15" s="17">
        <v>6.5201400000000007E-2</v>
      </c>
      <c r="H15" s="16">
        <v>3160</v>
      </c>
      <c r="I15" s="17">
        <v>0.46300370000000002</v>
      </c>
      <c r="J15" s="15"/>
      <c r="K15" s="15"/>
      <c r="L15" s="16">
        <v>8453</v>
      </c>
      <c r="M15" s="17">
        <v>7.2139999999999996E-2</v>
      </c>
    </row>
    <row r="16" spans="1:13" ht="13">
      <c r="A16" s="12" t="s">
        <v>56</v>
      </c>
      <c r="B16" s="16">
        <v>5917</v>
      </c>
      <c r="C16" s="17">
        <v>6.1286199999999999E-2</v>
      </c>
      <c r="D16" s="16">
        <v>488</v>
      </c>
      <c r="E16" s="17">
        <v>0.19942789999999999</v>
      </c>
      <c r="F16" s="16">
        <v>8089</v>
      </c>
      <c r="G16" s="17">
        <v>6.1859499999999998E-2</v>
      </c>
      <c r="H16" s="16">
        <v>1</v>
      </c>
      <c r="I16" s="17">
        <v>1.4650000000000001E-4</v>
      </c>
      <c r="J16" s="15"/>
      <c r="K16" s="15"/>
      <c r="L16" s="16">
        <v>8113</v>
      </c>
      <c r="M16" s="17">
        <v>6.9238300000000003E-2</v>
      </c>
    </row>
    <row r="17" spans="1:13" ht="13">
      <c r="A17" s="12" t="s">
        <v>57</v>
      </c>
      <c r="B17" s="16">
        <v>5428</v>
      </c>
      <c r="C17" s="17">
        <v>5.6221300000000002E-2</v>
      </c>
      <c r="D17" s="16">
        <v>326</v>
      </c>
      <c r="E17" s="17">
        <v>0.13322439999999999</v>
      </c>
      <c r="F17" s="16">
        <v>7396</v>
      </c>
      <c r="G17" s="17">
        <v>5.6559900000000003E-2</v>
      </c>
      <c r="H17" s="15"/>
      <c r="I17" s="15"/>
      <c r="J17" s="15"/>
      <c r="K17" s="15"/>
      <c r="L17" s="16">
        <v>7384</v>
      </c>
      <c r="M17" s="17">
        <v>6.3016900000000001E-2</v>
      </c>
    </row>
    <row r="18" spans="1:13" ht="13">
      <c r="A18" s="12" t="s">
        <v>58</v>
      </c>
      <c r="B18" s="16">
        <v>4831</v>
      </c>
      <c r="C18" s="17">
        <v>5.00378E-2</v>
      </c>
      <c r="D18" s="16">
        <v>231</v>
      </c>
      <c r="E18" s="17">
        <v>9.4401299999999994E-2</v>
      </c>
      <c r="F18" s="16">
        <v>6233</v>
      </c>
      <c r="G18" s="17">
        <v>4.7666E-2</v>
      </c>
      <c r="H18" s="15"/>
      <c r="I18" s="15"/>
      <c r="J18" s="15"/>
      <c r="K18" s="15"/>
      <c r="L18" s="16">
        <v>6252</v>
      </c>
      <c r="M18" s="17">
        <v>5.3356099999999997E-2</v>
      </c>
    </row>
    <row r="19" spans="1:13" ht="13">
      <c r="A19" s="12" t="s">
        <v>59</v>
      </c>
      <c r="B19" s="16">
        <v>3915</v>
      </c>
      <c r="C19" s="17">
        <v>4.0550200000000002E-2</v>
      </c>
      <c r="D19" s="16">
        <v>129</v>
      </c>
      <c r="E19" s="17">
        <v>5.2717600000000003E-2</v>
      </c>
      <c r="F19" s="16">
        <v>6136</v>
      </c>
      <c r="G19" s="17">
        <v>4.6924199999999999E-2</v>
      </c>
      <c r="H19" s="15"/>
      <c r="I19" s="15"/>
      <c r="J19" s="15"/>
      <c r="K19" s="15"/>
      <c r="L19" s="16">
        <v>6238</v>
      </c>
      <c r="M19" s="17">
        <v>5.3236600000000002E-2</v>
      </c>
    </row>
    <row r="20" spans="1:13" ht="13">
      <c r="A20" s="12" t="s">
        <v>60</v>
      </c>
      <c r="B20" s="16">
        <v>6090</v>
      </c>
      <c r="C20" s="17">
        <v>6.3078099999999998E-2</v>
      </c>
      <c r="D20" s="15"/>
      <c r="E20" s="15"/>
      <c r="F20" s="16">
        <v>8271</v>
      </c>
      <c r="G20" s="17">
        <v>6.3251399999999999E-2</v>
      </c>
      <c r="H20" s="15"/>
      <c r="I20" s="15"/>
      <c r="J20" s="15"/>
      <c r="K20" s="15"/>
      <c r="L20" s="16">
        <v>8456</v>
      </c>
      <c r="M20" s="17">
        <v>7.2165599999999996E-2</v>
      </c>
    </row>
    <row r="21" spans="1:13" ht="13">
      <c r="A21" s="12" t="s">
        <v>61</v>
      </c>
      <c r="B21" s="16">
        <v>5883</v>
      </c>
      <c r="C21" s="17">
        <v>6.0934099999999998E-2</v>
      </c>
      <c r="D21" s="15"/>
      <c r="E21" s="15"/>
      <c r="F21" s="16">
        <v>8071</v>
      </c>
      <c r="G21" s="17">
        <v>6.1721900000000003E-2</v>
      </c>
      <c r="H21" s="15"/>
      <c r="I21" s="15"/>
      <c r="J21" s="15"/>
      <c r="K21" s="15"/>
      <c r="L21" s="16">
        <v>8255</v>
      </c>
      <c r="M21" s="17">
        <v>7.0450200000000004E-2</v>
      </c>
    </row>
    <row r="22" spans="1:13" ht="13">
      <c r="A22" s="12" t="s">
        <v>62</v>
      </c>
      <c r="B22" s="16">
        <v>6120</v>
      </c>
      <c r="C22" s="17">
        <v>6.3388799999999995E-2</v>
      </c>
      <c r="D22" s="15"/>
      <c r="E22" s="15"/>
      <c r="F22" s="16">
        <v>8086</v>
      </c>
      <c r="G22" s="17">
        <v>6.1836599999999999E-2</v>
      </c>
      <c r="H22" s="16">
        <v>1</v>
      </c>
      <c r="I22" s="17">
        <v>1.4650000000000001E-4</v>
      </c>
      <c r="J22" s="15"/>
      <c r="K22" s="15"/>
      <c r="L22" s="16">
        <v>8341</v>
      </c>
      <c r="M22" s="17">
        <v>7.11841E-2</v>
      </c>
    </row>
    <row r="23" spans="1:13" ht="13">
      <c r="A23" s="12" t="s">
        <v>63</v>
      </c>
      <c r="B23" s="16">
        <v>5673</v>
      </c>
      <c r="C23" s="17">
        <v>5.8758900000000003E-2</v>
      </c>
      <c r="D23" s="15"/>
      <c r="E23" s="15"/>
      <c r="F23" s="16">
        <v>8578</v>
      </c>
      <c r="G23" s="17">
        <v>6.5599099999999994E-2</v>
      </c>
      <c r="H23" s="15"/>
      <c r="I23" s="15"/>
      <c r="J23" s="15"/>
      <c r="K23" s="15"/>
      <c r="L23" s="16">
        <v>8792</v>
      </c>
      <c r="M23" s="17">
        <v>7.5033100000000005E-2</v>
      </c>
    </row>
    <row r="24" spans="1:13" ht="13">
      <c r="A24" s="12" t="s">
        <v>64</v>
      </c>
      <c r="B24" s="16">
        <v>5078</v>
      </c>
      <c r="C24" s="17">
        <v>5.25961E-2</v>
      </c>
      <c r="D24" s="15"/>
      <c r="E24" s="15"/>
      <c r="F24" s="16">
        <v>7472</v>
      </c>
      <c r="G24" s="17">
        <v>5.71411E-2</v>
      </c>
      <c r="H24" s="15"/>
      <c r="I24" s="15"/>
      <c r="J24" s="15"/>
      <c r="K24" s="15"/>
      <c r="L24" s="16">
        <v>7372</v>
      </c>
      <c r="M24" s="17">
        <v>6.2914399999999995E-2</v>
      </c>
    </row>
    <row r="25" spans="1:13" ht="13">
      <c r="A25" s="12" t="s">
        <v>65</v>
      </c>
      <c r="B25" s="16">
        <v>4592</v>
      </c>
      <c r="C25" s="17">
        <v>4.7562300000000002E-2</v>
      </c>
      <c r="D25" s="15"/>
      <c r="E25" s="15"/>
      <c r="F25" s="16">
        <v>6580</v>
      </c>
      <c r="G25" s="17">
        <v>5.0319700000000002E-2</v>
      </c>
      <c r="H25" s="15"/>
      <c r="I25" s="15"/>
      <c r="J25" s="15"/>
      <c r="K25" s="15"/>
      <c r="L25" s="16">
        <v>6565</v>
      </c>
      <c r="M25" s="17">
        <v>5.6027300000000002E-2</v>
      </c>
    </row>
    <row r="26" spans="1:13" ht="13">
      <c r="A26" s="12" t="s">
        <v>66</v>
      </c>
      <c r="B26" s="16">
        <v>4674</v>
      </c>
      <c r="C26" s="17">
        <v>4.8411700000000002E-2</v>
      </c>
      <c r="D26" s="15"/>
      <c r="E26" s="15"/>
      <c r="F26" s="16">
        <v>6601</v>
      </c>
      <c r="G26" s="17">
        <v>5.0480299999999999E-2</v>
      </c>
      <c r="H26" s="15"/>
      <c r="I26" s="15"/>
      <c r="J26" s="15"/>
      <c r="K26" s="15"/>
      <c r="L26" s="16">
        <v>6777</v>
      </c>
      <c r="M26" s="17">
        <v>5.7836600000000002E-2</v>
      </c>
    </row>
    <row r="27" spans="1:13" ht="13">
      <c r="A27" s="12" t="s">
        <v>67</v>
      </c>
      <c r="B27" s="16">
        <v>4999</v>
      </c>
      <c r="C27" s="17">
        <v>5.1777900000000002E-2</v>
      </c>
      <c r="D27" s="15"/>
      <c r="E27" s="15"/>
      <c r="F27" s="16">
        <v>7462</v>
      </c>
      <c r="G27" s="17">
        <v>5.70646E-2</v>
      </c>
      <c r="H27" s="15"/>
      <c r="I27" s="15"/>
      <c r="J27" s="15"/>
      <c r="K27" s="15"/>
      <c r="L27" s="16">
        <v>7556</v>
      </c>
      <c r="M27" s="17">
        <v>6.4484700000000006E-2</v>
      </c>
    </row>
    <row r="28" spans="1:13" ht="13">
      <c r="A28" s="12" t="s">
        <v>68</v>
      </c>
      <c r="B28" s="16">
        <v>5855</v>
      </c>
      <c r="C28" s="17">
        <v>6.0644000000000003E-2</v>
      </c>
      <c r="D28" s="15"/>
      <c r="E28" s="15"/>
      <c r="F28" s="16">
        <v>7391</v>
      </c>
      <c r="G28" s="17">
        <v>5.6521700000000001E-2</v>
      </c>
      <c r="H28" s="15"/>
      <c r="I28" s="15"/>
      <c r="J28" s="15"/>
      <c r="K28" s="15"/>
      <c r="L28" s="16">
        <v>7375</v>
      </c>
      <c r="M28" s="17">
        <v>6.2939999999999996E-2</v>
      </c>
    </row>
    <row r="29" spans="1:13" ht="13">
      <c r="A29" s="12" t="s">
        <v>69</v>
      </c>
      <c r="B29" s="16">
        <v>6761</v>
      </c>
      <c r="C29" s="17">
        <v>7.0028099999999996E-2</v>
      </c>
      <c r="D29" s="15"/>
      <c r="E29" s="15"/>
      <c r="F29" s="16">
        <v>7794</v>
      </c>
      <c r="G29" s="17">
        <v>5.96036E-2</v>
      </c>
      <c r="H29" s="15"/>
      <c r="I29" s="15"/>
      <c r="J29" s="15"/>
      <c r="K29" s="15"/>
      <c r="L29" s="16">
        <v>3095</v>
      </c>
      <c r="M29" s="17">
        <v>2.6413499999999999E-2</v>
      </c>
    </row>
    <row r="30" spans="1:13" ht="13">
      <c r="A30" s="12" t="s">
        <v>70</v>
      </c>
      <c r="B30" s="16">
        <v>5824</v>
      </c>
      <c r="C30" s="17">
        <v>6.0323000000000002E-2</v>
      </c>
      <c r="D30" s="15"/>
      <c r="E30" s="15"/>
      <c r="F30" s="16">
        <v>6918</v>
      </c>
      <c r="G30" s="17">
        <v>5.29045E-2</v>
      </c>
      <c r="H30" s="15"/>
      <c r="I30" s="15"/>
      <c r="J30" s="15"/>
      <c r="K30" s="15"/>
      <c r="L30" s="15"/>
      <c r="M30" s="15"/>
    </row>
    <row r="31" spans="1:13" ht="13">
      <c r="A31" s="12" t="s">
        <v>71</v>
      </c>
      <c r="B31" s="16">
        <v>486</v>
      </c>
      <c r="C31" s="17">
        <v>5.0337999999999997E-3</v>
      </c>
      <c r="D31" s="15"/>
      <c r="E31" s="15"/>
      <c r="F31" s="16">
        <v>2855</v>
      </c>
      <c r="G31" s="17">
        <v>2.1833200000000001E-2</v>
      </c>
      <c r="H31" s="15"/>
      <c r="I31" s="15"/>
      <c r="J31" s="15"/>
      <c r="K31" s="15"/>
      <c r="L31" s="15"/>
      <c r="M31" s="15"/>
    </row>
    <row r="32" spans="1:13" ht="13">
      <c r="A32" s="12" t="s">
        <v>72</v>
      </c>
      <c r="B32" s="15"/>
      <c r="C32" s="15"/>
      <c r="D32" s="15"/>
      <c r="E32" s="15"/>
      <c r="F32" s="16">
        <v>1</v>
      </c>
      <c r="G32" s="17">
        <v>7.6000000000000001E-6</v>
      </c>
      <c r="H32" s="15"/>
      <c r="I32" s="15"/>
      <c r="J32" s="15"/>
      <c r="K32" s="15"/>
      <c r="L32" s="15"/>
      <c r="M32" s="15"/>
    </row>
    <row r="33" spans="1:13" ht="13">
      <c r="A33" s="18" t="s">
        <v>32</v>
      </c>
      <c r="B33" s="19">
        <v>96547</v>
      </c>
      <c r="C33" s="20">
        <v>1</v>
      </c>
      <c r="D33" s="19">
        <v>2447</v>
      </c>
      <c r="E33" s="20">
        <v>1</v>
      </c>
      <c r="F33" s="19">
        <v>130764</v>
      </c>
      <c r="G33" s="20">
        <v>1</v>
      </c>
      <c r="H33" s="19">
        <v>6825</v>
      </c>
      <c r="I33" s="20">
        <v>1</v>
      </c>
      <c r="J33" s="19">
        <v>15144</v>
      </c>
      <c r="K33" s="20">
        <v>1</v>
      </c>
      <c r="L33" s="19">
        <v>117175</v>
      </c>
      <c r="M33" s="20">
        <v>1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workbookViewId="0">
      <selection activeCell="H2" sqref="H2"/>
    </sheetView>
  </sheetViews>
  <sheetFormatPr defaultRowHeight="12.75" customHeight="1"/>
  <cols>
    <col min="1" max="1" width="19.453125" bestFit="1" customWidth="1"/>
    <col min="2" max="13" width="8.1796875" customWidth="1"/>
  </cols>
  <sheetData>
    <row r="1" spans="1:13" ht="23.25" customHeight="1">
      <c r="A1" s="26"/>
      <c r="B1" s="26"/>
      <c r="C1" s="26"/>
      <c r="D1" s="26"/>
      <c r="E1" s="26"/>
      <c r="F1" s="26"/>
      <c r="G1" s="26"/>
      <c r="H1" s="6" t="s">
        <v>156</v>
      </c>
      <c r="I1" s="6"/>
      <c r="J1" s="6"/>
    </row>
    <row r="2" spans="1:13" ht="12.75" customHeight="1">
      <c r="A2" s="26"/>
      <c r="B2" s="26"/>
      <c r="C2" s="26"/>
      <c r="D2" s="26"/>
      <c r="E2" s="26"/>
      <c r="F2" s="26"/>
      <c r="G2" s="26"/>
    </row>
    <row r="3" spans="1:13" ht="12.75" customHeight="1">
      <c r="A3" s="26"/>
      <c r="B3" s="26"/>
      <c r="C3" s="26"/>
      <c r="D3" s="26"/>
      <c r="E3" s="26"/>
      <c r="F3" s="26"/>
      <c r="G3" s="26"/>
    </row>
    <row r="4" spans="1:13" ht="12.75" customHeight="1">
      <c r="A4" s="26"/>
      <c r="B4" s="26"/>
      <c r="C4" s="26"/>
      <c r="D4" s="26"/>
      <c r="E4" s="26"/>
      <c r="F4" s="26"/>
      <c r="G4" s="26"/>
    </row>
    <row r="5" spans="1:13" ht="12.75" customHeight="1">
      <c r="A5" s="26"/>
      <c r="B5" s="26"/>
      <c r="C5" s="26"/>
      <c r="D5" s="26"/>
      <c r="E5" s="26"/>
      <c r="F5" s="26"/>
      <c r="G5" s="26"/>
    </row>
    <row r="6" spans="1:13" ht="12.75" customHeight="1">
      <c r="A6" s="26"/>
      <c r="B6" s="26"/>
      <c r="C6" s="26"/>
      <c r="D6" s="26"/>
      <c r="E6" s="26"/>
      <c r="F6" s="26"/>
      <c r="G6" s="26"/>
    </row>
    <row r="7" spans="1:13" ht="12.75" customHeight="1">
      <c r="A7" s="26"/>
      <c r="B7" s="26"/>
      <c r="C7" s="26"/>
      <c r="D7" s="26"/>
      <c r="E7" s="26"/>
      <c r="F7" s="26"/>
      <c r="G7" s="26"/>
    </row>
    <row r="8" spans="1:13" ht="12.75" customHeight="1">
      <c r="A8" s="26"/>
      <c r="B8" s="26"/>
      <c r="C8" s="26"/>
      <c r="D8" s="26"/>
      <c r="E8" s="26"/>
      <c r="F8" s="26"/>
      <c r="G8" s="26"/>
    </row>
    <row r="9" spans="1:13" ht="12.75" customHeight="1">
      <c r="A9" s="26"/>
      <c r="B9" s="26"/>
      <c r="C9" s="26"/>
      <c r="D9" s="26"/>
      <c r="E9" s="26"/>
      <c r="F9" s="26"/>
      <c r="G9" s="26"/>
    </row>
    <row r="10" spans="1:13" ht="12.75" customHeight="1">
      <c r="A10" s="26"/>
      <c r="B10" s="26"/>
      <c r="C10" s="26"/>
      <c r="D10" s="26"/>
      <c r="E10" s="26"/>
      <c r="F10" s="26"/>
      <c r="G10" s="26"/>
    </row>
    <row r="11" spans="1:13" ht="12.5">
      <c r="A11" s="34" t="s">
        <v>4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spans="1:13" ht="18.75" customHeight="1">
      <c r="A12" s="69" t="s">
        <v>73</v>
      </c>
      <c r="B12" s="35" t="s">
        <v>26</v>
      </c>
      <c r="C12" s="36"/>
      <c r="D12" s="35" t="s">
        <v>27</v>
      </c>
      <c r="E12" s="36"/>
      <c r="F12" s="37" t="s">
        <v>74</v>
      </c>
      <c r="G12" s="36"/>
      <c r="H12" s="35" t="s">
        <v>29</v>
      </c>
      <c r="I12" s="36"/>
      <c r="J12" s="35" t="s">
        <v>30</v>
      </c>
      <c r="K12" s="36"/>
      <c r="L12" s="37" t="s">
        <v>75</v>
      </c>
      <c r="M12" s="36"/>
    </row>
    <row r="13" spans="1:13" ht="12.5">
      <c r="A13" s="26"/>
      <c r="B13" s="13" t="s">
        <v>76</v>
      </c>
      <c r="C13" s="13" t="s">
        <v>53</v>
      </c>
      <c r="D13" s="13" t="s">
        <v>76</v>
      </c>
      <c r="E13" s="13" t="s">
        <v>53</v>
      </c>
      <c r="F13" s="13" t="s">
        <v>76</v>
      </c>
      <c r="G13" s="13" t="s">
        <v>53</v>
      </c>
      <c r="H13" s="13" t="s">
        <v>76</v>
      </c>
      <c r="I13" s="13" t="s">
        <v>53</v>
      </c>
      <c r="J13" s="13" t="s">
        <v>76</v>
      </c>
      <c r="K13" s="13" t="s">
        <v>53</v>
      </c>
      <c r="L13" s="13" t="s">
        <v>76</v>
      </c>
      <c r="M13" s="13" t="s">
        <v>53</v>
      </c>
    </row>
    <row r="14" spans="1:13" ht="13">
      <c r="A14" s="11" t="s">
        <v>15</v>
      </c>
      <c r="B14" s="16">
        <v>86</v>
      </c>
      <c r="C14" s="17">
        <v>5.8186700000000001E-2</v>
      </c>
      <c r="D14" s="16">
        <v>27</v>
      </c>
      <c r="E14" s="17">
        <v>0.40909089999999998</v>
      </c>
      <c r="F14" s="16">
        <v>339</v>
      </c>
      <c r="G14" s="17">
        <v>0.59788359788359791</v>
      </c>
      <c r="H14" s="16">
        <v>251</v>
      </c>
      <c r="I14" s="17">
        <v>0.1692515</v>
      </c>
      <c r="J14" s="16">
        <v>640</v>
      </c>
      <c r="K14" s="17">
        <v>0.1012498</v>
      </c>
      <c r="L14" s="16">
        <v>214</v>
      </c>
      <c r="M14" s="17">
        <v>0.19158460161145927</v>
      </c>
    </row>
    <row r="15" spans="1:13" ht="13">
      <c r="A15" s="12" t="s">
        <v>16</v>
      </c>
      <c r="B15" s="16">
        <v>55</v>
      </c>
      <c r="C15" s="17">
        <v>3.72124E-2</v>
      </c>
      <c r="D15" s="16" t="s">
        <v>38</v>
      </c>
      <c r="E15" s="17"/>
      <c r="F15" s="16">
        <v>6</v>
      </c>
      <c r="G15" s="17">
        <v>1.0582010582010581E-2</v>
      </c>
      <c r="H15" s="16">
        <v>31</v>
      </c>
      <c r="I15" s="17">
        <v>2.0903600000000001E-2</v>
      </c>
      <c r="J15" s="16">
        <v>234</v>
      </c>
      <c r="K15" s="17">
        <v>3.7019499999999997E-2</v>
      </c>
      <c r="L15" s="16">
        <v>27</v>
      </c>
      <c r="M15" s="17">
        <v>2.4171888988361683E-2</v>
      </c>
    </row>
    <row r="16" spans="1:13" ht="13">
      <c r="A16" s="12" t="s">
        <v>17</v>
      </c>
      <c r="B16" s="16">
        <v>203</v>
      </c>
      <c r="C16" s="17">
        <v>0.13734779999999999</v>
      </c>
      <c r="D16" s="16">
        <v>7</v>
      </c>
      <c r="E16" s="17">
        <v>0.1060606</v>
      </c>
      <c r="F16" s="16">
        <v>81</v>
      </c>
      <c r="G16" s="17">
        <v>0.14285714285714285</v>
      </c>
      <c r="H16" s="16">
        <v>226</v>
      </c>
      <c r="I16" s="17">
        <v>0.1523938</v>
      </c>
      <c r="J16" s="16">
        <v>570</v>
      </c>
      <c r="K16" s="17">
        <v>9.0175599999999995E-2</v>
      </c>
      <c r="L16" s="16">
        <v>354</v>
      </c>
      <c r="M16" s="17">
        <v>0.31692032229185318</v>
      </c>
    </row>
    <row r="17" spans="1:13" ht="13">
      <c r="A17" s="12" t="s">
        <v>18</v>
      </c>
      <c r="B17" s="16">
        <v>51</v>
      </c>
      <c r="C17" s="17">
        <v>3.4506099999999998E-2</v>
      </c>
      <c r="D17" s="16">
        <v>1</v>
      </c>
      <c r="E17" s="17">
        <v>1.51515E-2</v>
      </c>
      <c r="F17" s="16">
        <v>50</v>
      </c>
      <c r="G17" s="17">
        <v>8.8183421516754845E-2</v>
      </c>
      <c r="H17" s="16">
        <v>205</v>
      </c>
      <c r="I17" s="17">
        <v>0.1382333</v>
      </c>
      <c r="J17" s="16">
        <v>525</v>
      </c>
      <c r="K17" s="17">
        <v>8.3056500000000005E-2</v>
      </c>
      <c r="L17" s="16">
        <v>101</v>
      </c>
      <c r="M17" s="17">
        <v>9.0420769919427033E-2</v>
      </c>
    </row>
    <row r="18" spans="1:13" ht="13">
      <c r="A18" s="12" t="s">
        <v>19</v>
      </c>
      <c r="B18" s="16">
        <v>930</v>
      </c>
      <c r="C18" s="17">
        <v>0.62922869999999997</v>
      </c>
      <c r="D18" s="16">
        <v>25</v>
      </c>
      <c r="E18" s="17">
        <v>0.37878790000000001</v>
      </c>
      <c r="F18" s="16">
        <v>35</v>
      </c>
      <c r="G18" s="17">
        <v>6.1728395061728392E-2</v>
      </c>
      <c r="H18" s="16">
        <v>465</v>
      </c>
      <c r="I18" s="17">
        <v>0.31355359999999999</v>
      </c>
      <c r="J18" s="16">
        <v>2902</v>
      </c>
      <c r="K18" s="17">
        <v>0.45910459999999997</v>
      </c>
      <c r="L18" s="16">
        <v>137</v>
      </c>
      <c r="M18" s="17">
        <v>0.12264995523724262</v>
      </c>
    </row>
    <row r="19" spans="1:13" ht="13">
      <c r="A19" s="12" t="s">
        <v>20</v>
      </c>
      <c r="B19" s="16">
        <v>20</v>
      </c>
      <c r="C19" s="17">
        <v>1.35318E-2</v>
      </c>
      <c r="D19" s="16">
        <v>2</v>
      </c>
      <c r="E19" s="17">
        <v>3.0303E-2</v>
      </c>
      <c r="F19" s="16">
        <v>40</v>
      </c>
      <c r="G19" s="17">
        <v>7.0546737213403876E-2</v>
      </c>
      <c r="H19" s="16" t="s">
        <v>38</v>
      </c>
      <c r="I19" s="17"/>
      <c r="J19" s="16">
        <v>25</v>
      </c>
      <c r="K19" s="17">
        <v>3.9550999999999996E-3</v>
      </c>
      <c r="L19" s="16">
        <v>235</v>
      </c>
      <c r="M19" s="17">
        <v>0.21038495971351837</v>
      </c>
    </row>
    <row r="20" spans="1:13" ht="13">
      <c r="A20" s="12" t="s">
        <v>21</v>
      </c>
      <c r="B20" s="16">
        <v>132</v>
      </c>
      <c r="C20" s="17">
        <v>8.9309899999999998E-2</v>
      </c>
      <c r="D20" s="16">
        <v>4</v>
      </c>
      <c r="E20" s="17">
        <v>6.0606100000000003E-2</v>
      </c>
      <c r="F20" s="16">
        <v>0</v>
      </c>
      <c r="G20" s="17"/>
      <c r="H20" s="16">
        <v>298</v>
      </c>
      <c r="I20" s="17">
        <v>0.20094400000000001</v>
      </c>
      <c r="J20" s="16">
        <v>1406</v>
      </c>
      <c r="K20" s="17">
        <v>0.2224332</v>
      </c>
      <c r="L20" s="16">
        <v>0</v>
      </c>
      <c r="M20" s="17"/>
    </row>
    <row r="21" spans="1:13" ht="13">
      <c r="A21" s="12" t="s">
        <v>22</v>
      </c>
      <c r="B21" s="16" t="s">
        <v>38</v>
      </c>
      <c r="C21" s="17"/>
      <c r="D21" s="16" t="s">
        <v>38</v>
      </c>
      <c r="E21" s="17"/>
      <c r="F21" s="16">
        <v>0</v>
      </c>
      <c r="G21" s="17"/>
      <c r="H21" s="16">
        <v>3</v>
      </c>
      <c r="I21" s="17">
        <v>2.0228999999999998E-3</v>
      </c>
      <c r="J21" s="16">
        <v>16</v>
      </c>
      <c r="K21" s="17">
        <v>2.5311999999999999E-3</v>
      </c>
      <c r="L21" s="16">
        <v>0</v>
      </c>
      <c r="M21" s="17"/>
    </row>
    <row r="22" spans="1:13" ht="13">
      <c r="A22" s="12" t="s">
        <v>23</v>
      </c>
      <c r="B22" s="16">
        <v>1</v>
      </c>
      <c r="C22" s="17">
        <v>6.7659999999999997E-4</v>
      </c>
      <c r="D22" s="16" t="s">
        <v>38</v>
      </c>
      <c r="E22" s="17"/>
      <c r="F22" s="16">
        <v>16</v>
      </c>
      <c r="G22" s="17">
        <v>2.821869488536155E-2</v>
      </c>
      <c r="H22" s="16">
        <v>4</v>
      </c>
      <c r="I22" s="17">
        <v>2.6971999999999999E-3</v>
      </c>
      <c r="J22" s="16">
        <v>3</v>
      </c>
      <c r="K22" s="17">
        <v>4.7459999999999999E-4</v>
      </c>
      <c r="L22" s="16">
        <v>49</v>
      </c>
      <c r="M22" s="17">
        <v>4.3867502238137866E-2</v>
      </c>
    </row>
    <row r="23" spans="1:13" ht="13">
      <c r="A23" s="18" t="s">
        <v>32</v>
      </c>
      <c r="B23" s="19">
        <v>1478</v>
      </c>
      <c r="C23" s="20">
        <v>1</v>
      </c>
      <c r="D23" s="19">
        <v>66</v>
      </c>
      <c r="E23" s="20">
        <v>1</v>
      </c>
      <c r="F23" s="19">
        <v>567</v>
      </c>
      <c r="G23" s="20">
        <v>1</v>
      </c>
      <c r="H23" s="19">
        <v>1483</v>
      </c>
      <c r="I23" s="20">
        <v>1</v>
      </c>
      <c r="J23" s="19">
        <v>6321</v>
      </c>
      <c r="K23" s="20">
        <v>1</v>
      </c>
      <c r="L23" s="19">
        <v>1117</v>
      </c>
      <c r="M23" s="20">
        <v>1</v>
      </c>
    </row>
    <row r="24" spans="1:13" ht="12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5" spans="1:13" ht="13">
      <c r="A25" s="70" t="s">
        <v>77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</row>
    <row r="26" spans="1:13" ht="13">
      <c r="A26" s="71" t="s">
        <v>155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</row>
  </sheetData>
  <mergeCells count="12">
    <mergeCell ref="A24:M24"/>
    <mergeCell ref="A25:M25"/>
    <mergeCell ref="A26:M26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5"/>
  <sheetViews>
    <sheetView zoomScaleNormal="100" workbookViewId="0">
      <selection activeCell="T50" sqref="T50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18" width="8.1796875" customWidth="1"/>
  </cols>
  <sheetData>
    <row r="1" spans="1:18" ht="23.25" customHeight="1">
      <c r="A1" s="26"/>
      <c r="B1" s="26"/>
      <c r="C1" s="26"/>
      <c r="D1" s="26"/>
      <c r="E1" s="26"/>
      <c r="F1" s="26"/>
      <c r="G1" s="26"/>
      <c r="H1" s="6" t="s">
        <v>157</v>
      </c>
      <c r="I1" s="6"/>
      <c r="J1" s="6"/>
    </row>
    <row r="2" spans="1:18" ht="12.75" customHeight="1">
      <c r="A2" s="26"/>
      <c r="B2" s="26"/>
      <c r="C2" s="26"/>
      <c r="D2" s="26"/>
      <c r="E2" s="26"/>
      <c r="F2" s="26"/>
      <c r="G2" s="26"/>
    </row>
    <row r="3" spans="1:18" ht="12.75" customHeight="1">
      <c r="A3" s="26"/>
      <c r="B3" s="26"/>
      <c r="C3" s="26"/>
      <c r="D3" s="26"/>
      <c r="E3" s="26"/>
      <c r="F3" s="26"/>
      <c r="G3" s="26"/>
    </row>
    <row r="4" spans="1:18" ht="12.75" customHeight="1">
      <c r="A4" s="26"/>
      <c r="B4" s="26"/>
      <c r="C4" s="26"/>
      <c r="D4" s="26"/>
      <c r="E4" s="26"/>
      <c r="F4" s="26"/>
      <c r="G4" s="26"/>
    </row>
    <row r="5" spans="1:18" ht="12.75" customHeight="1">
      <c r="A5" s="26"/>
      <c r="B5" s="26"/>
      <c r="C5" s="26"/>
      <c r="D5" s="26"/>
      <c r="E5" s="26"/>
      <c r="F5" s="26"/>
      <c r="G5" s="26"/>
    </row>
    <row r="6" spans="1:18" ht="12.75" customHeight="1">
      <c r="A6" s="26"/>
      <c r="B6" s="26"/>
      <c r="C6" s="26"/>
      <c r="D6" s="26"/>
      <c r="E6" s="26"/>
      <c r="F6" s="26"/>
      <c r="G6" s="26"/>
    </row>
    <row r="7" spans="1:18" ht="12.75" customHeight="1">
      <c r="A7" s="26"/>
      <c r="B7" s="26"/>
      <c r="C7" s="26"/>
      <c r="D7" s="26"/>
      <c r="E7" s="26"/>
      <c r="F7" s="26"/>
      <c r="G7" s="26"/>
    </row>
    <row r="8" spans="1:18" ht="12.75" customHeight="1">
      <c r="A8" s="26"/>
      <c r="B8" s="26"/>
      <c r="C8" s="26"/>
      <c r="D8" s="26"/>
      <c r="E8" s="26"/>
      <c r="F8" s="26"/>
      <c r="G8" s="26"/>
    </row>
    <row r="9" spans="1:18" ht="12.75" customHeight="1">
      <c r="A9" s="26"/>
      <c r="B9" s="26"/>
      <c r="C9" s="26"/>
      <c r="D9" s="26"/>
      <c r="E9" s="26"/>
      <c r="F9" s="26"/>
      <c r="G9" s="26"/>
    </row>
    <row r="10" spans="1:18" ht="12.75" customHeight="1">
      <c r="A10" s="26"/>
      <c r="B10" s="26"/>
      <c r="C10" s="26"/>
      <c r="D10" s="26"/>
      <c r="E10" s="26"/>
      <c r="F10" s="26"/>
      <c r="G10" s="26"/>
    </row>
    <row r="11" spans="1:18" ht="12.5">
      <c r="A11" s="34" t="s">
        <v>4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18.75" customHeight="1">
      <c r="A12" s="69" t="s">
        <v>78</v>
      </c>
      <c r="B12" s="26"/>
      <c r="C12" s="26"/>
      <c r="D12" s="26"/>
      <c r="E12" s="26"/>
      <c r="F12" s="26"/>
      <c r="G12" s="35" t="s">
        <v>26</v>
      </c>
      <c r="H12" s="36"/>
      <c r="I12" s="35" t="s">
        <v>27</v>
      </c>
      <c r="J12" s="36"/>
      <c r="K12" s="37" t="s">
        <v>79</v>
      </c>
      <c r="L12" s="36"/>
      <c r="M12" s="35" t="s">
        <v>29</v>
      </c>
      <c r="N12" s="36"/>
      <c r="O12" s="35" t="s">
        <v>30</v>
      </c>
      <c r="P12" s="36"/>
      <c r="Q12" s="37" t="s">
        <v>80</v>
      </c>
      <c r="R12" s="36"/>
    </row>
    <row r="13" spans="1:18" ht="12.5">
      <c r="A13" s="26"/>
      <c r="B13" s="26"/>
      <c r="C13" s="26"/>
      <c r="D13" s="26"/>
      <c r="E13" s="26"/>
      <c r="F13" s="26"/>
      <c r="G13" s="13" t="s">
        <v>76</v>
      </c>
      <c r="H13" s="13" t="s">
        <v>53</v>
      </c>
      <c r="I13" s="13" t="s">
        <v>76</v>
      </c>
      <c r="J13" s="13" t="s">
        <v>53</v>
      </c>
      <c r="K13" s="13" t="s">
        <v>76</v>
      </c>
      <c r="L13" s="13" t="s">
        <v>53</v>
      </c>
      <c r="M13" s="13" t="s">
        <v>76</v>
      </c>
      <c r="N13" s="13" t="s">
        <v>53</v>
      </c>
      <c r="O13" s="13" t="s">
        <v>76</v>
      </c>
      <c r="P13" s="13" t="s">
        <v>53</v>
      </c>
      <c r="Q13" s="13" t="s">
        <v>76</v>
      </c>
      <c r="R13" s="13" t="s">
        <v>53</v>
      </c>
    </row>
    <row r="14" spans="1:18" ht="12.5">
      <c r="A14" s="21" t="s">
        <v>15</v>
      </c>
      <c r="B14" s="14"/>
      <c r="C14" s="72" t="s">
        <v>81</v>
      </c>
      <c r="D14" s="73"/>
      <c r="E14" s="73"/>
      <c r="F14" s="36"/>
      <c r="G14" s="22">
        <v>86</v>
      </c>
      <c r="H14" s="23">
        <v>5.8186700000000001E-2</v>
      </c>
      <c r="I14" s="22">
        <v>27</v>
      </c>
      <c r="J14" s="23">
        <v>0.40909089999999998</v>
      </c>
      <c r="K14" s="22">
        <v>339</v>
      </c>
      <c r="L14" s="23">
        <v>0.59788359788359791</v>
      </c>
      <c r="M14" s="22">
        <v>251</v>
      </c>
      <c r="N14" s="23">
        <v>0.1692515</v>
      </c>
      <c r="O14" s="22">
        <v>640</v>
      </c>
      <c r="P14" s="23">
        <v>0.1012498</v>
      </c>
      <c r="Q14" s="22">
        <v>214</v>
      </c>
      <c r="R14" s="23">
        <v>0.19158460161145927</v>
      </c>
    </row>
    <row r="15" spans="1:18" ht="12.5">
      <c r="A15" s="24" t="s">
        <v>16</v>
      </c>
      <c r="B15" s="25" t="s">
        <v>82</v>
      </c>
      <c r="C15" s="74" t="s">
        <v>83</v>
      </c>
      <c r="D15" s="44"/>
      <c r="E15" s="44"/>
      <c r="F15" s="45"/>
      <c r="G15" s="22">
        <v>55</v>
      </c>
      <c r="H15" s="23">
        <v>3.72124E-2</v>
      </c>
      <c r="I15" s="22" t="s">
        <v>38</v>
      </c>
      <c r="J15" s="23"/>
      <c r="K15" s="22">
        <v>6</v>
      </c>
      <c r="L15" s="23">
        <v>1.0582010582010581E-2</v>
      </c>
      <c r="M15" s="22">
        <v>31</v>
      </c>
      <c r="N15" s="23">
        <v>2.0903600000000001E-2</v>
      </c>
      <c r="O15" s="22">
        <v>234</v>
      </c>
      <c r="P15" s="23">
        <v>3.7019499999999997E-2</v>
      </c>
      <c r="Q15" s="22">
        <v>27</v>
      </c>
      <c r="R15" s="23">
        <v>2.4171888988361683E-2</v>
      </c>
    </row>
    <row r="16" spans="1:18" ht="12.5">
      <c r="A16" s="75" t="s">
        <v>17</v>
      </c>
      <c r="B16" s="25" t="s">
        <v>84</v>
      </c>
      <c r="C16" s="74" t="s">
        <v>85</v>
      </c>
      <c r="D16" s="44"/>
      <c r="E16" s="44"/>
      <c r="F16" s="45"/>
      <c r="G16" s="22" t="s">
        <v>38</v>
      </c>
      <c r="H16" s="23"/>
      <c r="I16" s="22" t="s">
        <v>38</v>
      </c>
      <c r="J16" s="23"/>
      <c r="K16" s="22">
        <v>13</v>
      </c>
      <c r="L16" s="23">
        <v>2.292768959435626E-2</v>
      </c>
      <c r="M16" s="22">
        <v>1</v>
      </c>
      <c r="N16" s="23">
        <v>6.7429999999999996E-4</v>
      </c>
      <c r="O16" s="22">
        <v>1</v>
      </c>
      <c r="P16" s="23">
        <v>1.582E-4</v>
      </c>
      <c r="Q16" s="22">
        <v>44</v>
      </c>
      <c r="R16" s="23">
        <v>3.9391226499552373E-2</v>
      </c>
    </row>
    <row r="17" spans="1:18" ht="12.5">
      <c r="A17" s="76"/>
      <c r="B17" s="25" t="s">
        <v>86</v>
      </c>
      <c r="C17" s="74" t="s">
        <v>87</v>
      </c>
      <c r="D17" s="44"/>
      <c r="E17" s="44"/>
      <c r="F17" s="45"/>
      <c r="G17" s="22">
        <v>81</v>
      </c>
      <c r="H17" s="23">
        <v>5.48038E-2</v>
      </c>
      <c r="I17" s="22" t="s">
        <v>38</v>
      </c>
      <c r="J17" s="23"/>
      <c r="K17" s="22">
        <v>0</v>
      </c>
      <c r="L17" s="23"/>
      <c r="M17" s="22">
        <v>12</v>
      </c>
      <c r="N17" s="23">
        <v>8.0917000000000003E-3</v>
      </c>
      <c r="O17" s="22">
        <v>4</v>
      </c>
      <c r="P17" s="23">
        <v>6.3279999999999999E-4</v>
      </c>
      <c r="Q17" s="22">
        <v>41</v>
      </c>
      <c r="R17" s="23">
        <v>3.6705461056401073E-2</v>
      </c>
    </row>
    <row r="18" spans="1:18" ht="12.5">
      <c r="A18" s="76"/>
      <c r="B18" s="25" t="s">
        <v>88</v>
      </c>
      <c r="C18" s="74" t="s">
        <v>89</v>
      </c>
      <c r="D18" s="44"/>
      <c r="E18" s="44"/>
      <c r="F18" s="45"/>
      <c r="G18" s="22">
        <v>1</v>
      </c>
      <c r="H18" s="23">
        <v>6.7659999999999997E-4</v>
      </c>
      <c r="I18" s="22" t="s">
        <v>38</v>
      </c>
      <c r="J18" s="23"/>
      <c r="K18" s="22">
        <v>4</v>
      </c>
      <c r="L18" s="23">
        <v>7.0546737213403876E-3</v>
      </c>
      <c r="M18" s="22" t="s">
        <v>38</v>
      </c>
      <c r="N18" s="23"/>
      <c r="O18" s="22">
        <v>354</v>
      </c>
      <c r="P18" s="23">
        <v>5.6003799999999999E-2</v>
      </c>
      <c r="Q18" s="22">
        <v>41</v>
      </c>
      <c r="R18" s="23">
        <v>3.6705461056401073E-2</v>
      </c>
    </row>
    <row r="19" spans="1:18" ht="12.5">
      <c r="A19" s="76"/>
      <c r="B19" s="25" t="s">
        <v>90</v>
      </c>
      <c r="C19" s="74" t="s">
        <v>91</v>
      </c>
      <c r="D19" s="44"/>
      <c r="E19" s="44"/>
      <c r="F19" s="45"/>
      <c r="G19" s="22">
        <v>3</v>
      </c>
      <c r="H19" s="23">
        <v>2.0298E-3</v>
      </c>
      <c r="I19" s="22">
        <v>4</v>
      </c>
      <c r="J19" s="23">
        <v>6.0606100000000003E-2</v>
      </c>
      <c r="K19" s="22">
        <v>1</v>
      </c>
      <c r="L19" s="23">
        <v>1.7636684303350969E-3</v>
      </c>
      <c r="M19" s="22" t="s">
        <v>38</v>
      </c>
      <c r="N19" s="23"/>
      <c r="O19" s="22" t="s">
        <v>38</v>
      </c>
      <c r="P19" s="23"/>
      <c r="Q19" s="22">
        <v>8</v>
      </c>
      <c r="R19" s="23">
        <v>7.162041181736795E-3</v>
      </c>
    </row>
    <row r="20" spans="1:18" ht="12.5">
      <c r="A20" s="76"/>
      <c r="B20" s="25" t="s">
        <v>92</v>
      </c>
      <c r="C20" s="74" t="s">
        <v>93</v>
      </c>
      <c r="D20" s="44"/>
      <c r="E20" s="44"/>
      <c r="F20" s="45"/>
      <c r="G20" s="22">
        <v>2</v>
      </c>
      <c r="H20" s="23">
        <v>1.3531999999999999E-3</v>
      </c>
      <c r="I20" s="22" t="s">
        <v>38</v>
      </c>
      <c r="J20" s="23"/>
      <c r="K20" s="22">
        <v>0</v>
      </c>
      <c r="L20" s="23"/>
      <c r="M20" s="22" t="s">
        <v>38</v>
      </c>
      <c r="N20" s="23"/>
      <c r="O20" s="22" t="s">
        <v>38</v>
      </c>
      <c r="P20" s="23"/>
      <c r="Q20" s="22">
        <v>6</v>
      </c>
      <c r="R20" s="23">
        <v>5.3715308863025966E-3</v>
      </c>
    </row>
    <row r="21" spans="1:18" ht="12.5">
      <c r="A21" s="76"/>
      <c r="B21" s="25" t="s">
        <v>94</v>
      </c>
      <c r="C21" s="74" t="s">
        <v>95</v>
      </c>
      <c r="D21" s="44"/>
      <c r="E21" s="44"/>
      <c r="F21" s="45"/>
      <c r="G21" s="22">
        <v>12</v>
      </c>
      <c r="H21" s="23">
        <v>8.1191000000000006E-3</v>
      </c>
      <c r="I21" s="22" t="s">
        <v>38</v>
      </c>
      <c r="J21" s="23"/>
      <c r="K21" s="22">
        <v>3</v>
      </c>
      <c r="L21" s="23">
        <v>5.2910052910052907E-3</v>
      </c>
      <c r="M21" s="22" t="s">
        <v>38</v>
      </c>
      <c r="N21" s="23"/>
      <c r="O21" s="22" t="s">
        <v>38</v>
      </c>
      <c r="P21" s="23"/>
      <c r="Q21" s="22">
        <v>43</v>
      </c>
      <c r="R21" s="23">
        <v>3.8495971351835273E-2</v>
      </c>
    </row>
    <row r="22" spans="1:18" ht="12.5">
      <c r="A22" s="76"/>
      <c r="B22" s="25" t="s">
        <v>96</v>
      </c>
      <c r="C22" s="74" t="s">
        <v>97</v>
      </c>
      <c r="D22" s="44"/>
      <c r="E22" s="44"/>
      <c r="F22" s="45"/>
      <c r="G22" s="22" t="s">
        <v>38</v>
      </c>
      <c r="H22" s="23"/>
      <c r="I22" s="22" t="s">
        <v>38</v>
      </c>
      <c r="J22" s="23"/>
      <c r="K22" s="22">
        <v>0</v>
      </c>
      <c r="L22" s="23"/>
      <c r="M22" s="22">
        <v>2</v>
      </c>
      <c r="N22" s="23">
        <v>1.3485999999999999E-3</v>
      </c>
      <c r="O22" s="22">
        <v>5</v>
      </c>
      <c r="P22" s="23">
        <v>7.9100000000000004E-4</v>
      </c>
      <c r="Q22" s="22">
        <v>0</v>
      </c>
      <c r="R22" s="23"/>
    </row>
    <row r="23" spans="1:18" ht="12.5">
      <c r="A23" s="76"/>
      <c r="B23" s="25" t="s">
        <v>98</v>
      </c>
      <c r="C23" s="74" t="s">
        <v>99</v>
      </c>
      <c r="D23" s="44"/>
      <c r="E23" s="44"/>
      <c r="F23" s="45"/>
      <c r="G23" s="22">
        <v>93</v>
      </c>
      <c r="H23" s="23">
        <v>6.2922900000000004E-2</v>
      </c>
      <c r="I23" s="22">
        <v>3</v>
      </c>
      <c r="J23" s="23">
        <v>4.5454500000000002E-2</v>
      </c>
      <c r="K23" s="22">
        <v>53</v>
      </c>
      <c r="L23" s="23">
        <v>9.3474426807760136E-2</v>
      </c>
      <c r="M23" s="22">
        <v>211</v>
      </c>
      <c r="N23" s="23">
        <v>0.14227919999999999</v>
      </c>
      <c r="O23" s="22">
        <v>203</v>
      </c>
      <c r="P23" s="23">
        <v>3.2115200000000003E-2</v>
      </c>
      <c r="Q23" s="22">
        <v>171</v>
      </c>
      <c r="R23" s="23">
        <v>0.15308863025962399</v>
      </c>
    </row>
    <row r="24" spans="1:18" ht="12.5">
      <c r="A24" s="77"/>
      <c r="B24" s="25" t="s">
        <v>100</v>
      </c>
      <c r="C24" s="74" t="s">
        <v>101</v>
      </c>
      <c r="D24" s="44"/>
      <c r="E24" s="44"/>
      <c r="F24" s="45"/>
      <c r="G24" s="22">
        <v>11</v>
      </c>
      <c r="H24" s="23">
        <v>7.4425000000000003E-3</v>
      </c>
      <c r="I24" s="22" t="s">
        <v>38</v>
      </c>
      <c r="J24" s="23"/>
      <c r="K24" s="22">
        <v>7</v>
      </c>
      <c r="L24" s="23">
        <v>1.2345679012345678E-2</v>
      </c>
      <c r="M24" s="22" t="s">
        <v>38</v>
      </c>
      <c r="N24" s="23"/>
      <c r="O24" s="22">
        <v>3</v>
      </c>
      <c r="P24" s="23">
        <v>4.7459999999999999E-4</v>
      </c>
      <c r="Q24" s="22">
        <v>0</v>
      </c>
      <c r="R24" s="23"/>
    </row>
    <row r="25" spans="1:18" ht="12.5">
      <c r="A25" s="75" t="s">
        <v>18</v>
      </c>
      <c r="B25" s="25" t="s">
        <v>102</v>
      </c>
      <c r="C25" s="74" t="s">
        <v>103</v>
      </c>
      <c r="D25" s="44"/>
      <c r="E25" s="44"/>
      <c r="F25" s="45"/>
      <c r="G25" s="22" t="s">
        <v>38</v>
      </c>
      <c r="H25" s="23"/>
      <c r="I25" s="22" t="s">
        <v>38</v>
      </c>
      <c r="J25" s="23"/>
      <c r="K25" s="22">
        <v>0</v>
      </c>
      <c r="L25" s="23"/>
      <c r="M25" s="22" t="s">
        <v>38</v>
      </c>
      <c r="N25" s="23"/>
      <c r="O25" s="22">
        <v>1</v>
      </c>
      <c r="P25" s="23">
        <v>1.582E-4</v>
      </c>
      <c r="Q25" s="22">
        <v>0</v>
      </c>
      <c r="R25" s="23"/>
    </row>
    <row r="26" spans="1:18" ht="12.5">
      <c r="A26" s="76"/>
      <c r="B26" s="25" t="s">
        <v>104</v>
      </c>
      <c r="C26" s="74" t="s">
        <v>105</v>
      </c>
      <c r="D26" s="44"/>
      <c r="E26" s="44"/>
      <c r="F26" s="45"/>
      <c r="G26" s="22" t="s">
        <v>38</v>
      </c>
      <c r="H26" s="23"/>
      <c r="I26" s="22" t="s">
        <v>38</v>
      </c>
      <c r="J26" s="23"/>
      <c r="K26" s="22">
        <v>0</v>
      </c>
      <c r="L26" s="23"/>
      <c r="M26" s="22">
        <v>74</v>
      </c>
      <c r="N26" s="23">
        <v>4.9898900000000003E-2</v>
      </c>
      <c r="O26" s="22">
        <v>108</v>
      </c>
      <c r="P26" s="23">
        <v>1.7085900000000001E-2</v>
      </c>
      <c r="Q26" s="22">
        <v>0</v>
      </c>
      <c r="R26" s="23"/>
    </row>
    <row r="27" spans="1:18" ht="12.5">
      <c r="A27" s="76"/>
      <c r="B27" s="25" t="s">
        <v>106</v>
      </c>
      <c r="C27" s="74" t="s">
        <v>107</v>
      </c>
      <c r="D27" s="44"/>
      <c r="E27" s="44"/>
      <c r="F27" s="45"/>
      <c r="G27" s="22" t="s">
        <v>38</v>
      </c>
      <c r="H27" s="23"/>
      <c r="I27" s="22" t="s">
        <v>38</v>
      </c>
      <c r="J27" s="23"/>
      <c r="K27" s="22">
        <v>0</v>
      </c>
      <c r="L27" s="23"/>
      <c r="M27" s="22">
        <v>10</v>
      </c>
      <c r="N27" s="23">
        <v>6.7431000000000001E-3</v>
      </c>
      <c r="O27" s="22">
        <v>97</v>
      </c>
      <c r="P27" s="23">
        <v>1.53457E-2</v>
      </c>
      <c r="Q27" s="22">
        <v>0</v>
      </c>
      <c r="R27" s="23"/>
    </row>
    <row r="28" spans="1:18" ht="12.5">
      <c r="A28" s="76"/>
      <c r="B28" s="25" t="s">
        <v>108</v>
      </c>
      <c r="C28" s="74" t="s">
        <v>109</v>
      </c>
      <c r="D28" s="44"/>
      <c r="E28" s="44"/>
      <c r="F28" s="45"/>
      <c r="G28" s="22" t="s">
        <v>38</v>
      </c>
      <c r="H28" s="23"/>
      <c r="I28" s="22" t="s">
        <v>38</v>
      </c>
      <c r="J28" s="23"/>
      <c r="K28" s="22">
        <v>11</v>
      </c>
      <c r="L28" s="23">
        <v>1.9400352733686066E-2</v>
      </c>
      <c r="M28" s="22">
        <v>1</v>
      </c>
      <c r="N28" s="23">
        <v>6.7429999999999996E-4</v>
      </c>
      <c r="O28" s="22">
        <v>280</v>
      </c>
      <c r="P28" s="23">
        <v>4.4296799999999997E-2</v>
      </c>
      <c r="Q28" s="22">
        <v>38</v>
      </c>
      <c r="R28" s="23">
        <v>3.4019695613249773E-2</v>
      </c>
    </row>
    <row r="29" spans="1:18" ht="12.5">
      <c r="A29" s="76"/>
      <c r="B29" s="25" t="s">
        <v>110</v>
      </c>
      <c r="C29" s="74" t="s">
        <v>111</v>
      </c>
      <c r="D29" s="44"/>
      <c r="E29" s="44"/>
      <c r="F29" s="45"/>
      <c r="G29" s="22" t="s">
        <v>38</v>
      </c>
      <c r="H29" s="23"/>
      <c r="I29" s="22" t="s">
        <v>38</v>
      </c>
      <c r="J29" s="23"/>
      <c r="K29" s="22">
        <v>33</v>
      </c>
      <c r="L29" s="23">
        <v>5.8201058201058198E-2</v>
      </c>
      <c r="M29" s="22" t="s">
        <v>38</v>
      </c>
      <c r="N29" s="23"/>
      <c r="O29" s="22" t="s">
        <v>38</v>
      </c>
      <c r="P29" s="23"/>
      <c r="Q29" s="22">
        <v>41</v>
      </c>
      <c r="R29" s="23">
        <v>3.6705461056401073E-2</v>
      </c>
    </row>
    <row r="30" spans="1:18" ht="12.5">
      <c r="A30" s="76"/>
      <c r="B30" s="25" t="s">
        <v>112</v>
      </c>
      <c r="C30" s="74" t="s">
        <v>113</v>
      </c>
      <c r="D30" s="44"/>
      <c r="E30" s="44"/>
      <c r="F30" s="45"/>
      <c r="G30" s="22" t="s">
        <v>38</v>
      </c>
      <c r="H30" s="23"/>
      <c r="I30" s="22" t="s">
        <v>38</v>
      </c>
      <c r="J30" s="23"/>
      <c r="K30" s="22">
        <v>0</v>
      </c>
      <c r="L30" s="23"/>
      <c r="M30" s="22">
        <v>3</v>
      </c>
      <c r="N30" s="23">
        <v>2.0228999999999998E-3</v>
      </c>
      <c r="O30" s="22" t="s">
        <v>38</v>
      </c>
      <c r="P30" s="23"/>
      <c r="Q30" s="22">
        <v>0</v>
      </c>
      <c r="R30" s="23"/>
    </row>
    <row r="31" spans="1:18" ht="12.5">
      <c r="A31" s="76"/>
      <c r="B31" s="25" t="s">
        <v>114</v>
      </c>
      <c r="C31" s="74" t="s">
        <v>115</v>
      </c>
      <c r="D31" s="44"/>
      <c r="E31" s="44"/>
      <c r="F31" s="45"/>
      <c r="G31" s="22">
        <v>41</v>
      </c>
      <c r="H31" s="23">
        <v>2.77402E-2</v>
      </c>
      <c r="I31" s="22">
        <v>1</v>
      </c>
      <c r="J31" s="23">
        <v>1.51515E-2</v>
      </c>
      <c r="K31" s="22">
        <v>6</v>
      </c>
      <c r="L31" s="23">
        <v>1.0582010582010581E-2</v>
      </c>
      <c r="M31" s="22">
        <v>26</v>
      </c>
      <c r="N31" s="23">
        <v>1.7531999999999999E-2</v>
      </c>
      <c r="O31" s="22">
        <v>13</v>
      </c>
      <c r="P31" s="23">
        <v>2.0566E-3</v>
      </c>
      <c r="Q31" s="22">
        <v>22</v>
      </c>
      <c r="R31" s="23">
        <v>1.9695613249776187E-2</v>
      </c>
    </row>
    <row r="32" spans="1:18" ht="12.5">
      <c r="A32" s="76"/>
      <c r="B32" s="25" t="s">
        <v>116</v>
      </c>
      <c r="C32" s="74" t="s">
        <v>117</v>
      </c>
      <c r="D32" s="44"/>
      <c r="E32" s="44"/>
      <c r="F32" s="45"/>
      <c r="G32" s="22">
        <v>1</v>
      </c>
      <c r="H32" s="23">
        <v>6.7659999999999997E-4</v>
      </c>
      <c r="I32" s="22" t="s">
        <v>38</v>
      </c>
      <c r="J32" s="23"/>
      <c r="K32" s="22">
        <v>0</v>
      </c>
      <c r="L32" s="23"/>
      <c r="M32" s="22">
        <v>1</v>
      </c>
      <c r="N32" s="23">
        <v>6.7429999999999996E-4</v>
      </c>
      <c r="O32" s="22">
        <v>5</v>
      </c>
      <c r="P32" s="23">
        <v>7.9100000000000004E-4</v>
      </c>
      <c r="Q32" s="22">
        <v>0</v>
      </c>
      <c r="R32" s="23"/>
    </row>
    <row r="33" spans="1:18" ht="12.5">
      <c r="A33" s="76"/>
      <c r="B33" s="25" t="s">
        <v>118</v>
      </c>
      <c r="C33" s="74" t="s">
        <v>119</v>
      </c>
      <c r="D33" s="44"/>
      <c r="E33" s="44"/>
      <c r="F33" s="45"/>
      <c r="G33" s="22" t="s">
        <v>38</v>
      </c>
      <c r="H33" s="23"/>
      <c r="I33" s="22" t="s">
        <v>38</v>
      </c>
      <c r="J33" s="23"/>
      <c r="K33" s="22">
        <v>0</v>
      </c>
      <c r="L33" s="23"/>
      <c r="M33" s="22" t="s">
        <v>38</v>
      </c>
      <c r="N33" s="23"/>
      <c r="O33" s="22">
        <v>1</v>
      </c>
      <c r="P33" s="23">
        <v>1.582E-4</v>
      </c>
      <c r="Q33" s="22">
        <v>0</v>
      </c>
      <c r="R33" s="23"/>
    </row>
    <row r="34" spans="1:18" ht="12.5">
      <c r="A34" s="77"/>
      <c r="B34" s="25" t="s">
        <v>120</v>
      </c>
      <c r="C34" s="74" t="s">
        <v>121</v>
      </c>
      <c r="D34" s="44"/>
      <c r="E34" s="44"/>
      <c r="F34" s="45"/>
      <c r="G34" s="22">
        <v>9</v>
      </c>
      <c r="H34" s="23">
        <v>6.0892999999999997E-3</v>
      </c>
      <c r="I34" s="22" t="s">
        <v>38</v>
      </c>
      <c r="J34" s="23"/>
      <c r="K34" s="22">
        <v>0</v>
      </c>
      <c r="L34" s="23"/>
      <c r="M34" s="22">
        <v>90</v>
      </c>
      <c r="N34" s="23">
        <v>6.06878E-2</v>
      </c>
      <c r="O34" s="22">
        <v>20</v>
      </c>
      <c r="P34" s="23">
        <v>3.1641E-3</v>
      </c>
      <c r="Q34" s="22">
        <v>0</v>
      </c>
      <c r="R34" s="23"/>
    </row>
    <row r="35" spans="1:18" ht="12.5">
      <c r="A35" s="24" t="s">
        <v>19</v>
      </c>
      <c r="B35" s="25" t="s">
        <v>122</v>
      </c>
      <c r="C35" s="74" t="s">
        <v>123</v>
      </c>
      <c r="D35" s="44"/>
      <c r="E35" s="44"/>
      <c r="F35" s="45"/>
      <c r="G35" s="22">
        <v>930</v>
      </c>
      <c r="H35" s="23">
        <v>0.62922869999999997</v>
      </c>
      <c r="I35" s="22">
        <v>25</v>
      </c>
      <c r="J35" s="23">
        <v>0.37878790000000001</v>
      </c>
      <c r="K35" s="22">
        <v>35</v>
      </c>
      <c r="L35" s="23">
        <v>6.1728395061728392E-2</v>
      </c>
      <c r="M35" s="22">
        <v>465</v>
      </c>
      <c r="N35" s="23">
        <v>0.31355359999999999</v>
      </c>
      <c r="O35" s="22">
        <v>2902</v>
      </c>
      <c r="P35" s="23">
        <v>0.45910459999999997</v>
      </c>
      <c r="Q35" s="22">
        <v>137</v>
      </c>
      <c r="R35" s="23">
        <v>0.12264995523724262</v>
      </c>
    </row>
    <row r="36" spans="1:18" ht="12.5">
      <c r="A36" s="75" t="s">
        <v>20</v>
      </c>
      <c r="B36" s="25" t="s">
        <v>124</v>
      </c>
      <c r="C36" s="74" t="s">
        <v>125</v>
      </c>
      <c r="D36" s="44"/>
      <c r="E36" s="44"/>
      <c r="F36" s="45"/>
      <c r="G36" s="22" t="s">
        <v>38</v>
      </c>
      <c r="H36" s="23"/>
      <c r="I36" s="22" t="s">
        <v>38</v>
      </c>
      <c r="J36" s="23"/>
      <c r="K36" s="22">
        <v>40</v>
      </c>
      <c r="L36" s="23">
        <v>7.0546737213403876E-2</v>
      </c>
      <c r="M36" s="22" t="s">
        <v>38</v>
      </c>
      <c r="N36" s="23"/>
      <c r="O36" s="22" t="s">
        <v>38</v>
      </c>
      <c r="P36" s="23"/>
      <c r="Q36" s="22">
        <v>235</v>
      </c>
      <c r="R36" s="23">
        <v>0.21038495971351837</v>
      </c>
    </row>
    <row r="37" spans="1:18" ht="12.5">
      <c r="A37" s="76"/>
      <c r="B37" s="25" t="s">
        <v>126</v>
      </c>
      <c r="C37" s="74" t="s">
        <v>127</v>
      </c>
      <c r="D37" s="44"/>
      <c r="E37" s="44"/>
      <c r="F37" s="45"/>
      <c r="G37" s="22">
        <v>20</v>
      </c>
      <c r="H37" s="23">
        <v>1.35318E-2</v>
      </c>
      <c r="I37" s="22">
        <v>2</v>
      </c>
      <c r="J37" s="23">
        <v>3.0303E-2</v>
      </c>
      <c r="K37" s="22">
        <v>0</v>
      </c>
      <c r="L37" s="23"/>
      <c r="M37" s="22" t="s">
        <v>38</v>
      </c>
      <c r="N37" s="23"/>
      <c r="O37" s="22">
        <v>7</v>
      </c>
      <c r="P37" s="23">
        <v>1.1073999999999999E-3</v>
      </c>
      <c r="Q37" s="22">
        <v>0</v>
      </c>
      <c r="R37" s="23"/>
    </row>
    <row r="38" spans="1:18" ht="12.5">
      <c r="A38" s="77"/>
      <c r="B38" s="25" t="s">
        <v>128</v>
      </c>
      <c r="C38" s="74" t="s">
        <v>129</v>
      </c>
      <c r="D38" s="44"/>
      <c r="E38" s="44"/>
      <c r="F38" s="45"/>
      <c r="G38" s="22" t="s">
        <v>38</v>
      </c>
      <c r="H38" s="23"/>
      <c r="I38" s="22" t="s">
        <v>38</v>
      </c>
      <c r="J38" s="23"/>
      <c r="K38" s="22">
        <v>0</v>
      </c>
      <c r="L38" s="23"/>
      <c r="M38" s="22" t="s">
        <v>38</v>
      </c>
      <c r="N38" s="23"/>
      <c r="O38" s="22">
        <v>18</v>
      </c>
      <c r="P38" s="23">
        <v>2.8476999999999999E-3</v>
      </c>
      <c r="Q38" s="22">
        <v>0</v>
      </c>
      <c r="R38" s="23"/>
    </row>
    <row r="39" spans="1:18" ht="12.5">
      <c r="A39" s="75" t="s">
        <v>21</v>
      </c>
      <c r="B39" s="25" t="s">
        <v>130</v>
      </c>
      <c r="C39" s="74" t="s">
        <v>131</v>
      </c>
      <c r="D39" s="44"/>
      <c r="E39" s="44"/>
      <c r="F39" s="45"/>
      <c r="G39" s="22">
        <v>132</v>
      </c>
      <c r="H39" s="23">
        <v>8.9309899999999998E-2</v>
      </c>
      <c r="I39" s="22">
        <v>4</v>
      </c>
      <c r="J39" s="23">
        <v>6.0606100000000003E-2</v>
      </c>
      <c r="K39" s="22">
        <v>0</v>
      </c>
      <c r="L39" s="23"/>
      <c r="M39" s="22">
        <v>298</v>
      </c>
      <c r="N39" s="23">
        <v>0.20094400000000001</v>
      </c>
      <c r="O39" s="22">
        <v>1335</v>
      </c>
      <c r="P39" s="23">
        <v>0.21120079999999999</v>
      </c>
      <c r="Q39" s="22">
        <v>0</v>
      </c>
      <c r="R39" s="23"/>
    </row>
    <row r="40" spans="1:18" ht="12.5">
      <c r="A40" s="76"/>
      <c r="B40" s="25" t="s">
        <v>132</v>
      </c>
      <c r="C40" s="74" t="s">
        <v>133</v>
      </c>
      <c r="D40" s="44"/>
      <c r="E40" s="44"/>
      <c r="F40" s="45"/>
      <c r="G40" s="22" t="s">
        <v>38</v>
      </c>
      <c r="H40" s="23"/>
      <c r="I40" s="22" t="s">
        <v>38</v>
      </c>
      <c r="J40" s="23"/>
      <c r="K40" s="22">
        <v>0</v>
      </c>
      <c r="L40" s="23"/>
      <c r="M40" s="22" t="s">
        <v>38</v>
      </c>
      <c r="N40" s="23"/>
      <c r="O40" s="22">
        <v>30</v>
      </c>
      <c r="P40" s="23">
        <v>4.7460999999999996E-3</v>
      </c>
      <c r="Q40" s="22">
        <v>0</v>
      </c>
      <c r="R40" s="23"/>
    </row>
    <row r="41" spans="1:18" ht="12.5">
      <c r="A41" s="76"/>
      <c r="B41" s="25" t="s">
        <v>134</v>
      </c>
      <c r="C41" s="74" t="s">
        <v>135</v>
      </c>
      <c r="D41" s="44"/>
      <c r="E41" s="44"/>
      <c r="F41" s="45"/>
      <c r="G41" s="22" t="s">
        <v>38</v>
      </c>
      <c r="H41" s="23"/>
      <c r="I41" s="22" t="s">
        <v>38</v>
      </c>
      <c r="J41" s="23"/>
      <c r="K41" s="22">
        <v>0</v>
      </c>
      <c r="L41" s="23"/>
      <c r="M41" s="22" t="s">
        <v>38</v>
      </c>
      <c r="N41" s="23"/>
      <c r="O41" s="22" t="s">
        <v>38</v>
      </c>
      <c r="P41" s="23"/>
      <c r="Q41" s="22">
        <v>0</v>
      </c>
      <c r="R41" s="23"/>
    </row>
    <row r="42" spans="1:18" ht="12.5">
      <c r="A42" s="77"/>
      <c r="B42" s="25" t="s">
        <v>136</v>
      </c>
      <c r="C42" s="74" t="s">
        <v>137</v>
      </c>
      <c r="D42" s="44"/>
      <c r="E42" s="44"/>
      <c r="F42" s="45"/>
      <c r="G42" s="22" t="s">
        <v>38</v>
      </c>
      <c r="H42" s="23"/>
      <c r="I42" s="22" t="s">
        <v>38</v>
      </c>
      <c r="J42" s="23"/>
      <c r="K42" s="22">
        <v>0</v>
      </c>
      <c r="L42" s="23"/>
      <c r="M42" s="22" t="s">
        <v>38</v>
      </c>
      <c r="N42" s="23"/>
      <c r="O42" s="22">
        <v>41</v>
      </c>
      <c r="P42" s="23">
        <v>6.4863000000000004E-3</v>
      </c>
      <c r="Q42" s="22">
        <v>0</v>
      </c>
      <c r="R42" s="23"/>
    </row>
    <row r="43" spans="1:18" ht="12.5">
      <c r="A43" s="75" t="s">
        <v>22</v>
      </c>
      <c r="B43" s="25" t="s">
        <v>138</v>
      </c>
      <c r="C43" s="74" t="s">
        <v>22</v>
      </c>
      <c r="D43" s="44"/>
      <c r="E43" s="44"/>
      <c r="F43" s="45"/>
      <c r="G43" s="22" t="s">
        <v>38</v>
      </c>
      <c r="H43" s="23"/>
      <c r="I43" s="22" t="s">
        <v>38</v>
      </c>
      <c r="J43" s="23"/>
      <c r="K43" s="22">
        <v>0</v>
      </c>
      <c r="L43" s="23"/>
      <c r="M43" s="22">
        <v>3</v>
      </c>
      <c r="N43" s="23">
        <v>2.0228999999999998E-3</v>
      </c>
      <c r="O43" s="22">
        <v>11</v>
      </c>
      <c r="P43" s="23">
        <v>1.7401999999999999E-3</v>
      </c>
      <c r="Q43" s="22">
        <v>0</v>
      </c>
      <c r="R43" s="23"/>
    </row>
    <row r="44" spans="1:18" ht="12.5">
      <c r="A44" s="77"/>
      <c r="B44" s="25" t="s">
        <v>139</v>
      </c>
      <c r="C44" s="74" t="s">
        <v>140</v>
      </c>
      <c r="D44" s="44"/>
      <c r="E44" s="44"/>
      <c r="F44" s="45"/>
      <c r="G44" s="22" t="s">
        <v>38</v>
      </c>
      <c r="H44" s="23"/>
      <c r="I44" s="22" t="s">
        <v>38</v>
      </c>
      <c r="J44" s="23"/>
      <c r="K44" s="22">
        <v>0</v>
      </c>
      <c r="L44" s="23"/>
      <c r="M44" s="22" t="s">
        <v>38</v>
      </c>
      <c r="N44" s="23"/>
      <c r="O44" s="22">
        <v>5</v>
      </c>
      <c r="P44" s="23">
        <v>7.9100000000000004E-4</v>
      </c>
      <c r="Q44" s="22">
        <v>0</v>
      </c>
      <c r="R44" s="23"/>
    </row>
    <row r="45" spans="1:18" ht="12.5">
      <c r="A45" s="75" t="s">
        <v>23</v>
      </c>
      <c r="B45" s="25" t="s">
        <v>141</v>
      </c>
      <c r="C45" s="74" t="s">
        <v>142</v>
      </c>
      <c r="D45" s="44"/>
      <c r="E45" s="44"/>
      <c r="F45" s="45"/>
      <c r="G45" s="22" t="s">
        <v>38</v>
      </c>
      <c r="H45" s="23"/>
      <c r="I45" s="22" t="s">
        <v>38</v>
      </c>
      <c r="J45" s="23"/>
      <c r="K45" s="22">
        <v>1</v>
      </c>
      <c r="L45" s="23">
        <v>1.7636684303350969E-3</v>
      </c>
      <c r="M45" s="22" t="s">
        <v>38</v>
      </c>
      <c r="N45" s="23"/>
      <c r="O45" s="22" t="s">
        <v>38</v>
      </c>
      <c r="P45" s="23"/>
      <c r="Q45" s="22">
        <v>6</v>
      </c>
      <c r="R45" s="23">
        <v>5.3715308863025966E-3</v>
      </c>
    </row>
    <row r="46" spans="1:18" ht="12.5">
      <c r="A46" s="76"/>
      <c r="B46" s="25" t="s">
        <v>143</v>
      </c>
      <c r="C46" s="74" t="s">
        <v>144</v>
      </c>
      <c r="D46" s="44"/>
      <c r="E46" s="44"/>
      <c r="F46" s="45"/>
      <c r="G46" s="22" t="s">
        <v>38</v>
      </c>
      <c r="H46" s="23"/>
      <c r="I46" s="22" t="s">
        <v>38</v>
      </c>
      <c r="J46" s="23"/>
      <c r="K46" s="22">
        <v>9</v>
      </c>
      <c r="L46" s="23">
        <v>1.5873015873015872E-2</v>
      </c>
      <c r="M46" s="22" t="s">
        <v>38</v>
      </c>
      <c r="N46" s="23"/>
      <c r="O46" s="22" t="s">
        <v>38</v>
      </c>
      <c r="P46" s="23"/>
      <c r="Q46" s="22">
        <v>30</v>
      </c>
      <c r="R46" s="23">
        <v>2.685765443151298E-2</v>
      </c>
    </row>
    <row r="47" spans="1:18" ht="12.5">
      <c r="A47" s="76"/>
      <c r="B47" s="25" t="s">
        <v>145</v>
      </c>
      <c r="C47" s="74" t="s">
        <v>146</v>
      </c>
      <c r="D47" s="44"/>
      <c r="E47" s="44"/>
      <c r="F47" s="45"/>
      <c r="G47" s="22" t="s">
        <v>38</v>
      </c>
      <c r="H47" s="23"/>
      <c r="I47" s="22" t="s">
        <v>38</v>
      </c>
      <c r="J47" s="23"/>
      <c r="K47" s="22">
        <v>3</v>
      </c>
      <c r="L47" s="23">
        <v>5.2910052910052907E-3</v>
      </c>
      <c r="M47" s="22" t="s">
        <v>38</v>
      </c>
      <c r="N47" s="23"/>
      <c r="O47" s="22" t="s">
        <v>38</v>
      </c>
      <c r="P47" s="23"/>
      <c r="Q47" s="22">
        <v>5</v>
      </c>
      <c r="R47" s="23">
        <v>4.4762757385854966E-3</v>
      </c>
    </row>
    <row r="48" spans="1:18" ht="12.5">
      <c r="A48" s="76"/>
      <c r="B48" s="25" t="s">
        <v>147</v>
      </c>
      <c r="C48" s="74" t="s">
        <v>148</v>
      </c>
      <c r="D48" s="44"/>
      <c r="E48" s="44"/>
      <c r="F48" s="45"/>
      <c r="G48" s="22" t="s">
        <v>38</v>
      </c>
      <c r="H48" s="23"/>
      <c r="I48" s="22" t="s">
        <v>38</v>
      </c>
      <c r="J48" s="23"/>
      <c r="K48" s="22">
        <v>3</v>
      </c>
      <c r="L48" s="23">
        <v>5.2910052910052907E-3</v>
      </c>
      <c r="M48" s="22" t="s">
        <v>38</v>
      </c>
      <c r="N48" s="23"/>
      <c r="O48" s="22" t="s">
        <v>38</v>
      </c>
      <c r="P48" s="23"/>
      <c r="Q48" s="22">
        <v>8</v>
      </c>
      <c r="R48" s="23">
        <v>7.162041181736795E-3</v>
      </c>
    </row>
    <row r="49" spans="1:18" ht="12.5">
      <c r="A49" s="76"/>
      <c r="B49" s="25" t="s">
        <v>149</v>
      </c>
      <c r="C49" s="74" t="s">
        <v>150</v>
      </c>
      <c r="D49" s="44"/>
      <c r="E49" s="44"/>
      <c r="F49" s="45"/>
      <c r="G49" s="22">
        <v>1</v>
      </c>
      <c r="H49" s="23">
        <v>6.7659999999999997E-4</v>
      </c>
      <c r="I49" s="22" t="s">
        <v>38</v>
      </c>
      <c r="J49" s="23"/>
      <c r="K49" s="22">
        <v>0</v>
      </c>
      <c r="L49" s="23"/>
      <c r="M49" s="22" t="s">
        <v>38</v>
      </c>
      <c r="N49" s="23"/>
      <c r="O49" s="22" t="s">
        <v>38</v>
      </c>
      <c r="P49" s="23"/>
      <c r="Q49" s="22">
        <v>0</v>
      </c>
      <c r="R49" s="23"/>
    </row>
    <row r="50" spans="1:18" ht="12.5">
      <c r="A50" s="77"/>
      <c r="B50" s="25" t="s">
        <v>151</v>
      </c>
      <c r="C50" s="74" t="s">
        <v>152</v>
      </c>
      <c r="D50" s="44"/>
      <c r="E50" s="44"/>
      <c r="F50" s="45"/>
      <c r="G50" s="22" t="s">
        <v>38</v>
      </c>
      <c r="H50" s="23"/>
      <c r="I50" s="22" t="s">
        <v>38</v>
      </c>
      <c r="J50" s="23"/>
      <c r="K50" s="22">
        <v>0</v>
      </c>
      <c r="L50" s="23"/>
      <c r="M50" s="22">
        <v>4</v>
      </c>
      <c r="N50" s="23">
        <v>2.6971999999999999E-3</v>
      </c>
      <c r="O50" s="22">
        <v>3</v>
      </c>
      <c r="P50" s="23">
        <v>4.7459999999999999E-4</v>
      </c>
      <c r="Q50" s="22">
        <v>0</v>
      </c>
      <c r="R50" s="23"/>
    </row>
    <row r="51" spans="1:18" ht="12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ht="13">
      <c r="A52" s="78" t="s">
        <v>153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ht="12.75" customHeight="1">
      <c r="A53" s="79" t="s">
        <v>154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1:18" ht="12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1:18" ht="13">
      <c r="A55" s="71" t="s">
        <v>158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</row>
  </sheetData>
  <mergeCells count="56">
    <mergeCell ref="A51:R51"/>
    <mergeCell ref="A52:R52"/>
    <mergeCell ref="A53:R54"/>
    <mergeCell ref="A55:R55"/>
    <mergeCell ref="A43:A44"/>
    <mergeCell ref="C43:F43"/>
    <mergeCell ref="C44:F44"/>
    <mergeCell ref="A45:A50"/>
    <mergeCell ref="C45:F45"/>
    <mergeCell ref="C46:F46"/>
    <mergeCell ref="C47:F47"/>
    <mergeCell ref="C48:F48"/>
    <mergeCell ref="C49:F49"/>
    <mergeCell ref="C50:F50"/>
    <mergeCell ref="A39:A42"/>
    <mergeCell ref="C39:F39"/>
    <mergeCell ref="C40:F40"/>
    <mergeCell ref="C41:F41"/>
    <mergeCell ref="C42:F42"/>
    <mergeCell ref="C35:F35"/>
    <mergeCell ref="A36:A38"/>
    <mergeCell ref="C36:F36"/>
    <mergeCell ref="C37:F37"/>
    <mergeCell ref="C38:F38"/>
    <mergeCell ref="A25:A3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</vt:lpstr>
      <vt:lpstr>Table of Contents Page</vt:lpstr>
      <vt:lpstr>IL Releases Summary</vt:lpstr>
      <vt:lpstr>Time on Interest List</vt:lpstr>
      <vt:lpstr>Closure Overview</vt:lpstr>
      <vt:lpstr>Closure Details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Warren,Nicholas (HHSC)</dc:creator>
  <cp:lastModifiedBy>Alberti,Rafael (HHSC)</cp:lastModifiedBy>
  <dcterms:created xsi:type="dcterms:W3CDTF">2026-02-09T20:39:30Z</dcterms:created>
  <dcterms:modified xsi:type="dcterms:W3CDTF">2026-02-24T20:01:04Z</dcterms:modified>
</cp:coreProperties>
</file>